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Questa_cartella_di_lavoro"/>
  <bookViews>
    <workbookView xWindow="0" yWindow="6735" windowWidth="20730" windowHeight="6675" tabRatio="650"/>
  </bookViews>
  <sheets>
    <sheet name="Data" sheetId="1" r:id="rId1"/>
    <sheet name="Results" sheetId="2" r:id="rId2"/>
  </sheets>
  <calcPr calcId="145621"/>
</workbook>
</file>

<file path=xl/calcChain.xml><?xml version="1.0" encoding="utf-8"?>
<calcChain xmlns="http://schemas.openxmlformats.org/spreadsheetml/2006/main">
  <c r="ED2" i="1" l="1"/>
  <c r="ED3" i="1"/>
  <c r="EC3" i="1"/>
  <c r="EC2" i="1"/>
  <c r="EB2" i="1"/>
  <c r="EB3" i="1"/>
  <c r="EA3" i="1"/>
  <c r="EA2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W667" i="1"/>
  <c r="AF667" i="1"/>
  <c r="X667" i="1"/>
  <c r="AG667" i="1" s="1"/>
  <c r="Y667" i="1"/>
  <c r="AH667" i="1" s="1"/>
  <c r="Z667" i="1"/>
  <c r="AI667" i="1" s="1"/>
  <c r="AA667" i="1"/>
  <c r="AJ667" i="1" s="1"/>
  <c r="AB667" i="1"/>
  <c r="AK667" i="1" s="1"/>
  <c r="AC667" i="1"/>
  <c r="AL667" i="1" s="1"/>
  <c r="W668" i="1"/>
  <c r="AF668" i="1" s="1"/>
  <c r="X668" i="1"/>
  <c r="AG668" i="1" s="1"/>
  <c r="Y668" i="1"/>
  <c r="AH668" i="1" s="1"/>
  <c r="Z668" i="1"/>
  <c r="AI668" i="1" s="1"/>
  <c r="AA668" i="1"/>
  <c r="AJ668" i="1" s="1"/>
  <c r="AB668" i="1"/>
  <c r="AK668" i="1"/>
  <c r="AC668" i="1"/>
  <c r="AL668" i="1" s="1"/>
  <c r="W669" i="1"/>
  <c r="AF669" i="1" s="1"/>
  <c r="X669" i="1"/>
  <c r="AG669" i="1" s="1"/>
  <c r="Y669" i="1"/>
  <c r="AH669" i="1" s="1"/>
  <c r="Z669" i="1"/>
  <c r="AI669" i="1"/>
  <c r="AA669" i="1"/>
  <c r="AJ669" i="1" s="1"/>
  <c r="AB669" i="1"/>
  <c r="AK669" i="1"/>
  <c r="AC669" i="1"/>
  <c r="AL669" i="1" s="1"/>
  <c r="W670" i="1"/>
  <c r="AF670" i="1"/>
  <c r="X670" i="1"/>
  <c r="AG670" i="1" s="1"/>
  <c r="Y670" i="1"/>
  <c r="AH670" i="1"/>
  <c r="Z670" i="1"/>
  <c r="AI670" i="1" s="1"/>
  <c r="AA670" i="1"/>
  <c r="AJ670" i="1"/>
  <c r="AB670" i="1"/>
  <c r="AK670" i="1" s="1"/>
  <c r="AC670" i="1"/>
  <c r="AL670" i="1"/>
  <c r="W671" i="1"/>
  <c r="AF671" i="1" s="1"/>
  <c r="X671" i="1"/>
  <c r="AG671" i="1"/>
  <c r="Y671" i="1"/>
  <c r="AH671" i="1" s="1"/>
  <c r="Z671" i="1"/>
  <c r="AI671" i="1"/>
  <c r="AA671" i="1"/>
  <c r="AJ671" i="1" s="1"/>
  <c r="AB671" i="1"/>
  <c r="AK671" i="1"/>
  <c r="AC671" i="1"/>
  <c r="AL671" i="1" s="1"/>
  <c r="W672" i="1"/>
  <c r="AF672" i="1"/>
  <c r="X672" i="1"/>
  <c r="AG672" i="1" s="1"/>
  <c r="Y672" i="1"/>
  <c r="AH672" i="1"/>
  <c r="Z672" i="1"/>
  <c r="AI672" i="1" s="1"/>
  <c r="AA672" i="1"/>
  <c r="AJ672" i="1"/>
  <c r="AB672" i="1"/>
  <c r="AK672" i="1" s="1"/>
  <c r="AC672" i="1"/>
  <c r="AL672" i="1"/>
  <c r="W673" i="1"/>
  <c r="AF673" i="1" s="1"/>
  <c r="X673" i="1"/>
  <c r="AG673" i="1"/>
  <c r="Y673" i="1"/>
  <c r="AH673" i="1" s="1"/>
  <c r="Z673" i="1"/>
  <c r="AI673" i="1"/>
  <c r="AA673" i="1"/>
  <c r="AJ673" i="1" s="1"/>
  <c r="AB673" i="1"/>
  <c r="AK673" i="1"/>
  <c r="AC673" i="1"/>
  <c r="AL673" i="1" s="1"/>
  <c r="W674" i="1"/>
  <c r="AF674" i="1"/>
  <c r="X674" i="1"/>
  <c r="AG674" i="1" s="1"/>
  <c r="Y674" i="1"/>
  <c r="AH674" i="1"/>
  <c r="Z674" i="1"/>
  <c r="AI674" i="1" s="1"/>
  <c r="AA674" i="1"/>
  <c r="AJ674" i="1"/>
  <c r="AB674" i="1"/>
  <c r="AK674" i="1" s="1"/>
  <c r="AC674" i="1"/>
  <c r="AL674" i="1"/>
  <c r="W675" i="1"/>
  <c r="AF675" i="1" s="1"/>
  <c r="X675" i="1"/>
  <c r="AG675" i="1"/>
  <c r="Y675" i="1"/>
  <c r="AH675" i="1" s="1"/>
  <c r="Z675" i="1"/>
  <c r="AI675" i="1"/>
  <c r="AA675" i="1"/>
  <c r="AJ675" i="1" s="1"/>
  <c r="AB675" i="1"/>
  <c r="AK675" i="1"/>
  <c r="AC675" i="1"/>
  <c r="AL675" i="1" s="1"/>
  <c r="W676" i="1"/>
  <c r="AF676" i="1"/>
  <c r="X676" i="1"/>
  <c r="AG676" i="1" s="1"/>
  <c r="Y676" i="1"/>
  <c r="AH676" i="1"/>
  <c r="Z676" i="1"/>
  <c r="AI676" i="1" s="1"/>
  <c r="AA676" i="1"/>
  <c r="AJ676" i="1"/>
  <c r="AB676" i="1"/>
  <c r="AK676" i="1" s="1"/>
  <c r="AC676" i="1"/>
  <c r="AL676" i="1"/>
  <c r="W677" i="1"/>
  <c r="AF677" i="1" s="1"/>
  <c r="X677" i="1"/>
  <c r="AG677" i="1"/>
  <c r="Y677" i="1"/>
  <c r="AH677" i="1" s="1"/>
  <c r="Z677" i="1"/>
  <c r="AI677" i="1"/>
  <c r="AA677" i="1"/>
  <c r="AJ677" i="1" s="1"/>
  <c r="AB677" i="1"/>
  <c r="AK677" i="1"/>
  <c r="AC677" i="1"/>
  <c r="AL677" i="1" s="1"/>
  <c r="W678" i="1"/>
  <c r="AF678" i="1"/>
  <c r="X678" i="1"/>
  <c r="AG678" i="1" s="1"/>
  <c r="Y678" i="1"/>
  <c r="AH678" i="1"/>
  <c r="Z678" i="1"/>
  <c r="AI678" i="1" s="1"/>
  <c r="AA678" i="1"/>
  <c r="AJ678" i="1"/>
  <c r="AB678" i="1"/>
  <c r="AK678" i="1" s="1"/>
  <c r="AC678" i="1"/>
  <c r="AL678" i="1"/>
  <c r="W679" i="1"/>
  <c r="AF679" i="1" s="1"/>
  <c r="X679" i="1"/>
  <c r="AG679" i="1"/>
  <c r="Y679" i="1"/>
  <c r="AH679" i="1" s="1"/>
  <c r="Z679" i="1"/>
  <c r="AI679" i="1"/>
  <c r="AA679" i="1"/>
  <c r="AJ679" i="1" s="1"/>
  <c r="AB679" i="1"/>
  <c r="AK679" i="1"/>
  <c r="AC679" i="1"/>
  <c r="AL679" i="1" s="1"/>
  <c r="W680" i="1"/>
  <c r="AF680" i="1"/>
  <c r="X680" i="1"/>
  <c r="AG680" i="1" s="1"/>
  <c r="Y680" i="1"/>
  <c r="AH680" i="1"/>
  <c r="Z680" i="1"/>
  <c r="AI680" i="1" s="1"/>
  <c r="AA680" i="1"/>
  <c r="AJ680" i="1"/>
  <c r="AB680" i="1"/>
  <c r="AK680" i="1" s="1"/>
  <c r="AC680" i="1"/>
  <c r="AL680" i="1"/>
  <c r="W681" i="1"/>
  <c r="AF681" i="1" s="1"/>
  <c r="X681" i="1"/>
  <c r="AG681" i="1"/>
  <c r="Y681" i="1"/>
  <c r="AH681" i="1" s="1"/>
  <c r="Z681" i="1"/>
  <c r="AI681" i="1"/>
  <c r="AA681" i="1"/>
  <c r="AJ681" i="1" s="1"/>
  <c r="AB681" i="1"/>
  <c r="AK681" i="1"/>
  <c r="AC681" i="1"/>
  <c r="AL681" i="1" s="1"/>
  <c r="W682" i="1"/>
  <c r="AF682" i="1"/>
  <c r="X682" i="1"/>
  <c r="AG682" i="1" s="1"/>
  <c r="Y682" i="1"/>
  <c r="AH682" i="1"/>
  <c r="Z682" i="1"/>
  <c r="AI682" i="1" s="1"/>
  <c r="AA682" i="1"/>
  <c r="AJ682" i="1"/>
  <c r="AB682" i="1"/>
  <c r="AK682" i="1" s="1"/>
  <c r="AC682" i="1"/>
  <c r="AL682" i="1"/>
  <c r="W683" i="1"/>
  <c r="AF683" i="1" s="1"/>
  <c r="X683" i="1"/>
  <c r="AG683" i="1"/>
  <c r="Y683" i="1"/>
  <c r="AH683" i="1" s="1"/>
  <c r="Z683" i="1"/>
  <c r="AI683" i="1"/>
  <c r="AA683" i="1"/>
  <c r="AJ683" i="1" s="1"/>
  <c r="AB683" i="1"/>
  <c r="AK683" i="1"/>
  <c r="AC683" i="1"/>
  <c r="AL683" i="1" s="1"/>
  <c r="W684" i="1"/>
  <c r="AF684" i="1"/>
  <c r="X684" i="1"/>
  <c r="AG684" i="1" s="1"/>
  <c r="Y684" i="1"/>
  <c r="AH684" i="1"/>
  <c r="Z684" i="1"/>
  <c r="AI684" i="1" s="1"/>
  <c r="AA684" i="1"/>
  <c r="AJ684" i="1"/>
  <c r="AB684" i="1"/>
  <c r="AK684" i="1" s="1"/>
  <c r="AC684" i="1"/>
  <c r="AL684" i="1"/>
  <c r="W685" i="1"/>
  <c r="AF685" i="1" s="1"/>
  <c r="X685" i="1"/>
  <c r="AG685" i="1"/>
  <c r="Y685" i="1"/>
  <c r="AH685" i="1" s="1"/>
  <c r="Z685" i="1"/>
  <c r="AI685" i="1"/>
  <c r="AA685" i="1"/>
  <c r="AJ685" i="1" s="1"/>
  <c r="AB685" i="1"/>
  <c r="AK685" i="1"/>
  <c r="AC685" i="1"/>
  <c r="AL685" i="1" s="1"/>
  <c r="W686" i="1"/>
  <c r="AF686" i="1"/>
  <c r="X686" i="1"/>
  <c r="AG686" i="1" s="1"/>
  <c r="Y686" i="1"/>
  <c r="AH686" i="1"/>
  <c r="Z686" i="1"/>
  <c r="AI686" i="1" s="1"/>
  <c r="AA686" i="1"/>
  <c r="AJ686" i="1"/>
  <c r="AB686" i="1"/>
  <c r="AK686" i="1" s="1"/>
  <c r="AC686" i="1"/>
  <c r="AL686" i="1"/>
  <c r="W687" i="1"/>
  <c r="AF687" i="1" s="1"/>
  <c r="X687" i="1"/>
  <c r="AG687" i="1"/>
  <c r="Y687" i="1"/>
  <c r="AH687" i="1" s="1"/>
  <c r="Z687" i="1"/>
  <c r="AI687" i="1"/>
  <c r="AA687" i="1"/>
  <c r="AJ687" i="1" s="1"/>
  <c r="AB687" i="1"/>
  <c r="AK687" i="1"/>
  <c r="AC687" i="1"/>
  <c r="AL687" i="1" s="1"/>
  <c r="W688" i="1"/>
  <c r="AF688" i="1"/>
  <c r="X688" i="1"/>
  <c r="AG688" i="1" s="1"/>
  <c r="Y688" i="1"/>
  <c r="AH688" i="1"/>
  <c r="Z688" i="1"/>
  <c r="AI688" i="1" s="1"/>
  <c r="AA688" i="1"/>
  <c r="AJ688" i="1"/>
  <c r="AB688" i="1"/>
  <c r="AK688" i="1" s="1"/>
  <c r="AC688" i="1"/>
  <c r="AL688" i="1"/>
  <c r="W689" i="1"/>
  <c r="AF689" i="1" s="1"/>
  <c r="X689" i="1"/>
  <c r="AG689" i="1"/>
  <c r="Y689" i="1"/>
  <c r="AH689" i="1" s="1"/>
  <c r="Z689" i="1"/>
  <c r="AI689" i="1"/>
  <c r="AA689" i="1"/>
  <c r="AJ689" i="1" s="1"/>
  <c r="AB689" i="1"/>
  <c r="AK689" i="1"/>
  <c r="AC689" i="1"/>
  <c r="AL689" i="1" s="1"/>
  <c r="W690" i="1"/>
  <c r="AF690" i="1"/>
  <c r="X690" i="1"/>
  <c r="AG690" i="1" s="1"/>
  <c r="Y690" i="1"/>
  <c r="AH690" i="1"/>
  <c r="Z690" i="1"/>
  <c r="AI690" i="1" s="1"/>
  <c r="AA690" i="1"/>
  <c r="AJ690" i="1"/>
  <c r="AB690" i="1"/>
  <c r="AK690" i="1" s="1"/>
  <c r="AC690" i="1"/>
  <c r="AL690" i="1"/>
  <c r="W691" i="1"/>
  <c r="AF691" i="1" s="1"/>
  <c r="X691" i="1"/>
  <c r="AG691" i="1"/>
  <c r="Y691" i="1"/>
  <c r="AH691" i="1" s="1"/>
  <c r="Z691" i="1"/>
  <c r="AI691" i="1"/>
  <c r="AA691" i="1"/>
  <c r="AJ691" i="1" s="1"/>
  <c r="AB691" i="1"/>
  <c r="AK691" i="1"/>
  <c r="AC691" i="1"/>
  <c r="AL691" i="1" s="1"/>
  <c r="W692" i="1"/>
  <c r="AF692" i="1"/>
  <c r="X692" i="1"/>
  <c r="AG692" i="1" s="1"/>
  <c r="Y692" i="1"/>
  <c r="AH692" i="1"/>
  <c r="Z692" i="1"/>
  <c r="AI692" i="1" s="1"/>
  <c r="AA692" i="1"/>
  <c r="AJ692" i="1"/>
  <c r="AB692" i="1"/>
  <c r="AK692" i="1" s="1"/>
  <c r="AC692" i="1"/>
  <c r="AL692" i="1" s="1"/>
  <c r="W693" i="1"/>
  <c r="AF693" i="1" s="1"/>
  <c r="X693" i="1"/>
  <c r="AG693" i="1"/>
  <c r="Y693" i="1"/>
  <c r="AH693" i="1" s="1"/>
  <c r="Z693" i="1"/>
  <c r="AA693" i="1"/>
  <c r="AJ693" i="1" s="1"/>
  <c r="AB693" i="1"/>
  <c r="AK693" i="1" s="1"/>
  <c r="AC693" i="1"/>
  <c r="AL693" i="1" s="1"/>
  <c r="AI693" i="1"/>
  <c r="W694" i="1"/>
  <c r="AF694" i="1" s="1"/>
  <c r="X694" i="1"/>
  <c r="AG694" i="1" s="1"/>
  <c r="Y694" i="1"/>
  <c r="AH694" i="1" s="1"/>
  <c r="Z694" i="1"/>
  <c r="AI694" i="1" s="1"/>
  <c r="AA694" i="1"/>
  <c r="AJ694" i="1" s="1"/>
  <c r="AB694" i="1"/>
  <c r="AK694" i="1" s="1"/>
  <c r="AC694" i="1"/>
  <c r="AL694" i="1" s="1"/>
  <c r="W695" i="1"/>
  <c r="AF695" i="1" s="1"/>
  <c r="X695" i="1"/>
  <c r="AG695" i="1" s="1"/>
  <c r="Y695" i="1"/>
  <c r="AH695" i="1" s="1"/>
  <c r="Z695" i="1"/>
  <c r="AI695" i="1" s="1"/>
  <c r="AA695" i="1"/>
  <c r="AJ695" i="1" s="1"/>
  <c r="AB695" i="1"/>
  <c r="AK695" i="1" s="1"/>
  <c r="AC695" i="1"/>
  <c r="AL695" i="1" s="1"/>
  <c r="W696" i="1"/>
  <c r="AF696" i="1" s="1"/>
  <c r="X696" i="1"/>
  <c r="AG696" i="1" s="1"/>
  <c r="Y696" i="1"/>
  <c r="AH696" i="1" s="1"/>
  <c r="Z696" i="1"/>
  <c r="AI696" i="1" s="1"/>
  <c r="AA696" i="1"/>
  <c r="AJ696" i="1" s="1"/>
  <c r="AB696" i="1"/>
  <c r="AK696" i="1" s="1"/>
  <c r="AC696" i="1"/>
  <c r="AL696" i="1" s="1"/>
  <c r="W697" i="1"/>
  <c r="AF697" i="1" s="1"/>
  <c r="X697" i="1"/>
  <c r="AG697" i="1" s="1"/>
  <c r="Y697" i="1"/>
  <c r="AH697" i="1" s="1"/>
  <c r="Z697" i="1"/>
  <c r="AI697" i="1" s="1"/>
  <c r="AA697" i="1"/>
  <c r="AJ697" i="1" s="1"/>
  <c r="AB697" i="1"/>
  <c r="AK697" i="1" s="1"/>
  <c r="AC697" i="1"/>
  <c r="AL697" i="1" s="1"/>
  <c r="W698" i="1"/>
  <c r="AF698" i="1" s="1"/>
  <c r="X698" i="1"/>
  <c r="AG698" i="1" s="1"/>
  <c r="Y698" i="1"/>
  <c r="AH698" i="1" s="1"/>
  <c r="Z698" i="1"/>
  <c r="AI698" i="1" s="1"/>
  <c r="AA698" i="1"/>
  <c r="AJ698" i="1" s="1"/>
  <c r="AB698" i="1"/>
  <c r="AK698" i="1" s="1"/>
  <c r="AC698" i="1"/>
  <c r="AL698" i="1" s="1"/>
  <c r="W699" i="1"/>
  <c r="AF699" i="1" s="1"/>
  <c r="X699" i="1"/>
  <c r="AG699" i="1" s="1"/>
  <c r="Y699" i="1"/>
  <c r="AH699" i="1" s="1"/>
  <c r="Z699" i="1"/>
  <c r="AI699" i="1" s="1"/>
  <c r="AA699" i="1"/>
  <c r="AJ699" i="1" s="1"/>
  <c r="AB699" i="1"/>
  <c r="AK699" i="1" s="1"/>
  <c r="AC699" i="1"/>
  <c r="AL699" i="1" s="1"/>
  <c r="W700" i="1"/>
  <c r="AF700" i="1" s="1"/>
  <c r="X700" i="1"/>
  <c r="AG700" i="1" s="1"/>
  <c r="Y700" i="1"/>
  <c r="AH700" i="1" s="1"/>
  <c r="Z700" i="1"/>
  <c r="AI700" i="1" s="1"/>
  <c r="AA700" i="1"/>
  <c r="AJ700" i="1" s="1"/>
  <c r="AB700" i="1"/>
  <c r="AK700" i="1" s="1"/>
  <c r="AC700" i="1"/>
  <c r="AL700" i="1" s="1"/>
  <c r="W701" i="1"/>
  <c r="AF701" i="1" s="1"/>
  <c r="X701" i="1"/>
  <c r="AG701" i="1" s="1"/>
  <c r="Y701" i="1"/>
  <c r="AH701" i="1" s="1"/>
  <c r="Z701" i="1"/>
  <c r="AI701" i="1" s="1"/>
  <c r="AA701" i="1"/>
  <c r="AJ701" i="1" s="1"/>
  <c r="AB701" i="1"/>
  <c r="AK701" i="1" s="1"/>
  <c r="AC701" i="1"/>
  <c r="AL701" i="1" s="1"/>
  <c r="W702" i="1"/>
  <c r="AF702" i="1" s="1"/>
  <c r="X702" i="1"/>
  <c r="AG702" i="1" s="1"/>
  <c r="Y702" i="1"/>
  <c r="AH702" i="1" s="1"/>
  <c r="Z702" i="1"/>
  <c r="AI702" i="1" s="1"/>
  <c r="AA702" i="1"/>
  <c r="AJ702" i="1" s="1"/>
  <c r="AB702" i="1"/>
  <c r="AK702" i="1" s="1"/>
  <c r="AC702" i="1"/>
  <c r="AL702" i="1" s="1"/>
  <c r="W703" i="1"/>
  <c r="AF703" i="1" s="1"/>
  <c r="X703" i="1"/>
  <c r="AG703" i="1" s="1"/>
  <c r="Y703" i="1"/>
  <c r="AH703" i="1" s="1"/>
  <c r="Z703" i="1"/>
  <c r="AI703" i="1" s="1"/>
  <c r="AA703" i="1"/>
  <c r="AJ703" i="1" s="1"/>
  <c r="AB703" i="1"/>
  <c r="AK703" i="1" s="1"/>
  <c r="AC703" i="1"/>
  <c r="AL703" i="1" s="1"/>
  <c r="W704" i="1"/>
  <c r="AF704" i="1" s="1"/>
  <c r="X704" i="1"/>
  <c r="AG704" i="1" s="1"/>
  <c r="Y704" i="1"/>
  <c r="AH704" i="1" s="1"/>
  <c r="Z704" i="1"/>
  <c r="AI704" i="1" s="1"/>
  <c r="AA704" i="1"/>
  <c r="AJ704" i="1" s="1"/>
  <c r="AB704" i="1"/>
  <c r="AK704" i="1" s="1"/>
  <c r="AC704" i="1"/>
  <c r="AL704" i="1" s="1"/>
  <c r="W705" i="1"/>
  <c r="AF705" i="1" s="1"/>
  <c r="X705" i="1"/>
  <c r="AG705" i="1" s="1"/>
  <c r="Y705" i="1"/>
  <c r="AH705" i="1" s="1"/>
  <c r="Z705" i="1"/>
  <c r="AI705" i="1" s="1"/>
  <c r="AA705" i="1"/>
  <c r="AJ705" i="1" s="1"/>
  <c r="AB705" i="1"/>
  <c r="AK705" i="1" s="1"/>
  <c r="AC705" i="1"/>
  <c r="AL705" i="1" s="1"/>
  <c r="W706" i="1"/>
  <c r="AF706" i="1" s="1"/>
  <c r="X706" i="1"/>
  <c r="AG706" i="1" s="1"/>
  <c r="Y706" i="1"/>
  <c r="AH706" i="1" s="1"/>
  <c r="Z706" i="1"/>
  <c r="AI706" i="1" s="1"/>
  <c r="AA706" i="1"/>
  <c r="AJ706" i="1" s="1"/>
  <c r="AB706" i="1"/>
  <c r="AK706" i="1" s="1"/>
  <c r="AC706" i="1"/>
  <c r="AL706" i="1" s="1"/>
  <c r="W707" i="1"/>
  <c r="AF707" i="1" s="1"/>
  <c r="X707" i="1"/>
  <c r="AG707" i="1" s="1"/>
  <c r="Y707" i="1"/>
  <c r="AH707" i="1" s="1"/>
  <c r="Z707" i="1"/>
  <c r="AI707" i="1" s="1"/>
  <c r="AA707" i="1"/>
  <c r="AJ707" i="1" s="1"/>
  <c r="AB707" i="1"/>
  <c r="AK707" i="1" s="1"/>
  <c r="AC707" i="1"/>
  <c r="AL707" i="1" s="1"/>
  <c r="AW707" i="1" s="1"/>
  <c r="W708" i="1"/>
  <c r="AF708" i="1" s="1"/>
  <c r="X708" i="1"/>
  <c r="AG708" i="1" s="1"/>
  <c r="Y708" i="1"/>
  <c r="AH708" i="1" s="1"/>
  <c r="Z708" i="1"/>
  <c r="AI708" i="1" s="1"/>
  <c r="AA708" i="1"/>
  <c r="AJ708" i="1" s="1"/>
  <c r="AB708" i="1"/>
  <c r="AK708" i="1" s="1"/>
  <c r="AC708" i="1"/>
  <c r="AL708" i="1" s="1"/>
  <c r="W709" i="1"/>
  <c r="AF709" i="1" s="1"/>
  <c r="X709" i="1"/>
  <c r="AG709" i="1" s="1"/>
  <c r="Y709" i="1"/>
  <c r="AH709" i="1" s="1"/>
  <c r="Z709" i="1"/>
  <c r="AI709" i="1" s="1"/>
  <c r="AA709" i="1"/>
  <c r="AJ709" i="1"/>
  <c r="AB709" i="1"/>
  <c r="AK709" i="1" s="1"/>
  <c r="AC709" i="1"/>
  <c r="AL709" i="1"/>
  <c r="W710" i="1"/>
  <c r="AF710" i="1" s="1"/>
  <c r="X710" i="1"/>
  <c r="AG710" i="1"/>
  <c r="Y710" i="1"/>
  <c r="AH710" i="1" s="1"/>
  <c r="Z710" i="1"/>
  <c r="AI710" i="1"/>
  <c r="AA710" i="1"/>
  <c r="AJ710" i="1" s="1"/>
  <c r="AB710" i="1"/>
  <c r="AK710" i="1"/>
  <c r="AC710" i="1"/>
  <c r="AL710" i="1" s="1"/>
  <c r="W711" i="1"/>
  <c r="AF711" i="1"/>
  <c r="X711" i="1"/>
  <c r="AG711" i="1" s="1"/>
  <c r="Y711" i="1"/>
  <c r="AH711" i="1"/>
  <c r="Z711" i="1"/>
  <c r="AA711" i="1"/>
  <c r="AJ711" i="1" s="1"/>
  <c r="AB711" i="1"/>
  <c r="AK711" i="1" s="1"/>
  <c r="AC711" i="1"/>
  <c r="AL711" i="1" s="1"/>
  <c r="AI711" i="1"/>
  <c r="W712" i="1"/>
  <c r="AF712" i="1" s="1"/>
  <c r="X712" i="1"/>
  <c r="AG712" i="1" s="1"/>
  <c r="Y712" i="1"/>
  <c r="AH712" i="1" s="1"/>
  <c r="Z712" i="1"/>
  <c r="AI712" i="1" s="1"/>
  <c r="AA712" i="1"/>
  <c r="AJ712" i="1" s="1"/>
  <c r="AB712" i="1"/>
  <c r="AK712" i="1" s="1"/>
  <c r="AC712" i="1"/>
  <c r="AL712" i="1" s="1"/>
  <c r="W713" i="1"/>
  <c r="AF713" i="1" s="1"/>
  <c r="X713" i="1"/>
  <c r="AG713" i="1" s="1"/>
  <c r="Y713" i="1"/>
  <c r="AH713" i="1" s="1"/>
  <c r="Z713" i="1"/>
  <c r="AI713" i="1" s="1"/>
  <c r="AA713" i="1"/>
  <c r="AJ713" i="1" s="1"/>
  <c r="AB713" i="1"/>
  <c r="AK713" i="1" s="1"/>
  <c r="AC713" i="1"/>
  <c r="AL713" i="1" s="1"/>
  <c r="W714" i="1"/>
  <c r="AF714" i="1" s="1"/>
  <c r="X714" i="1"/>
  <c r="AG714" i="1" s="1"/>
  <c r="Y714" i="1"/>
  <c r="AH714" i="1" s="1"/>
  <c r="Z714" i="1"/>
  <c r="AI714" i="1"/>
  <c r="AA714" i="1"/>
  <c r="AJ714" i="1" s="1"/>
  <c r="AB714" i="1"/>
  <c r="AK714" i="1"/>
  <c r="AC714" i="1"/>
  <c r="AL714" i="1" s="1"/>
  <c r="W715" i="1"/>
  <c r="AF715" i="1"/>
  <c r="X715" i="1"/>
  <c r="AG715" i="1" s="1"/>
  <c r="Y715" i="1"/>
  <c r="AH715" i="1"/>
  <c r="Z715" i="1"/>
  <c r="AI715" i="1" s="1"/>
  <c r="AA715" i="1"/>
  <c r="AJ715" i="1"/>
  <c r="AB715" i="1"/>
  <c r="AK715" i="1" s="1"/>
  <c r="AC715" i="1"/>
  <c r="AL715" i="1"/>
  <c r="W716" i="1"/>
  <c r="AF716" i="1" s="1"/>
  <c r="X716" i="1"/>
  <c r="AG716" i="1"/>
  <c r="Y716" i="1"/>
  <c r="AH716" i="1" s="1"/>
  <c r="Z716" i="1"/>
  <c r="AI716" i="1"/>
  <c r="AA716" i="1"/>
  <c r="AJ716" i="1" s="1"/>
  <c r="AB716" i="1"/>
  <c r="AK716" i="1"/>
  <c r="AC716" i="1"/>
  <c r="AL716" i="1" s="1"/>
  <c r="W717" i="1"/>
  <c r="AF717" i="1"/>
  <c r="X717" i="1"/>
  <c r="AG717" i="1" s="1"/>
  <c r="Y717" i="1"/>
  <c r="AH717" i="1"/>
  <c r="Z717" i="1"/>
  <c r="AI717" i="1" s="1"/>
  <c r="AA717" i="1"/>
  <c r="AJ717" i="1"/>
  <c r="AB717" i="1"/>
  <c r="AK717" i="1" s="1"/>
  <c r="AC717" i="1"/>
  <c r="AL717" i="1"/>
  <c r="W718" i="1"/>
  <c r="AF718" i="1" s="1"/>
  <c r="X718" i="1"/>
  <c r="AG718" i="1"/>
  <c r="Y718" i="1"/>
  <c r="AH718" i="1" s="1"/>
  <c r="Z718" i="1"/>
  <c r="AI718" i="1"/>
  <c r="AA718" i="1"/>
  <c r="AJ718" i="1" s="1"/>
  <c r="AB718" i="1"/>
  <c r="AK718" i="1"/>
  <c r="AC718" i="1"/>
  <c r="AL718" i="1" s="1"/>
  <c r="W719" i="1"/>
  <c r="AF719" i="1"/>
  <c r="X719" i="1"/>
  <c r="AG719" i="1" s="1"/>
  <c r="Y719" i="1"/>
  <c r="AH719" i="1"/>
  <c r="Z719" i="1"/>
  <c r="AI719" i="1" s="1"/>
  <c r="AA719" i="1"/>
  <c r="AJ719" i="1"/>
  <c r="AB719" i="1"/>
  <c r="AK719" i="1" s="1"/>
  <c r="AC719" i="1"/>
  <c r="AL719" i="1"/>
  <c r="W720" i="1"/>
  <c r="AF720" i="1" s="1"/>
  <c r="X720" i="1"/>
  <c r="AG720" i="1"/>
  <c r="Y720" i="1"/>
  <c r="AH720" i="1" s="1"/>
  <c r="Z720" i="1"/>
  <c r="AI720" i="1"/>
  <c r="AA720" i="1"/>
  <c r="AJ720" i="1" s="1"/>
  <c r="AB720" i="1"/>
  <c r="AK720" i="1"/>
  <c r="AC720" i="1"/>
  <c r="AL720" i="1" s="1"/>
  <c r="W721" i="1"/>
  <c r="AF721" i="1"/>
  <c r="X721" i="1"/>
  <c r="AG721" i="1" s="1"/>
  <c r="Y721" i="1"/>
  <c r="AH721" i="1"/>
  <c r="Z721" i="1"/>
  <c r="AI721" i="1" s="1"/>
  <c r="AA721" i="1"/>
  <c r="AJ721" i="1"/>
  <c r="AB721" i="1"/>
  <c r="AK721" i="1" s="1"/>
  <c r="AC721" i="1"/>
  <c r="AL721" i="1"/>
  <c r="W722" i="1"/>
  <c r="AF722" i="1" s="1"/>
  <c r="X722" i="1"/>
  <c r="AG722" i="1"/>
  <c r="Y722" i="1"/>
  <c r="AH722" i="1" s="1"/>
  <c r="Z722" i="1"/>
  <c r="AI722" i="1"/>
  <c r="AA722" i="1"/>
  <c r="AJ722" i="1" s="1"/>
  <c r="AB722" i="1"/>
  <c r="AK722" i="1"/>
  <c r="AC722" i="1"/>
  <c r="AL722" i="1" s="1"/>
  <c r="W723" i="1"/>
  <c r="AF723" i="1"/>
  <c r="X723" i="1"/>
  <c r="AG723" i="1" s="1"/>
  <c r="Y723" i="1"/>
  <c r="AH723" i="1"/>
  <c r="Z723" i="1"/>
  <c r="AI723" i="1" s="1"/>
  <c r="AA723" i="1"/>
  <c r="AJ723" i="1"/>
  <c r="AB723" i="1"/>
  <c r="AK723" i="1" s="1"/>
  <c r="AC723" i="1"/>
  <c r="AL723" i="1"/>
  <c r="W724" i="1"/>
  <c r="AF724" i="1" s="1"/>
  <c r="X724" i="1"/>
  <c r="AG724" i="1"/>
  <c r="Y724" i="1"/>
  <c r="AH724" i="1" s="1"/>
  <c r="Z724" i="1"/>
  <c r="AI724" i="1"/>
  <c r="AA724" i="1"/>
  <c r="AJ724" i="1" s="1"/>
  <c r="AB724" i="1"/>
  <c r="AK724" i="1"/>
  <c r="AC724" i="1"/>
  <c r="AL724" i="1" s="1"/>
  <c r="W725" i="1"/>
  <c r="AF725" i="1"/>
  <c r="X725" i="1"/>
  <c r="AG725" i="1" s="1"/>
  <c r="Y725" i="1"/>
  <c r="AH725" i="1"/>
  <c r="Z725" i="1"/>
  <c r="AI725" i="1" s="1"/>
  <c r="AA725" i="1"/>
  <c r="AJ725" i="1"/>
  <c r="AB725" i="1"/>
  <c r="AK725" i="1" s="1"/>
  <c r="AC725" i="1"/>
  <c r="AL725" i="1"/>
  <c r="W726" i="1"/>
  <c r="AF726" i="1" s="1"/>
  <c r="X726" i="1"/>
  <c r="AG726" i="1"/>
  <c r="Y726" i="1"/>
  <c r="AH726" i="1" s="1"/>
  <c r="Z726" i="1"/>
  <c r="AI726" i="1"/>
  <c r="AA726" i="1"/>
  <c r="AJ726" i="1" s="1"/>
  <c r="AB726" i="1"/>
  <c r="AK726" i="1"/>
  <c r="AC726" i="1"/>
  <c r="AL726" i="1" s="1"/>
  <c r="W727" i="1"/>
  <c r="AF727" i="1"/>
  <c r="X727" i="1"/>
  <c r="AG727" i="1" s="1"/>
  <c r="Y727" i="1"/>
  <c r="AH727" i="1"/>
  <c r="Z727" i="1"/>
  <c r="AI727" i="1" s="1"/>
  <c r="AA727" i="1"/>
  <c r="AJ727" i="1"/>
  <c r="AB727" i="1"/>
  <c r="AK727" i="1" s="1"/>
  <c r="AC727" i="1"/>
  <c r="AL727" i="1"/>
  <c r="W728" i="1"/>
  <c r="AF728" i="1" s="1"/>
  <c r="X728" i="1"/>
  <c r="AG728" i="1"/>
  <c r="Y728" i="1"/>
  <c r="AH728" i="1" s="1"/>
  <c r="Z728" i="1"/>
  <c r="AI728" i="1"/>
  <c r="AA728" i="1"/>
  <c r="AJ728" i="1" s="1"/>
  <c r="AB728" i="1"/>
  <c r="AK728" i="1"/>
  <c r="AC728" i="1"/>
  <c r="AL728" i="1" s="1"/>
  <c r="W729" i="1"/>
  <c r="AF729" i="1"/>
  <c r="X729" i="1"/>
  <c r="AG729" i="1" s="1"/>
  <c r="Y729" i="1"/>
  <c r="AH729" i="1"/>
  <c r="Z729" i="1"/>
  <c r="AI729" i="1" s="1"/>
  <c r="AA729" i="1"/>
  <c r="AJ729" i="1"/>
  <c r="AB729" i="1"/>
  <c r="AK729" i="1" s="1"/>
  <c r="AC729" i="1"/>
  <c r="AL729" i="1"/>
  <c r="W730" i="1"/>
  <c r="AF730" i="1" s="1"/>
  <c r="X730" i="1"/>
  <c r="AG730" i="1"/>
  <c r="Y730" i="1"/>
  <c r="AH730" i="1" s="1"/>
  <c r="Z730" i="1"/>
  <c r="AI730" i="1"/>
  <c r="AA730" i="1"/>
  <c r="AJ730" i="1" s="1"/>
  <c r="AB730" i="1"/>
  <c r="AK730" i="1"/>
  <c r="AC730" i="1"/>
  <c r="AL730" i="1" s="1"/>
  <c r="W731" i="1"/>
  <c r="AF731" i="1"/>
  <c r="X731" i="1"/>
  <c r="AG731" i="1" s="1"/>
  <c r="Y731" i="1"/>
  <c r="AH731" i="1"/>
  <c r="Z731" i="1"/>
  <c r="AI731" i="1" s="1"/>
  <c r="AA731" i="1"/>
  <c r="AJ731" i="1"/>
  <c r="AB731" i="1"/>
  <c r="AK731" i="1" s="1"/>
  <c r="AC731" i="1"/>
  <c r="AL731" i="1"/>
  <c r="W732" i="1"/>
  <c r="AF732" i="1" s="1"/>
  <c r="X732" i="1"/>
  <c r="AG732" i="1"/>
  <c r="Y732" i="1"/>
  <c r="AH732" i="1" s="1"/>
  <c r="Z732" i="1"/>
  <c r="AI732" i="1"/>
  <c r="AA732" i="1"/>
  <c r="AJ732" i="1" s="1"/>
  <c r="AB732" i="1"/>
  <c r="AK732" i="1"/>
  <c r="AC732" i="1"/>
  <c r="AL732" i="1" s="1"/>
  <c r="W733" i="1"/>
  <c r="AF733" i="1"/>
  <c r="X733" i="1"/>
  <c r="AG733" i="1" s="1"/>
  <c r="Y733" i="1"/>
  <c r="AH733" i="1"/>
  <c r="Z733" i="1"/>
  <c r="AI733" i="1" s="1"/>
  <c r="AA733" i="1"/>
  <c r="AJ733" i="1"/>
  <c r="AB733" i="1"/>
  <c r="AK733" i="1" s="1"/>
  <c r="AC733" i="1"/>
  <c r="AL733" i="1"/>
  <c r="W734" i="1"/>
  <c r="AF734" i="1" s="1"/>
  <c r="X734" i="1"/>
  <c r="AG734" i="1"/>
  <c r="Y734" i="1"/>
  <c r="AH734" i="1" s="1"/>
  <c r="Z734" i="1"/>
  <c r="AI734" i="1"/>
  <c r="AA734" i="1"/>
  <c r="AJ734" i="1" s="1"/>
  <c r="AB734" i="1"/>
  <c r="AK734" i="1"/>
  <c r="AC734" i="1"/>
  <c r="AL734" i="1" s="1"/>
  <c r="W735" i="1"/>
  <c r="AF735" i="1"/>
  <c r="X735" i="1"/>
  <c r="AG735" i="1" s="1"/>
  <c r="Y735" i="1"/>
  <c r="AH735" i="1"/>
  <c r="Z735" i="1"/>
  <c r="AI735" i="1" s="1"/>
  <c r="AA735" i="1"/>
  <c r="AJ735" i="1"/>
  <c r="AB735" i="1"/>
  <c r="AK735" i="1" s="1"/>
  <c r="AC735" i="1"/>
  <c r="AL735" i="1"/>
  <c r="W736" i="1"/>
  <c r="AF736" i="1" s="1"/>
  <c r="X736" i="1"/>
  <c r="AG736" i="1"/>
  <c r="Y736" i="1"/>
  <c r="AH736" i="1" s="1"/>
  <c r="Z736" i="1"/>
  <c r="AI736" i="1"/>
  <c r="AA736" i="1"/>
  <c r="AJ736" i="1"/>
  <c r="AB736" i="1"/>
  <c r="AK736" i="1"/>
  <c r="AC736" i="1"/>
  <c r="AL736" i="1"/>
  <c r="W737" i="1"/>
  <c r="AF737" i="1"/>
  <c r="X737" i="1"/>
  <c r="AG737" i="1"/>
  <c r="Y737" i="1"/>
  <c r="AH737" i="1"/>
  <c r="Z737" i="1"/>
  <c r="AI737" i="1"/>
  <c r="AA737" i="1"/>
  <c r="AJ737" i="1"/>
  <c r="AB737" i="1"/>
  <c r="AK737" i="1"/>
  <c r="AC737" i="1"/>
  <c r="AL737" i="1"/>
  <c r="W738" i="1"/>
  <c r="AF738" i="1"/>
  <c r="X738" i="1"/>
  <c r="AG738" i="1"/>
  <c r="Y738" i="1"/>
  <c r="AH738" i="1"/>
  <c r="Z738" i="1"/>
  <c r="AI738" i="1"/>
  <c r="AA738" i="1"/>
  <c r="AJ738" i="1"/>
  <c r="AB738" i="1"/>
  <c r="AK738" i="1"/>
  <c r="W739" i="1"/>
  <c r="AF739" i="1"/>
  <c r="X739" i="1"/>
  <c r="AG739" i="1"/>
  <c r="Y739" i="1"/>
  <c r="AH739" i="1"/>
  <c r="Z739" i="1"/>
  <c r="AI739" i="1"/>
  <c r="AA739" i="1"/>
  <c r="AJ739" i="1"/>
  <c r="AB739" i="1"/>
  <c r="AK739" i="1"/>
  <c r="W740" i="1"/>
  <c r="AF740" i="1"/>
  <c r="X740" i="1"/>
  <c r="AG740" i="1"/>
  <c r="Y740" i="1"/>
  <c r="AH740" i="1"/>
  <c r="Z740" i="1"/>
  <c r="AI740" i="1"/>
  <c r="AA740" i="1"/>
  <c r="AJ740" i="1"/>
  <c r="AB740" i="1"/>
  <c r="AK740" i="1"/>
  <c r="W741" i="1"/>
  <c r="AF741" i="1"/>
  <c r="X741" i="1"/>
  <c r="AG741" i="1"/>
  <c r="Y741" i="1"/>
  <c r="AH741" i="1"/>
  <c r="Z741" i="1"/>
  <c r="AI741" i="1"/>
  <c r="AA741" i="1"/>
  <c r="AJ741" i="1"/>
  <c r="AB741" i="1"/>
  <c r="AK741" i="1"/>
  <c r="W742" i="1"/>
  <c r="AF742" i="1"/>
  <c r="X742" i="1"/>
  <c r="AG742" i="1"/>
  <c r="Y742" i="1"/>
  <c r="AH742" i="1"/>
  <c r="Z742" i="1"/>
  <c r="AI742" i="1"/>
  <c r="AA742" i="1"/>
  <c r="AJ742" i="1"/>
  <c r="AB742" i="1"/>
  <c r="AK742" i="1"/>
  <c r="W743" i="1"/>
  <c r="AF743" i="1"/>
  <c r="X743" i="1"/>
  <c r="AG743" i="1"/>
  <c r="Y743" i="1"/>
  <c r="AH743" i="1"/>
  <c r="Z743" i="1"/>
  <c r="AI743" i="1"/>
  <c r="AA743" i="1"/>
  <c r="AJ743" i="1"/>
  <c r="AB743" i="1"/>
  <c r="AK743" i="1"/>
  <c r="W744" i="1"/>
  <c r="AF744" i="1"/>
  <c r="X744" i="1"/>
  <c r="AG744" i="1"/>
  <c r="Y744" i="1"/>
  <c r="AH744" i="1"/>
  <c r="Z744" i="1"/>
  <c r="AI744" i="1"/>
  <c r="AA744" i="1"/>
  <c r="AJ744" i="1"/>
  <c r="AB744" i="1"/>
  <c r="AK744" i="1"/>
  <c r="W745" i="1"/>
  <c r="AF745" i="1"/>
  <c r="X745" i="1"/>
  <c r="AG745" i="1"/>
  <c r="Y745" i="1"/>
  <c r="AH745" i="1"/>
  <c r="Z745" i="1"/>
  <c r="AI745" i="1"/>
  <c r="AA745" i="1"/>
  <c r="AJ745" i="1"/>
  <c r="AB745" i="1"/>
  <c r="AK745" i="1"/>
  <c r="W746" i="1"/>
  <c r="AF746" i="1"/>
  <c r="X746" i="1"/>
  <c r="AG746" i="1"/>
  <c r="Y746" i="1"/>
  <c r="AH746" i="1"/>
  <c r="Z746" i="1"/>
  <c r="AI746" i="1"/>
  <c r="AA746" i="1"/>
  <c r="AJ746" i="1"/>
  <c r="AB746" i="1"/>
  <c r="AK746" i="1"/>
  <c r="W747" i="1"/>
  <c r="AF747" i="1"/>
  <c r="X747" i="1"/>
  <c r="AG747" i="1"/>
  <c r="Y747" i="1"/>
  <c r="AH747" i="1"/>
  <c r="Z747" i="1"/>
  <c r="AI747" i="1"/>
  <c r="AA747" i="1"/>
  <c r="AJ747" i="1"/>
  <c r="AB747" i="1"/>
  <c r="AK747" i="1"/>
  <c r="W748" i="1"/>
  <c r="AF748" i="1"/>
  <c r="X748" i="1"/>
  <c r="AG748" i="1"/>
  <c r="Y748" i="1"/>
  <c r="AH748" i="1"/>
  <c r="Z748" i="1"/>
  <c r="AI748" i="1"/>
  <c r="AA748" i="1"/>
  <c r="AJ748" i="1"/>
  <c r="AB748" i="1"/>
  <c r="AK748" i="1"/>
  <c r="W749" i="1"/>
  <c r="AF749" i="1"/>
  <c r="X749" i="1"/>
  <c r="AG749" i="1"/>
  <c r="Y749" i="1"/>
  <c r="AH749" i="1"/>
  <c r="Z749" i="1"/>
  <c r="AI749" i="1"/>
  <c r="AA749" i="1"/>
  <c r="AJ749" i="1"/>
  <c r="AB749" i="1"/>
  <c r="AK749" i="1"/>
  <c r="W750" i="1"/>
  <c r="AF750" i="1"/>
  <c r="X750" i="1"/>
  <c r="AG750" i="1"/>
  <c r="Y750" i="1"/>
  <c r="AH750" i="1"/>
  <c r="Z750" i="1"/>
  <c r="AI750" i="1"/>
  <c r="AA750" i="1"/>
  <c r="AJ750" i="1"/>
  <c r="AB750" i="1"/>
  <c r="AK750" i="1"/>
  <c r="W751" i="1"/>
  <c r="AF751" i="1"/>
  <c r="X751" i="1"/>
  <c r="AG751" i="1"/>
  <c r="Y751" i="1"/>
  <c r="AH751" i="1"/>
  <c r="Z751" i="1"/>
  <c r="AI751" i="1"/>
  <c r="AA751" i="1"/>
  <c r="AJ751" i="1"/>
  <c r="AB751" i="1"/>
  <c r="AK751" i="1"/>
  <c r="W752" i="1"/>
  <c r="AF752" i="1"/>
  <c r="X752" i="1"/>
  <c r="AG752" i="1"/>
  <c r="Y752" i="1"/>
  <c r="AH752" i="1"/>
  <c r="Z752" i="1"/>
  <c r="AI752" i="1"/>
  <c r="AA752" i="1"/>
  <c r="AJ752" i="1"/>
  <c r="AB752" i="1"/>
  <c r="AK752" i="1"/>
  <c r="W753" i="1"/>
  <c r="AF753" i="1"/>
  <c r="X753" i="1"/>
  <c r="AG753" i="1"/>
  <c r="Y753" i="1"/>
  <c r="AH753" i="1"/>
  <c r="Z753" i="1"/>
  <c r="AI753" i="1"/>
  <c r="AA753" i="1"/>
  <c r="AJ753" i="1"/>
  <c r="AB753" i="1"/>
  <c r="AK753" i="1"/>
  <c r="W754" i="1"/>
  <c r="AF754" i="1"/>
  <c r="X754" i="1"/>
  <c r="AG754" i="1"/>
  <c r="Y754" i="1"/>
  <c r="AH754" i="1"/>
  <c r="Z754" i="1"/>
  <c r="AI754" i="1"/>
  <c r="AA754" i="1"/>
  <c r="AJ754" i="1"/>
  <c r="AB754" i="1"/>
  <c r="AK754" i="1"/>
  <c r="W755" i="1"/>
  <c r="AF755" i="1"/>
  <c r="X755" i="1"/>
  <c r="AG755" i="1"/>
  <c r="Y755" i="1"/>
  <c r="AH755" i="1"/>
  <c r="Z755" i="1"/>
  <c r="AI755" i="1"/>
  <c r="AA755" i="1"/>
  <c r="AJ755" i="1"/>
  <c r="AB755" i="1"/>
  <c r="AK755" i="1"/>
  <c r="W756" i="1"/>
  <c r="AF756" i="1"/>
  <c r="X756" i="1"/>
  <c r="AG756" i="1"/>
  <c r="Y756" i="1"/>
  <c r="AH756" i="1"/>
  <c r="Z756" i="1"/>
  <c r="AI756" i="1"/>
  <c r="AA756" i="1"/>
  <c r="AJ756" i="1"/>
  <c r="AB756" i="1"/>
  <c r="AK756" i="1"/>
  <c r="W757" i="1"/>
  <c r="AF757" i="1"/>
  <c r="X757" i="1"/>
  <c r="AG757" i="1"/>
  <c r="Y757" i="1"/>
  <c r="AH757" i="1"/>
  <c r="Z757" i="1"/>
  <c r="AI757" i="1"/>
  <c r="AA757" i="1"/>
  <c r="AJ757" i="1"/>
  <c r="AB757" i="1"/>
  <c r="AK757" i="1"/>
  <c r="W758" i="1"/>
  <c r="AF758" i="1"/>
  <c r="X758" i="1"/>
  <c r="AG758" i="1"/>
  <c r="Y758" i="1"/>
  <c r="AH758" i="1"/>
  <c r="Z758" i="1"/>
  <c r="AI758" i="1"/>
  <c r="AA758" i="1"/>
  <c r="AJ758" i="1"/>
  <c r="AB758" i="1"/>
  <c r="AK758" i="1"/>
  <c r="W759" i="1"/>
  <c r="AF759" i="1"/>
  <c r="X759" i="1"/>
  <c r="AG759" i="1"/>
  <c r="Y759" i="1"/>
  <c r="AH759" i="1"/>
  <c r="Z759" i="1"/>
  <c r="AI759" i="1"/>
  <c r="AA759" i="1"/>
  <c r="AJ759" i="1"/>
  <c r="AB759" i="1"/>
  <c r="AK759" i="1"/>
  <c r="W760" i="1"/>
  <c r="AF760" i="1"/>
  <c r="X760" i="1"/>
  <c r="AG760" i="1"/>
  <c r="Y760" i="1"/>
  <c r="AH760" i="1"/>
  <c r="Z760" i="1"/>
  <c r="AI760" i="1"/>
  <c r="AA760" i="1"/>
  <c r="AJ760" i="1"/>
  <c r="AB760" i="1"/>
  <c r="AK760" i="1"/>
  <c r="W761" i="1"/>
  <c r="AF761" i="1"/>
  <c r="X761" i="1"/>
  <c r="AG761" i="1"/>
  <c r="Y761" i="1"/>
  <c r="AH761" i="1"/>
  <c r="Z761" i="1"/>
  <c r="AI761" i="1"/>
  <c r="AA761" i="1"/>
  <c r="AJ761" i="1"/>
  <c r="AB761" i="1"/>
  <c r="AK761" i="1"/>
  <c r="W762" i="1"/>
  <c r="AF762" i="1"/>
  <c r="X762" i="1"/>
  <c r="AG762" i="1"/>
  <c r="Y762" i="1"/>
  <c r="AH762" i="1"/>
  <c r="Z762" i="1"/>
  <c r="AI762" i="1"/>
  <c r="AA762" i="1"/>
  <c r="AJ762" i="1"/>
  <c r="AB762" i="1"/>
  <c r="AK762" i="1"/>
  <c r="W763" i="1"/>
  <c r="AF763" i="1"/>
  <c r="X763" i="1"/>
  <c r="AG763" i="1"/>
  <c r="Y763" i="1"/>
  <c r="AH763" i="1"/>
  <c r="Z763" i="1"/>
  <c r="AI763" i="1"/>
  <c r="AA763" i="1"/>
  <c r="AJ763" i="1"/>
  <c r="AB763" i="1"/>
  <c r="AK763" i="1"/>
  <c r="W764" i="1"/>
  <c r="AF764" i="1"/>
  <c r="X764" i="1"/>
  <c r="AG764" i="1" s="1"/>
  <c r="Y764" i="1"/>
  <c r="AH764" i="1"/>
  <c r="Z764" i="1"/>
  <c r="AI764" i="1" s="1"/>
  <c r="AA764" i="1"/>
  <c r="AJ764" i="1"/>
  <c r="AB764" i="1"/>
  <c r="AK764" i="1" s="1"/>
  <c r="W765" i="1"/>
  <c r="AF765" i="1"/>
  <c r="X765" i="1"/>
  <c r="AG765" i="1" s="1"/>
  <c r="Y765" i="1"/>
  <c r="AH765" i="1"/>
  <c r="Z765" i="1"/>
  <c r="AI765" i="1" s="1"/>
  <c r="AA765" i="1"/>
  <c r="AJ765" i="1"/>
  <c r="AB765" i="1"/>
  <c r="AK765" i="1" s="1"/>
  <c r="W766" i="1"/>
  <c r="AF766" i="1"/>
  <c r="X766" i="1"/>
  <c r="AG766" i="1" s="1"/>
  <c r="Y766" i="1"/>
  <c r="AH766" i="1"/>
  <c r="Z766" i="1"/>
  <c r="AI766" i="1" s="1"/>
  <c r="AA766" i="1"/>
  <c r="AJ766" i="1"/>
  <c r="AB766" i="1"/>
  <c r="AK766" i="1" s="1"/>
  <c r="W767" i="1"/>
  <c r="AF767" i="1"/>
  <c r="X767" i="1"/>
  <c r="AG767" i="1" s="1"/>
  <c r="Y767" i="1"/>
  <c r="AH767" i="1"/>
  <c r="Z767" i="1"/>
  <c r="AI767" i="1" s="1"/>
  <c r="AA767" i="1"/>
  <c r="AJ767" i="1"/>
  <c r="AB767" i="1"/>
  <c r="AK767" i="1" s="1"/>
  <c r="W768" i="1"/>
  <c r="AF768" i="1"/>
  <c r="X768" i="1"/>
  <c r="AG768" i="1" s="1"/>
  <c r="Y768" i="1"/>
  <c r="AH768" i="1"/>
  <c r="Z768" i="1"/>
  <c r="AI768" i="1" s="1"/>
  <c r="AA768" i="1"/>
  <c r="AJ768" i="1"/>
  <c r="AB768" i="1"/>
  <c r="AK768" i="1" s="1"/>
  <c r="W769" i="1"/>
  <c r="AF769" i="1"/>
  <c r="X769" i="1"/>
  <c r="AG769" i="1" s="1"/>
  <c r="Y769" i="1"/>
  <c r="AH769" i="1"/>
  <c r="Z769" i="1"/>
  <c r="AI769" i="1" s="1"/>
  <c r="AA769" i="1"/>
  <c r="AJ769" i="1"/>
  <c r="AB769" i="1"/>
  <c r="AK769" i="1" s="1"/>
  <c r="W770" i="1"/>
  <c r="AF770" i="1"/>
  <c r="X770" i="1"/>
  <c r="AG770" i="1" s="1"/>
  <c r="Y770" i="1"/>
  <c r="AH770" i="1"/>
  <c r="Z770" i="1"/>
  <c r="AI770" i="1" s="1"/>
  <c r="AA770" i="1"/>
  <c r="AJ770" i="1"/>
  <c r="AB770" i="1"/>
  <c r="AK770" i="1" s="1"/>
  <c r="W771" i="1"/>
  <c r="AF771" i="1"/>
  <c r="X771" i="1"/>
  <c r="AG771" i="1" s="1"/>
  <c r="Y771" i="1"/>
  <c r="AH771" i="1"/>
  <c r="Z771" i="1"/>
  <c r="AI771" i="1" s="1"/>
  <c r="AA771" i="1"/>
  <c r="AJ771" i="1"/>
  <c r="AB771" i="1"/>
  <c r="AK771" i="1" s="1"/>
  <c r="W772" i="1"/>
  <c r="AF772" i="1"/>
  <c r="X772" i="1"/>
  <c r="AG772" i="1" s="1"/>
  <c r="Y772" i="1"/>
  <c r="AH772" i="1"/>
  <c r="Z772" i="1"/>
  <c r="AI772" i="1" s="1"/>
  <c r="AA772" i="1"/>
  <c r="AJ772" i="1"/>
  <c r="AB772" i="1"/>
  <c r="AK772" i="1" s="1"/>
  <c r="W773" i="1"/>
  <c r="AF773" i="1"/>
  <c r="X773" i="1"/>
  <c r="AG773" i="1" s="1"/>
  <c r="Y773" i="1"/>
  <c r="AH773" i="1"/>
  <c r="Z773" i="1"/>
  <c r="AI773" i="1" s="1"/>
  <c r="AA773" i="1"/>
  <c r="AJ773" i="1"/>
  <c r="AB773" i="1"/>
  <c r="AK773" i="1" s="1"/>
  <c r="W774" i="1"/>
  <c r="AF774" i="1"/>
  <c r="X774" i="1"/>
  <c r="AG774" i="1" s="1"/>
  <c r="Y774" i="1"/>
  <c r="AH774" i="1"/>
  <c r="Z774" i="1"/>
  <c r="AI774" i="1" s="1"/>
  <c r="AA774" i="1"/>
  <c r="AJ774" i="1"/>
  <c r="AB774" i="1"/>
  <c r="AK774" i="1" s="1"/>
  <c r="W775" i="1"/>
  <c r="AF775" i="1"/>
  <c r="X775" i="1"/>
  <c r="AG775" i="1" s="1"/>
  <c r="Y775" i="1"/>
  <c r="AH775" i="1"/>
  <c r="Z775" i="1"/>
  <c r="AI775" i="1" s="1"/>
  <c r="AA775" i="1"/>
  <c r="AJ775" i="1"/>
  <c r="AB775" i="1"/>
  <c r="AK775" i="1" s="1"/>
  <c r="W776" i="1"/>
  <c r="AF776" i="1"/>
  <c r="X776" i="1"/>
  <c r="AG776" i="1" s="1"/>
  <c r="Y776" i="1"/>
  <c r="AH776" i="1"/>
  <c r="Z776" i="1"/>
  <c r="AI776" i="1" s="1"/>
  <c r="AA776" i="1"/>
  <c r="AJ776" i="1"/>
  <c r="AB776" i="1"/>
  <c r="AK776" i="1" s="1"/>
  <c r="W777" i="1"/>
  <c r="AF777" i="1"/>
  <c r="X777" i="1"/>
  <c r="AG777" i="1" s="1"/>
  <c r="Y777" i="1"/>
  <c r="AH777" i="1"/>
  <c r="Z777" i="1"/>
  <c r="AI777" i="1" s="1"/>
  <c r="AA777" i="1"/>
  <c r="AJ777" i="1"/>
  <c r="AB777" i="1"/>
  <c r="AK777" i="1" s="1"/>
  <c r="W778" i="1"/>
  <c r="AF778" i="1"/>
  <c r="X778" i="1"/>
  <c r="AG778" i="1" s="1"/>
  <c r="Y778" i="1"/>
  <c r="AH778" i="1"/>
  <c r="Z778" i="1"/>
  <c r="AI778" i="1" s="1"/>
  <c r="AA778" i="1"/>
  <c r="AJ778" i="1"/>
  <c r="AB778" i="1"/>
  <c r="AK778" i="1" s="1"/>
  <c r="W779" i="1"/>
  <c r="AF779" i="1"/>
  <c r="X779" i="1"/>
  <c r="AG779" i="1" s="1"/>
  <c r="Y779" i="1"/>
  <c r="AH779" i="1"/>
  <c r="Z779" i="1"/>
  <c r="AI779" i="1" s="1"/>
  <c r="AA779" i="1"/>
  <c r="AJ779" i="1"/>
  <c r="AB779" i="1"/>
  <c r="AK779" i="1" s="1"/>
  <c r="W780" i="1"/>
  <c r="AF780" i="1"/>
  <c r="X780" i="1"/>
  <c r="AG780" i="1" s="1"/>
  <c r="Y780" i="1"/>
  <c r="AH780" i="1"/>
  <c r="Z780" i="1"/>
  <c r="AI780" i="1" s="1"/>
  <c r="AA780" i="1"/>
  <c r="AJ780" i="1"/>
  <c r="AB780" i="1"/>
  <c r="AK780" i="1" s="1"/>
  <c r="W781" i="1"/>
  <c r="AF781" i="1"/>
  <c r="X781" i="1"/>
  <c r="AG781" i="1" s="1"/>
  <c r="Y781" i="1"/>
  <c r="AH781" i="1"/>
  <c r="Z781" i="1"/>
  <c r="AI781" i="1" s="1"/>
  <c r="AA781" i="1"/>
  <c r="AJ781" i="1"/>
  <c r="AB781" i="1"/>
  <c r="AK781" i="1" s="1"/>
  <c r="W782" i="1"/>
  <c r="AF782" i="1"/>
  <c r="X782" i="1"/>
  <c r="AG782" i="1" s="1"/>
  <c r="Y782" i="1"/>
  <c r="AH782" i="1"/>
  <c r="Z782" i="1"/>
  <c r="AI782" i="1" s="1"/>
  <c r="AA782" i="1"/>
  <c r="AJ782" i="1"/>
  <c r="AB782" i="1"/>
  <c r="AK782" i="1" s="1"/>
  <c r="W783" i="1"/>
  <c r="AF783" i="1"/>
  <c r="X783" i="1"/>
  <c r="AG783" i="1" s="1"/>
  <c r="Y783" i="1"/>
  <c r="AH783" i="1"/>
  <c r="Z783" i="1"/>
  <c r="AI783" i="1" s="1"/>
  <c r="AA783" i="1"/>
  <c r="AJ783" i="1"/>
  <c r="AB783" i="1"/>
  <c r="AK783" i="1" s="1"/>
  <c r="W784" i="1"/>
  <c r="AF784" i="1"/>
  <c r="X784" i="1"/>
  <c r="AG784" i="1" s="1"/>
  <c r="Y784" i="1"/>
  <c r="AH784" i="1"/>
  <c r="Z784" i="1"/>
  <c r="AI784" i="1" s="1"/>
  <c r="AA784" i="1"/>
  <c r="AJ784" i="1"/>
  <c r="AB784" i="1"/>
  <c r="AK784" i="1" s="1"/>
  <c r="W785" i="1"/>
  <c r="AF785" i="1"/>
  <c r="X785" i="1"/>
  <c r="AG785" i="1" s="1"/>
  <c r="Y785" i="1"/>
  <c r="AH785" i="1"/>
  <c r="Z785" i="1"/>
  <c r="AI785" i="1" s="1"/>
  <c r="AA785" i="1"/>
  <c r="AJ785" i="1"/>
  <c r="AB785" i="1"/>
  <c r="AK785" i="1" s="1"/>
  <c r="W786" i="1"/>
  <c r="AF786" i="1"/>
  <c r="X786" i="1"/>
  <c r="AG786" i="1" s="1"/>
  <c r="Y786" i="1"/>
  <c r="AH786" i="1"/>
  <c r="Z786" i="1"/>
  <c r="AI786" i="1" s="1"/>
  <c r="AA786" i="1"/>
  <c r="AJ786" i="1"/>
  <c r="AB786" i="1"/>
  <c r="AK786" i="1" s="1"/>
  <c r="W787" i="1"/>
  <c r="AF787" i="1"/>
  <c r="X787" i="1"/>
  <c r="AG787" i="1" s="1"/>
  <c r="Y787" i="1"/>
  <c r="AH787" i="1"/>
  <c r="Z787" i="1"/>
  <c r="AI787" i="1" s="1"/>
  <c r="AA787" i="1"/>
  <c r="AJ787" i="1"/>
  <c r="AB787" i="1"/>
  <c r="AK787" i="1" s="1"/>
  <c r="W788" i="1"/>
  <c r="AF788" i="1"/>
  <c r="X788" i="1"/>
  <c r="AG788" i="1" s="1"/>
  <c r="Y788" i="1"/>
  <c r="AH788" i="1"/>
  <c r="Z788" i="1"/>
  <c r="AI788" i="1" s="1"/>
  <c r="AA788" i="1"/>
  <c r="AJ788" i="1"/>
  <c r="AB788" i="1"/>
  <c r="AK788" i="1" s="1"/>
  <c r="W789" i="1"/>
  <c r="AF789" i="1"/>
  <c r="X789" i="1"/>
  <c r="AG789" i="1" s="1"/>
  <c r="Y789" i="1"/>
  <c r="AH789" i="1"/>
  <c r="Z789" i="1"/>
  <c r="AI789" i="1" s="1"/>
  <c r="AA789" i="1"/>
  <c r="AJ789" i="1"/>
  <c r="AB789" i="1"/>
  <c r="AK789" i="1" s="1"/>
  <c r="W790" i="1"/>
  <c r="AF790" i="1"/>
  <c r="X790" i="1"/>
  <c r="AG790" i="1" s="1"/>
  <c r="Y790" i="1"/>
  <c r="AH790" i="1"/>
  <c r="Z790" i="1"/>
  <c r="AI790" i="1" s="1"/>
  <c r="AA790" i="1"/>
  <c r="AJ790" i="1"/>
  <c r="AB790" i="1"/>
  <c r="AK790" i="1" s="1"/>
  <c r="W791" i="1"/>
  <c r="AF791" i="1"/>
  <c r="X791" i="1"/>
  <c r="AG791" i="1" s="1"/>
  <c r="Y791" i="1"/>
  <c r="AH791" i="1"/>
  <c r="Z791" i="1"/>
  <c r="AI791" i="1" s="1"/>
  <c r="AA791" i="1"/>
  <c r="AJ791" i="1"/>
  <c r="AB791" i="1"/>
  <c r="AK791" i="1" s="1"/>
  <c r="W792" i="1"/>
  <c r="AF792" i="1"/>
  <c r="X792" i="1"/>
  <c r="AG792" i="1" s="1"/>
  <c r="Y792" i="1"/>
  <c r="AH792" i="1"/>
  <c r="Z792" i="1"/>
  <c r="AI792" i="1" s="1"/>
  <c r="AA792" i="1"/>
  <c r="AJ792" i="1"/>
  <c r="AB792" i="1"/>
  <c r="AK792" i="1" s="1"/>
  <c r="W793" i="1"/>
  <c r="AF793" i="1"/>
  <c r="X793" i="1"/>
  <c r="AG793" i="1" s="1"/>
  <c r="Y793" i="1"/>
  <c r="AH793" i="1"/>
  <c r="Z793" i="1"/>
  <c r="AI793" i="1" s="1"/>
  <c r="AA793" i="1"/>
  <c r="AJ793" i="1"/>
  <c r="AB793" i="1"/>
  <c r="AK793" i="1" s="1"/>
  <c r="W794" i="1"/>
  <c r="AF794" i="1"/>
  <c r="X794" i="1"/>
  <c r="AG794" i="1" s="1"/>
  <c r="Y794" i="1"/>
  <c r="AH794" i="1"/>
  <c r="Z794" i="1"/>
  <c r="AI794" i="1" s="1"/>
  <c r="AA794" i="1"/>
  <c r="AJ794" i="1"/>
  <c r="AB794" i="1"/>
  <c r="AK794" i="1" s="1"/>
  <c r="W795" i="1"/>
  <c r="AF795" i="1"/>
  <c r="X795" i="1"/>
  <c r="AG795" i="1" s="1"/>
  <c r="Y795" i="1"/>
  <c r="AH795" i="1"/>
  <c r="Z795" i="1"/>
  <c r="AI795" i="1" s="1"/>
  <c r="AA795" i="1"/>
  <c r="AJ795" i="1"/>
  <c r="AB795" i="1"/>
  <c r="AK795" i="1" s="1"/>
  <c r="W796" i="1"/>
  <c r="AF796" i="1"/>
  <c r="X796" i="1"/>
  <c r="AG796" i="1" s="1"/>
  <c r="Y796" i="1"/>
  <c r="AH796" i="1"/>
  <c r="Z796" i="1"/>
  <c r="AI796" i="1" s="1"/>
  <c r="AA796" i="1"/>
  <c r="AJ796" i="1"/>
  <c r="AB796" i="1"/>
  <c r="AK796" i="1" s="1"/>
  <c r="W797" i="1"/>
  <c r="AF797" i="1"/>
  <c r="X797" i="1"/>
  <c r="AG797" i="1" s="1"/>
  <c r="Y797" i="1"/>
  <c r="AH797" i="1"/>
  <c r="Z797" i="1"/>
  <c r="AI797" i="1" s="1"/>
  <c r="AA797" i="1"/>
  <c r="AJ797" i="1"/>
  <c r="AB797" i="1"/>
  <c r="AK797" i="1" s="1"/>
  <c r="W798" i="1"/>
  <c r="AF798" i="1"/>
  <c r="X798" i="1"/>
  <c r="AG798" i="1" s="1"/>
  <c r="Y798" i="1"/>
  <c r="AH798" i="1"/>
  <c r="Z798" i="1"/>
  <c r="AI798" i="1" s="1"/>
  <c r="AA798" i="1"/>
  <c r="AJ798" i="1"/>
  <c r="AB798" i="1"/>
  <c r="AK798" i="1" s="1"/>
  <c r="W799" i="1"/>
  <c r="AF799" i="1"/>
  <c r="X799" i="1"/>
  <c r="AG799" i="1" s="1"/>
  <c r="Y799" i="1"/>
  <c r="AH799" i="1"/>
  <c r="Z799" i="1"/>
  <c r="AI799" i="1" s="1"/>
  <c r="AA799" i="1"/>
  <c r="AJ799" i="1"/>
  <c r="AB799" i="1"/>
  <c r="AK799" i="1" s="1"/>
  <c r="W800" i="1"/>
  <c r="AF800" i="1"/>
  <c r="X800" i="1"/>
  <c r="AG800" i="1" s="1"/>
  <c r="Y800" i="1"/>
  <c r="AH800" i="1"/>
  <c r="Z800" i="1"/>
  <c r="AI800" i="1" s="1"/>
  <c r="AA800" i="1"/>
  <c r="AJ800" i="1"/>
  <c r="AB800" i="1"/>
  <c r="AK800" i="1" s="1"/>
  <c r="W801" i="1"/>
  <c r="AF801" i="1"/>
  <c r="X801" i="1"/>
  <c r="AG801" i="1" s="1"/>
  <c r="Y801" i="1"/>
  <c r="AH801" i="1"/>
  <c r="Z801" i="1"/>
  <c r="AI801" i="1" s="1"/>
  <c r="AA801" i="1"/>
  <c r="AJ801" i="1"/>
  <c r="AB801" i="1"/>
  <c r="AK801" i="1" s="1"/>
  <c r="W802" i="1"/>
  <c r="AF802" i="1"/>
  <c r="X802" i="1"/>
  <c r="AG802" i="1" s="1"/>
  <c r="Y802" i="1"/>
  <c r="AH802" i="1"/>
  <c r="Z802" i="1"/>
  <c r="AI802" i="1" s="1"/>
  <c r="AA802" i="1"/>
  <c r="AJ802" i="1"/>
  <c r="AB802" i="1"/>
  <c r="AK802" i="1" s="1"/>
  <c r="W803" i="1"/>
  <c r="AF803" i="1"/>
  <c r="X803" i="1"/>
  <c r="AG803" i="1" s="1"/>
  <c r="Y803" i="1"/>
  <c r="AH803" i="1"/>
  <c r="Z803" i="1"/>
  <c r="AI803" i="1" s="1"/>
  <c r="AA803" i="1"/>
  <c r="AJ803" i="1"/>
  <c r="AB803" i="1"/>
  <c r="AK803" i="1" s="1"/>
  <c r="W804" i="1"/>
  <c r="AF804" i="1"/>
  <c r="X804" i="1"/>
  <c r="AG804" i="1" s="1"/>
  <c r="Y804" i="1"/>
  <c r="AH804" i="1"/>
  <c r="Z804" i="1"/>
  <c r="AI804" i="1" s="1"/>
  <c r="AA804" i="1"/>
  <c r="AJ804" i="1"/>
  <c r="AB804" i="1"/>
  <c r="AK804" i="1" s="1"/>
  <c r="W805" i="1"/>
  <c r="AF805" i="1"/>
  <c r="X805" i="1"/>
  <c r="AG805" i="1" s="1"/>
  <c r="Y805" i="1"/>
  <c r="AH805" i="1"/>
  <c r="Z805" i="1"/>
  <c r="AI805" i="1" s="1"/>
  <c r="AA805" i="1"/>
  <c r="AJ805" i="1"/>
  <c r="AB805" i="1"/>
  <c r="AK805" i="1" s="1"/>
  <c r="W806" i="1"/>
  <c r="AF806" i="1"/>
  <c r="X806" i="1"/>
  <c r="AG806" i="1" s="1"/>
  <c r="Y806" i="1"/>
  <c r="AH806" i="1"/>
  <c r="Z806" i="1"/>
  <c r="AI806" i="1" s="1"/>
  <c r="AA806" i="1"/>
  <c r="AJ806" i="1"/>
  <c r="AB806" i="1"/>
  <c r="AK806" i="1" s="1"/>
  <c r="W807" i="1"/>
  <c r="AF807" i="1"/>
  <c r="X807" i="1"/>
  <c r="AG807" i="1" s="1"/>
  <c r="Y807" i="1"/>
  <c r="AH807" i="1"/>
  <c r="Z807" i="1"/>
  <c r="AI807" i="1" s="1"/>
  <c r="AA807" i="1"/>
  <c r="AJ807" i="1"/>
  <c r="AB807" i="1"/>
  <c r="AK807" i="1" s="1"/>
  <c r="W808" i="1"/>
  <c r="AF808" i="1"/>
  <c r="X808" i="1"/>
  <c r="AG808" i="1" s="1"/>
  <c r="Y808" i="1"/>
  <c r="AH808" i="1"/>
  <c r="Z808" i="1"/>
  <c r="AI808" i="1" s="1"/>
  <c r="AA808" i="1"/>
  <c r="AJ808" i="1"/>
  <c r="AB808" i="1"/>
  <c r="AK808" i="1" s="1"/>
  <c r="W809" i="1"/>
  <c r="AF809" i="1"/>
  <c r="X809" i="1"/>
  <c r="AG809" i="1" s="1"/>
  <c r="Y809" i="1"/>
  <c r="AH809" i="1"/>
  <c r="Z809" i="1"/>
  <c r="AI809" i="1" s="1"/>
  <c r="AA809" i="1"/>
  <c r="AJ809" i="1"/>
  <c r="AB809" i="1"/>
  <c r="AK809" i="1" s="1"/>
  <c r="W810" i="1"/>
  <c r="AF810" i="1"/>
  <c r="X810" i="1"/>
  <c r="AG810" i="1" s="1"/>
  <c r="Y810" i="1"/>
  <c r="AH810" i="1"/>
  <c r="Z810" i="1"/>
  <c r="AI810" i="1" s="1"/>
  <c r="AA810" i="1"/>
  <c r="AJ810" i="1"/>
  <c r="AB810" i="1"/>
  <c r="AK810" i="1" s="1"/>
  <c r="W811" i="1"/>
  <c r="AF811" i="1"/>
  <c r="X811" i="1"/>
  <c r="AG811" i="1" s="1"/>
  <c r="Y811" i="1"/>
  <c r="AH811" i="1"/>
  <c r="Z811" i="1"/>
  <c r="AI811" i="1" s="1"/>
  <c r="AA811" i="1"/>
  <c r="AJ811" i="1"/>
  <c r="AB811" i="1"/>
  <c r="AK811" i="1" s="1"/>
  <c r="W812" i="1"/>
  <c r="AF812" i="1"/>
  <c r="X812" i="1"/>
  <c r="AG812" i="1" s="1"/>
  <c r="Y812" i="1"/>
  <c r="AH812" i="1"/>
  <c r="Z812" i="1"/>
  <c r="AI812" i="1" s="1"/>
  <c r="AA812" i="1"/>
  <c r="AJ812" i="1"/>
  <c r="AB812" i="1"/>
  <c r="AK812" i="1" s="1"/>
  <c r="W813" i="1"/>
  <c r="AF813" i="1"/>
  <c r="X813" i="1"/>
  <c r="AG813" i="1" s="1"/>
  <c r="Y813" i="1"/>
  <c r="AH813" i="1"/>
  <c r="Z813" i="1"/>
  <c r="AI813" i="1" s="1"/>
  <c r="AA813" i="1"/>
  <c r="AJ813" i="1"/>
  <c r="AB813" i="1"/>
  <c r="AK813" i="1" s="1"/>
  <c r="W814" i="1"/>
  <c r="AF814" i="1"/>
  <c r="X814" i="1"/>
  <c r="AG814" i="1" s="1"/>
  <c r="Y814" i="1"/>
  <c r="AH814" i="1"/>
  <c r="Z814" i="1"/>
  <c r="AI814" i="1" s="1"/>
  <c r="AA814" i="1"/>
  <c r="AJ814" i="1"/>
  <c r="AB814" i="1"/>
  <c r="AK814" i="1" s="1"/>
  <c r="W815" i="1"/>
  <c r="AF815" i="1"/>
  <c r="X815" i="1"/>
  <c r="AG815" i="1" s="1"/>
  <c r="Y815" i="1"/>
  <c r="AH815" i="1"/>
  <c r="Z815" i="1"/>
  <c r="AI815" i="1" s="1"/>
  <c r="AA815" i="1"/>
  <c r="AJ815" i="1"/>
  <c r="AB815" i="1"/>
  <c r="AK815" i="1" s="1"/>
  <c r="W816" i="1"/>
  <c r="AF816" i="1"/>
  <c r="X816" i="1"/>
  <c r="AG816" i="1" s="1"/>
  <c r="Y816" i="1"/>
  <c r="AH816" i="1"/>
  <c r="Z816" i="1"/>
  <c r="AI816" i="1" s="1"/>
  <c r="AA816" i="1"/>
  <c r="AJ816" i="1"/>
  <c r="AB816" i="1"/>
  <c r="AK816" i="1" s="1"/>
  <c r="W817" i="1"/>
  <c r="AF817" i="1"/>
  <c r="X817" i="1"/>
  <c r="AG817" i="1" s="1"/>
  <c r="Y817" i="1"/>
  <c r="AH817" i="1"/>
  <c r="Z817" i="1"/>
  <c r="AI817" i="1" s="1"/>
  <c r="AA817" i="1"/>
  <c r="AJ817" i="1"/>
  <c r="AB817" i="1"/>
  <c r="AK817" i="1" s="1"/>
  <c r="W818" i="1"/>
  <c r="AF818" i="1"/>
  <c r="X818" i="1"/>
  <c r="AG818" i="1" s="1"/>
  <c r="Y818" i="1"/>
  <c r="AH818" i="1"/>
  <c r="Z818" i="1"/>
  <c r="AI818" i="1" s="1"/>
  <c r="AA818" i="1"/>
  <c r="AJ818" i="1"/>
  <c r="AB818" i="1"/>
  <c r="AK818" i="1" s="1"/>
  <c r="W819" i="1"/>
  <c r="AF819" i="1"/>
  <c r="X819" i="1"/>
  <c r="AG819" i="1" s="1"/>
  <c r="Y819" i="1"/>
  <c r="AH819" i="1"/>
  <c r="Z819" i="1"/>
  <c r="AI819" i="1" s="1"/>
  <c r="AA819" i="1"/>
  <c r="AJ819" i="1"/>
  <c r="AB819" i="1"/>
  <c r="AK819" i="1" s="1"/>
  <c r="W820" i="1"/>
  <c r="AF820" i="1"/>
  <c r="X820" i="1"/>
  <c r="AG820" i="1" s="1"/>
  <c r="Y820" i="1"/>
  <c r="AH820" i="1"/>
  <c r="Z820" i="1"/>
  <c r="AI820" i="1" s="1"/>
  <c r="AA820" i="1"/>
  <c r="AJ820" i="1"/>
  <c r="AB820" i="1"/>
  <c r="AK820" i="1"/>
  <c r="W821" i="1"/>
  <c r="AF821" i="1"/>
  <c r="X821" i="1"/>
  <c r="AG821" i="1"/>
  <c r="Y821" i="1"/>
  <c r="AH821" i="1"/>
  <c r="Z821" i="1"/>
  <c r="AI821" i="1"/>
  <c r="AA821" i="1"/>
  <c r="AJ821" i="1"/>
  <c r="AB821" i="1"/>
  <c r="AK821" i="1"/>
  <c r="W822" i="1"/>
  <c r="AF822" i="1"/>
  <c r="X822" i="1"/>
  <c r="AG822" i="1"/>
  <c r="Y822" i="1"/>
  <c r="AH822" i="1"/>
  <c r="Z822" i="1"/>
  <c r="AI822" i="1"/>
  <c r="AA822" i="1"/>
  <c r="AJ822" i="1"/>
  <c r="AB822" i="1"/>
  <c r="AK822" i="1"/>
  <c r="W823" i="1"/>
  <c r="AF823" i="1"/>
  <c r="X823" i="1"/>
  <c r="AG823" i="1"/>
  <c r="Y823" i="1"/>
  <c r="AH823" i="1"/>
  <c r="Z823" i="1"/>
  <c r="AI823" i="1"/>
  <c r="AA823" i="1"/>
  <c r="AJ823" i="1"/>
  <c r="AB823" i="1"/>
  <c r="AK823" i="1"/>
  <c r="W824" i="1"/>
  <c r="AF824" i="1"/>
  <c r="X824" i="1"/>
  <c r="AG824" i="1"/>
  <c r="Y824" i="1"/>
  <c r="AH824" i="1"/>
  <c r="Z824" i="1"/>
  <c r="AI824" i="1"/>
  <c r="AA824" i="1"/>
  <c r="AJ824" i="1"/>
  <c r="AB824" i="1"/>
  <c r="AK824" i="1"/>
  <c r="W825" i="1"/>
  <c r="AF825" i="1"/>
  <c r="X825" i="1"/>
  <c r="AG825" i="1"/>
  <c r="Y825" i="1"/>
  <c r="AH825" i="1"/>
  <c r="Z825" i="1"/>
  <c r="AI825" i="1"/>
  <c r="AA825" i="1"/>
  <c r="AJ825" i="1"/>
  <c r="AB825" i="1"/>
  <c r="AK825" i="1"/>
  <c r="W826" i="1"/>
  <c r="AF826" i="1"/>
  <c r="X826" i="1"/>
  <c r="AG826" i="1"/>
  <c r="Y826" i="1"/>
  <c r="AH826" i="1"/>
  <c r="Z826" i="1"/>
  <c r="AI826" i="1"/>
  <c r="AA826" i="1"/>
  <c r="AJ826" i="1"/>
  <c r="AB826" i="1"/>
  <c r="AK826" i="1"/>
  <c r="W827" i="1"/>
  <c r="AF827" i="1"/>
  <c r="X827" i="1"/>
  <c r="AG827" i="1"/>
  <c r="Y827" i="1"/>
  <c r="AH827" i="1"/>
  <c r="Z827" i="1"/>
  <c r="AI827" i="1"/>
  <c r="AA827" i="1"/>
  <c r="AJ827" i="1"/>
  <c r="AB827" i="1"/>
  <c r="AK827" i="1"/>
  <c r="W828" i="1"/>
  <c r="AF828" i="1"/>
  <c r="X828" i="1"/>
  <c r="AG828" i="1"/>
  <c r="Y828" i="1"/>
  <c r="AH828" i="1"/>
  <c r="Z828" i="1"/>
  <c r="AI828" i="1"/>
  <c r="AA828" i="1"/>
  <c r="AJ828" i="1"/>
  <c r="AB828" i="1"/>
  <c r="AK828" i="1"/>
  <c r="W829" i="1"/>
  <c r="AF829" i="1"/>
  <c r="X829" i="1"/>
  <c r="AG829" i="1"/>
  <c r="Y829" i="1"/>
  <c r="AH829" i="1"/>
  <c r="Z829" i="1"/>
  <c r="AI829" i="1"/>
  <c r="AA829" i="1"/>
  <c r="AJ829" i="1"/>
  <c r="AB829" i="1"/>
  <c r="AK829" i="1"/>
  <c r="W830" i="1"/>
  <c r="AF830" i="1"/>
  <c r="X830" i="1"/>
  <c r="AG830" i="1"/>
  <c r="Y830" i="1"/>
  <c r="AH830" i="1"/>
  <c r="Z830" i="1"/>
  <c r="AI830" i="1"/>
  <c r="AA830" i="1"/>
  <c r="AJ830" i="1"/>
  <c r="AB830" i="1"/>
  <c r="AK830" i="1"/>
  <c r="W831" i="1"/>
  <c r="AF831" i="1"/>
  <c r="X831" i="1"/>
  <c r="AG831" i="1"/>
  <c r="Y831" i="1"/>
  <c r="AH831" i="1"/>
  <c r="Z831" i="1"/>
  <c r="AI831" i="1"/>
  <c r="AA831" i="1"/>
  <c r="AJ831" i="1"/>
  <c r="AB831" i="1"/>
  <c r="AK831" i="1"/>
  <c r="W832" i="1"/>
  <c r="AF832" i="1"/>
  <c r="X832" i="1"/>
  <c r="AG832" i="1"/>
  <c r="Y832" i="1"/>
  <c r="AH832" i="1"/>
  <c r="Z832" i="1"/>
  <c r="AI832" i="1"/>
  <c r="AA832" i="1"/>
  <c r="AJ832" i="1"/>
  <c r="AB832" i="1"/>
  <c r="AK832" i="1"/>
  <c r="W833" i="1"/>
  <c r="AF833" i="1"/>
  <c r="X833" i="1"/>
  <c r="AG833" i="1"/>
  <c r="Y833" i="1"/>
  <c r="AH833" i="1"/>
  <c r="Z833" i="1"/>
  <c r="AI833" i="1"/>
  <c r="AA833" i="1"/>
  <c r="AJ833" i="1"/>
  <c r="AB833" i="1"/>
  <c r="AK833" i="1"/>
  <c r="W834" i="1"/>
  <c r="AF834" i="1"/>
  <c r="X834" i="1"/>
  <c r="AG834" i="1"/>
  <c r="Y834" i="1"/>
  <c r="AH834" i="1"/>
  <c r="Z834" i="1"/>
  <c r="AI834" i="1"/>
  <c r="AA834" i="1"/>
  <c r="AJ834" i="1"/>
  <c r="AB834" i="1"/>
  <c r="AK834" i="1"/>
  <c r="W835" i="1"/>
  <c r="AF835" i="1"/>
  <c r="X835" i="1"/>
  <c r="AG835" i="1"/>
  <c r="Y835" i="1"/>
  <c r="AH835" i="1"/>
  <c r="Z835" i="1"/>
  <c r="AI835" i="1"/>
  <c r="AA835" i="1"/>
  <c r="AJ835" i="1"/>
  <c r="AB835" i="1"/>
  <c r="AK835" i="1"/>
  <c r="W836" i="1"/>
  <c r="AF836" i="1"/>
  <c r="X836" i="1"/>
  <c r="AG836" i="1"/>
  <c r="Y836" i="1"/>
  <c r="AH836" i="1"/>
  <c r="Z836" i="1"/>
  <c r="AI836" i="1"/>
  <c r="AA836" i="1"/>
  <c r="AJ836" i="1"/>
  <c r="AB836" i="1"/>
  <c r="AK836" i="1"/>
  <c r="W837" i="1"/>
  <c r="AF837" i="1"/>
  <c r="X837" i="1"/>
  <c r="AG837" i="1"/>
  <c r="Y837" i="1"/>
  <c r="AH837" i="1"/>
  <c r="Z837" i="1"/>
  <c r="AI837" i="1"/>
  <c r="AA837" i="1"/>
  <c r="AJ837" i="1"/>
  <c r="AB837" i="1"/>
  <c r="AK837" i="1"/>
  <c r="W838" i="1"/>
  <c r="AF838" i="1"/>
  <c r="X838" i="1"/>
  <c r="AG838" i="1"/>
  <c r="Y838" i="1"/>
  <c r="AH838" i="1"/>
  <c r="Z838" i="1"/>
  <c r="AI838" i="1"/>
  <c r="AA838" i="1"/>
  <c r="AJ838" i="1"/>
  <c r="AB838" i="1"/>
  <c r="AK838" i="1"/>
  <c r="W839" i="1"/>
  <c r="AF839" i="1"/>
  <c r="X839" i="1"/>
  <c r="AG839" i="1"/>
  <c r="Y839" i="1"/>
  <c r="AH839" i="1"/>
  <c r="Z839" i="1"/>
  <c r="AI839" i="1"/>
  <c r="AA839" i="1"/>
  <c r="AJ839" i="1"/>
  <c r="AB839" i="1"/>
  <c r="AK839" i="1"/>
  <c r="W840" i="1"/>
  <c r="AF840" i="1"/>
  <c r="X840" i="1"/>
  <c r="AG840" i="1"/>
  <c r="Y840" i="1"/>
  <c r="AH840" i="1"/>
  <c r="Z840" i="1"/>
  <c r="AI840" i="1"/>
  <c r="AA840" i="1"/>
  <c r="AJ840" i="1"/>
  <c r="AB840" i="1"/>
  <c r="AK840" i="1"/>
  <c r="W841" i="1"/>
  <c r="AF841" i="1"/>
  <c r="X841" i="1"/>
  <c r="AG841" i="1"/>
  <c r="Y841" i="1"/>
  <c r="AH841" i="1"/>
  <c r="Z841" i="1"/>
  <c r="AI841" i="1"/>
  <c r="AA841" i="1"/>
  <c r="AJ841" i="1"/>
  <c r="AB841" i="1"/>
  <c r="AK841" i="1"/>
  <c r="W842" i="1"/>
  <c r="AF842" i="1"/>
  <c r="X842" i="1"/>
  <c r="AG842" i="1"/>
  <c r="Y842" i="1"/>
  <c r="AH842" i="1"/>
  <c r="Z842" i="1"/>
  <c r="AI842" i="1"/>
  <c r="AA842" i="1"/>
  <c r="AJ842" i="1"/>
  <c r="AB842" i="1"/>
  <c r="AK842" i="1"/>
  <c r="W843" i="1"/>
  <c r="AF843" i="1"/>
  <c r="X843" i="1"/>
  <c r="AG843" i="1"/>
  <c r="Y843" i="1"/>
  <c r="AH843" i="1"/>
  <c r="Z843" i="1"/>
  <c r="AI843" i="1"/>
  <c r="AA843" i="1"/>
  <c r="AJ843" i="1"/>
  <c r="AB843" i="1"/>
  <c r="AK843" i="1"/>
  <c r="W844" i="1"/>
  <c r="AF844" i="1"/>
  <c r="X844" i="1"/>
  <c r="AG844" i="1"/>
  <c r="Y844" i="1"/>
  <c r="AH844" i="1"/>
  <c r="Z844" i="1"/>
  <c r="AI844" i="1"/>
  <c r="AA844" i="1"/>
  <c r="AJ844" i="1"/>
  <c r="AB844" i="1"/>
  <c r="AK844" i="1"/>
  <c r="W845" i="1"/>
  <c r="AF845" i="1"/>
  <c r="X845" i="1"/>
  <c r="AG845" i="1"/>
  <c r="Y845" i="1"/>
  <c r="AH845" i="1"/>
  <c r="Z845" i="1"/>
  <c r="AI845" i="1"/>
  <c r="AA845" i="1"/>
  <c r="AJ845" i="1"/>
  <c r="AB845" i="1"/>
  <c r="AK845" i="1"/>
  <c r="W846" i="1"/>
  <c r="AF846" i="1"/>
  <c r="X846" i="1"/>
  <c r="AG846" i="1"/>
  <c r="Y846" i="1"/>
  <c r="AH846" i="1"/>
  <c r="Z846" i="1"/>
  <c r="AI846" i="1"/>
  <c r="AA846" i="1"/>
  <c r="AJ846" i="1"/>
  <c r="AB846" i="1"/>
  <c r="AK846" i="1"/>
  <c r="W847" i="1"/>
  <c r="AF847" i="1"/>
  <c r="X847" i="1"/>
  <c r="AG847" i="1"/>
  <c r="Y847" i="1"/>
  <c r="AH847" i="1"/>
  <c r="Z847" i="1"/>
  <c r="AI847" i="1"/>
  <c r="AA847" i="1"/>
  <c r="AJ847" i="1"/>
  <c r="AB847" i="1"/>
  <c r="AK847" i="1"/>
  <c r="W848" i="1"/>
  <c r="AF848" i="1"/>
  <c r="X848" i="1"/>
  <c r="AG848" i="1"/>
  <c r="Y848" i="1"/>
  <c r="AH848" i="1"/>
  <c r="Z848" i="1"/>
  <c r="AI848" i="1"/>
  <c r="AA848" i="1"/>
  <c r="AJ848" i="1"/>
  <c r="AB848" i="1"/>
  <c r="AK848" i="1"/>
  <c r="W849" i="1"/>
  <c r="AF849" i="1"/>
  <c r="X849" i="1"/>
  <c r="AG849" i="1"/>
  <c r="Y849" i="1"/>
  <c r="AH849" i="1"/>
  <c r="Z849" i="1"/>
  <c r="AI849" i="1"/>
  <c r="AA849" i="1"/>
  <c r="AJ849" i="1"/>
  <c r="AB849" i="1"/>
  <c r="AK849" i="1"/>
  <c r="W850" i="1"/>
  <c r="AF850" i="1"/>
  <c r="X850" i="1"/>
  <c r="AG850" i="1"/>
  <c r="Y850" i="1"/>
  <c r="AH850" i="1"/>
  <c r="Z850" i="1"/>
  <c r="AI850" i="1"/>
  <c r="AA850" i="1"/>
  <c r="AJ850" i="1"/>
  <c r="AB850" i="1"/>
  <c r="AK850" i="1"/>
  <c r="W851" i="1"/>
  <c r="AF851" i="1"/>
  <c r="X851" i="1"/>
  <c r="AG851" i="1"/>
  <c r="Y851" i="1"/>
  <c r="AH851" i="1"/>
  <c r="Z851" i="1"/>
  <c r="AI851" i="1"/>
  <c r="AA851" i="1"/>
  <c r="AJ851" i="1"/>
  <c r="AB851" i="1"/>
  <c r="AK851" i="1"/>
  <c r="W852" i="1"/>
  <c r="AF852" i="1"/>
  <c r="X852" i="1"/>
  <c r="AG852" i="1"/>
  <c r="Y852" i="1"/>
  <c r="AH852" i="1"/>
  <c r="Z852" i="1"/>
  <c r="AI852" i="1"/>
  <c r="AA852" i="1"/>
  <c r="AJ852" i="1"/>
  <c r="AB852" i="1"/>
  <c r="AK852" i="1"/>
  <c r="W853" i="1"/>
  <c r="AF853" i="1"/>
  <c r="X853" i="1"/>
  <c r="AG853" i="1"/>
  <c r="Y853" i="1"/>
  <c r="AH853" i="1"/>
  <c r="Z853" i="1"/>
  <c r="AI853" i="1"/>
  <c r="AA853" i="1"/>
  <c r="AJ853" i="1"/>
  <c r="AB853" i="1"/>
  <c r="AK853" i="1"/>
  <c r="W854" i="1"/>
  <c r="AF854" i="1"/>
  <c r="X854" i="1"/>
  <c r="AG854" i="1"/>
  <c r="Y854" i="1"/>
  <c r="AH854" i="1"/>
  <c r="Z854" i="1"/>
  <c r="AI854" i="1"/>
  <c r="AA854" i="1"/>
  <c r="AJ854" i="1"/>
  <c r="AB854" i="1"/>
  <c r="AK854" i="1"/>
  <c r="W855" i="1"/>
  <c r="AF855" i="1"/>
  <c r="X855" i="1"/>
  <c r="AG855" i="1"/>
  <c r="Y855" i="1"/>
  <c r="AH855" i="1"/>
  <c r="Z855" i="1"/>
  <c r="AI855" i="1"/>
  <c r="AA855" i="1"/>
  <c r="AJ855" i="1"/>
  <c r="AB855" i="1"/>
  <c r="AK855" i="1"/>
  <c r="W856" i="1"/>
  <c r="AF856" i="1"/>
  <c r="X856" i="1"/>
  <c r="AG856" i="1"/>
  <c r="Y856" i="1"/>
  <c r="AH856" i="1"/>
  <c r="Z856" i="1"/>
  <c r="AI856" i="1"/>
  <c r="AA856" i="1"/>
  <c r="AJ856" i="1"/>
  <c r="AB856" i="1"/>
  <c r="AK856" i="1"/>
  <c r="W857" i="1"/>
  <c r="AF857" i="1"/>
  <c r="X857" i="1"/>
  <c r="AG857" i="1"/>
  <c r="Y857" i="1"/>
  <c r="AH857" i="1"/>
  <c r="Z857" i="1"/>
  <c r="AI857" i="1"/>
  <c r="AA857" i="1"/>
  <c r="AJ857" i="1"/>
  <c r="AB857" i="1"/>
  <c r="AK857" i="1"/>
  <c r="W858" i="1"/>
  <c r="AF858" i="1"/>
  <c r="X858" i="1"/>
  <c r="AG858" i="1"/>
  <c r="Y858" i="1"/>
  <c r="AH858" i="1"/>
  <c r="Z858" i="1"/>
  <c r="AI858" i="1"/>
  <c r="AA858" i="1"/>
  <c r="AJ858" i="1"/>
  <c r="AB858" i="1"/>
  <c r="AK858" i="1"/>
  <c r="W859" i="1"/>
  <c r="AF859" i="1"/>
  <c r="X859" i="1"/>
  <c r="AG859" i="1"/>
  <c r="Y859" i="1"/>
  <c r="AH859" i="1"/>
  <c r="Z859" i="1"/>
  <c r="AI859" i="1"/>
  <c r="AA859" i="1"/>
  <c r="AJ859" i="1"/>
  <c r="AB859" i="1"/>
  <c r="AK859" i="1"/>
  <c r="W860" i="1"/>
  <c r="AF860" i="1"/>
  <c r="X860" i="1"/>
  <c r="AG860" i="1"/>
  <c r="Y860" i="1"/>
  <c r="AH860" i="1"/>
  <c r="Z860" i="1"/>
  <c r="AI860" i="1"/>
  <c r="AA860" i="1"/>
  <c r="AJ860" i="1"/>
  <c r="AB860" i="1"/>
  <c r="AK860" i="1"/>
  <c r="W861" i="1"/>
  <c r="AF861" i="1"/>
  <c r="X861" i="1"/>
  <c r="AG861" i="1"/>
  <c r="Y861" i="1"/>
  <c r="AH861" i="1"/>
  <c r="Z861" i="1"/>
  <c r="AI861" i="1"/>
  <c r="AA861" i="1"/>
  <c r="AJ861" i="1"/>
  <c r="AB861" i="1"/>
  <c r="AK861" i="1"/>
  <c r="W862" i="1"/>
  <c r="AF862" i="1"/>
  <c r="X862" i="1"/>
  <c r="AG862" i="1"/>
  <c r="Y862" i="1"/>
  <c r="AH862" i="1"/>
  <c r="Z862" i="1"/>
  <c r="AI862" i="1"/>
  <c r="AA862" i="1"/>
  <c r="AJ862" i="1"/>
  <c r="AB862" i="1"/>
  <c r="AK862" i="1"/>
  <c r="W863" i="1"/>
  <c r="AF863" i="1"/>
  <c r="X863" i="1"/>
  <c r="AG863" i="1"/>
  <c r="Y863" i="1"/>
  <c r="AH863" i="1"/>
  <c r="Z863" i="1"/>
  <c r="AI863" i="1"/>
  <c r="AA863" i="1"/>
  <c r="AJ863" i="1"/>
  <c r="AB863" i="1"/>
  <c r="AK863" i="1"/>
  <c r="W864" i="1"/>
  <c r="AF864" i="1"/>
  <c r="X864" i="1"/>
  <c r="AG864" i="1"/>
  <c r="Y864" i="1"/>
  <c r="AH864" i="1"/>
  <c r="Z864" i="1"/>
  <c r="AI864" i="1"/>
  <c r="AA864" i="1"/>
  <c r="AJ864" i="1"/>
  <c r="AB864" i="1"/>
  <c r="AK864" i="1"/>
  <c r="W865" i="1"/>
  <c r="AF865" i="1"/>
  <c r="X865" i="1"/>
  <c r="AG865" i="1"/>
  <c r="Y865" i="1"/>
  <c r="AH865" i="1"/>
  <c r="Z865" i="1"/>
  <c r="AI865" i="1"/>
  <c r="AA865" i="1"/>
  <c r="AJ865" i="1"/>
  <c r="AB865" i="1"/>
  <c r="AK865" i="1"/>
  <c r="W866" i="1"/>
  <c r="AF866" i="1"/>
  <c r="X866" i="1"/>
  <c r="AG866" i="1"/>
  <c r="Y866" i="1"/>
  <c r="AH866" i="1"/>
  <c r="Z866" i="1"/>
  <c r="AI866" i="1"/>
  <c r="AA866" i="1"/>
  <c r="AJ866" i="1"/>
  <c r="AB866" i="1"/>
  <c r="AK866" i="1"/>
  <c r="W867" i="1"/>
  <c r="AF867" i="1"/>
  <c r="X867" i="1"/>
  <c r="AG867" i="1"/>
  <c r="Y867" i="1"/>
  <c r="AH867" i="1"/>
  <c r="Z867" i="1"/>
  <c r="AI867" i="1"/>
  <c r="AA867" i="1"/>
  <c r="AJ867" i="1"/>
  <c r="AB867" i="1"/>
  <c r="AK867" i="1"/>
  <c r="W868" i="1"/>
  <c r="AF868" i="1"/>
  <c r="X868" i="1"/>
  <c r="AG868" i="1"/>
  <c r="Y868" i="1"/>
  <c r="AH868" i="1"/>
  <c r="Z868" i="1"/>
  <c r="AI868" i="1"/>
  <c r="AA868" i="1"/>
  <c r="AJ868" i="1"/>
  <c r="AB868" i="1"/>
  <c r="AK868" i="1"/>
  <c r="W869" i="1"/>
  <c r="AF869" i="1"/>
  <c r="X869" i="1"/>
  <c r="AG869" i="1"/>
  <c r="Y869" i="1"/>
  <c r="AH869" i="1"/>
  <c r="Z869" i="1"/>
  <c r="AI869" i="1"/>
  <c r="AA869" i="1"/>
  <c r="AJ869" i="1"/>
  <c r="AB869" i="1"/>
  <c r="AK869" i="1"/>
  <c r="W870" i="1"/>
  <c r="AF870" i="1"/>
  <c r="X870" i="1"/>
  <c r="AG870" i="1"/>
  <c r="Y870" i="1"/>
  <c r="AH870" i="1"/>
  <c r="Z870" i="1"/>
  <c r="AI870" i="1"/>
  <c r="AA870" i="1"/>
  <c r="AJ870" i="1"/>
  <c r="AB870" i="1"/>
  <c r="AK870" i="1"/>
  <c r="W871" i="1"/>
  <c r="AF871" i="1"/>
  <c r="X871" i="1"/>
  <c r="AG871" i="1"/>
  <c r="Y871" i="1"/>
  <c r="AH871" i="1"/>
  <c r="Z871" i="1"/>
  <c r="AI871" i="1"/>
  <c r="AA871" i="1"/>
  <c r="AJ871" i="1"/>
  <c r="AB871" i="1"/>
  <c r="AK871" i="1"/>
  <c r="W872" i="1"/>
  <c r="AF872" i="1"/>
  <c r="X872" i="1"/>
  <c r="AG872" i="1"/>
  <c r="Y872" i="1"/>
  <c r="AH872" i="1"/>
  <c r="Z872" i="1"/>
  <c r="AI872" i="1"/>
  <c r="AA872" i="1"/>
  <c r="AJ872" i="1"/>
  <c r="AB872" i="1"/>
  <c r="AK872" i="1"/>
  <c r="W873" i="1"/>
  <c r="AF873" i="1"/>
  <c r="X873" i="1"/>
  <c r="AG873" i="1"/>
  <c r="Y873" i="1"/>
  <c r="AH873" i="1"/>
  <c r="Z873" i="1"/>
  <c r="AI873" i="1"/>
  <c r="AA873" i="1"/>
  <c r="AJ873" i="1"/>
  <c r="AB873" i="1"/>
  <c r="AK873" i="1"/>
  <c r="W874" i="1"/>
  <c r="AF874" i="1"/>
  <c r="X874" i="1"/>
  <c r="AG874" i="1"/>
  <c r="Y874" i="1"/>
  <c r="AH874" i="1"/>
  <c r="Z874" i="1"/>
  <c r="AI874" i="1"/>
  <c r="AA874" i="1"/>
  <c r="AJ874" i="1"/>
  <c r="AB874" i="1"/>
  <c r="AK874" i="1"/>
  <c r="W875" i="1"/>
  <c r="AF875" i="1"/>
  <c r="X875" i="1"/>
  <c r="AG875" i="1"/>
  <c r="Y875" i="1"/>
  <c r="AH875" i="1"/>
  <c r="Z875" i="1"/>
  <c r="AI875" i="1"/>
  <c r="AA875" i="1"/>
  <c r="AJ875" i="1"/>
  <c r="AB875" i="1"/>
  <c r="AK875" i="1"/>
  <c r="W876" i="1"/>
  <c r="AF876" i="1"/>
  <c r="X876" i="1"/>
  <c r="AG876" i="1"/>
  <c r="Y876" i="1"/>
  <c r="AH876" i="1"/>
  <c r="Z876" i="1"/>
  <c r="AI876" i="1"/>
  <c r="AA876" i="1"/>
  <c r="AJ876" i="1"/>
  <c r="AB876" i="1"/>
  <c r="AK876" i="1"/>
  <c r="W877" i="1"/>
  <c r="AF877" i="1"/>
  <c r="X877" i="1"/>
  <c r="AG877" i="1"/>
  <c r="Y877" i="1"/>
  <c r="AH877" i="1"/>
  <c r="Z877" i="1"/>
  <c r="AI877" i="1"/>
  <c r="AA877" i="1"/>
  <c r="AJ877" i="1"/>
  <c r="AB877" i="1"/>
  <c r="AK877" i="1"/>
  <c r="W878" i="1"/>
  <c r="AF878" i="1"/>
  <c r="X878" i="1"/>
  <c r="AG878" i="1"/>
  <c r="Y878" i="1"/>
  <c r="AH878" i="1"/>
  <c r="Z878" i="1"/>
  <c r="AI878" i="1"/>
  <c r="AA878" i="1"/>
  <c r="AJ878" i="1"/>
  <c r="AB878" i="1"/>
  <c r="AK878" i="1"/>
  <c r="W879" i="1"/>
  <c r="AF879" i="1"/>
  <c r="X879" i="1"/>
  <c r="AG879" i="1"/>
  <c r="Y879" i="1"/>
  <c r="AH879" i="1"/>
  <c r="Z879" i="1"/>
  <c r="AI879" i="1"/>
  <c r="AA879" i="1"/>
  <c r="AJ879" i="1"/>
  <c r="AB879" i="1"/>
  <c r="AK879" i="1"/>
  <c r="W880" i="1"/>
  <c r="AF880" i="1"/>
  <c r="X880" i="1"/>
  <c r="AG880" i="1"/>
  <c r="Y880" i="1"/>
  <c r="AH880" i="1"/>
  <c r="Z880" i="1"/>
  <c r="AI880" i="1"/>
  <c r="AA880" i="1"/>
  <c r="AJ880" i="1"/>
  <c r="AB880" i="1"/>
  <c r="AK880" i="1"/>
  <c r="W881" i="1"/>
  <c r="AF881" i="1"/>
  <c r="X881" i="1"/>
  <c r="AG881" i="1"/>
  <c r="Y881" i="1"/>
  <c r="AH881" i="1"/>
  <c r="Z881" i="1"/>
  <c r="AI881" i="1"/>
  <c r="AA881" i="1"/>
  <c r="AJ881" i="1"/>
  <c r="AB881" i="1"/>
  <c r="AK881" i="1"/>
  <c r="W882" i="1"/>
  <c r="AF882" i="1"/>
  <c r="X882" i="1"/>
  <c r="AG882" i="1"/>
  <c r="Y882" i="1"/>
  <c r="AH882" i="1"/>
  <c r="Z882" i="1"/>
  <c r="AI882" i="1"/>
  <c r="AA882" i="1"/>
  <c r="AJ882" i="1"/>
  <c r="AB882" i="1"/>
  <c r="AK882" i="1"/>
  <c r="W883" i="1"/>
  <c r="AF883" i="1"/>
  <c r="X883" i="1"/>
  <c r="AG883" i="1"/>
  <c r="Y883" i="1"/>
  <c r="AH883" i="1"/>
  <c r="Z883" i="1"/>
  <c r="AI883" i="1"/>
  <c r="AA883" i="1"/>
  <c r="AJ883" i="1"/>
  <c r="AB883" i="1"/>
  <c r="AK883" i="1"/>
  <c r="W884" i="1"/>
  <c r="AF884" i="1"/>
  <c r="X884" i="1"/>
  <c r="AG884" i="1"/>
  <c r="Y884" i="1"/>
  <c r="AH884" i="1"/>
  <c r="Z884" i="1"/>
  <c r="AI884" i="1"/>
  <c r="AA884" i="1"/>
  <c r="AJ884" i="1"/>
  <c r="AB884" i="1"/>
  <c r="AK884" i="1"/>
  <c r="W885" i="1"/>
  <c r="AF885" i="1"/>
  <c r="X885" i="1"/>
  <c r="AG885" i="1"/>
  <c r="Y885" i="1"/>
  <c r="AH885" i="1"/>
  <c r="Z885" i="1"/>
  <c r="AI885" i="1"/>
  <c r="AA885" i="1"/>
  <c r="AJ885" i="1"/>
  <c r="AB885" i="1"/>
  <c r="AK885" i="1"/>
  <c r="W886" i="1"/>
  <c r="AF886" i="1"/>
  <c r="X886" i="1"/>
  <c r="AG886" i="1"/>
  <c r="Y886" i="1"/>
  <c r="AH886" i="1"/>
  <c r="Z886" i="1"/>
  <c r="AI886" i="1"/>
  <c r="AA886" i="1"/>
  <c r="AJ886" i="1"/>
  <c r="AB886" i="1"/>
  <c r="AK886" i="1"/>
  <c r="W887" i="1"/>
  <c r="AF887" i="1"/>
  <c r="X887" i="1"/>
  <c r="AG887" i="1"/>
  <c r="Y887" i="1"/>
  <c r="AH887" i="1"/>
  <c r="Z887" i="1"/>
  <c r="AI887" i="1"/>
  <c r="AA887" i="1"/>
  <c r="AJ887" i="1"/>
  <c r="AB887" i="1"/>
  <c r="AK887" i="1"/>
  <c r="W888" i="1"/>
  <c r="AF888" i="1"/>
  <c r="X888" i="1"/>
  <c r="AG888" i="1"/>
  <c r="Y888" i="1"/>
  <c r="AH888" i="1"/>
  <c r="Z888" i="1"/>
  <c r="AI888" i="1"/>
  <c r="AA888" i="1"/>
  <c r="AJ888" i="1"/>
  <c r="AB888" i="1"/>
  <c r="AK888" i="1"/>
  <c r="W889" i="1"/>
  <c r="AF889" i="1"/>
  <c r="X889" i="1"/>
  <c r="AG889" i="1"/>
  <c r="Y889" i="1"/>
  <c r="AH889" i="1"/>
  <c r="Z889" i="1"/>
  <c r="AI889" i="1"/>
  <c r="AA889" i="1"/>
  <c r="AJ889" i="1"/>
  <c r="AB889" i="1"/>
  <c r="AK889" i="1"/>
  <c r="W890" i="1"/>
  <c r="AF890" i="1"/>
  <c r="X890" i="1"/>
  <c r="AG890" i="1"/>
  <c r="Y890" i="1"/>
  <c r="AH890" i="1"/>
  <c r="Z890" i="1"/>
  <c r="AI890" i="1"/>
  <c r="AA890" i="1"/>
  <c r="AJ890" i="1"/>
  <c r="AB890" i="1"/>
  <c r="AK890" i="1"/>
  <c r="W891" i="1"/>
  <c r="AF891" i="1"/>
  <c r="X891" i="1"/>
  <c r="AG891" i="1"/>
  <c r="Y891" i="1"/>
  <c r="AH891" i="1"/>
  <c r="Z891" i="1"/>
  <c r="AI891" i="1"/>
  <c r="AA891" i="1"/>
  <c r="AJ891" i="1"/>
  <c r="AB891" i="1"/>
  <c r="AK891" i="1"/>
  <c r="W892" i="1"/>
  <c r="AF892" i="1"/>
  <c r="X892" i="1"/>
  <c r="AG892" i="1"/>
  <c r="Y892" i="1"/>
  <c r="AH892" i="1"/>
  <c r="Z892" i="1"/>
  <c r="AI892" i="1"/>
  <c r="AA892" i="1"/>
  <c r="AJ892" i="1"/>
  <c r="AB892" i="1"/>
  <c r="AK892" i="1"/>
  <c r="W893" i="1"/>
  <c r="AF893" i="1"/>
  <c r="X893" i="1"/>
  <c r="AG893" i="1"/>
  <c r="Y893" i="1"/>
  <c r="AH893" i="1"/>
  <c r="Z893" i="1"/>
  <c r="AI893" i="1"/>
  <c r="AA893" i="1"/>
  <c r="AJ893" i="1"/>
  <c r="AB893" i="1"/>
  <c r="AK893" i="1"/>
  <c r="W894" i="1"/>
  <c r="AF894" i="1"/>
  <c r="X894" i="1"/>
  <c r="AG894" i="1"/>
  <c r="Y894" i="1"/>
  <c r="AH894" i="1"/>
  <c r="Z894" i="1"/>
  <c r="AI894" i="1"/>
  <c r="AA894" i="1"/>
  <c r="AJ894" i="1"/>
  <c r="AB894" i="1"/>
  <c r="AK894" i="1"/>
  <c r="W895" i="1"/>
  <c r="AF895" i="1"/>
  <c r="X895" i="1"/>
  <c r="AG895" i="1"/>
  <c r="Y895" i="1"/>
  <c r="AH895" i="1"/>
  <c r="Z895" i="1"/>
  <c r="AI895" i="1"/>
  <c r="AA895" i="1"/>
  <c r="AJ895" i="1"/>
  <c r="AB895" i="1"/>
  <c r="AK895" i="1"/>
  <c r="W896" i="1"/>
  <c r="AF896" i="1"/>
  <c r="X896" i="1"/>
  <c r="AG896" i="1"/>
  <c r="Y896" i="1"/>
  <c r="AH896" i="1"/>
  <c r="Z896" i="1"/>
  <c r="AI896" i="1"/>
  <c r="AA896" i="1"/>
  <c r="AJ896" i="1"/>
  <c r="AB896" i="1"/>
  <c r="AK896" i="1"/>
  <c r="W897" i="1"/>
  <c r="AF897" i="1"/>
  <c r="X897" i="1"/>
  <c r="AG897" i="1"/>
  <c r="Y897" i="1"/>
  <c r="AH897" i="1"/>
  <c r="Z897" i="1"/>
  <c r="AI897" i="1"/>
  <c r="AA897" i="1"/>
  <c r="AJ897" i="1"/>
  <c r="AB897" i="1"/>
  <c r="AK897" i="1"/>
  <c r="W898" i="1"/>
  <c r="AF898" i="1"/>
  <c r="X898" i="1"/>
  <c r="AG898" i="1"/>
  <c r="Y898" i="1"/>
  <c r="AH898" i="1"/>
  <c r="Z898" i="1"/>
  <c r="AI898" i="1"/>
  <c r="AA898" i="1"/>
  <c r="AJ898" i="1"/>
  <c r="AB898" i="1"/>
  <c r="AK898" i="1"/>
  <c r="W899" i="1"/>
  <c r="AF899" i="1"/>
  <c r="X899" i="1"/>
  <c r="AG899" i="1"/>
  <c r="Y899" i="1"/>
  <c r="AH899" i="1"/>
  <c r="Z899" i="1"/>
  <c r="AI899" i="1"/>
  <c r="AA899" i="1"/>
  <c r="AJ899" i="1"/>
  <c r="AB899" i="1"/>
  <c r="AK899" i="1"/>
  <c r="W900" i="1"/>
  <c r="AF900" i="1"/>
  <c r="X900" i="1"/>
  <c r="AG900" i="1"/>
  <c r="Y900" i="1"/>
  <c r="AH900" i="1"/>
  <c r="Z900" i="1"/>
  <c r="AI900" i="1"/>
  <c r="AA900" i="1"/>
  <c r="AJ900" i="1"/>
  <c r="AB900" i="1"/>
  <c r="AK900" i="1"/>
  <c r="W901" i="1"/>
  <c r="AF901" i="1"/>
  <c r="X901" i="1"/>
  <c r="AG901" i="1"/>
  <c r="Y901" i="1"/>
  <c r="AH901" i="1"/>
  <c r="Z901" i="1"/>
  <c r="AI901" i="1"/>
  <c r="AA901" i="1"/>
  <c r="AJ901" i="1"/>
  <c r="AB901" i="1"/>
  <c r="AK901" i="1"/>
  <c r="W902" i="1"/>
  <c r="AF902" i="1"/>
  <c r="X902" i="1"/>
  <c r="AG902" i="1"/>
  <c r="Y902" i="1"/>
  <c r="AH902" i="1"/>
  <c r="Z902" i="1"/>
  <c r="AI902" i="1"/>
  <c r="AA902" i="1"/>
  <c r="AJ902" i="1"/>
  <c r="AB902" i="1"/>
  <c r="AK902" i="1"/>
  <c r="W903" i="1"/>
  <c r="AF903" i="1"/>
  <c r="X903" i="1"/>
  <c r="AG903" i="1"/>
  <c r="Y903" i="1"/>
  <c r="AH903" i="1"/>
  <c r="Z903" i="1"/>
  <c r="AI903" i="1"/>
  <c r="AA903" i="1"/>
  <c r="AJ903" i="1"/>
  <c r="AB903" i="1"/>
  <c r="AK903" i="1"/>
  <c r="W904" i="1"/>
  <c r="AF904" i="1"/>
  <c r="X904" i="1"/>
  <c r="AG904" i="1"/>
  <c r="Y904" i="1"/>
  <c r="AH904" i="1"/>
  <c r="Z904" i="1"/>
  <c r="AI904" i="1"/>
  <c r="AA904" i="1"/>
  <c r="AJ904" i="1"/>
  <c r="AB904" i="1"/>
  <c r="AK904" i="1"/>
  <c r="W905" i="1"/>
  <c r="AF905" i="1"/>
  <c r="X905" i="1"/>
  <c r="AG905" i="1"/>
  <c r="Y905" i="1"/>
  <c r="AH905" i="1"/>
  <c r="Z905" i="1"/>
  <c r="AI905" i="1"/>
  <c r="AA905" i="1"/>
  <c r="AJ905" i="1"/>
  <c r="AB905" i="1"/>
  <c r="AK905" i="1"/>
  <c r="W906" i="1"/>
  <c r="AF906" i="1"/>
  <c r="X906" i="1"/>
  <c r="AG906" i="1"/>
  <c r="Y906" i="1"/>
  <c r="AH906" i="1"/>
  <c r="Z906" i="1"/>
  <c r="AI906" i="1"/>
  <c r="AA906" i="1"/>
  <c r="AJ906" i="1"/>
  <c r="AB906" i="1"/>
  <c r="AK906" i="1"/>
  <c r="W907" i="1"/>
  <c r="AF907" i="1"/>
  <c r="X907" i="1"/>
  <c r="AG907" i="1"/>
  <c r="Y907" i="1"/>
  <c r="AH907" i="1"/>
  <c r="Z907" i="1"/>
  <c r="AI907" i="1"/>
  <c r="AA907" i="1"/>
  <c r="AJ907" i="1"/>
  <c r="AB907" i="1"/>
  <c r="AK907" i="1"/>
  <c r="W908" i="1"/>
  <c r="AF908" i="1"/>
  <c r="X908" i="1"/>
  <c r="AG908" i="1"/>
  <c r="Y908" i="1"/>
  <c r="AH908" i="1"/>
  <c r="Z908" i="1"/>
  <c r="AI908" i="1"/>
  <c r="AA908" i="1"/>
  <c r="AJ908" i="1"/>
  <c r="AB908" i="1"/>
  <c r="AK908" i="1"/>
  <c r="W909" i="1"/>
  <c r="AF909" i="1"/>
  <c r="X909" i="1"/>
  <c r="AG909" i="1"/>
  <c r="Y909" i="1"/>
  <c r="AH909" i="1"/>
  <c r="Z909" i="1"/>
  <c r="AI909" i="1"/>
  <c r="AA909" i="1"/>
  <c r="AJ909" i="1"/>
  <c r="AB909" i="1"/>
  <c r="AK909" i="1"/>
  <c r="W910" i="1"/>
  <c r="AF910" i="1"/>
  <c r="X910" i="1"/>
  <c r="AG910" i="1"/>
  <c r="Y910" i="1"/>
  <c r="AH910" i="1"/>
  <c r="Z910" i="1"/>
  <c r="AI910" i="1"/>
  <c r="AA910" i="1"/>
  <c r="AJ910" i="1"/>
  <c r="AB910" i="1"/>
  <c r="AK910" i="1"/>
  <c r="W911" i="1"/>
  <c r="AF911" i="1"/>
  <c r="X911" i="1"/>
  <c r="AG911" i="1"/>
  <c r="Y911" i="1"/>
  <c r="AH911" i="1"/>
  <c r="Z911" i="1"/>
  <c r="AI911" i="1"/>
  <c r="AA911" i="1"/>
  <c r="AJ911" i="1"/>
  <c r="AB911" i="1"/>
  <c r="AK911" i="1"/>
  <c r="W912" i="1"/>
  <c r="AF912" i="1"/>
  <c r="X912" i="1"/>
  <c r="AG912" i="1"/>
  <c r="Y912" i="1"/>
  <c r="AH912" i="1"/>
  <c r="Z912" i="1"/>
  <c r="AI912" i="1"/>
  <c r="AA912" i="1"/>
  <c r="AJ912" i="1"/>
  <c r="AB912" i="1"/>
  <c r="AK912" i="1"/>
  <c r="W913" i="1"/>
  <c r="AF913" i="1"/>
  <c r="X913" i="1"/>
  <c r="AG913" i="1"/>
  <c r="Y913" i="1"/>
  <c r="AH913" i="1"/>
  <c r="Z913" i="1"/>
  <c r="AI913" i="1"/>
  <c r="AA913" i="1"/>
  <c r="AJ913" i="1"/>
  <c r="AB913" i="1"/>
  <c r="AK913" i="1"/>
  <c r="W914" i="1"/>
  <c r="AF914" i="1"/>
  <c r="X914" i="1"/>
  <c r="AG914" i="1"/>
  <c r="Y914" i="1"/>
  <c r="AH914" i="1"/>
  <c r="Z914" i="1"/>
  <c r="AI914" i="1"/>
  <c r="AA914" i="1"/>
  <c r="AJ914" i="1"/>
  <c r="AB914" i="1"/>
  <c r="AK914" i="1"/>
  <c r="W915" i="1"/>
  <c r="AF915" i="1"/>
  <c r="X915" i="1"/>
  <c r="AG915" i="1"/>
  <c r="Y915" i="1"/>
  <c r="AH915" i="1"/>
  <c r="Z915" i="1"/>
  <c r="AI915" i="1"/>
  <c r="AA915" i="1"/>
  <c r="AJ915" i="1"/>
  <c r="AB915" i="1"/>
  <c r="AK915" i="1"/>
  <c r="W916" i="1"/>
  <c r="AF916" i="1"/>
  <c r="X916" i="1"/>
  <c r="AG916" i="1"/>
  <c r="Y916" i="1"/>
  <c r="AH916" i="1"/>
  <c r="Z916" i="1"/>
  <c r="AI916" i="1"/>
  <c r="AA916" i="1"/>
  <c r="AJ916" i="1"/>
  <c r="AB916" i="1"/>
  <c r="AK916" i="1"/>
  <c r="W917" i="1"/>
  <c r="AF917" i="1"/>
  <c r="X917" i="1"/>
  <c r="AG917" i="1"/>
  <c r="Y917" i="1"/>
  <c r="AH917" i="1"/>
  <c r="Z917" i="1"/>
  <c r="AI917" i="1"/>
  <c r="AA917" i="1"/>
  <c r="AJ917" i="1"/>
  <c r="AB917" i="1"/>
  <c r="AK917" i="1"/>
  <c r="W918" i="1"/>
  <c r="AF918" i="1"/>
  <c r="X918" i="1"/>
  <c r="AG918" i="1"/>
  <c r="Y918" i="1"/>
  <c r="AH918" i="1"/>
  <c r="Z918" i="1"/>
  <c r="AI918" i="1"/>
  <c r="AA918" i="1"/>
  <c r="AJ918" i="1"/>
  <c r="AB918" i="1"/>
  <c r="AK918" i="1"/>
  <c r="W919" i="1"/>
  <c r="AF919" i="1"/>
  <c r="X919" i="1"/>
  <c r="AG919" i="1"/>
  <c r="Y919" i="1"/>
  <c r="AH919" i="1"/>
  <c r="Z919" i="1"/>
  <c r="AI919" i="1"/>
  <c r="AA919" i="1"/>
  <c r="AJ919" i="1"/>
  <c r="AB919" i="1"/>
  <c r="AK919" i="1"/>
  <c r="W920" i="1"/>
  <c r="AF920" i="1"/>
  <c r="X920" i="1"/>
  <c r="AG920" i="1"/>
  <c r="Y920" i="1"/>
  <c r="AH920" i="1"/>
  <c r="Z920" i="1"/>
  <c r="AI920" i="1"/>
  <c r="AA920" i="1"/>
  <c r="AJ920" i="1"/>
  <c r="AB920" i="1"/>
  <c r="AK920" i="1"/>
  <c r="W921" i="1"/>
  <c r="AF921" i="1"/>
  <c r="X921" i="1"/>
  <c r="AG921" i="1"/>
  <c r="Y921" i="1"/>
  <c r="AH921" i="1"/>
  <c r="Z921" i="1"/>
  <c r="AI921" i="1"/>
  <c r="AA921" i="1"/>
  <c r="AJ921" i="1"/>
  <c r="AB921" i="1"/>
  <c r="AK921" i="1"/>
  <c r="W922" i="1"/>
  <c r="AF922" i="1"/>
  <c r="X922" i="1"/>
  <c r="AG922" i="1"/>
  <c r="Y922" i="1"/>
  <c r="AH922" i="1"/>
  <c r="Z922" i="1"/>
  <c r="AI922" i="1"/>
  <c r="AA922" i="1"/>
  <c r="AJ922" i="1"/>
  <c r="AB922" i="1"/>
  <c r="AK922" i="1"/>
  <c r="W923" i="1"/>
  <c r="AF923" i="1"/>
  <c r="X923" i="1"/>
  <c r="AG923" i="1"/>
  <c r="Y923" i="1"/>
  <c r="AH923" i="1"/>
  <c r="Z923" i="1"/>
  <c r="AI923" i="1"/>
  <c r="AA923" i="1"/>
  <c r="AJ923" i="1"/>
  <c r="AB923" i="1"/>
  <c r="AK923" i="1"/>
  <c r="W924" i="1"/>
  <c r="AF924" i="1"/>
  <c r="X924" i="1"/>
  <c r="AG924" i="1"/>
  <c r="Y924" i="1"/>
  <c r="AH924" i="1"/>
  <c r="Z924" i="1"/>
  <c r="AI924" i="1"/>
  <c r="AA924" i="1"/>
  <c r="AJ924" i="1"/>
  <c r="AB924" i="1"/>
  <c r="AK924" i="1"/>
  <c r="W925" i="1"/>
  <c r="AF925" i="1"/>
  <c r="X925" i="1"/>
  <c r="AG925" i="1"/>
  <c r="Y925" i="1"/>
  <c r="AH925" i="1"/>
  <c r="Z925" i="1"/>
  <c r="AI925" i="1"/>
  <c r="AA925" i="1"/>
  <c r="AJ925" i="1"/>
  <c r="AB925" i="1"/>
  <c r="AK925" i="1"/>
  <c r="W926" i="1"/>
  <c r="AF926" i="1"/>
  <c r="X926" i="1"/>
  <c r="AG926" i="1"/>
  <c r="Y926" i="1"/>
  <c r="AH926" i="1"/>
  <c r="Z926" i="1"/>
  <c r="AI926" i="1"/>
  <c r="AA926" i="1"/>
  <c r="AJ926" i="1"/>
  <c r="AB926" i="1"/>
  <c r="AK926" i="1"/>
  <c r="W927" i="1"/>
  <c r="AF927" i="1"/>
  <c r="X927" i="1"/>
  <c r="AG927" i="1"/>
  <c r="Y927" i="1"/>
  <c r="AH927" i="1"/>
  <c r="Z927" i="1"/>
  <c r="AI927" i="1"/>
  <c r="AA927" i="1"/>
  <c r="AJ927" i="1"/>
  <c r="AB927" i="1"/>
  <c r="AK927" i="1"/>
  <c r="W928" i="1"/>
  <c r="AF928" i="1"/>
  <c r="X928" i="1"/>
  <c r="AG928" i="1"/>
  <c r="Y928" i="1"/>
  <c r="AH928" i="1"/>
  <c r="Z928" i="1"/>
  <c r="AI928" i="1"/>
  <c r="AA928" i="1"/>
  <c r="AJ928" i="1"/>
  <c r="AB928" i="1"/>
  <c r="AK928" i="1"/>
  <c r="W929" i="1"/>
  <c r="AF929" i="1"/>
  <c r="X929" i="1"/>
  <c r="AG929" i="1"/>
  <c r="Y929" i="1"/>
  <c r="AH929" i="1"/>
  <c r="Z929" i="1"/>
  <c r="AI929" i="1"/>
  <c r="AA929" i="1"/>
  <c r="AJ929" i="1"/>
  <c r="AB929" i="1"/>
  <c r="AK929" i="1"/>
  <c r="W930" i="1"/>
  <c r="AF930" i="1"/>
  <c r="X930" i="1"/>
  <c r="AG930" i="1"/>
  <c r="Y930" i="1"/>
  <c r="AH930" i="1"/>
  <c r="Z930" i="1"/>
  <c r="AI930" i="1"/>
  <c r="AA930" i="1"/>
  <c r="AJ930" i="1"/>
  <c r="AB930" i="1"/>
  <c r="AK930" i="1"/>
  <c r="W931" i="1"/>
  <c r="AF931" i="1"/>
  <c r="X931" i="1"/>
  <c r="AG931" i="1"/>
  <c r="Y931" i="1"/>
  <c r="AH931" i="1"/>
  <c r="Z931" i="1"/>
  <c r="AI931" i="1"/>
  <c r="AA931" i="1"/>
  <c r="AJ931" i="1"/>
  <c r="AB931" i="1"/>
  <c r="AK931" i="1"/>
  <c r="W932" i="1"/>
  <c r="AF932" i="1"/>
  <c r="X932" i="1"/>
  <c r="AG932" i="1"/>
  <c r="Y932" i="1"/>
  <c r="AH932" i="1"/>
  <c r="Z932" i="1"/>
  <c r="AI932" i="1"/>
  <c r="AA932" i="1"/>
  <c r="AJ932" i="1"/>
  <c r="AB932" i="1"/>
  <c r="AK932" i="1"/>
  <c r="W933" i="1"/>
  <c r="AF933" i="1"/>
  <c r="X933" i="1"/>
  <c r="AG933" i="1"/>
  <c r="Y933" i="1"/>
  <c r="AH933" i="1"/>
  <c r="Z933" i="1"/>
  <c r="AI933" i="1"/>
  <c r="AA933" i="1"/>
  <c r="AJ933" i="1"/>
  <c r="AB933" i="1"/>
  <c r="AK933" i="1"/>
  <c r="W934" i="1"/>
  <c r="AF934" i="1"/>
  <c r="X934" i="1"/>
  <c r="AG934" i="1"/>
  <c r="Y934" i="1"/>
  <c r="AH934" i="1"/>
  <c r="Z934" i="1"/>
  <c r="AI934" i="1"/>
  <c r="AA934" i="1"/>
  <c r="AJ934" i="1"/>
  <c r="AB934" i="1"/>
  <c r="AK934" i="1"/>
  <c r="W935" i="1"/>
  <c r="AF935" i="1"/>
  <c r="X935" i="1"/>
  <c r="AG935" i="1"/>
  <c r="Y935" i="1"/>
  <c r="AH935" i="1"/>
  <c r="Z935" i="1"/>
  <c r="AI935" i="1"/>
  <c r="AA935" i="1"/>
  <c r="AJ935" i="1"/>
  <c r="AB935" i="1"/>
  <c r="AK935" i="1"/>
  <c r="W936" i="1"/>
  <c r="AF936" i="1"/>
  <c r="X936" i="1"/>
  <c r="AG936" i="1"/>
  <c r="Y936" i="1"/>
  <c r="AH936" i="1"/>
  <c r="Z936" i="1"/>
  <c r="AI936" i="1"/>
  <c r="AA936" i="1"/>
  <c r="AJ936" i="1"/>
  <c r="AB936" i="1"/>
  <c r="AK936" i="1"/>
  <c r="W937" i="1"/>
  <c r="AF937" i="1"/>
  <c r="X937" i="1"/>
  <c r="AG937" i="1"/>
  <c r="Y937" i="1"/>
  <c r="AH937" i="1"/>
  <c r="Z937" i="1"/>
  <c r="AI937" i="1"/>
  <c r="AA937" i="1"/>
  <c r="AJ937" i="1"/>
  <c r="AB937" i="1"/>
  <c r="AK937" i="1"/>
  <c r="W938" i="1"/>
  <c r="AF938" i="1"/>
  <c r="X938" i="1"/>
  <c r="AG938" i="1"/>
  <c r="Y938" i="1"/>
  <c r="AH938" i="1"/>
  <c r="Z938" i="1"/>
  <c r="AI938" i="1"/>
  <c r="AA938" i="1"/>
  <c r="AJ938" i="1"/>
  <c r="AB938" i="1"/>
  <c r="AK938" i="1"/>
  <c r="W939" i="1"/>
  <c r="AF939" i="1"/>
  <c r="X939" i="1"/>
  <c r="AG939" i="1"/>
  <c r="Y939" i="1"/>
  <c r="AH939" i="1"/>
  <c r="Z939" i="1"/>
  <c r="AI939" i="1"/>
  <c r="AA939" i="1"/>
  <c r="AJ939" i="1"/>
  <c r="AB939" i="1"/>
  <c r="AK939" i="1"/>
  <c r="W940" i="1"/>
  <c r="AF940" i="1"/>
  <c r="X940" i="1"/>
  <c r="AG940" i="1"/>
  <c r="Y940" i="1"/>
  <c r="AH940" i="1"/>
  <c r="Z940" i="1"/>
  <c r="AI940" i="1"/>
  <c r="AA940" i="1"/>
  <c r="AJ940" i="1"/>
  <c r="AB940" i="1"/>
  <c r="AK940" i="1"/>
  <c r="W941" i="1"/>
  <c r="AF941" i="1"/>
  <c r="X941" i="1"/>
  <c r="AG941" i="1"/>
  <c r="Y941" i="1"/>
  <c r="AH941" i="1"/>
  <c r="Z941" i="1"/>
  <c r="AI941" i="1"/>
  <c r="AA941" i="1"/>
  <c r="AJ941" i="1"/>
  <c r="AB941" i="1"/>
  <c r="AK941" i="1"/>
  <c r="W942" i="1"/>
  <c r="AF942" i="1"/>
  <c r="X942" i="1"/>
  <c r="AG942" i="1"/>
  <c r="Y942" i="1"/>
  <c r="AH942" i="1"/>
  <c r="Z942" i="1"/>
  <c r="AI942" i="1"/>
  <c r="AA942" i="1"/>
  <c r="AJ942" i="1"/>
  <c r="AB942" i="1"/>
  <c r="AK942" i="1"/>
  <c r="W943" i="1"/>
  <c r="AF943" i="1"/>
  <c r="X943" i="1"/>
  <c r="AG943" i="1"/>
  <c r="Y943" i="1"/>
  <c r="AH943" i="1"/>
  <c r="Z943" i="1"/>
  <c r="AI943" i="1"/>
  <c r="AA943" i="1"/>
  <c r="AJ943" i="1"/>
  <c r="AB943" i="1"/>
  <c r="AK943" i="1"/>
  <c r="W944" i="1"/>
  <c r="AF944" i="1"/>
  <c r="X944" i="1"/>
  <c r="AG944" i="1"/>
  <c r="Y944" i="1"/>
  <c r="AH944" i="1"/>
  <c r="Z944" i="1"/>
  <c r="AI944" i="1"/>
  <c r="AA944" i="1"/>
  <c r="AJ944" i="1"/>
  <c r="AB944" i="1"/>
  <c r="AK944" i="1"/>
  <c r="W945" i="1"/>
  <c r="AF945" i="1"/>
  <c r="X945" i="1"/>
  <c r="AG945" i="1"/>
  <c r="Y945" i="1"/>
  <c r="AH945" i="1"/>
  <c r="Z945" i="1"/>
  <c r="AI945" i="1"/>
  <c r="AA945" i="1"/>
  <c r="AJ945" i="1"/>
  <c r="AB945" i="1"/>
  <c r="AK945" i="1"/>
  <c r="W946" i="1"/>
  <c r="AF946" i="1"/>
  <c r="X946" i="1"/>
  <c r="AG946" i="1"/>
  <c r="Y946" i="1"/>
  <c r="AH946" i="1"/>
  <c r="Z946" i="1"/>
  <c r="AI946" i="1"/>
  <c r="AA946" i="1"/>
  <c r="AJ946" i="1"/>
  <c r="AB946" i="1"/>
  <c r="AK946" i="1"/>
  <c r="W947" i="1"/>
  <c r="AF947" i="1"/>
  <c r="X947" i="1"/>
  <c r="AG947" i="1"/>
  <c r="Y947" i="1"/>
  <c r="AH947" i="1"/>
  <c r="Z947" i="1"/>
  <c r="AI947" i="1"/>
  <c r="AA947" i="1"/>
  <c r="AJ947" i="1"/>
  <c r="AB947" i="1"/>
  <c r="AK947" i="1"/>
  <c r="W948" i="1"/>
  <c r="AF948" i="1"/>
  <c r="X948" i="1"/>
  <c r="AG948" i="1"/>
  <c r="Y948" i="1"/>
  <c r="AH948" i="1"/>
  <c r="Z948" i="1"/>
  <c r="AI948" i="1"/>
  <c r="AA948" i="1"/>
  <c r="AJ948" i="1"/>
  <c r="AB948" i="1"/>
  <c r="AK948" i="1"/>
  <c r="W949" i="1"/>
  <c r="AF949" i="1"/>
  <c r="X949" i="1"/>
  <c r="AG949" i="1"/>
  <c r="Y949" i="1"/>
  <c r="AH949" i="1"/>
  <c r="Z949" i="1"/>
  <c r="AI949" i="1"/>
  <c r="AA949" i="1"/>
  <c r="AJ949" i="1"/>
  <c r="AB949" i="1"/>
  <c r="AK949" i="1"/>
  <c r="W950" i="1"/>
  <c r="AF950" i="1"/>
  <c r="X950" i="1"/>
  <c r="AG950" i="1"/>
  <c r="Y950" i="1"/>
  <c r="AH950" i="1"/>
  <c r="Z950" i="1"/>
  <c r="AI950" i="1"/>
  <c r="AA950" i="1"/>
  <c r="AJ950" i="1"/>
  <c r="AB950" i="1"/>
  <c r="AK950" i="1"/>
  <c r="W951" i="1"/>
  <c r="AF951" i="1"/>
  <c r="X951" i="1"/>
  <c r="AG951" i="1"/>
  <c r="Y951" i="1"/>
  <c r="AH951" i="1"/>
  <c r="Z951" i="1"/>
  <c r="AI951" i="1"/>
  <c r="AA951" i="1"/>
  <c r="AJ951" i="1"/>
  <c r="AB951" i="1"/>
  <c r="AK951" i="1"/>
  <c r="W952" i="1"/>
  <c r="AF952" i="1"/>
  <c r="X952" i="1"/>
  <c r="AG952" i="1"/>
  <c r="Y952" i="1"/>
  <c r="AH952" i="1"/>
  <c r="Z952" i="1"/>
  <c r="AI952" i="1"/>
  <c r="AA952" i="1"/>
  <c r="AJ952" i="1"/>
  <c r="AB952" i="1"/>
  <c r="AK952" i="1"/>
  <c r="W953" i="1"/>
  <c r="AF953" i="1"/>
  <c r="X953" i="1"/>
  <c r="AG953" i="1"/>
  <c r="Y953" i="1"/>
  <c r="AH953" i="1"/>
  <c r="Z953" i="1"/>
  <c r="AI953" i="1"/>
  <c r="AA953" i="1"/>
  <c r="AJ953" i="1"/>
  <c r="AB953" i="1"/>
  <c r="AK953" i="1"/>
  <c r="W954" i="1"/>
  <c r="AF954" i="1"/>
  <c r="X954" i="1"/>
  <c r="AG954" i="1"/>
  <c r="Y954" i="1"/>
  <c r="AH954" i="1"/>
  <c r="Z954" i="1"/>
  <c r="AI954" i="1"/>
  <c r="AA954" i="1"/>
  <c r="AJ954" i="1"/>
  <c r="AB954" i="1"/>
  <c r="AK954" i="1"/>
  <c r="W955" i="1"/>
  <c r="AF955" i="1"/>
  <c r="X955" i="1"/>
  <c r="AG955" i="1"/>
  <c r="Y955" i="1"/>
  <c r="AH955" i="1"/>
  <c r="Z955" i="1"/>
  <c r="AI955" i="1"/>
  <c r="AA955" i="1"/>
  <c r="AJ955" i="1"/>
  <c r="AB955" i="1"/>
  <c r="AK955" i="1"/>
  <c r="W956" i="1"/>
  <c r="AF956" i="1"/>
  <c r="X956" i="1"/>
  <c r="AG956" i="1"/>
  <c r="Y956" i="1"/>
  <c r="AH956" i="1"/>
  <c r="Z956" i="1"/>
  <c r="AI956" i="1"/>
  <c r="AA956" i="1"/>
  <c r="AJ956" i="1"/>
  <c r="AB956" i="1"/>
  <c r="AK956" i="1"/>
  <c r="W957" i="1"/>
  <c r="AF957" i="1"/>
  <c r="X957" i="1"/>
  <c r="AG957" i="1"/>
  <c r="Y957" i="1"/>
  <c r="AH957" i="1"/>
  <c r="Z957" i="1"/>
  <c r="AI957" i="1"/>
  <c r="AA957" i="1"/>
  <c r="AJ957" i="1"/>
  <c r="AB957" i="1"/>
  <c r="AK957" i="1"/>
  <c r="W958" i="1"/>
  <c r="AF958" i="1"/>
  <c r="X958" i="1"/>
  <c r="AG958" i="1"/>
  <c r="Y958" i="1"/>
  <c r="AH958" i="1"/>
  <c r="Z958" i="1"/>
  <c r="AI958" i="1"/>
  <c r="AA958" i="1"/>
  <c r="AJ958" i="1"/>
  <c r="AB958" i="1"/>
  <c r="AK958" i="1"/>
  <c r="W959" i="1"/>
  <c r="AF959" i="1"/>
  <c r="X959" i="1"/>
  <c r="AG959" i="1"/>
  <c r="Y959" i="1"/>
  <c r="AH959" i="1"/>
  <c r="Z959" i="1"/>
  <c r="AI959" i="1"/>
  <c r="AA959" i="1"/>
  <c r="AJ959" i="1"/>
  <c r="AB959" i="1"/>
  <c r="AK959" i="1"/>
  <c r="W960" i="1"/>
  <c r="AF960" i="1"/>
  <c r="X960" i="1"/>
  <c r="AG960" i="1"/>
  <c r="Y960" i="1"/>
  <c r="AH960" i="1"/>
  <c r="Z960" i="1"/>
  <c r="AI960" i="1"/>
  <c r="AA960" i="1"/>
  <c r="AJ960" i="1"/>
  <c r="AB960" i="1"/>
  <c r="AK960" i="1"/>
  <c r="W961" i="1"/>
  <c r="AF961" i="1"/>
  <c r="X961" i="1"/>
  <c r="AG961" i="1"/>
  <c r="Y961" i="1"/>
  <c r="AH961" i="1"/>
  <c r="Z961" i="1"/>
  <c r="AI961" i="1"/>
  <c r="AA961" i="1"/>
  <c r="AJ961" i="1"/>
  <c r="AB961" i="1"/>
  <c r="AK961" i="1"/>
  <c r="W962" i="1"/>
  <c r="AF962" i="1"/>
  <c r="X962" i="1"/>
  <c r="AG962" i="1"/>
  <c r="Y962" i="1"/>
  <c r="AH962" i="1"/>
  <c r="Z962" i="1"/>
  <c r="AI962" i="1"/>
  <c r="AA962" i="1"/>
  <c r="AJ962" i="1"/>
  <c r="AB962" i="1"/>
  <c r="AK962" i="1"/>
  <c r="W963" i="1"/>
  <c r="AF963" i="1"/>
  <c r="X963" i="1"/>
  <c r="AG963" i="1"/>
  <c r="Y963" i="1"/>
  <c r="AH963" i="1"/>
  <c r="Z963" i="1"/>
  <c r="AI963" i="1"/>
  <c r="AA963" i="1"/>
  <c r="AJ963" i="1"/>
  <c r="AB963" i="1"/>
  <c r="AK963" i="1"/>
  <c r="W964" i="1"/>
  <c r="AF964" i="1"/>
  <c r="X964" i="1"/>
  <c r="AG964" i="1"/>
  <c r="Y964" i="1"/>
  <c r="AH964" i="1"/>
  <c r="Z964" i="1"/>
  <c r="AI964" i="1"/>
  <c r="AA964" i="1"/>
  <c r="AJ964" i="1"/>
  <c r="AB964" i="1"/>
  <c r="AK964" i="1"/>
  <c r="W965" i="1"/>
  <c r="AF965" i="1"/>
  <c r="X965" i="1"/>
  <c r="AG965" i="1"/>
  <c r="Y965" i="1"/>
  <c r="AH965" i="1"/>
  <c r="Z965" i="1"/>
  <c r="AI965" i="1"/>
  <c r="AA965" i="1"/>
  <c r="AJ965" i="1"/>
  <c r="AB965" i="1"/>
  <c r="AK965" i="1"/>
  <c r="W966" i="1"/>
  <c r="AF966" i="1"/>
  <c r="X966" i="1"/>
  <c r="AG966" i="1"/>
  <c r="Y966" i="1"/>
  <c r="AH966" i="1"/>
  <c r="Z966" i="1"/>
  <c r="AI966" i="1"/>
  <c r="AA966" i="1"/>
  <c r="AJ966" i="1"/>
  <c r="AB966" i="1"/>
  <c r="AK966" i="1"/>
  <c r="W967" i="1"/>
  <c r="AF967" i="1"/>
  <c r="X967" i="1"/>
  <c r="AG967" i="1"/>
  <c r="Y967" i="1"/>
  <c r="AH967" i="1"/>
  <c r="Z967" i="1"/>
  <c r="AI967" i="1"/>
  <c r="AA967" i="1"/>
  <c r="AJ967" i="1"/>
  <c r="AB967" i="1"/>
  <c r="AK967" i="1"/>
  <c r="W968" i="1"/>
  <c r="AF968" i="1"/>
  <c r="X968" i="1"/>
  <c r="AG968" i="1"/>
  <c r="Y968" i="1"/>
  <c r="AH968" i="1"/>
  <c r="Z968" i="1"/>
  <c r="AI968" i="1"/>
  <c r="AA968" i="1"/>
  <c r="AJ968" i="1"/>
  <c r="AB968" i="1"/>
  <c r="AK968" i="1"/>
  <c r="W969" i="1"/>
  <c r="AF969" i="1"/>
  <c r="X969" i="1"/>
  <c r="AG969" i="1"/>
  <c r="Y969" i="1"/>
  <c r="AH969" i="1"/>
  <c r="Z969" i="1"/>
  <c r="AI969" i="1"/>
  <c r="AA969" i="1"/>
  <c r="AJ969" i="1"/>
  <c r="AB969" i="1"/>
  <c r="AK969" i="1"/>
  <c r="W970" i="1"/>
  <c r="AF970" i="1"/>
  <c r="X970" i="1"/>
  <c r="AG970" i="1"/>
  <c r="Y970" i="1"/>
  <c r="AH970" i="1"/>
  <c r="Z970" i="1"/>
  <c r="AI970" i="1"/>
  <c r="AA970" i="1"/>
  <c r="AJ970" i="1"/>
  <c r="AB970" i="1"/>
  <c r="AK970" i="1"/>
  <c r="W971" i="1"/>
  <c r="AF971" i="1"/>
  <c r="X971" i="1"/>
  <c r="AG971" i="1"/>
  <c r="Y971" i="1"/>
  <c r="AH971" i="1"/>
  <c r="Z971" i="1"/>
  <c r="AI971" i="1"/>
  <c r="AA971" i="1"/>
  <c r="AJ971" i="1"/>
  <c r="AB971" i="1"/>
  <c r="AK971" i="1"/>
  <c r="W972" i="1"/>
  <c r="AF972" i="1"/>
  <c r="X972" i="1"/>
  <c r="AG972" i="1"/>
  <c r="Y972" i="1"/>
  <c r="AH972" i="1"/>
  <c r="Z972" i="1"/>
  <c r="AI972" i="1"/>
  <c r="AA972" i="1"/>
  <c r="AJ972" i="1"/>
  <c r="AB972" i="1"/>
  <c r="AK972" i="1"/>
  <c r="W973" i="1"/>
  <c r="AF973" i="1"/>
  <c r="X973" i="1"/>
  <c r="AG973" i="1"/>
  <c r="Y973" i="1"/>
  <c r="AH973" i="1"/>
  <c r="Z973" i="1"/>
  <c r="AI973" i="1"/>
  <c r="AA973" i="1"/>
  <c r="AJ973" i="1"/>
  <c r="AB973" i="1"/>
  <c r="AK973" i="1"/>
  <c r="W974" i="1"/>
  <c r="AF974" i="1"/>
  <c r="X974" i="1"/>
  <c r="AG974" i="1"/>
  <c r="Y974" i="1"/>
  <c r="AH974" i="1"/>
  <c r="Z974" i="1"/>
  <c r="AI974" i="1"/>
  <c r="AA974" i="1"/>
  <c r="AJ974" i="1"/>
  <c r="AB974" i="1"/>
  <c r="AK974" i="1"/>
  <c r="W975" i="1"/>
  <c r="AF975" i="1"/>
  <c r="X975" i="1"/>
  <c r="AG975" i="1"/>
  <c r="Y975" i="1"/>
  <c r="AH975" i="1"/>
  <c r="Z975" i="1"/>
  <c r="AI975" i="1"/>
  <c r="AA975" i="1"/>
  <c r="AJ975" i="1"/>
  <c r="AB975" i="1"/>
  <c r="AK975" i="1"/>
  <c r="W976" i="1"/>
  <c r="AF976" i="1"/>
  <c r="X976" i="1"/>
  <c r="AG976" i="1"/>
  <c r="Y976" i="1"/>
  <c r="AH976" i="1"/>
  <c r="Z976" i="1"/>
  <c r="AI976" i="1"/>
  <c r="AA976" i="1"/>
  <c r="AJ976" i="1"/>
  <c r="AB976" i="1"/>
  <c r="AK976" i="1"/>
  <c r="W977" i="1"/>
  <c r="AF977" i="1"/>
  <c r="X977" i="1"/>
  <c r="AG977" i="1"/>
  <c r="Y977" i="1"/>
  <c r="AH977" i="1"/>
  <c r="Z977" i="1"/>
  <c r="AI977" i="1"/>
  <c r="AA977" i="1"/>
  <c r="AJ977" i="1"/>
  <c r="AB977" i="1"/>
  <c r="AK977" i="1"/>
  <c r="W978" i="1"/>
  <c r="AF978" i="1"/>
  <c r="X978" i="1"/>
  <c r="AG978" i="1"/>
  <c r="Y978" i="1"/>
  <c r="AH978" i="1"/>
  <c r="Z978" i="1"/>
  <c r="AI978" i="1"/>
  <c r="AA978" i="1"/>
  <c r="AJ978" i="1"/>
  <c r="AB978" i="1"/>
  <c r="AK978" i="1"/>
  <c r="W979" i="1"/>
  <c r="AF979" i="1"/>
  <c r="X979" i="1"/>
  <c r="AG979" i="1"/>
  <c r="Y979" i="1"/>
  <c r="AH979" i="1"/>
  <c r="Z979" i="1"/>
  <c r="AI979" i="1"/>
  <c r="AA979" i="1"/>
  <c r="AJ979" i="1"/>
  <c r="AB979" i="1"/>
  <c r="AK979" i="1"/>
  <c r="W980" i="1"/>
  <c r="AF980" i="1"/>
  <c r="X980" i="1"/>
  <c r="AG980" i="1"/>
  <c r="Y980" i="1"/>
  <c r="AH980" i="1"/>
  <c r="Z980" i="1"/>
  <c r="AI980" i="1"/>
  <c r="AA980" i="1"/>
  <c r="AJ980" i="1"/>
  <c r="AB980" i="1"/>
  <c r="AK980" i="1"/>
  <c r="W981" i="1"/>
  <c r="AF981" i="1"/>
  <c r="X981" i="1"/>
  <c r="AG981" i="1"/>
  <c r="Y981" i="1"/>
  <c r="AH981" i="1"/>
  <c r="Z981" i="1"/>
  <c r="AI981" i="1"/>
  <c r="AA981" i="1"/>
  <c r="AJ981" i="1"/>
  <c r="AB981" i="1"/>
  <c r="AK981" i="1"/>
  <c r="W982" i="1"/>
  <c r="AF982" i="1"/>
  <c r="X982" i="1"/>
  <c r="AG982" i="1"/>
  <c r="Y982" i="1"/>
  <c r="AH982" i="1"/>
  <c r="Z982" i="1"/>
  <c r="AI982" i="1"/>
  <c r="AA982" i="1"/>
  <c r="AJ982" i="1"/>
  <c r="AB982" i="1"/>
  <c r="AK982" i="1"/>
  <c r="W983" i="1"/>
  <c r="AF983" i="1"/>
  <c r="X983" i="1"/>
  <c r="AG983" i="1"/>
  <c r="Y983" i="1"/>
  <c r="AH983" i="1"/>
  <c r="Z983" i="1"/>
  <c r="AI983" i="1"/>
  <c r="AA983" i="1"/>
  <c r="AJ983" i="1"/>
  <c r="AB983" i="1"/>
  <c r="AK983" i="1"/>
  <c r="W984" i="1"/>
  <c r="AF984" i="1"/>
  <c r="X984" i="1"/>
  <c r="AG984" i="1"/>
  <c r="Y984" i="1"/>
  <c r="AH984" i="1"/>
  <c r="Z984" i="1"/>
  <c r="AI984" i="1"/>
  <c r="AA984" i="1"/>
  <c r="AJ984" i="1"/>
  <c r="AB984" i="1"/>
  <c r="AK984" i="1"/>
  <c r="W985" i="1"/>
  <c r="AF985" i="1"/>
  <c r="X985" i="1"/>
  <c r="AG985" i="1"/>
  <c r="Y985" i="1"/>
  <c r="AH985" i="1"/>
  <c r="Z985" i="1"/>
  <c r="AI985" i="1"/>
  <c r="AA985" i="1"/>
  <c r="AJ985" i="1"/>
  <c r="AB985" i="1"/>
  <c r="AK985" i="1"/>
  <c r="W986" i="1"/>
  <c r="AF986" i="1"/>
  <c r="X986" i="1"/>
  <c r="AG986" i="1"/>
  <c r="Y986" i="1"/>
  <c r="AH986" i="1"/>
  <c r="Z986" i="1"/>
  <c r="AI986" i="1"/>
  <c r="AA986" i="1"/>
  <c r="AJ986" i="1"/>
  <c r="AB986" i="1"/>
  <c r="AK986" i="1"/>
  <c r="W987" i="1"/>
  <c r="AF987" i="1"/>
  <c r="X987" i="1"/>
  <c r="AG987" i="1"/>
  <c r="Y987" i="1"/>
  <c r="AH987" i="1"/>
  <c r="Z987" i="1"/>
  <c r="AI987" i="1"/>
  <c r="AA987" i="1"/>
  <c r="AJ987" i="1"/>
  <c r="AB987" i="1"/>
  <c r="AK987" i="1"/>
  <c r="W988" i="1"/>
  <c r="AF988" i="1"/>
  <c r="X988" i="1"/>
  <c r="AG988" i="1"/>
  <c r="Y988" i="1"/>
  <c r="AH988" i="1"/>
  <c r="Z988" i="1"/>
  <c r="AI988" i="1"/>
  <c r="AA988" i="1"/>
  <c r="AJ988" i="1"/>
  <c r="AB988" i="1"/>
  <c r="AK988" i="1"/>
  <c r="W989" i="1"/>
  <c r="AF989" i="1"/>
  <c r="X989" i="1"/>
  <c r="AG989" i="1"/>
  <c r="Y989" i="1"/>
  <c r="AH989" i="1"/>
  <c r="Z989" i="1"/>
  <c r="AI989" i="1"/>
  <c r="AA989" i="1"/>
  <c r="AJ989" i="1"/>
  <c r="AB989" i="1"/>
  <c r="AK989" i="1"/>
  <c r="W990" i="1"/>
  <c r="AF990" i="1"/>
  <c r="X990" i="1"/>
  <c r="AG990" i="1"/>
  <c r="Y990" i="1"/>
  <c r="AH990" i="1"/>
  <c r="Z990" i="1"/>
  <c r="AI990" i="1"/>
  <c r="AA990" i="1"/>
  <c r="AJ990" i="1"/>
  <c r="AB990" i="1"/>
  <c r="AK990" i="1"/>
  <c r="W991" i="1"/>
  <c r="AF991" i="1"/>
  <c r="X991" i="1"/>
  <c r="AG991" i="1"/>
  <c r="Y991" i="1"/>
  <c r="AH991" i="1"/>
  <c r="Z991" i="1"/>
  <c r="AI991" i="1"/>
  <c r="AA991" i="1"/>
  <c r="AJ991" i="1"/>
  <c r="AB991" i="1"/>
  <c r="AK991" i="1"/>
  <c r="W992" i="1"/>
  <c r="AF992" i="1"/>
  <c r="X992" i="1"/>
  <c r="AG992" i="1"/>
  <c r="Y992" i="1"/>
  <c r="AH992" i="1"/>
  <c r="Z992" i="1"/>
  <c r="AI992" i="1"/>
  <c r="AA992" i="1"/>
  <c r="AJ992" i="1"/>
  <c r="AB992" i="1"/>
  <c r="AK992" i="1"/>
  <c r="W993" i="1"/>
  <c r="AF993" i="1"/>
  <c r="X993" i="1"/>
  <c r="AG993" i="1"/>
  <c r="Y993" i="1"/>
  <c r="AH993" i="1"/>
  <c r="Z993" i="1"/>
  <c r="AI993" i="1"/>
  <c r="AA993" i="1"/>
  <c r="AJ993" i="1"/>
  <c r="AB993" i="1"/>
  <c r="AK993" i="1"/>
  <c r="W994" i="1"/>
  <c r="AF994" i="1"/>
  <c r="X994" i="1"/>
  <c r="AG994" i="1"/>
  <c r="Y994" i="1"/>
  <c r="AH994" i="1"/>
  <c r="Z994" i="1"/>
  <c r="AI994" i="1"/>
  <c r="AA994" i="1"/>
  <c r="AJ994" i="1"/>
  <c r="AB994" i="1"/>
  <c r="AK994" i="1"/>
  <c r="W995" i="1"/>
  <c r="AF995" i="1"/>
  <c r="X995" i="1"/>
  <c r="AG995" i="1"/>
  <c r="Y995" i="1"/>
  <c r="AH995" i="1"/>
  <c r="Z995" i="1"/>
  <c r="AI995" i="1"/>
  <c r="AA995" i="1"/>
  <c r="AJ995" i="1"/>
  <c r="AB995" i="1"/>
  <c r="AK995" i="1"/>
  <c r="W996" i="1"/>
  <c r="AF996" i="1"/>
  <c r="X996" i="1"/>
  <c r="AG996" i="1"/>
  <c r="Y996" i="1"/>
  <c r="AH996" i="1"/>
  <c r="Z996" i="1"/>
  <c r="AI996" i="1"/>
  <c r="AA996" i="1"/>
  <c r="AJ996" i="1"/>
  <c r="AB996" i="1"/>
  <c r="AK996" i="1"/>
  <c r="W997" i="1"/>
  <c r="AF997" i="1"/>
  <c r="X997" i="1"/>
  <c r="AG997" i="1"/>
  <c r="Y997" i="1"/>
  <c r="AH997" i="1"/>
  <c r="Z997" i="1"/>
  <c r="AI997" i="1"/>
  <c r="AA997" i="1"/>
  <c r="AJ997" i="1"/>
  <c r="AB997" i="1"/>
  <c r="AK997" i="1"/>
  <c r="W998" i="1"/>
  <c r="AF998" i="1"/>
  <c r="X998" i="1"/>
  <c r="AG998" i="1"/>
  <c r="Y998" i="1"/>
  <c r="AH998" i="1"/>
  <c r="Z998" i="1"/>
  <c r="AI998" i="1"/>
  <c r="AA998" i="1"/>
  <c r="AJ998" i="1"/>
  <c r="AB998" i="1"/>
  <c r="AK998" i="1"/>
  <c r="W999" i="1"/>
  <c r="AF999" i="1"/>
  <c r="X999" i="1"/>
  <c r="AG999" i="1"/>
  <c r="Y999" i="1"/>
  <c r="AH999" i="1"/>
  <c r="Z999" i="1"/>
  <c r="AI999" i="1"/>
  <c r="AA999" i="1"/>
  <c r="AJ999" i="1"/>
  <c r="AB999" i="1"/>
  <c r="AK999" i="1"/>
  <c r="W1000" i="1"/>
  <c r="AF1000" i="1"/>
  <c r="X1000" i="1"/>
  <c r="AG1000" i="1"/>
  <c r="Y1000" i="1"/>
  <c r="AH1000" i="1"/>
  <c r="Z1000" i="1"/>
  <c r="AI1000" i="1"/>
  <c r="AA1000" i="1"/>
  <c r="AJ1000" i="1"/>
  <c r="AB1000" i="1"/>
  <c r="AK1000" i="1"/>
  <c r="W1001" i="1"/>
  <c r="AF1001" i="1"/>
  <c r="X1001" i="1"/>
  <c r="AG1001" i="1"/>
  <c r="Y1001" i="1"/>
  <c r="AH1001" i="1"/>
  <c r="Z1001" i="1"/>
  <c r="AI1001" i="1"/>
  <c r="AA1001" i="1"/>
  <c r="AJ1001" i="1"/>
  <c r="AB1001" i="1"/>
  <c r="AK1001" i="1"/>
  <c r="W1002" i="1"/>
  <c r="AF1002" i="1"/>
  <c r="X1002" i="1"/>
  <c r="AG1002" i="1"/>
  <c r="Y1002" i="1"/>
  <c r="AH1002" i="1"/>
  <c r="Z1002" i="1"/>
  <c r="AI1002" i="1"/>
  <c r="AA1002" i="1"/>
  <c r="AJ1002" i="1"/>
  <c r="AB1002" i="1"/>
  <c r="AK1002" i="1"/>
  <c r="W1003" i="1"/>
  <c r="AF1003" i="1"/>
  <c r="X1003" i="1"/>
  <c r="AG1003" i="1"/>
  <c r="Y1003" i="1"/>
  <c r="AH1003" i="1"/>
  <c r="Z1003" i="1"/>
  <c r="AI1003" i="1"/>
  <c r="AA1003" i="1"/>
  <c r="AJ1003" i="1"/>
  <c r="AB1003" i="1"/>
  <c r="AK1003" i="1"/>
  <c r="W1004" i="1"/>
  <c r="AF1004" i="1"/>
  <c r="X1004" i="1"/>
  <c r="AG1004" i="1"/>
  <c r="Y1004" i="1"/>
  <c r="AH1004" i="1"/>
  <c r="Z1004" i="1"/>
  <c r="AI1004" i="1"/>
  <c r="AA1004" i="1"/>
  <c r="AJ1004" i="1"/>
  <c r="AB1004" i="1"/>
  <c r="AK1004" i="1"/>
  <c r="W1005" i="1"/>
  <c r="AF1005" i="1"/>
  <c r="X1005" i="1"/>
  <c r="AG1005" i="1"/>
  <c r="Y1005" i="1"/>
  <c r="AH1005" i="1"/>
  <c r="Z1005" i="1"/>
  <c r="AI1005" i="1"/>
  <c r="AA1005" i="1"/>
  <c r="AJ1005" i="1"/>
  <c r="AB1005" i="1"/>
  <c r="AK1005" i="1"/>
  <c r="W1006" i="1"/>
  <c r="AF1006" i="1"/>
  <c r="X1006" i="1"/>
  <c r="AG1006" i="1"/>
  <c r="Y1006" i="1"/>
  <c r="AH1006" i="1"/>
  <c r="Z1006" i="1"/>
  <c r="AI1006" i="1"/>
  <c r="AA1006" i="1"/>
  <c r="AJ1006" i="1"/>
  <c r="AB1006" i="1"/>
  <c r="AK1006" i="1"/>
  <c r="W1007" i="1"/>
  <c r="AF1007" i="1"/>
  <c r="X1007" i="1"/>
  <c r="AG1007" i="1"/>
  <c r="Y1007" i="1"/>
  <c r="AH1007" i="1"/>
  <c r="Z1007" i="1"/>
  <c r="AI1007" i="1"/>
  <c r="AA1007" i="1"/>
  <c r="AJ1007" i="1"/>
  <c r="AB1007" i="1"/>
  <c r="AK1007" i="1"/>
  <c r="W1008" i="1"/>
  <c r="AF1008" i="1"/>
  <c r="X1008" i="1"/>
  <c r="AG1008" i="1"/>
  <c r="Y1008" i="1"/>
  <c r="AH1008" i="1"/>
  <c r="Z1008" i="1"/>
  <c r="AI1008" i="1"/>
  <c r="AA1008" i="1"/>
  <c r="AJ1008" i="1"/>
  <c r="AB1008" i="1"/>
  <c r="AK1008" i="1"/>
  <c r="W1009" i="1"/>
  <c r="AF1009" i="1"/>
  <c r="X1009" i="1"/>
  <c r="AG1009" i="1"/>
  <c r="Y1009" i="1"/>
  <c r="AH1009" i="1"/>
  <c r="Z1009" i="1"/>
  <c r="AI1009" i="1"/>
  <c r="AA1009" i="1"/>
  <c r="AJ1009" i="1"/>
  <c r="AB1009" i="1"/>
  <c r="AK1009" i="1"/>
  <c r="W1010" i="1"/>
  <c r="AF1010" i="1"/>
  <c r="X1010" i="1"/>
  <c r="AG1010" i="1"/>
  <c r="Y1010" i="1"/>
  <c r="AH1010" i="1"/>
  <c r="Z1010" i="1"/>
  <c r="AI1010" i="1"/>
  <c r="AA1010" i="1"/>
  <c r="AJ1010" i="1"/>
  <c r="AB1010" i="1"/>
  <c r="AK1010" i="1"/>
  <c r="W1011" i="1"/>
  <c r="AF1011" i="1"/>
  <c r="X1011" i="1"/>
  <c r="AG1011" i="1"/>
  <c r="Y1011" i="1"/>
  <c r="AH1011" i="1"/>
  <c r="Z1011" i="1"/>
  <c r="AI1011" i="1"/>
  <c r="AA1011" i="1"/>
  <c r="AJ1011" i="1"/>
  <c r="AB1011" i="1"/>
  <c r="AK1011" i="1"/>
  <c r="W1012" i="1"/>
  <c r="AF1012" i="1"/>
  <c r="X1012" i="1"/>
  <c r="AG1012" i="1"/>
  <c r="Y1012" i="1"/>
  <c r="AH1012" i="1"/>
  <c r="Z1012" i="1"/>
  <c r="AI1012" i="1"/>
  <c r="AA1012" i="1"/>
  <c r="AJ1012" i="1"/>
  <c r="AB1012" i="1"/>
  <c r="AK1012" i="1"/>
  <c r="W1013" i="1"/>
  <c r="AF1013" i="1"/>
  <c r="X1013" i="1"/>
  <c r="AG1013" i="1"/>
  <c r="Y1013" i="1"/>
  <c r="AH1013" i="1"/>
  <c r="Z1013" i="1"/>
  <c r="AI1013" i="1"/>
  <c r="AA1013" i="1"/>
  <c r="AJ1013" i="1"/>
  <c r="AB1013" i="1"/>
  <c r="AK1013" i="1"/>
  <c r="W1014" i="1"/>
  <c r="AF1014" i="1"/>
  <c r="X1014" i="1"/>
  <c r="AG1014" i="1"/>
  <c r="Y1014" i="1"/>
  <c r="AH1014" i="1"/>
  <c r="Z1014" i="1"/>
  <c r="AI1014" i="1"/>
  <c r="AA1014" i="1"/>
  <c r="AJ1014" i="1"/>
  <c r="AB1014" i="1"/>
  <c r="AK1014" i="1"/>
  <c r="W1015" i="1"/>
  <c r="AF1015" i="1"/>
  <c r="X1015" i="1"/>
  <c r="AG1015" i="1"/>
  <c r="Y1015" i="1"/>
  <c r="AH1015" i="1"/>
  <c r="Z1015" i="1"/>
  <c r="AI1015" i="1"/>
  <c r="AA1015" i="1"/>
  <c r="AJ1015" i="1"/>
  <c r="AB1015" i="1"/>
  <c r="AK1015" i="1"/>
  <c r="W1016" i="1"/>
  <c r="AF1016" i="1"/>
  <c r="X1016" i="1"/>
  <c r="AG1016" i="1"/>
  <c r="Y1016" i="1"/>
  <c r="AH1016" i="1"/>
  <c r="Z1016" i="1"/>
  <c r="AI1016" i="1"/>
  <c r="AA1016" i="1"/>
  <c r="AJ1016" i="1"/>
  <c r="AB1016" i="1"/>
  <c r="AK1016" i="1"/>
  <c r="W1017" i="1"/>
  <c r="AF1017" i="1"/>
  <c r="X1017" i="1"/>
  <c r="AG1017" i="1"/>
  <c r="Y1017" i="1"/>
  <c r="AH1017" i="1"/>
  <c r="Z1017" i="1"/>
  <c r="AI1017" i="1"/>
  <c r="AA1017" i="1"/>
  <c r="AJ1017" i="1"/>
  <c r="AB1017" i="1"/>
  <c r="AK1017" i="1"/>
  <c r="W1018" i="1"/>
  <c r="AF1018" i="1"/>
  <c r="X1018" i="1"/>
  <c r="AG1018" i="1"/>
  <c r="Y1018" i="1"/>
  <c r="AH1018" i="1"/>
  <c r="Z1018" i="1"/>
  <c r="AI1018" i="1"/>
  <c r="AA1018" i="1"/>
  <c r="AJ1018" i="1"/>
  <c r="AB1018" i="1"/>
  <c r="AK1018" i="1"/>
  <c r="W1019" i="1"/>
  <c r="AF1019" i="1"/>
  <c r="X1019" i="1"/>
  <c r="AG1019" i="1"/>
  <c r="Y1019" i="1"/>
  <c r="AH1019" i="1"/>
  <c r="Z1019" i="1"/>
  <c r="AI1019" i="1"/>
  <c r="AA1019" i="1"/>
  <c r="AJ1019" i="1"/>
  <c r="AB1019" i="1"/>
  <c r="AK1019" i="1"/>
  <c r="W1020" i="1"/>
  <c r="AF1020" i="1"/>
  <c r="X1020" i="1"/>
  <c r="AG1020" i="1"/>
  <c r="Y1020" i="1"/>
  <c r="AH1020" i="1"/>
  <c r="Z1020" i="1"/>
  <c r="AI1020" i="1"/>
  <c r="AA1020" i="1"/>
  <c r="AJ1020" i="1"/>
  <c r="AB1020" i="1"/>
  <c r="AK1020" i="1"/>
  <c r="W1021" i="1"/>
  <c r="AF1021" i="1"/>
  <c r="X1021" i="1"/>
  <c r="AG1021" i="1"/>
  <c r="Y1021" i="1"/>
  <c r="AH1021" i="1"/>
  <c r="Z1021" i="1"/>
  <c r="AI1021" i="1"/>
  <c r="AA1021" i="1"/>
  <c r="AJ1021" i="1"/>
  <c r="AB1021" i="1"/>
  <c r="AK1021" i="1"/>
  <c r="W1022" i="1"/>
  <c r="AF1022" i="1"/>
  <c r="X1022" i="1"/>
  <c r="AG1022" i="1"/>
  <c r="Y1022" i="1"/>
  <c r="AH1022" i="1"/>
  <c r="Z1022" i="1"/>
  <c r="AI1022" i="1"/>
  <c r="AA1022" i="1"/>
  <c r="AJ1022" i="1"/>
  <c r="AB1022" i="1"/>
  <c r="AK1022" i="1"/>
  <c r="W1023" i="1"/>
  <c r="AF1023" i="1"/>
  <c r="X1023" i="1"/>
  <c r="AG1023" i="1"/>
  <c r="Y1023" i="1"/>
  <c r="AH1023" i="1"/>
  <c r="Z1023" i="1"/>
  <c r="AI1023" i="1"/>
  <c r="AA1023" i="1"/>
  <c r="AJ1023" i="1"/>
  <c r="AB1023" i="1"/>
  <c r="AK1023" i="1"/>
  <c r="W1024" i="1"/>
  <c r="AF1024" i="1"/>
  <c r="X1024" i="1"/>
  <c r="AG1024" i="1"/>
  <c r="Y1024" i="1"/>
  <c r="AH1024" i="1"/>
  <c r="Z1024" i="1"/>
  <c r="AI1024" i="1"/>
  <c r="AA1024" i="1"/>
  <c r="AJ1024" i="1"/>
  <c r="AB1024" i="1"/>
  <c r="AK1024" i="1"/>
  <c r="W1025" i="1"/>
  <c r="AF1025" i="1"/>
  <c r="X1025" i="1"/>
  <c r="AG1025" i="1"/>
  <c r="Y1025" i="1"/>
  <c r="AH1025" i="1"/>
  <c r="Z1025" i="1"/>
  <c r="AI1025" i="1"/>
  <c r="AA1025" i="1"/>
  <c r="AJ1025" i="1"/>
  <c r="AB1025" i="1"/>
  <c r="AK1025" i="1"/>
  <c r="W1026" i="1"/>
  <c r="AF1026" i="1"/>
  <c r="X1026" i="1"/>
  <c r="AG1026" i="1"/>
  <c r="Y1026" i="1"/>
  <c r="AH1026" i="1"/>
  <c r="Z1026" i="1"/>
  <c r="AI1026" i="1"/>
  <c r="AA1026" i="1"/>
  <c r="AJ1026" i="1"/>
  <c r="AB1026" i="1"/>
  <c r="AK1026" i="1"/>
  <c r="W1027" i="1"/>
  <c r="AF1027" i="1"/>
  <c r="X1027" i="1"/>
  <c r="AG1027" i="1"/>
  <c r="Y1027" i="1"/>
  <c r="AH1027" i="1"/>
  <c r="Z1027" i="1"/>
  <c r="AI1027" i="1"/>
  <c r="AA1027" i="1"/>
  <c r="AJ1027" i="1"/>
  <c r="AB1027" i="1"/>
  <c r="AK1027" i="1"/>
  <c r="W1028" i="1"/>
  <c r="AF1028" i="1"/>
  <c r="X1028" i="1"/>
  <c r="AG1028" i="1"/>
  <c r="Y1028" i="1"/>
  <c r="AH1028" i="1"/>
  <c r="Z1028" i="1"/>
  <c r="AI1028" i="1"/>
  <c r="AA1028" i="1"/>
  <c r="AJ1028" i="1"/>
  <c r="AB1028" i="1"/>
  <c r="AK1028" i="1"/>
  <c r="W1029" i="1"/>
  <c r="AF1029" i="1"/>
  <c r="X1029" i="1"/>
  <c r="AG1029" i="1"/>
  <c r="Y1029" i="1"/>
  <c r="AH1029" i="1"/>
  <c r="Z1029" i="1"/>
  <c r="AI1029" i="1"/>
  <c r="AA1029" i="1"/>
  <c r="AJ1029" i="1"/>
  <c r="AB1029" i="1"/>
  <c r="AK1029" i="1"/>
  <c r="W1030" i="1"/>
  <c r="AF1030" i="1"/>
  <c r="X1030" i="1"/>
  <c r="AG1030" i="1"/>
  <c r="Y1030" i="1"/>
  <c r="AH1030" i="1"/>
  <c r="Z1030" i="1"/>
  <c r="AI1030" i="1"/>
  <c r="AA1030" i="1"/>
  <c r="AJ1030" i="1"/>
  <c r="AB1030" i="1"/>
  <c r="AK1030" i="1"/>
  <c r="W1031" i="1"/>
  <c r="AF1031" i="1"/>
  <c r="X1031" i="1"/>
  <c r="AG1031" i="1"/>
  <c r="Y1031" i="1"/>
  <c r="AH1031" i="1"/>
  <c r="Z1031" i="1"/>
  <c r="AI1031" i="1"/>
  <c r="AA1031" i="1"/>
  <c r="AJ1031" i="1"/>
  <c r="AB1031" i="1"/>
  <c r="AK1031" i="1"/>
  <c r="W1032" i="1"/>
  <c r="AF1032" i="1"/>
  <c r="X1032" i="1"/>
  <c r="AG1032" i="1"/>
  <c r="Y1032" i="1"/>
  <c r="AH1032" i="1"/>
  <c r="Z1032" i="1"/>
  <c r="AI1032" i="1"/>
  <c r="AA1032" i="1"/>
  <c r="AJ1032" i="1"/>
  <c r="AB1032" i="1"/>
  <c r="AK1032" i="1"/>
  <c r="W1033" i="1"/>
  <c r="AF1033" i="1"/>
  <c r="X1033" i="1"/>
  <c r="AG1033" i="1"/>
  <c r="Y1033" i="1"/>
  <c r="AH1033" i="1"/>
  <c r="Z1033" i="1"/>
  <c r="AI1033" i="1"/>
  <c r="AA1033" i="1"/>
  <c r="AJ1033" i="1"/>
  <c r="AB1033" i="1"/>
  <c r="AK1033" i="1"/>
  <c r="W1034" i="1"/>
  <c r="AF1034" i="1"/>
  <c r="X1034" i="1"/>
  <c r="AG1034" i="1"/>
  <c r="Y1034" i="1"/>
  <c r="AH1034" i="1"/>
  <c r="Z1034" i="1"/>
  <c r="AI1034" i="1"/>
  <c r="AA1034" i="1"/>
  <c r="AJ1034" i="1"/>
  <c r="AB1034" i="1"/>
  <c r="AK1034" i="1"/>
  <c r="W1035" i="1"/>
  <c r="AF1035" i="1"/>
  <c r="X1035" i="1"/>
  <c r="AG1035" i="1"/>
  <c r="Y1035" i="1"/>
  <c r="AH1035" i="1"/>
  <c r="Z1035" i="1"/>
  <c r="AI1035" i="1"/>
  <c r="AA1035" i="1"/>
  <c r="AJ1035" i="1"/>
  <c r="AB1035" i="1"/>
  <c r="AK1035" i="1"/>
  <c r="W1036" i="1"/>
  <c r="AF1036" i="1"/>
  <c r="X1036" i="1"/>
  <c r="AG1036" i="1"/>
  <c r="Y1036" i="1"/>
  <c r="AH1036" i="1"/>
  <c r="Z1036" i="1"/>
  <c r="AI1036" i="1"/>
  <c r="AA1036" i="1"/>
  <c r="AJ1036" i="1"/>
  <c r="AB1036" i="1"/>
  <c r="AK1036" i="1"/>
  <c r="W1037" i="1"/>
  <c r="AF1037" i="1"/>
  <c r="X1037" i="1"/>
  <c r="AG1037" i="1"/>
  <c r="Y1037" i="1"/>
  <c r="AH1037" i="1"/>
  <c r="Z1037" i="1"/>
  <c r="AI1037" i="1"/>
  <c r="AA1037" i="1"/>
  <c r="AJ1037" i="1"/>
  <c r="AB1037" i="1"/>
  <c r="AK1037" i="1"/>
  <c r="W1038" i="1"/>
  <c r="AF1038" i="1"/>
  <c r="X1038" i="1"/>
  <c r="AG1038" i="1"/>
  <c r="Y1038" i="1"/>
  <c r="AH1038" i="1"/>
  <c r="Z1038" i="1"/>
  <c r="AI1038" i="1"/>
  <c r="AA1038" i="1"/>
  <c r="AJ1038" i="1"/>
  <c r="AB1038" i="1"/>
  <c r="AK1038" i="1"/>
  <c r="W1039" i="1"/>
  <c r="AF1039" i="1"/>
  <c r="X1039" i="1"/>
  <c r="AG1039" i="1"/>
  <c r="Y1039" i="1"/>
  <c r="AH1039" i="1"/>
  <c r="Z1039" i="1"/>
  <c r="AI1039" i="1"/>
  <c r="AA1039" i="1"/>
  <c r="AJ1039" i="1"/>
  <c r="AB1039" i="1"/>
  <c r="AK1039" i="1"/>
  <c r="W1040" i="1"/>
  <c r="AF1040" i="1"/>
  <c r="X1040" i="1"/>
  <c r="AG1040" i="1"/>
  <c r="Y1040" i="1"/>
  <c r="AH1040" i="1"/>
  <c r="Z1040" i="1"/>
  <c r="AI1040" i="1"/>
  <c r="AA1040" i="1"/>
  <c r="AJ1040" i="1"/>
  <c r="AB1040" i="1"/>
  <c r="AK1040" i="1"/>
  <c r="W1041" i="1"/>
  <c r="AF1041" i="1"/>
  <c r="X1041" i="1"/>
  <c r="AG1041" i="1"/>
  <c r="Y1041" i="1"/>
  <c r="AH1041" i="1"/>
  <c r="Z1041" i="1"/>
  <c r="AI1041" i="1"/>
  <c r="AA1041" i="1"/>
  <c r="AJ1041" i="1"/>
  <c r="AB1041" i="1"/>
  <c r="AK1041" i="1"/>
  <c r="W1042" i="1"/>
  <c r="AF1042" i="1"/>
  <c r="X1042" i="1"/>
  <c r="AG1042" i="1"/>
  <c r="Y1042" i="1"/>
  <c r="AH1042" i="1"/>
  <c r="Z1042" i="1"/>
  <c r="AI1042" i="1"/>
  <c r="AA1042" i="1"/>
  <c r="AJ1042" i="1"/>
  <c r="AB1042" i="1"/>
  <c r="AK1042" i="1"/>
  <c r="W1043" i="1"/>
  <c r="AF1043" i="1"/>
  <c r="X1043" i="1"/>
  <c r="AG1043" i="1"/>
  <c r="Y1043" i="1"/>
  <c r="AH1043" i="1"/>
  <c r="Z1043" i="1"/>
  <c r="AI1043" i="1"/>
  <c r="AA1043" i="1"/>
  <c r="AJ1043" i="1"/>
  <c r="AB1043" i="1"/>
  <c r="AK1043" i="1"/>
  <c r="W1044" i="1"/>
  <c r="AF1044" i="1"/>
  <c r="X1044" i="1"/>
  <c r="AG1044" i="1"/>
  <c r="Y1044" i="1"/>
  <c r="AH1044" i="1"/>
  <c r="Z1044" i="1"/>
  <c r="AI1044" i="1"/>
  <c r="AA1044" i="1"/>
  <c r="AJ1044" i="1"/>
  <c r="AB1044" i="1"/>
  <c r="AK1044" i="1"/>
  <c r="W1045" i="1"/>
  <c r="AF1045" i="1"/>
  <c r="X1045" i="1"/>
  <c r="AG1045" i="1"/>
  <c r="Y1045" i="1"/>
  <c r="AH1045" i="1"/>
  <c r="Z1045" i="1"/>
  <c r="AI1045" i="1"/>
  <c r="AA1045" i="1"/>
  <c r="AJ1045" i="1"/>
  <c r="AB1045" i="1"/>
  <c r="AK1045" i="1"/>
  <c r="W1046" i="1"/>
  <c r="AF1046" i="1"/>
  <c r="X1046" i="1"/>
  <c r="AG1046" i="1"/>
  <c r="Y1046" i="1"/>
  <c r="AH1046" i="1"/>
  <c r="Z1046" i="1"/>
  <c r="AI1046" i="1"/>
  <c r="AA1046" i="1"/>
  <c r="AJ1046" i="1"/>
  <c r="AB1046" i="1"/>
  <c r="AK1046" i="1"/>
  <c r="W1047" i="1"/>
  <c r="AF1047" i="1"/>
  <c r="X1047" i="1"/>
  <c r="AG1047" i="1"/>
  <c r="Y1047" i="1"/>
  <c r="AH1047" i="1"/>
  <c r="Z1047" i="1"/>
  <c r="AI1047" i="1"/>
  <c r="AA1047" i="1"/>
  <c r="AJ1047" i="1"/>
  <c r="AB1047" i="1"/>
  <c r="AK1047" i="1"/>
  <c r="W1048" i="1"/>
  <c r="AF1048" i="1"/>
  <c r="X1048" i="1"/>
  <c r="AG1048" i="1"/>
  <c r="Y1048" i="1"/>
  <c r="AH1048" i="1"/>
  <c r="Z1048" i="1"/>
  <c r="AI1048" i="1"/>
  <c r="AA1048" i="1"/>
  <c r="AJ1048" i="1"/>
  <c r="AB1048" i="1"/>
  <c r="AK1048" i="1"/>
  <c r="W1049" i="1"/>
  <c r="AF1049" i="1"/>
  <c r="X1049" i="1"/>
  <c r="AG1049" i="1"/>
  <c r="Y1049" i="1"/>
  <c r="AH1049" i="1"/>
  <c r="Z1049" i="1"/>
  <c r="AI1049" i="1"/>
  <c r="AA1049" i="1"/>
  <c r="AJ1049" i="1"/>
  <c r="AB1049" i="1"/>
  <c r="AK1049" i="1"/>
  <c r="W1050" i="1"/>
  <c r="AF1050" i="1"/>
  <c r="X1050" i="1"/>
  <c r="AG1050" i="1"/>
  <c r="Y1050" i="1"/>
  <c r="AH1050" i="1"/>
  <c r="Z1050" i="1"/>
  <c r="AI1050" i="1"/>
  <c r="AA1050" i="1"/>
  <c r="AJ1050" i="1"/>
  <c r="AB1050" i="1"/>
  <c r="AK1050" i="1"/>
  <c r="W1051" i="1"/>
  <c r="AF1051" i="1"/>
  <c r="X1051" i="1"/>
  <c r="AG1051" i="1"/>
  <c r="Y1051" i="1"/>
  <c r="AH1051" i="1"/>
  <c r="Z1051" i="1"/>
  <c r="AI1051" i="1"/>
  <c r="AA1051" i="1"/>
  <c r="AJ1051" i="1"/>
  <c r="AB1051" i="1"/>
  <c r="AK1051" i="1"/>
  <c r="W1052" i="1"/>
  <c r="AF1052" i="1"/>
  <c r="X1052" i="1"/>
  <c r="AG1052" i="1"/>
  <c r="Y1052" i="1"/>
  <c r="AH1052" i="1"/>
  <c r="Z1052" i="1"/>
  <c r="AI1052" i="1"/>
  <c r="AA1052" i="1"/>
  <c r="AJ1052" i="1"/>
  <c r="AB1052" i="1"/>
  <c r="AK1052" i="1"/>
  <c r="W1053" i="1"/>
  <c r="AF1053" i="1"/>
  <c r="X1053" i="1"/>
  <c r="AG1053" i="1"/>
  <c r="Y1053" i="1"/>
  <c r="AH1053" i="1"/>
  <c r="Z1053" i="1"/>
  <c r="AI1053" i="1"/>
  <c r="AA1053" i="1"/>
  <c r="AJ1053" i="1"/>
  <c r="AB1053" i="1"/>
  <c r="AK1053" i="1"/>
  <c r="W1054" i="1"/>
  <c r="AF1054" i="1"/>
  <c r="X1054" i="1"/>
  <c r="AG1054" i="1"/>
  <c r="Y1054" i="1"/>
  <c r="AH1054" i="1"/>
  <c r="Z1054" i="1"/>
  <c r="AI1054" i="1"/>
  <c r="AA1054" i="1"/>
  <c r="AJ1054" i="1"/>
  <c r="AB1054" i="1"/>
  <c r="AK1054" i="1"/>
  <c r="W1055" i="1"/>
  <c r="AF1055" i="1"/>
  <c r="X1055" i="1"/>
  <c r="AG1055" i="1"/>
  <c r="Y1055" i="1"/>
  <c r="AH1055" i="1"/>
  <c r="Z1055" i="1"/>
  <c r="AI1055" i="1"/>
  <c r="AA1055" i="1"/>
  <c r="AJ1055" i="1"/>
  <c r="AB1055" i="1"/>
  <c r="AK1055" i="1"/>
  <c r="W1056" i="1"/>
  <c r="AF1056" i="1"/>
  <c r="X1056" i="1"/>
  <c r="AG1056" i="1"/>
  <c r="Y1056" i="1"/>
  <c r="AH1056" i="1"/>
  <c r="Z1056" i="1"/>
  <c r="AI1056" i="1"/>
  <c r="AA1056" i="1"/>
  <c r="AJ1056" i="1"/>
  <c r="AB1056" i="1"/>
  <c r="AK1056" i="1"/>
  <c r="W1057" i="1"/>
  <c r="AF1057" i="1"/>
  <c r="X1057" i="1"/>
  <c r="AG1057" i="1"/>
  <c r="Y1057" i="1"/>
  <c r="Z1057" i="1"/>
  <c r="AI1057" i="1" s="1"/>
  <c r="AA1057" i="1"/>
  <c r="AJ1057" i="1" s="1"/>
  <c r="AB1057" i="1"/>
  <c r="AK1057" i="1" s="1"/>
  <c r="AH1057" i="1"/>
  <c r="W1058" i="1"/>
  <c r="AF1058" i="1" s="1"/>
  <c r="X1058" i="1"/>
  <c r="AG1058" i="1" s="1"/>
  <c r="Y1058" i="1"/>
  <c r="AH1058" i="1" s="1"/>
  <c r="Z1058" i="1"/>
  <c r="AI1058" i="1" s="1"/>
  <c r="AA1058" i="1"/>
  <c r="AJ1058" i="1" s="1"/>
  <c r="AB1058" i="1"/>
  <c r="AK1058" i="1" s="1"/>
  <c r="W1059" i="1"/>
  <c r="AF1059" i="1" s="1"/>
  <c r="X1059" i="1"/>
  <c r="AG1059" i="1" s="1"/>
  <c r="Y1059" i="1"/>
  <c r="AH1059" i="1" s="1"/>
  <c r="Z1059" i="1"/>
  <c r="AI1059" i="1" s="1"/>
  <c r="AA1059" i="1"/>
  <c r="AJ1059" i="1" s="1"/>
  <c r="AB1059" i="1"/>
  <c r="AK1059" i="1" s="1"/>
  <c r="W1060" i="1"/>
  <c r="AF1060" i="1" s="1"/>
  <c r="X1060" i="1"/>
  <c r="AG1060" i="1" s="1"/>
  <c r="Y1060" i="1"/>
  <c r="AH1060" i="1" s="1"/>
  <c r="Z1060" i="1"/>
  <c r="AI1060" i="1" s="1"/>
  <c r="AA1060" i="1"/>
  <c r="AJ1060" i="1" s="1"/>
  <c r="AB1060" i="1"/>
  <c r="AK1060" i="1" s="1"/>
  <c r="W1061" i="1"/>
  <c r="AF1061" i="1" s="1"/>
  <c r="X1061" i="1"/>
  <c r="AG1061" i="1" s="1"/>
  <c r="Y1061" i="1"/>
  <c r="AH1061" i="1" s="1"/>
  <c r="Z1061" i="1"/>
  <c r="AI1061" i="1" s="1"/>
  <c r="AA1061" i="1"/>
  <c r="AJ1061" i="1" s="1"/>
  <c r="AB1061" i="1"/>
  <c r="AK1061" i="1" s="1"/>
  <c r="W1062" i="1"/>
  <c r="AF1062" i="1" s="1"/>
  <c r="X1062" i="1"/>
  <c r="AG1062" i="1" s="1"/>
  <c r="Y1062" i="1"/>
  <c r="AH1062" i="1" s="1"/>
  <c r="Z1062" i="1"/>
  <c r="AI1062" i="1" s="1"/>
  <c r="AA1062" i="1"/>
  <c r="AJ1062" i="1" s="1"/>
  <c r="AB1062" i="1"/>
  <c r="AK1062" i="1" s="1"/>
  <c r="W1063" i="1"/>
  <c r="AF1063" i="1" s="1"/>
  <c r="X1063" i="1"/>
  <c r="AG1063" i="1" s="1"/>
  <c r="Y1063" i="1"/>
  <c r="AH1063" i="1" s="1"/>
  <c r="Z1063" i="1"/>
  <c r="AI1063" i="1" s="1"/>
  <c r="AA1063" i="1"/>
  <c r="AJ1063" i="1" s="1"/>
  <c r="AB1063" i="1"/>
  <c r="AK1063" i="1" s="1"/>
  <c r="W1064" i="1"/>
  <c r="AF1064" i="1" s="1"/>
  <c r="X1064" i="1"/>
  <c r="AG1064" i="1" s="1"/>
  <c r="Y1064" i="1"/>
  <c r="AH1064" i="1" s="1"/>
  <c r="Z1064" i="1"/>
  <c r="AI1064" i="1" s="1"/>
  <c r="AA1064" i="1"/>
  <c r="AJ1064" i="1" s="1"/>
  <c r="AB1064" i="1"/>
  <c r="AK1064" i="1" s="1"/>
  <c r="W1065" i="1"/>
  <c r="AF1065" i="1" s="1"/>
  <c r="X1065" i="1"/>
  <c r="AG1065" i="1" s="1"/>
  <c r="Y1065" i="1"/>
  <c r="AH1065" i="1" s="1"/>
  <c r="Z1065" i="1"/>
  <c r="AI1065" i="1" s="1"/>
  <c r="AA1065" i="1"/>
  <c r="AJ1065" i="1" s="1"/>
  <c r="AB1065" i="1"/>
  <c r="AK1065" i="1" s="1"/>
  <c r="W1066" i="1"/>
  <c r="AF1066" i="1" s="1"/>
  <c r="X1066" i="1"/>
  <c r="AG1066" i="1" s="1"/>
  <c r="Y1066" i="1"/>
  <c r="AH1066" i="1" s="1"/>
  <c r="Z1066" i="1"/>
  <c r="AI1066" i="1" s="1"/>
  <c r="AA1066" i="1"/>
  <c r="AJ1066" i="1" s="1"/>
  <c r="AB1066" i="1"/>
  <c r="AK1066" i="1" s="1"/>
  <c r="W1067" i="1"/>
  <c r="AF1067" i="1" s="1"/>
  <c r="X1067" i="1"/>
  <c r="AG1067" i="1" s="1"/>
  <c r="Y1067" i="1"/>
  <c r="AH1067" i="1" s="1"/>
  <c r="Z1067" i="1"/>
  <c r="AI1067" i="1" s="1"/>
  <c r="AA1067" i="1"/>
  <c r="AJ1067" i="1" s="1"/>
  <c r="AB1067" i="1"/>
  <c r="AK1067" i="1" s="1"/>
  <c r="W1068" i="1"/>
  <c r="AF1068" i="1" s="1"/>
  <c r="X1068" i="1"/>
  <c r="AG1068" i="1" s="1"/>
  <c r="Y1068" i="1"/>
  <c r="AH1068" i="1" s="1"/>
  <c r="Z1068" i="1"/>
  <c r="AI1068" i="1" s="1"/>
  <c r="AA1068" i="1"/>
  <c r="AJ1068" i="1" s="1"/>
  <c r="AB1068" i="1"/>
  <c r="AK1068" i="1" s="1"/>
  <c r="W1069" i="1"/>
  <c r="AF1069" i="1" s="1"/>
  <c r="X1069" i="1"/>
  <c r="AG1069" i="1" s="1"/>
  <c r="Y1069" i="1"/>
  <c r="AH1069" i="1" s="1"/>
  <c r="Z1069" i="1"/>
  <c r="AI1069" i="1" s="1"/>
  <c r="AA1069" i="1"/>
  <c r="AJ1069" i="1" s="1"/>
  <c r="AB1069" i="1"/>
  <c r="AK1069" i="1" s="1"/>
  <c r="W1070" i="1"/>
  <c r="AF1070" i="1" s="1"/>
  <c r="X1070" i="1"/>
  <c r="AG1070" i="1" s="1"/>
  <c r="Y1070" i="1"/>
  <c r="AH1070" i="1" s="1"/>
  <c r="Z1070" i="1"/>
  <c r="AI1070" i="1" s="1"/>
  <c r="AA1070" i="1"/>
  <c r="AJ1070" i="1" s="1"/>
  <c r="AB1070" i="1"/>
  <c r="AK1070" i="1" s="1"/>
  <c r="W1071" i="1"/>
  <c r="AF1071" i="1" s="1"/>
  <c r="X1071" i="1"/>
  <c r="AG1071" i="1" s="1"/>
  <c r="Y1071" i="1"/>
  <c r="AH1071" i="1" s="1"/>
  <c r="Z1071" i="1"/>
  <c r="AI1071" i="1" s="1"/>
  <c r="AA1071" i="1"/>
  <c r="AJ1071" i="1" s="1"/>
  <c r="AB1071" i="1"/>
  <c r="AK1071" i="1" s="1"/>
  <c r="W1072" i="1"/>
  <c r="AF1072" i="1" s="1"/>
  <c r="X1072" i="1"/>
  <c r="AG1072" i="1" s="1"/>
  <c r="Y1072" i="1"/>
  <c r="AH1072" i="1" s="1"/>
  <c r="Z1072" i="1"/>
  <c r="AI1072" i="1" s="1"/>
  <c r="AA1072" i="1"/>
  <c r="AJ1072" i="1" s="1"/>
  <c r="AB1072" i="1"/>
  <c r="AK1072" i="1" s="1"/>
  <c r="W1073" i="1"/>
  <c r="AF1073" i="1" s="1"/>
  <c r="X1073" i="1"/>
  <c r="AG1073" i="1" s="1"/>
  <c r="Y1073" i="1"/>
  <c r="AH1073" i="1" s="1"/>
  <c r="Z1073" i="1"/>
  <c r="AI1073" i="1" s="1"/>
  <c r="AA1073" i="1"/>
  <c r="AJ1073" i="1" s="1"/>
  <c r="AB1073" i="1"/>
  <c r="AK1073" i="1" s="1"/>
  <c r="W1074" i="1"/>
  <c r="AF1074" i="1" s="1"/>
  <c r="X1074" i="1"/>
  <c r="AG1074" i="1" s="1"/>
  <c r="Y1074" i="1"/>
  <c r="AH1074" i="1" s="1"/>
  <c r="Z1074" i="1"/>
  <c r="AI1074" i="1" s="1"/>
  <c r="AA1074" i="1"/>
  <c r="AJ1074" i="1" s="1"/>
  <c r="AB1074" i="1"/>
  <c r="AK1074" i="1" s="1"/>
  <c r="W1075" i="1"/>
  <c r="AF1075" i="1" s="1"/>
  <c r="X1075" i="1"/>
  <c r="AG1075" i="1" s="1"/>
  <c r="Y1075" i="1"/>
  <c r="AH1075" i="1" s="1"/>
  <c r="Z1075" i="1"/>
  <c r="AI1075" i="1" s="1"/>
  <c r="AA1075" i="1"/>
  <c r="AJ1075" i="1" s="1"/>
  <c r="AB1075" i="1"/>
  <c r="AK1075" i="1" s="1"/>
  <c r="W1076" i="1"/>
  <c r="AF1076" i="1" s="1"/>
  <c r="X1076" i="1"/>
  <c r="AG1076" i="1" s="1"/>
  <c r="Y1076" i="1"/>
  <c r="AH1076" i="1" s="1"/>
  <c r="Z1076" i="1"/>
  <c r="AI1076" i="1" s="1"/>
  <c r="AA1076" i="1"/>
  <c r="AJ1076" i="1" s="1"/>
  <c r="AB1076" i="1"/>
  <c r="AK1076" i="1" s="1"/>
  <c r="W1077" i="1"/>
  <c r="AF1077" i="1" s="1"/>
  <c r="X1077" i="1"/>
  <c r="AG1077" i="1" s="1"/>
  <c r="Y1077" i="1"/>
  <c r="Z1077" i="1"/>
  <c r="AI1077" i="1" s="1"/>
  <c r="AA1077" i="1"/>
  <c r="AJ1077" i="1" s="1"/>
  <c r="AB1077" i="1"/>
  <c r="AK1077" i="1" s="1"/>
  <c r="AH1077" i="1"/>
  <c r="W1078" i="1"/>
  <c r="AF1078" i="1"/>
  <c r="X1078" i="1"/>
  <c r="AG1078" i="1"/>
  <c r="Y1078" i="1"/>
  <c r="AH1078" i="1"/>
  <c r="Z1078" i="1"/>
  <c r="AI1078" i="1"/>
  <c r="AA1078" i="1"/>
  <c r="AJ1078" i="1"/>
  <c r="AB1078" i="1"/>
  <c r="AK1078" i="1"/>
  <c r="W1079" i="1"/>
  <c r="AF1079" i="1"/>
  <c r="X1079" i="1"/>
  <c r="AG1079" i="1"/>
  <c r="Y1079" i="1"/>
  <c r="AH1079" i="1"/>
  <c r="Z1079" i="1"/>
  <c r="AI1079" i="1"/>
  <c r="AA1079" i="1"/>
  <c r="AJ1079" i="1"/>
  <c r="AB1079" i="1"/>
  <c r="AK1079" i="1"/>
  <c r="W1080" i="1"/>
  <c r="AF1080" i="1"/>
  <c r="X1080" i="1"/>
  <c r="AG1080" i="1"/>
  <c r="Y1080" i="1"/>
  <c r="AH1080" i="1"/>
  <c r="Z1080" i="1"/>
  <c r="AI1080" i="1"/>
  <c r="AA1080" i="1"/>
  <c r="AJ1080" i="1"/>
  <c r="AB1080" i="1"/>
  <c r="AK1080" i="1"/>
  <c r="W1081" i="1"/>
  <c r="AF1081" i="1"/>
  <c r="X1081" i="1"/>
  <c r="AG1081" i="1"/>
  <c r="Y1081" i="1"/>
  <c r="AH1081" i="1"/>
  <c r="Z1081" i="1"/>
  <c r="AI1081" i="1"/>
  <c r="AA1081" i="1"/>
  <c r="AJ1081" i="1"/>
  <c r="AB1081" i="1"/>
  <c r="AK1081" i="1"/>
  <c r="W1082" i="1"/>
  <c r="AF1082" i="1"/>
  <c r="X1082" i="1"/>
  <c r="AG1082" i="1"/>
  <c r="Y1082" i="1"/>
  <c r="AH1082" i="1"/>
  <c r="Z1082" i="1"/>
  <c r="AI1082" i="1"/>
  <c r="AA1082" i="1"/>
  <c r="AJ1082" i="1"/>
  <c r="AB1082" i="1"/>
  <c r="AK1082" i="1"/>
  <c r="W1083" i="1"/>
  <c r="AF1083" i="1"/>
  <c r="X1083" i="1"/>
  <c r="AG1083" i="1"/>
  <c r="Y1083" i="1"/>
  <c r="AH1083" i="1"/>
  <c r="Z1083" i="1"/>
  <c r="AI1083" i="1"/>
  <c r="AA1083" i="1"/>
  <c r="AJ1083" i="1"/>
  <c r="AB1083" i="1"/>
  <c r="AK1083" i="1"/>
  <c r="W1084" i="1"/>
  <c r="AF1084" i="1"/>
  <c r="X1084" i="1"/>
  <c r="AG1084" i="1"/>
  <c r="Y1084" i="1"/>
  <c r="AH1084" i="1"/>
  <c r="Z1084" i="1"/>
  <c r="AI1084" i="1"/>
  <c r="AA1084" i="1"/>
  <c r="AJ1084" i="1"/>
  <c r="AB1084" i="1"/>
  <c r="AK1084" i="1"/>
  <c r="W1085" i="1"/>
  <c r="AF1085" i="1"/>
  <c r="X1085" i="1"/>
  <c r="AG1085" i="1"/>
  <c r="Y1085" i="1"/>
  <c r="AH1085" i="1"/>
  <c r="Z1085" i="1"/>
  <c r="AI1085" i="1"/>
  <c r="AA1085" i="1"/>
  <c r="AJ1085" i="1"/>
  <c r="AB1085" i="1"/>
  <c r="AK1085" i="1"/>
  <c r="W1086" i="1"/>
  <c r="AF1086" i="1"/>
  <c r="X1086" i="1"/>
  <c r="AG1086" i="1"/>
  <c r="Y1086" i="1"/>
  <c r="AH1086" i="1"/>
  <c r="Z1086" i="1"/>
  <c r="AI1086" i="1"/>
  <c r="AA1086" i="1"/>
  <c r="AJ1086" i="1"/>
  <c r="AB1086" i="1"/>
  <c r="AK1086" i="1"/>
  <c r="W1087" i="1"/>
  <c r="AF1087" i="1"/>
  <c r="X1087" i="1"/>
  <c r="AG1087" i="1"/>
  <c r="Y1087" i="1"/>
  <c r="AH1087" i="1"/>
  <c r="Z1087" i="1"/>
  <c r="AI1087" i="1"/>
  <c r="AA1087" i="1"/>
  <c r="AJ1087" i="1"/>
  <c r="AB1087" i="1"/>
  <c r="AK1087" i="1"/>
  <c r="W1088" i="1"/>
  <c r="AF1088" i="1"/>
  <c r="X1088" i="1"/>
  <c r="AG1088" i="1"/>
  <c r="Y1088" i="1"/>
  <c r="AH1088" i="1"/>
  <c r="Z1088" i="1"/>
  <c r="AI1088" i="1"/>
  <c r="AA1088" i="1"/>
  <c r="AJ1088" i="1"/>
  <c r="AB1088" i="1"/>
  <c r="AK1088" i="1"/>
  <c r="W1089" i="1"/>
  <c r="AF1089" i="1"/>
  <c r="X1089" i="1"/>
  <c r="AG1089" i="1"/>
  <c r="Y1089" i="1"/>
  <c r="AH1089" i="1"/>
  <c r="Z1089" i="1"/>
  <c r="AI1089" i="1"/>
  <c r="AA1089" i="1"/>
  <c r="AJ1089" i="1"/>
  <c r="AB1089" i="1"/>
  <c r="AK1089" i="1"/>
  <c r="W1090" i="1"/>
  <c r="AF1090" i="1"/>
  <c r="X1090" i="1"/>
  <c r="AG1090" i="1"/>
  <c r="Y1090" i="1"/>
  <c r="AH1090" i="1"/>
  <c r="Z1090" i="1"/>
  <c r="AI1090" i="1"/>
  <c r="AA1090" i="1"/>
  <c r="AJ1090" i="1"/>
  <c r="AB1090" i="1"/>
  <c r="AK1090" i="1"/>
  <c r="W1091" i="1"/>
  <c r="AF1091" i="1"/>
  <c r="X1091" i="1"/>
  <c r="AG1091" i="1"/>
  <c r="Y1091" i="1"/>
  <c r="AH1091" i="1"/>
  <c r="Z1091" i="1"/>
  <c r="AI1091" i="1"/>
  <c r="AA1091" i="1"/>
  <c r="AJ1091" i="1"/>
  <c r="AB1091" i="1"/>
  <c r="AK1091" i="1"/>
  <c r="W1092" i="1"/>
  <c r="AF1092" i="1"/>
  <c r="X1092" i="1"/>
  <c r="AG1092" i="1"/>
  <c r="Y1092" i="1"/>
  <c r="AH1092" i="1"/>
  <c r="Z1092" i="1"/>
  <c r="AI1092" i="1"/>
  <c r="AA1092" i="1"/>
  <c r="AJ1092" i="1"/>
  <c r="AB1092" i="1"/>
  <c r="AK1092" i="1"/>
  <c r="W1093" i="1"/>
  <c r="AF1093" i="1"/>
  <c r="X1093" i="1"/>
  <c r="AG1093" i="1"/>
  <c r="Y1093" i="1"/>
  <c r="AH1093" i="1"/>
  <c r="Z1093" i="1"/>
  <c r="AI1093" i="1"/>
  <c r="AA1093" i="1"/>
  <c r="AJ1093" i="1"/>
  <c r="AB1093" i="1"/>
  <c r="AK1093" i="1"/>
  <c r="W1094" i="1"/>
  <c r="AF1094" i="1"/>
  <c r="X1094" i="1"/>
  <c r="AG1094" i="1"/>
  <c r="Y1094" i="1"/>
  <c r="AH1094" i="1"/>
  <c r="Z1094" i="1"/>
  <c r="AI1094" i="1"/>
  <c r="AA1094" i="1"/>
  <c r="AJ1094" i="1"/>
  <c r="AB1094" i="1"/>
  <c r="AK1094" i="1"/>
  <c r="W1095" i="1"/>
  <c r="AF1095" i="1"/>
  <c r="X1095" i="1"/>
  <c r="AG1095" i="1"/>
  <c r="Y1095" i="1"/>
  <c r="AH1095" i="1"/>
  <c r="Z1095" i="1"/>
  <c r="AI1095" i="1"/>
  <c r="AA1095" i="1"/>
  <c r="AJ1095" i="1"/>
  <c r="AB1095" i="1"/>
  <c r="AK1095" i="1"/>
  <c r="W1096" i="1"/>
  <c r="AF1096" i="1"/>
  <c r="X1096" i="1"/>
  <c r="AG1096" i="1"/>
  <c r="Y1096" i="1"/>
  <c r="AH1096" i="1"/>
  <c r="Z1096" i="1"/>
  <c r="AI1096" i="1"/>
  <c r="AA1096" i="1"/>
  <c r="AJ1096" i="1"/>
  <c r="AB1096" i="1"/>
  <c r="AK1096" i="1"/>
  <c r="W1097" i="1"/>
  <c r="AF1097" i="1"/>
  <c r="X1097" i="1"/>
  <c r="AG1097" i="1"/>
  <c r="Y1097" i="1"/>
  <c r="AH1097" i="1"/>
  <c r="Z1097" i="1"/>
  <c r="AI1097" i="1"/>
  <c r="AA1097" i="1"/>
  <c r="AJ1097" i="1"/>
  <c r="AB1097" i="1"/>
  <c r="AK1097" i="1"/>
  <c r="W1098" i="1"/>
  <c r="AF1098" i="1"/>
  <c r="X1098" i="1"/>
  <c r="AG1098" i="1"/>
  <c r="Y1098" i="1"/>
  <c r="AH1098" i="1"/>
  <c r="Z1098" i="1"/>
  <c r="AI1098" i="1"/>
  <c r="AA1098" i="1"/>
  <c r="AJ1098" i="1"/>
  <c r="AB1098" i="1"/>
  <c r="AK1098" i="1"/>
  <c r="W1099" i="1"/>
  <c r="AF1099" i="1"/>
  <c r="X1099" i="1"/>
  <c r="AG1099" i="1"/>
  <c r="Y1099" i="1"/>
  <c r="AH1099" i="1"/>
  <c r="Z1099" i="1"/>
  <c r="AI1099" i="1"/>
  <c r="AA1099" i="1"/>
  <c r="AJ1099" i="1"/>
  <c r="AB1099" i="1"/>
  <c r="AK1099" i="1"/>
  <c r="W1100" i="1"/>
  <c r="AF1100" i="1"/>
  <c r="X1100" i="1"/>
  <c r="AG1100" i="1"/>
  <c r="Y1100" i="1"/>
  <c r="AH1100" i="1"/>
  <c r="Z1100" i="1"/>
  <c r="AI1100" i="1"/>
  <c r="AA1100" i="1"/>
  <c r="AJ1100" i="1"/>
  <c r="AB1100" i="1"/>
  <c r="AK1100" i="1"/>
  <c r="W1101" i="1"/>
  <c r="AF1101" i="1"/>
  <c r="X1101" i="1"/>
  <c r="AG1101" i="1"/>
  <c r="Y1101" i="1"/>
  <c r="AH1101" i="1"/>
  <c r="Z1101" i="1"/>
  <c r="AI1101" i="1"/>
  <c r="AA1101" i="1"/>
  <c r="AJ1101" i="1"/>
  <c r="AB1101" i="1"/>
  <c r="AK1101" i="1"/>
  <c r="W1102" i="1"/>
  <c r="AF1102" i="1"/>
  <c r="X1102" i="1"/>
  <c r="AG1102" i="1"/>
  <c r="Y1102" i="1"/>
  <c r="AH1102" i="1"/>
  <c r="Z1102" i="1"/>
  <c r="AI1102" i="1"/>
  <c r="AA1102" i="1"/>
  <c r="AJ1102" i="1"/>
  <c r="AB1102" i="1"/>
  <c r="AK1102" i="1"/>
  <c r="W1103" i="1"/>
  <c r="AF1103" i="1"/>
  <c r="X1103" i="1"/>
  <c r="AG1103" i="1"/>
  <c r="Y1103" i="1"/>
  <c r="AH1103" i="1"/>
  <c r="Z1103" i="1"/>
  <c r="AI1103" i="1"/>
  <c r="AA1103" i="1"/>
  <c r="AJ1103" i="1"/>
  <c r="AB1103" i="1"/>
  <c r="AK1103" i="1"/>
  <c r="W1104" i="1"/>
  <c r="AF1104" i="1"/>
  <c r="X1104" i="1"/>
  <c r="AG1104" i="1"/>
  <c r="Y1104" i="1"/>
  <c r="AH1104" i="1"/>
  <c r="Z1104" i="1"/>
  <c r="AI1104" i="1"/>
  <c r="AA1104" i="1"/>
  <c r="AJ1104" i="1"/>
  <c r="AB1104" i="1"/>
  <c r="AK1104" i="1"/>
  <c r="W1105" i="1"/>
  <c r="AF1105" i="1"/>
  <c r="X1105" i="1"/>
  <c r="AG1105" i="1"/>
  <c r="Y1105" i="1"/>
  <c r="AH1105" i="1"/>
  <c r="Z1105" i="1"/>
  <c r="AI1105" i="1"/>
  <c r="AA1105" i="1"/>
  <c r="AJ1105" i="1"/>
  <c r="AB1105" i="1"/>
  <c r="AK1105" i="1"/>
  <c r="W1106" i="1"/>
  <c r="AF1106" i="1"/>
  <c r="X1106" i="1"/>
  <c r="AG1106" i="1"/>
  <c r="Y1106" i="1"/>
  <c r="AH1106" i="1"/>
  <c r="Z1106" i="1"/>
  <c r="AI1106" i="1"/>
  <c r="AA1106" i="1"/>
  <c r="AJ1106" i="1"/>
  <c r="AB1106" i="1"/>
  <c r="AK1106" i="1"/>
  <c r="W1107" i="1"/>
  <c r="AF1107" i="1"/>
  <c r="X1107" i="1"/>
  <c r="AG1107" i="1"/>
  <c r="Y1107" i="1"/>
  <c r="AH1107" i="1"/>
  <c r="Z1107" i="1"/>
  <c r="AI1107" i="1"/>
  <c r="AA1107" i="1"/>
  <c r="AJ1107" i="1"/>
  <c r="AB1107" i="1"/>
  <c r="AK1107" i="1"/>
  <c r="W1108" i="1"/>
  <c r="AF1108" i="1"/>
  <c r="X1108" i="1"/>
  <c r="AG1108" i="1"/>
  <c r="Y1108" i="1"/>
  <c r="AH1108" i="1"/>
  <c r="Z1108" i="1"/>
  <c r="AI1108" i="1"/>
  <c r="AA1108" i="1"/>
  <c r="AJ1108" i="1"/>
  <c r="AB1108" i="1"/>
  <c r="AK1108" i="1"/>
  <c r="W1109" i="1"/>
  <c r="AF1109" i="1"/>
  <c r="X1109" i="1"/>
  <c r="AG1109" i="1"/>
  <c r="Y1109" i="1"/>
  <c r="AH1109" i="1"/>
  <c r="Z1109" i="1"/>
  <c r="AI1109" i="1"/>
  <c r="AA1109" i="1"/>
  <c r="AJ1109" i="1"/>
  <c r="AB1109" i="1"/>
  <c r="AK1109" i="1"/>
  <c r="W1110" i="1"/>
  <c r="AF1110" i="1"/>
  <c r="X1110" i="1"/>
  <c r="AG1110" i="1"/>
  <c r="Y1110" i="1"/>
  <c r="AH1110" i="1"/>
  <c r="Z1110" i="1"/>
  <c r="AI1110" i="1"/>
  <c r="AA1110" i="1"/>
  <c r="AJ1110" i="1"/>
  <c r="AB1110" i="1"/>
  <c r="AK1110" i="1"/>
  <c r="W1111" i="1"/>
  <c r="AF1111" i="1"/>
  <c r="X1111" i="1"/>
  <c r="AG1111" i="1"/>
  <c r="Y1111" i="1"/>
  <c r="AH1111" i="1"/>
  <c r="Z1111" i="1"/>
  <c r="AI1111" i="1"/>
  <c r="AA1111" i="1"/>
  <c r="AJ1111" i="1"/>
  <c r="AB1111" i="1"/>
  <c r="AK1111" i="1"/>
  <c r="W1112" i="1"/>
  <c r="AF1112" i="1"/>
  <c r="X1112" i="1"/>
  <c r="AG1112" i="1"/>
  <c r="Y1112" i="1"/>
  <c r="AH1112" i="1"/>
  <c r="Z1112" i="1"/>
  <c r="AI1112" i="1"/>
  <c r="AA1112" i="1"/>
  <c r="AJ1112" i="1"/>
  <c r="AB1112" i="1"/>
  <c r="AK1112" i="1"/>
  <c r="W1113" i="1"/>
  <c r="AF1113" i="1"/>
  <c r="X1113" i="1"/>
  <c r="AG1113" i="1"/>
  <c r="Y1113" i="1"/>
  <c r="AH1113" i="1"/>
  <c r="Z1113" i="1"/>
  <c r="AI1113" i="1"/>
  <c r="AA1113" i="1"/>
  <c r="AJ1113" i="1"/>
  <c r="AB1113" i="1"/>
  <c r="AK1113" i="1"/>
  <c r="W1114" i="1"/>
  <c r="AF1114" i="1"/>
  <c r="X1114" i="1"/>
  <c r="AG1114" i="1"/>
  <c r="Y1114" i="1"/>
  <c r="AH1114" i="1"/>
  <c r="Z1114" i="1"/>
  <c r="AI1114" i="1"/>
  <c r="AA1114" i="1"/>
  <c r="AJ1114" i="1"/>
  <c r="AB1114" i="1"/>
  <c r="AK1114" i="1"/>
  <c r="W1115" i="1"/>
  <c r="AF1115" i="1"/>
  <c r="X1115" i="1"/>
  <c r="AG1115" i="1"/>
  <c r="Y1115" i="1"/>
  <c r="Z1115" i="1"/>
  <c r="AI1115" i="1" s="1"/>
  <c r="AA1115" i="1"/>
  <c r="AJ1115" i="1" s="1"/>
  <c r="AB1115" i="1"/>
  <c r="AK1115" i="1" s="1"/>
  <c r="AH1115" i="1"/>
  <c r="W1116" i="1"/>
  <c r="AF1116" i="1" s="1"/>
  <c r="X1116" i="1"/>
  <c r="AG1116" i="1" s="1"/>
  <c r="Y1116" i="1"/>
  <c r="AH1116" i="1" s="1"/>
  <c r="Z1116" i="1"/>
  <c r="AI1116" i="1" s="1"/>
  <c r="AA1116" i="1"/>
  <c r="AJ1116" i="1" s="1"/>
  <c r="AB1116" i="1"/>
  <c r="AK1116" i="1" s="1"/>
  <c r="W1117" i="1"/>
  <c r="AF1117" i="1" s="1"/>
  <c r="X1117" i="1"/>
  <c r="AG1117" i="1" s="1"/>
  <c r="Y1117" i="1"/>
  <c r="AH1117" i="1" s="1"/>
  <c r="Z1117" i="1"/>
  <c r="AI1117" i="1" s="1"/>
  <c r="AA1117" i="1"/>
  <c r="AJ1117" i="1" s="1"/>
  <c r="AB1117" i="1"/>
  <c r="AK1117" i="1" s="1"/>
  <c r="W1118" i="1"/>
  <c r="AF1118" i="1" s="1"/>
  <c r="X1118" i="1"/>
  <c r="AG1118" i="1" s="1"/>
  <c r="Y1118" i="1"/>
  <c r="AH1118" i="1" s="1"/>
  <c r="Z1118" i="1"/>
  <c r="AI1118" i="1" s="1"/>
  <c r="AA1118" i="1"/>
  <c r="AJ1118" i="1" s="1"/>
  <c r="AB1118" i="1"/>
  <c r="AK1118" i="1" s="1"/>
  <c r="W1119" i="1"/>
  <c r="AF1119" i="1" s="1"/>
  <c r="X1119" i="1"/>
  <c r="AG1119" i="1" s="1"/>
  <c r="Y1119" i="1"/>
  <c r="AH1119" i="1" s="1"/>
  <c r="Z1119" i="1"/>
  <c r="AI1119" i="1" s="1"/>
  <c r="AA1119" i="1"/>
  <c r="AJ1119" i="1" s="1"/>
  <c r="AB1119" i="1"/>
  <c r="AK1119" i="1" s="1"/>
  <c r="W1120" i="1"/>
  <c r="AF1120" i="1" s="1"/>
  <c r="X1120" i="1"/>
  <c r="AG1120" i="1" s="1"/>
  <c r="Y1120" i="1"/>
  <c r="AH1120" i="1" s="1"/>
  <c r="Z1120" i="1"/>
  <c r="AI1120" i="1" s="1"/>
  <c r="AA1120" i="1"/>
  <c r="AJ1120" i="1" s="1"/>
  <c r="AB1120" i="1"/>
  <c r="AK1120" i="1" s="1"/>
  <c r="W1121" i="1"/>
  <c r="AF1121" i="1" s="1"/>
  <c r="X1121" i="1"/>
  <c r="AG1121" i="1" s="1"/>
  <c r="Y1121" i="1"/>
  <c r="AH1121" i="1" s="1"/>
  <c r="Z1121" i="1"/>
  <c r="AI1121" i="1" s="1"/>
  <c r="AA1121" i="1"/>
  <c r="AJ1121" i="1" s="1"/>
  <c r="AB1121" i="1"/>
  <c r="AK1121" i="1" s="1"/>
  <c r="W1122" i="1"/>
  <c r="AF1122" i="1" s="1"/>
  <c r="X1122" i="1"/>
  <c r="AG1122" i="1" s="1"/>
  <c r="Y1122" i="1"/>
  <c r="AH1122" i="1" s="1"/>
  <c r="Z1122" i="1"/>
  <c r="AI1122" i="1" s="1"/>
  <c r="AA1122" i="1"/>
  <c r="AJ1122" i="1" s="1"/>
  <c r="AB1122" i="1"/>
  <c r="AK1122" i="1" s="1"/>
  <c r="W1123" i="1"/>
  <c r="AF1123" i="1" s="1"/>
  <c r="X1123" i="1"/>
  <c r="AG1123" i="1" s="1"/>
  <c r="Y1123" i="1"/>
  <c r="AH1123" i="1" s="1"/>
  <c r="Z1123" i="1"/>
  <c r="AI1123" i="1" s="1"/>
  <c r="AA1123" i="1"/>
  <c r="AJ1123" i="1" s="1"/>
  <c r="AB1123" i="1"/>
  <c r="AK1123" i="1" s="1"/>
  <c r="W1124" i="1"/>
  <c r="AF1124" i="1" s="1"/>
  <c r="X1124" i="1"/>
  <c r="AG1124" i="1" s="1"/>
  <c r="Y1124" i="1"/>
  <c r="AH1124" i="1" s="1"/>
  <c r="Z1124" i="1"/>
  <c r="AI1124" i="1" s="1"/>
  <c r="AA1124" i="1"/>
  <c r="AJ1124" i="1" s="1"/>
  <c r="AB1124" i="1"/>
  <c r="AK1124" i="1" s="1"/>
  <c r="W1125" i="1"/>
  <c r="AF1125" i="1" s="1"/>
  <c r="X1125" i="1"/>
  <c r="AG1125" i="1" s="1"/>
  <c r="Y1125" i="1"/>
  <c r="AH1125" i="1" s="1"/>
  <c r="Z1125" i="1"/>
  <c r="AI1125" i="1" s="1"/>
  <c r="AA1125" i="1"/>
  <c r="AJ1125" i="1" s="1"/>
  <c r="AB1125" i="1"/>
  <c r="AK1125" i="1" s="1"/>
  <c r="W1126" i="1"/>
  <c r="AF1126" i="1" s="1"/>
  <c r="X1126" i="1"/>
  <c r="AG1126" i="1" s="1"/>
  <c r="Y1126" i="1"/>
  <c r="AH1126" i="1" s="1"/>
  <c r="Z1126" i="1"/>
  <c r="AI1126" i="1" s="1"/>
  <c r="AA1126" i="1"/>
  <c r="AJ1126" i="1" s="1"/>
  <c r="AB1126" i="1"/>
  <c r="AK1126" i="1" s="1"/>
  <c r="W1127" i="1"/>
  <c r="AF1127" i="1" s="1"/>
  <c r="X1127" i="1"/>
  <c r="AG1127" i="1" s="1"/>
  <c r="Y1127" i="1"/>
  <c r="AH1127" i="1" s="1"/>
  <c r="Z1127" i="1"/>
  <c r="AI1127" i="1" s="1"/>
  <c r="AA1127" i="1"/>
  <c r="AJ1127" i="1" s="1"/>
  <c r="AB1127" i="1"/>
  <c r="AK1127" i="1" s="1"/>
  <c r="W1128" i="1"/>
  <c r="AF1128" i="1" s="1"/>
  <c r="X1128" i="1"/>
  <c r="AG1128" i="1" s="1"/>
  <c r="Y1128" i="1"/>
  <c r="AH1128" i="1" s="1"/>
  <c r="Z1128" i="1"/>
  <c r="AI1128" i="1" s="1"/>
  <c r="AA1128" i="1"/>
  <c r="AJ1128" i="1" s="1"/>
  <c r="AB1128" i="1"/>
  <c r="AK1128" i="1" s="1"/>
  <c r="W1129" i="1"/>
  <c r="AF1129" i="1" s="1"/>
  <c r="X1129" i="1"/>
  <c r="AG1129" i="1" s="1"/>
  <c r="Y1129" i="1"/>
  <c r="AH1129" i="1" s="1"/>
  <c r="Z1129" i="1"/>
  <c r="AI1129" i="1" s="1"/>
  <c r="AA1129" i="1"/>
  <c r="AJ1129" i="1" s="1"/>
  <c r="AB1129" i="1"/>
  <c r="AK1129" i="1" s="1"/>
  <c r="W1130" i="1"/>
  <c r="AF1130" i="1" s="1"/>
  <c r="X1130" i="1"/>
  <c r="AG1130" i="1" s="1"/>
  <c r="Y1130" i="1"/>
  <c r="AH1130" i="1" s="1"/>
  <c r="Z1130" i="1"/>
  <c r="AI1130" i="1" s="1"/>
  <c r="AA1130" i="1"/>
  <c r="AJ1130" i="1" s="1"/>
  <c r="AB1130" i="1"/>
  <c r="AK1130" i="1" s="1"/>
  <c r="W1131" i="1"/>
  <c r="AF1131" i="1" s="1"/>
  <c r="X1131" i="1"/>
  <c r="AG1131" i="1" s="1"/>
  <c r="Y1131" i="1"/>
  <c r="AH1131" i="1" s="1"/>
  <c r="Z1131" i="1"/>
  <c r="AI1131" i="1" s="1"/>
  <c r="AA1131" i="1"/>
  <c r="AJ1131" i="1" s="1"/>
  <c r="AB1131" i="1"/>
  <c r="AK1131" i="1" s="1"/>
  <c r="W1132" i="1"/>
  <c r="AF1132" i="1" s="1"/>
  <c r="X1132" i="1"/>
  <c r="AG1132" i="1" s="1"/>
  <c r="Y1132" i="1"/>
  <c r="AH1132" i="1" s="1"/>
  <c r="Z1132" i="1"/>
  <c r="AI1132" i="1" s="1"/>
  <c r="AA1132" i="1"/>
  <c r="AJ1132" i="1" s="1"/>
  <c r="AB1132" i="1"/>
  <c r="AK1132" i="1" s="1"/>
  <c r="W1133" i="1"/>
  <c r="AF1133" i="1" s="1"/>
  <c r="X1133" i="1"/>
  <c r="AG1133" i="1" s="1"/>
  <c r="Y1133" i="1"/>
  <c r="AH1133" i="1" s="1"/>
  <c r="Z1133" i="1"/>
  <c r="AI1133" i="1" s="1"/>
  <c r="AA1133" i="1"/>
  <c r="AJ1133" i="1" s="1"/>
  <c r="AB1133" i="1"/>
  <c r="AK1133" i="1" s="1"/>
  <c r="W1134" i="1"/>
  <c r="AF1134" i="1" s="1"/>
  <c r="X1134" i="1"/>
  <c r="AG1134" i="1" s="1"/>
  <c r="Y1134" i="1"/>
  <c r="AH1134" i="1" s="1"/>
  <c r="Z1134" i="1"/>
  <c r="AI1134" i="1" s="1"/>
  <c r="AA1134" i="1"/>
  <c r="AJ1134" i="1" s="1"/>
  <c r="AB1134" i="1"/>
  <c r="AK1134" i="1" s="1"/>
  <c r="W1135" i="1"/>
  <c r="AF1135" i="1" s="1"/>
  <c r="X1135" i="1"/>
  <c r="AG1135" i="1" s="1"/>
  <c r="Y1135" i="1"/>
  <c r="AH1135" i="1" s="1"/>
  <c r="Z1135" i="1"/>
  <c r="AI1135" i="1" s="1"/>
  <c r="AA1135" i="1"/>
  <c r="AJ1135" i="1" s="1"/>
  <c r="AB1135" i="1"/>
  <c r="AK1135" i="1" s="1"/>
  <c r="W1136" i="1"/>
  <c r="AF1136" i="1" s="1"/>
  <c r="X1136" i="1"/>
  <c r="AG1136" i="1" s="1"/>
  <c r="Y1136" i="1"/>
  <c r="AH1136" i="1" s="1"/>
  <c r="Z1136" i="1"/>
  <c r="AI1136" i="1" s="1"/>
  <c r="AA1136" i="1"/>
  <c r="AJ1136" i="1" s="1"/>
  <c r="AB1136" i="1"/>
  <c r="AK1136" i="1" s="1"/>
  <c r="W1137" i="1"/>
  <c r="AF1137" i="1" s="1"/>
  <c r="X1137" i="1"/>
  <c r="AG1137" i="1" s="1"/>
  <c r="Y1137" i="1"/>
  <c r="AH1137" i="1" s="1"/>
  <c r="Z1137" i="1"/>
  <c r="AI1137" i="1" s="1"/>
  <c r="AA1137" i="1"/>
  <c r="AJ1137" i="1" s="1"/>
  <c r="AB1137" i="1"/>
  <c r="AK1137" i="1" s="1"/>
  <c r="W1138" i="1"/>
  <c r="AF1138" i="1" s="1"/>
  <c r="X1138" i="1"/>
  <c r="AG1138" i="1" s="1"/>
  <c r="Y1138" i="1"/>
  <c r="AH1138" i="1" s="1"/>
  <c r="Z1138" i="1"/>
  <c r="AI1138" i="1" s="1"/>
  <c r="AA1138" i="1"/>
  <c r="AJ1138" i="1" s="1"/>
  <c r="AB1138" i="1"/>
  <c r="AK1138" i="1" s="1"/>
  <c r="W1139" i="1"/>
  <c r="AF1139" i="1" s="1"/>
  <c r="X1139" i="1"/>
  <c r="AG1139" i="1" s="1"/>
  <c r="Y1139" i="1"/>
  <c r="AH1139" i="1" s="1"/>
  <c r="Z1139" i="1"/>
  <c r="AI1139" i="1" s="1"/>
  <c r="AA1139" i="1"/>
  <c r="AJ1139" i="1" s="1"/>
  <c r="AB1139" i="1"/>
  <c r="AK1139" i="1" s="1"/>
  <c r="W1140" i="1"/>
  <c r="AF1140" i="1" s="1"/>
  <c r="X1140" i="1"/>
  <c r="AG1140" i="1" s="1"/>
  <c r="Y1140" i="1"/>
  <c r="AH1140" i="1" s="1"/>
  <c r="Z1140" i="1"/>
  <c r="AI1140" i="1" s="1"/>
  <c r="AA1140" i="1"/>
  <c r="AJ1140" i="1" s="1"/>
  <c r="AB1140" i="1"/>
  <c r="AK1140" i="1" s="1"/>
  <c r="W1141" i="1"/>
  <c r="AF1141" i="1" s="1"/>
  <c r="X1141" i="1"/>
  <c r="AG1141" i="1" s="1"/>
  <c r="Y1141" i="1"/>
  <c r="Z1141" i="1"/>
  <c r="AI1141" i="1" s="1"/>
  <c r="AA1141" i="1"/>
  <c r="AJ1141" i="1" s="1"/>
  <c r="AB1141" i="1"/>
  <c r="AK1141" i="1" s="1"/>
  <c r="AH1141" i="1"/>
  <c r="W1142" i="1"/>
  <c r="AF1142" i="1"/>
  <c r="X1142" i="1"/>
  <c r="AG1142" i="1"/>
  <c r="Y1142" i="1"/>
  <c r="AH1142" i="1"/>
  <c r="Z1142" i="1"/>
  <c r="AI1142" i="1"/>
  <c r="AA1142" i="1"/>
  <c r="AJ1142" i="1"/>
  <c r="AB1142" i="1"/>
  <c r="AK1142" i="1"/>
  <c r="W1143" i="1"/>
  <c r="AF1143" i="1"/>
  <c r="X1143" i="1"/>
  <c r="AG1143" i="1"/>
  <c r="Y1143" i="1"/>
  <c r="AH1143" i="1"/>
  <c r="Z1143" i="1"/>
  <c r="AI1143" i="1"/>
  <c r="AA1143" i="1"/>
  <c r="AJ1143" i="1"/>
  <c r="AB1143" i="1"/>
  <c r="AK1143" i="1"/>
  <c r="W1144" i="1"/>
  <c r="AF1144" i="1"/>
  <c r="X1144" i="1"/>
  <c r="AG1144" i="1"/>
  <c r="Y1144" i="1"/>
  <c r="AH1144" i="1"/>
  <c r="Z1144" i="1"/>
  <c r="AI1144" i="1"/>
  <c r="AA1144" i="1"/>
  <c r="AJ1144" i="1"/>
  <c r="AB1144" i="1"/>
  <c r="AK1144" i="1"/>
  <c r="W1145" i="1"/>
  <c r="AF1145" i="1"/>
  <c r="X1145" i="1"/>
  <c r="AG1145" i="1"/>
  <c r="Y1145" i="1"/>
  <c r="AH1145" i="1"/>
  <c r="Z1145" i="1"/>
  <c r="AI1145" i="1"/>
  <c r="AA1145" i="1"/>
  <c r="AJ1145" i="1"/>
  <c r="AB1145" i="1"/>
  <c r="AK1145" i="1"/>
  <c r="W1146" i="1"/>
  <c r="AF1146" i="1"/>
  <c r="X1146" i="1"/>
  <c r="AG1146" i="1"/>
  <c r="Y1146" i="1"/>
  <c r="AH1146" i="1"/>
  <c r="Z1146" i="1"/>
  <c r="AI1146" i="1"/>
  <c r="AA1146" i="1"/>
  <c r="AJ1146" i="1"/>
  <c r="AB1146" i="1"/>
  <c r="AK1146" i="1"/>
  <c r="W1147" i="1"/>
  <c r="AF1147" i="1"/>
  <c r="X1147" i="1"/>
  <c r="AG1147" i="1"/>
  <c r="Y1147" i="1"/>
  <c r="AH1147" i="1"/>
  <c r="Z1147" i="1"/>
  <c r="AI1147" i="1"/>
  <c r="AA1147" i="1"/>
  <c r="AJ1147" i="1"/>
  <c r="AB1147" i="1"/>
  <c r="AK1147" i="1"/>
  <c r="W1148" i="1"/>
  <c r="AF1148" i="1"/>
  <c r="X1148" i="1"/>
  <c r="AG1148" i="1"/>
  <c r="Y1148" i="1"/>
  <c r="AH1148" i="1"/>
  <c r="Z1148" i="1"/>
  <c r="AI1148" i="1"/>
  <c r="AA1148" i="1"/>
  <c r="AJ1148" i="1"/>
  <c r="AB1148" i="1"/>
  <c r="AK1148" i="1"/>
  <c r="W1149" i="1"/>
  <c r="AF1149" i="1"/>
  <c r="X1149" i="1"/>
  <c r="AG1149" i="1"/>
  <c r="Y1149" i="1"/>
  <c r="AH1149" i="1"/>
  <c r="Z1149" i="1"/>
  <c r="AI1149" i="1"/>
  <c r="AA1149" i="1"/>
  <c r="AJ1149" i="1"/>
  <c r="AB1149" i="1"/>
  <c r="AK1149" i="1"/>
  <c r="W1150" i="1"/>
  <c r="AF1150" i="1"/>
  <c r="X1150" i="1"/>
  <c r="AG1150" i="1"/>
  <c r="Y1150" i="1"/>
  <c r="AH1150" i="1"/>
  <c r="Z1150" i="1"/>
  <c r="AI1150" i="1"/>
  <c r="AA1150" i="1"/>
  <c r="AJ1150" i="1"/>
  <c r="AB1150" i="1"/>
  <c r="AK1150" i="1"/>
  <c r="W1151" i="1"/>
  <c r="AF1151" i="1"/>
  <c r="X1151" i="1"/>
  <c r="AG1151" i="1"/>
  <c r="Y1151" i="1"/>
  <c r="AH1151" i="1"/>
  <c r="Z1151" i="1"/>
  <c r="AI1151" i="1"/>
  <c r="AA1151" i="1"/>
  <c r="AJ1151" i="1"/>
  <c r="AB1151" i="1"/>
  <c r="AK1151" i="1"/>
  <c r="W1152" i="1"/>
  <c r="AF1152" i="1"/>
  <c r="X1152" i="1"/>
  <c r="AG1152" i="1"/>
  <c r="Y1152" i="1"/>
  <c r="AH1152" i="1"/>
  <c r="Z1152" i="1"/>
  <c r="AI1152" i="1"/>
  <c r="AA1152" i="1"/>
  <c r="AJ1152" i="1"/>
  <c r="AB1152" i="1"/>
  <c r="AK1152" i="1"/>
  <c r="W1153" i="1"/>
  <c r="AF1153" i="1"/>
  <c r="X1153" i="1"/>
  <c r="AG1153" i="1"/>
  <c r="Y1153" i="1"/>
  <c r="AH1153" i="1"/>
  <c r="Z1153" i="1"/>
  <c r="AI1153" i="1"/>
  <c r="AA1153" i="1"/>
  <c r="AJ1153" i="1"/>
  <c r="AB1153" i="1"/>
  <c r="AK1153" i="1"/>
  <c r="W1154" i="1"/>
  <c r="AF1154" i="1"/>
  <c r="X1154" i="1"/>
  <c r="AG1154" i="1"/>
  <c r="Y1154" i="1"/>
  <c r="AH1154" i="1"/>
  <c r="Z1154" i="1"/>
  <c r="AI1154" i="1"/>
  <c r="AA1154" i="1"/>
  <c r="AJ1154" i="1"/>
  <c r="AB1154" i="1"/>
  <c r="AK1154" i="1"/>
  <c r="W1155" i="1"/>
  <c r="AF1155" i="1"/>
  <c r="X1155" i="1"/>
  <c r="AG1155" i="1"/>
  <c r="Y1155" i="1"/>
  <c r="AH1155" i="1"/>
  <c r="Z1155" i="1"/>
  <c r="AI1155" i="1"/>
  <c r="AA1155" i="1"/>
  <c r="AJ1155" i="1"/>
  <c r="AB1155" i="1"/>
  <c r="AK1155" i="1"/>
  <c r="W1156" i="1"/>
  <c r="AF1156" i="1"/>
  <c r="X1156" i="1"/>
  <c r="AG1156" i="1"/>
  <c r="Y1156" i="1"/>
  <c r="AH1156" i="1"/>
  <c r="Z1156" i="1"/>
  <c r="AI1156" i="1"/>
  <c r="AA1156" i="1"/>
  <c r="AJ1156" i="1"/>
  <c r="AB1156" i="1"/>
  <c r="AK1156" i="1"/>
  <c r="W1157" i="1"/>
  <c r="AF1157" i="1"/>
  <c r="X1157" i="1"/>
  <c r="AG1157" i="1"/>
  <c r="Y1157" i="1"/>
  <c r="AH1157" i="1"/>
  <c r="Z1157" i="1"/>
  <c r="AI1157" i="1"/>
  <c r="AA1157" i="1"/>
  <c r="AJ1157" i="1"/>
  <c r="AB1157" i="1"/>
  <c r="AK1157" i="1"/>
  <c r="W1158" i="1"/>
  <c r="AF1158" i="1"/>
  <c r="X1158" i="1"/>
  <c r="AG1158" i="1"/>
  <c r="Y1158" i="1"/>
  <c r="AH1158" i="1"/>
  <c r="Z1158" i="1"/>
  <c r="AI1158" i="1"/>
  <c r="AA1158" i="1"/>
  <c r="AJ1158" i="1"/>
  <c r="AB1158" i="1"/>
  <c r="AK1158" i="1"/>
  <c r="W1159" i="1"/>
  <c r="AF1159" i="1"/>
  <c r="X1159" i="1"/>
  <c r="AG1159" i="1"/>
  <c r="Y1159" i="1"/>
  <c r="AH1159" i="1"/>
  <c r="Z1159" i="1"/>
  <c r="AI1159" i="1"/>
  <c r="AA1159" i="1"/>
  <c r="AJ1159" i="1"/>
  <c r="AB1159" i="1"/>
  <c r="AK1159" i="1"/>
  <c r="W1160" i="1"/>
  <c r="AF1160" i="1"/>
  <c r="X1160" i="1"/>
  <c r="AG1160" i="1"/>
  <c r="Y1160" i="1"/>
  <c r="AH1160" i="1"/>
  <c r="Z1160" i="1"/>
  <c r="AI1160" i="1"/>
  <c r="AA1160" i="1"/>
  <c r="AJ1160" i="1"/>
  <c r="AB1160" i="1"/>
  <c r="AK1160" i="1"/>
  <c r="W1161" i="1"/>
  <c r="AF1161" i="1"/>
  <c r="X1161" i="1"/>
  <c r="AG1161" i="1"/>
  <c r="Y1161" i="1"/>
  <c r="AH1161" i="1"/>
  <c r="Z1161" i="1"/>
  <c r="AI1161" i="1"/>
  <c r="AA1161" i="1"/>
  <c r="AJ1161" i="1"/>
  <c r="AB1161" i="1"/>
  <c r="AK1161" i="1"/>
  <c r="W1162" i="1"/>
  <c r="AF1162" i="1"/>
  <c r="X1162" i="1"/>
  <c r="AG1162" i="1"/>
  <c r="Y1162" i="1"/>
  <c r="AH1162" i="1"/>
  <c r="Z1162" i="1"/>
  <c r="AI1162" i="1"/>
  <c r="AA1162" i="1"/>
  <c r="AJ1162" i="1"/>
  <c r="AB1162" i="1"/>
  <c r="AK1162" i="1"/>
  <c r="W1163" i="1"/>
  <c r="AF1163" i="1"/>
  <c r="X1163" i="1"/>
  <c r="AG1163" i="1"/>
  <c r="Y1163" i="1"/>
  <c r="AH1163" i="1"/>
  <c r="Z1163" i="1"/>
  <c r="AI1163" i="1"/>
  <c r="AA1163" i="1"/>
  <c r="AJ1163" i="1"/>
  <c r="AB1163" i="1"/>
  <c r="AK1163" i="1"/>
  <c r="W1164" i="1"/>
  <c r="AF1164" i="1"/>
  <c r="X1164" i="1"/>
  <c r="AG1164" i="1"/>
  <c r="Y1164" i="1"/>
  <c r="AH1164" i="1"/>
  <c r="Z1164" i="1"/>
  <c r="AI1164" i="1"/>
  <c r="AA1164" i="1"/>
  <c r="AJ1164" i="1"/>
  <c r="AB1164" i="1"/>
  <c r="AK1164" i="1"/>
  <c r="W1165" i="1"/>
  <c r="AF1165" i="1"/>
  <c r="X1165" i="1"/>
  <c r="AG1165" i="1"/>
  <c r="Y1165" i="1"/>
  <c r="AH1165" i="1"/>
  <c r="Z1165" i="1"/>
  <c r="AI1165" i="1"/>
  <c r="AA1165" i="1"/>
  <c r="AJ1165" i="1"/>
  <c r="AB1165" i="1"/>
  <c r="AK1165" i="1"/>
  <c r="W1166" i="1"/>
  <c r="AF1166" i="1"/>
  <c r="X1166" i="1"/>
  <c r="AG1166" i="1"/>
  <c r="Y1166" i="1"/>
  <c r="AH1166" i="1"/>
  <c r="Z1166" i="1"/>
  <c r="AI1166" i="1"/>
  <c r="AA1166" i="1"/>
  <c r="AJ1166" i="1"/>
  <c r="AB1166" i="1"/>
  <c r="AK1166" i="1"/>
  <c r="W1167" i="1"/>
  <c r="AF1167" i="1"/>
  <c r="X1167" i="1"/>
  <c r="AG1167" i="1"/>
  <c r="Y1167" i="1"/>
  <c r="AH1167" i="1"/>
  <c r="Z1167" i="1"/>
  <c r="AI1167" i="1"/>
  <c r="AA1167" i="1"/>
  <c r="AJ1167" i="1"/>
  <c r="AB1167" i="1"/>
  <c r="AK1167" i="1"/>
  <c r="W1168" i="1"/>
  <c r="AF1168" i="1"/>
  <c r="X1168" i="1"/>
  <c r="AG1168" i="1"/>
  <c r="Y1168" i="1"/>
  <c r="AH1168" i="1"/>
  <c r="Z1168" i="1"/>
  <c r="AI1168" i="1"/>
  <c r="AA1168" i="1"/>
  <c r="AJ1168" i="1"/>
  <c r="AB1168" i="1"/>
  <c r="AK1168" i="1"/>
  <c r="W1169" i="1"/>
  <c r="AF1169" i="1"/>
  <c r="X1169" i="1"/>
  <c r="AG1169" i="1"/>
  <c r="Y1169" i="1"/>
  <c r="AH1169" i="1"/>
  <c r="Z1169" i="1"/>
  <c r="AI1169" i="1"/>
  <c r="AA1169" i="1"/>
  <c r="AJ1169" i="1"/>
  <c r="AB1169" i="1"/>
  <c r="AK1169" i="1"/>
  <c r="W1170" i="1"/>
  <c r="AF1170" i="1"/>
  <c r="X1170" i="1"/>
  <c r="AG1170" i="1"/>
  <c r="Y1170" i="1"/>
  <c r="AH1170" i="1"/>
  <c r="Z1170" i="1"/>
  <c r="AI1170" i="1"/>
  <c r="AA1170" i="1"/>
  <c r="AJ1170" i="1"/>
  <c r="AB1170" i="1"/>
  <c r="AK1170" i="1"/>
  <c r="W1171" i="1"/>
  <c r="AF1171" i="1"/>
  <c r="X1171" i="1"/>
  <c r="AG1171" i="1"/>
  <c r="Y1171" i="1"/>
  <c r="AH1171" i="1"/>
  <c r="Z1171" i="1"/>
  <c r="AI1171" i="1"/>
  <c r="AA1171" i="1"/>
  <c r="AJ1171" i="1"/>
  <c r="AB1171" i="1"/>
  <c r="AK1171" i="1"/>
  <c r="W1172" i="1"/>
  <c r="AF1172" i="1"/>
  <c r="X1172" i="1"/>
  <c r="AG1172" i="1"/>
  <c r="Y1172" i="1"/>
  <c r="AH1172" i="1"/>
  <c r="Z1172" i="1"/>
  <c r="AI1172" i="1"/>
  <c r="AA1172" i="1"/>
  <c r="AJ1172" i="1"/>
  <c r="AB1172" i="1"/>
  <c r="AK1172" i="1"/>
  <c r="W1173" i="1"/>
  <c r="AF1173" i="1"/>
  <c r="X1173" i="1"/>
  <c r="AG1173" i="1"/>
  <c r="Y1173" i="1"/>
  <c r="AH1173" i="1"/>
  <c r="Z1173" i="1"/>
  <c r="AI1173" i="1"/>
  <c r="AA1173" i="1"/>
  <c r="AJ1173" i="1"/>
  <c r="AB1173" i="1"/>
  <c r="AK1173" i="1"/>
  <c r="W1174" i="1"/>
  <c r="AF1174" i="1"/>
  <c r="X1174" i="1"/>
  <c r="AG1174" i="1"/>
  <c r="Y1174" i="1"/>
  <c r="AH1174" i="1"/>
  <c r="Z1174" i="1"/>
  <c r="AI1174" i="1"/>
  <c r="AA1174" i="1"/>
  <c r="AJ1174" i="1"/>
  <c r="AB1174" i="1"/>
  <c r="AK1174" i="1"/>
  <c r="W1175" i="1"/>
  <c r="AF1175" i="1"/>
  <c r="X1175" i="1"/>
  <c r="AG1175" i="1"/>
  <c r="Y1175" i="1"/>
  <c r="AH1175" i="1"/>
  <c r="Z1175" i="1"/>
  <c r="AI1175" i="1"/>
  <c r="AA1175" i="1"/>
  <c r="AJ1175" i="1"/>
  <c r="AB1175" i="1"/>
  <c r="AK1175" i="1"/>
  <c r="W1176" i="1"/>
  <c r="AF1176" i="1"/>
  <c r="X1176" i="1"/>
  <c r="AG1176" i="1"/>
  <c r="Y1176" i="1"/>
  <c r="AH1176" i="1"/>
  <c r="Z1176" i="1"/>
  <c r="AI1176" i="1"/>
  <c r="AA1176" i="1"/>
  <c r="AJ1176" i="1"/>
  <c r="AB1176" i="1"/>
  <c r="AK1176" i="1"/>
  <c r="W1177" i="1"/>
  <c r="AF1177" i="1"/>
  <c r="X1177" i="1"/>
  <c r="AG1177" i="1"/>
  <c r="Y1177" i="1"/>
  <c r="AH1177" i="1"/>
  <c r="Z1177" i="1"/>
  <c r="AI1177" i="1"/>
  <c r="AA1177" i="1"/>
  <c r="AJ1177" i="1"/>
  <c r="AB1177" i="1"/>
  <c r="AK1177" i="1"/>
  <c r="W1178" i="1"/>
  <c r="AF1178" i="1"/>
  <c r="X1178" i="1"/>
  <c r="AG1178" i="1"/>
  <c r="Y1178" i="1"/>
  <c r="AH1178" i="1"/>
  <c r="Z1178" i="1"/>
  <c r="AI1178" i="1"/>
  <c r="AA1178" i="1"/>
  <c r="AJ1178" i="1"/>
  <c r="AB1178" i="1"/>
  <c r="AK1178" i="1"/>
  <c r="W1179" i="1"/>
  <c r="AF1179" i="1"/>
  <c r="X1179" i="1"/>
  <c r="AG1179" i="1"/>
  <c r="Y1179" i="1"/>
  <c r="Z1179" i="1"/>
  <c r="AI1179" i="1" s="1"/>
  <c r="AA1179" i="1"/>
  <c r="AJ1179" i="1" s="1"/>
  <c r="AB1179" i="1"/>
  <c r="AK1179" i="1" s="1"/>
  <c r="AH1179" i="1"/>
  <c r="W1180" i="1"/>
  <c r="AF1180" i="1" s="1"/>
  <c r="X1180" i="1"/>
  <c r="AG1180" i="1" s="1"/>
  <c r="Y1180" i="1"/>
  <c r="AH1180" i="1" s="1"/>
  <c r="Z1180" i="1"/>
  <c r="AI1180" i="1" s="1"/>
  <c r="AA1180" i="1"/>
  <c r="AJ1180" i="1" s="1"/>
  <c r="AB1180" i="1"/>
  <c r="AK1180" i="1" s="1"/>
  <c r="W1181" i="1"/>
  <c r="AF1181" i="1" s="1"/>
  <c r="X1181" i="1"/>
  <c r="AG1181" i="1" s="1"/>
  <c r="Y1181" i="1"/>
  <c r="Z1181" i="1"/>
  <c r="AI1181" i="1" s="1"/>
  <c r="AA1181" i="1"/>
  <c r="AJ1181" i="1" s="1"/>
  <c r="AB1181" i="1"/>
  <c r="AK1181" i="1" s="1"/>
  <c r="AH1181" i="1"/>
  <c r="W1182" i="1"/>
  <c r="AF1182" i="1"/>
  <c r="X1182" i="1"/>
  <c r="AG1182" i="1"/>
  <c r="Y1182" i="1"/>
  <c r="AH1182" i="1"/>
  <c r="Z1182" i="1"/>
  <c r="AI1182" i="1"/>
  <c r="AA1182" i="1"/>
  <c r="AJ1182" i="1"/>
  <c r="AB1182" i="1"/>
  <c r="AK1182" i="1"/>
  <c r="W1183" i="1"/>
  <c r="AF1183" i="1"/>
  <c r="X1183" i="1"/>
  <c r="AG1183" i="1"/>
  <c r="Y1183" i="1"/>
  <c r="AH1183" i="1"/>
  <c r="Z1183" i="1"/>
  <c r="AI1183" i="1"/>
  <c r="AA1183" i="1"/>
  <c r="AJ1183" i="1"/>
  <c r="AB1183" i="1"/>
  <c r="AK1183" i="1"/>
  <c r="W1184" i="1"/>
  <c r="AF1184" i="1"/>
  <c r="X1184" i="1"/>
  <c r="AG1184" i="1"/>
  <c r="Y1184" i="1"/>
  <c r="AH1184" i="1"/>
  <c r="Z1184" i="1"/>
  <c r="AI1184" i="1"/>
  <c r="AA1184" i="1"/>
  <c r="AJ1184" i="1"/>
  <c r="AB1184" i="1"/>
  <c r="AK1184" i="1"/>
  <c r="W1185" i="1"/>
  <c r="AF1185" i="1"/>
  <c r="X1185" i="1"/>
  <c r="AG1185" i="1"/>
  <c r="Y1185" i="1"/>
  <c r="AH1185" i="1"/>
  <c r="Z1185" i="1"/>
  <c r="AI1185" i="1"/>
  <c r="AA1185" i="1"/>
  <c r="AJ1185" i="1"/>
  <c r="AB1185" i="1"/>
  <c r="AK1185" i="1"/>
  <c r="W1186" i="1"/>
  <c r="AF1186" i="1"/>
  <c r="X1186" i="1"/>
  <c r="AG1186" i="1"/>
  <c r="Y1186" i="1"/>
  <c r="AH1186" i="1"/>
  <c r="Z1186" i="1"/>
  <c r="AI1186" i="1"/>
  <c r="AA1186" i="1"/>
  <c r="AJ1186" i="1"/>
  <c r="AB1186" i="1"/>
  <c r="AK1186" i="1"/>
  <c r="W1187" i="1"/>
  <c r="AF1187" i="1"/>
  <c r="X1187" i="1"/>
  <c r="AG1187" i="1"/>
  <c r="Y1187" i="1"/>
  <c r="AH1187" i="1"/>
  <c r="Z1187" i="1"/>
  <c r="AI1187" i="1"/>
  <c r="AA1187" i="1"/>
  <c r="AJ1187" i="1"/>
  <c r="AB1187" i="1"/>
  <c r="AK1187" i="1"/>
  <c r="W1188" i="1"/>
  <c r="AF1188" i="1"/>
  <c r="X1188" i="1"/>
  <c r="AG1188" i="1"/>
  <c r="Y1188" i="1"/>
  <c r="AH1188" i="1"/>
  <c r="Z1188" i="1"/>
  <c r="AI1188" i="1"/>
  <c r="AA1188" i="1"/>
  <c r="AJ1188" i="1"/>
  <c r="AB1188" i="1"/>
  <c r="AK1188" i="1"/>
  <c r="W1189" i="1"/>
  <c r="AF1189" i="1"/>
  <c r="X1189" i="1"/>
  <c r="AG1189" i="1"/>
  <c r="Y1189" i="1"/>
  <c r="AH1189" i="1"/>
  <c r="Z1189" i="1"/>
  <c r="AI1189" i="1"/>
  <c r="AA1189" i="1"/>
  <c r="AJ1189" i="1"/>
  <c r="AB1189" i="1"/>
  <c r="AK1189" i="1"/>
  <c r="W1190" i="1"/>
  <c r="AF1190" i="1"/>
  <c r="X1190" i="1"/>
  <c r="AG1190" i="1"/>
  <c r="Y1190" i="1"/>
  <c r="AH1190" i="1"/>
  <c r="Z1190" i="1"/>
  <c r="AI1190" i="1"/>
  <c r="AA1190" i="1"/>
  <c r="AJ1190" i="1"/>
  <c r="AB1190" i="1"/>
  <c r="AK1190" i="1"/>
  <c r="W1191" i="1"/>
  <c r="AF1191" i="1"/>
  <c r="X1191" i="1"/>
  <c r="AG1191" i="1"/>
  <c r="Y1191" i="1"/>
  <c r="AH1191" i="1"/>
  <c r="Z1191" i="1"/>
  <c r="AI1191" i="1"/>
  <c r="AA1191" i="1"/>
  <c r="AJ1191" i="1"/>
  <c r="AB1191" i="1"/>
  <c r="AK1191" i="1"/>
  <c r="W1192" i="1"/>
  <c r="AF1192" i="1"/>
  <c r="X1192" i="1"/>
  <c r="AG1192" i="1"/>
  <c r="Y1192" i="1"/>
  <c r="AH1192" i="1"/>
  <c r="Z1192" i="1"/>
  <c r="AI1192" i="1"/>
  <c r="AA1192" i="1"/>
  <c r="AJ1192" i="1"/>
  <c r="AB1192" i="1"/>
  <c r="AK1192" i="1"/>
  <c r="W1193" i="1"/>
  <c r="AF1193" i="1"/>
  <c r="X1193" i="1"/>
  <c r="AG1193" i="1"/>
  <c r="Y1193" i="1"/>
  <c r="AH1193" i="1"/>
  <c r="Z1193" i="1"/>
  <c r="AI1193" i="1"/>
  <c r="AA1193" i="1"/>
  <c r="AJ1193" i="1"/>
  <c r="AB1193" i="1"/>
  <c r="AK1193" i="1"/>
  <c r="W1194" i="1"/>
  <c r="AF1194" i="1"/>
  <c r="X1194" i="1"/>
  <c r="AG1194" i="1"/>
  <c r="Y1194" i="1"/>
  <c r="AH1194" i="1"/>
  <c r="Z1194" i="1"/>
  <c r="AI1194" i="1"/>
  <c r="AA1194" i="1"/>
  <c r="AJ1194" i="1"/>
  <c r="AB1194" i="1"/>
  <c r="AK1194" i="1"/>
  <c r="W1195" i="1"/>
  <c r="AF1195" i="1"/>
  <c r="X1195" i="1"/>
  <c r="AG1195" i="1"/>
  <c r="Y1195" i="1"/>
  <c r="AH1195" i="1"/>
  <c r="Z1195" i="1"/>
  <c r="AI1195" i="1"/>
  <c r="AA1195" i="1"/>
  <c r="AJ1195" i="1"/>
  <c r="AB1195" i="1"/>
  <c r="AK1195" i="1"/>
  <c r="W1196" i="1"/>
  <c r="AF1196" i="1"/>
  <c r="X1196" i="1"/>
  <c r="AG1196" i="1"/>
  <c r="Y1196" i="1"/>
  <c r="AH1196" i="1"/>
  <c r="Z1196" i="1"/>
  <c r="AI1196" i="1"/>
  <c r="AA1196" i="1"/>
  <c r="AJ1196" i="1"/>
  <c r="AB1196" i="1"/>
  <c r="AK1196" i="1"/>
  <c r="W1197" i="1"/>
  <c r="AF1197" i="1"/>
  <c r="X1197" i="1"/>
  <c r="AG1197" i="1"/>
  <c r="Y1197" i="1"/>
  <c r="AH1197" i="1"/>
  <c r="Z1197" i="1"/>
  <c r="AI1197" i="1"/>
  <c r="AA1197" i="1"/>
  <c r="AJ1197" i="1"/>
  <c r="AB1197" i="1"/>
  <c r="AK1197" i="1"/>
  <c r="W1198" i="1"/>
  <c r="AF1198" i="1"/>
  <c r="X1198" i="1"/>
  <c r="AG1198" i="1"/>
  <c r="Y1198" i="1"/>
  <c r="AH1198" i="1"/>
  <c r="Z1198" i="1"/>
  <c r="AI1198" i="1"/>
  <c r="AA1198" i="1"/>
  <c r="AJ1198" i="1"/>
  <c r="AB1198" i="1"/>
  <c r="AK1198" i="1"/>
  <c r="W1199" i="1"/>
  <c r="AF1199" i="1"/>
  <c r="X1199" i="1"/>
  <c r="AG1199" i="1"/>
  <c r="Y1199" i="1"/>
  <c r="AH1199" i="1"/>
  <c r="Z1199" i="1"/>
  <c r="AI1199" i="1"/>
  <c r="AA1199" i="1"/>
  <c r="AJ1199" i="1"/>
  <c r="AB1199" i="1"/>
  <c r="AK1199" i="1"/>
  <c r="W1200" i="1"/>
  <c r="AF1200" i="1"/>
  <c r="X1200" i="1"/>
  <c r="AG1200" i="1"/>
  <c r="Y1200" i="1"/>
  <c r="AH1200" i="1"/>
  <c r="Z1200" i="1"/>
  <c r="AI1200" i="1"/>
  <c r="AA1200" i="1"/>
  <c r="AJ1200" i="1"/>
  <c r="AB1200" i="1"/>
  <c r="AK1200" i="1"/>
  <c r="U738" i="1"/>
  <c r="AN738" i="1"/>
  <c r="AO738" i="1" s="1"/>
  <c r="AP738" i="1" s="1"/>
  <c r="AQ738" i="1" s="1"/>
  <c r="V738" i="1"/>
  <c r="U739" i="1"/>
  <c r="AN739" i="1" s="1"/>
  <c r="V739" i="1"/>
  <c r="U740" i="1"/>
  <c r="AN740" i="1" s="1"/>
  <c r="V740" i="1"/>
  <c r="U741" i="1"/>
  <c r="AN741" i="1" s="1"/>
  <c r="V741" i="1"/>
  <c r="U742" i="1"/>
  <c r="AN742" i="1" s="1"/>
  <c r="AO742" i="1" s="1"/>
  <c r="AP742" i="1" s="1"/>
  <c r="AQ742" i="1" s="1"/>
  <c r="AR742" i="1" s="1"/>
  <c r="V742" i="1"/>
  <c r="U743" i="1"/>
  <c r="AN743" i="1" s="1"/>
  <c r="V743" i="1"/>
  <c r="U744" i="1"/>
  <c r="AN744" i="1" s="1"/>
  <c r="V744" i="1"/>
  <c r="U745" i="1"/>
  <c r="AN745" i="1" s="1"/>
  <c r="V745" i="1"/>
  <c r="U746" i="1"/>
  <c r="AN746" i="1" s="1"/>
  <c r="AO746" i="1" s="1"/>
  <c r="AP746" i="1" s="1"/>
  <c r="AQ746" i="1" s="1"/>
  <c r="AR746" i="1" s="1"/>
  <c r="V746" i="1"/>
  <c r="U747" i="1"/>
  <c r="AN747" i="1" s="1"/>
  <c r="V747" i="1"/>
  <c r="U748" i="1"/>
  <c r="AN748" i="1" s="1"/>
  <c r="V748" i="1"/>
  <c r="U749" i="1"/>
  <c r="AN749" i="1" s="1"/>
  <c r="V749" i="1"/>
  <c r="U750" i="1"/>
  <c r="AN750" i="1" s="1"/>
  <c r="V750" i="1"/>
  <c r="U751" i="1"/>
  <c r="AN751" i="1" s="1"/>
  <c r="V751" i="1"/>
  <c r="U752" i="1"/>
  <c r="AN752" i="1" s="1"/>
  <c r="V752" i="1"/>
  <c r="U753" i="1"/>
  <c r="AN753" i="1" s="1"/>
  <c r="V753" i="1"/>
  <c r="U754" i="1"/>
  <c r="AN754" i="1"/>
  <c r="AO754" i="1" s="1"/>
  <c r="AP754" i="1" s="1"/>
  <c r="AQ754" i="1" s="1"/>
  <c r="V754" i="1"/>
  <c r="U755" i="1"/>
  <c r="AN755" i="1" s="1"/>
  <c r="V755" i="1"/>
  <c r="U756" i="1"/>
  <c r="AN756" i="1" s="1"/>
  <c r="AO756" i="1" s="1"/>
  <c r="AP756" i="1" s="1"/>
  <c r="AQ756" i="1" s="1"/>
  <c r="V756" i="1"/>
  <c r="U757" i="1"/>
  <c r="AN757" i="1" s="1"/>
  <c r="V757" i="1"/>
  <c r="U758" i="1"/>
  <c r="AN758" i="1" s="1"/>
  <c r="V758" i="1"/>
  <c r="U759" i="1"/>
  <c r="AN759" i="1" s="1"/>
  <c r="V759" i="1"/>
  <c r="U760" i="1"/>
  <c r="AN760" i="1" s="1"/>
  <c r="V760" i="1"/>
  <c r="U761" i="1"/>
  <c r="AN761" i="1" s="1"/>
  <c r="V761" i="1"/>
  <c r="U762" i="1"/>
  <c r="AN762" i="1" s="1"/>
  <c r="AS762" i="1" s="1"/>
  <c r="V762" i="1"/>
  <c r="U763" i="1"/>
  <c r="AN763" i="1" s="1"/>
  <c r="V763" i="1"/>
  <c r="U764" i="1"/>
  <c r="AN764" i="1" s="1"/>
  <c r="V764" i="1"/>
  <c r="U765" i="1"/>
  <c r="AN765" i="1" s="1"/>
  <c r="V765" i="1"/>
  <c r="U766" i="1"/>
  <c r="AN766" i="1" s="1"/>
  <c r="V766" i="1"/>
  <c r="U767" i="1"/>
  <c r="AN767" i="1" s="1"/>
  <c r="V767" i="1"/>
  <c r="U768" i="1"/>
  <c r="AN768" i="1" s="1"/>
  <c r="V768" i="1"/>
  <c r="U769" i="1"/>
  <c r="AN769" i="1" s="1"/>
  <c r="V769" i="1"/>
  <c r="U770" i="1"/>
  <c r="AN770" i="1"/>
  <c r="V770" i="1"/>
  <c r="U771" i="1"/>
  <c r="AN771" i="1" s="1"/>
  <c r="V771" i="1"/>
  <c r="U772" i="1"/>
  <c r="AN772" i="1" s="1"/>
  <c r="V772" i="1"/>
  <c r="U773" i="1"/>
  <c r="AN773" i="1" s="1"/>
  <c r="V773" i="1"/>
  <c r="U774" i="1"/>
  <c r="AN774" i="1" s="1"/>
  <c r="V774" i="1"/>
  <c r="U775" i="1"/>
  <c r="AN775" i="1" s="1"/>
  <c r="V775" i="1"/>
  <c r="U776" i="1"/>
  <c r="AN776" i="1" s="1"/>
  <c r="V776" i="1"/>
  <c r="U777" i="1"/>
  <c r="AN777" i="1" s="1"/>
  <c r="V777" i="1"/>
  <c r="U778" i="1"/>
  <c r="AN778" i="1" s="1"/>
  <c r="V778" i="1"/>
  <c r="U779" i="1"/>
  <c r="AN779" i="1" s="1"/>
  <c r="V779" i="1"/>
  <c r="U780" i="1"/>
  <c r="AN780" i="1" s="1"/>
  <c r="V780" i="1"/>
  <c r="U781" i="1"/>
  <c r="AN781" i="1" s="1"/>
  <c r="V781" i="1"/>
  <c r="U782" i="1"/>
  <c r="AN782" i="1" s="1"/>
  <c r="V782" i="1"/>
  <c r="U783" i="1"/>
  <c r="AN783" i="1" s="1"/>
  <c r="V783" i="1"/>
  <c r="U784" i="1"/>
  <c r="AN784" i="1" s="1"/>
  <c r="V784" i="1"/>
  <c r="U785" i="1"/>
  <c r="AN785" i="1" s="1"/>
  <c r="V785" i="1"/>
  <c r="U786" i="1"/>
  <c r="AN786" i="1"/>
  <c r="V786" i="1"/>
  <c r="U787" i="1"/>
  <c r="AN787" i="1" s="1"/>
  <c r="AS787" i="1" s="1"/>
  <c r="V787" i="1"/>
  <c r="U788" i="1"/>
  <c r="AN788" i="1" s="1"/>
  <c r="V788" i="1"/>
  <c r="U789" i="1"/>
  <c r="AN789" i="1" s="1"/>
  <c r="AS789" i="1" s="1"/>
  <c r="V789" i="1"/>
  <c r="U790" i="1"/>
  <c r="AN790" i="1" s="1"/>
  <c r="V790" i="1"/>
  <c r="U791" i="1"/>
  <c r="AN791" i="1" s="1"/>
  <c r="AS791" i="1" s="1"/>
  <c r="V791" i="1"/>
  <c r="U792" i="1"/>
  <c r="AN792" i="1" s="1"/>
  <c r="V792" i="1"/>
  <c r="U793" i="1"/>
  <c r="AN793" i="1" s="1"/>
  <c r="AS793" i="1" s="1"/>
  <c r="V793" i="1"/>
  <c r="U794" i="1"/>
  <c r="AN794" i="1" s="1"/>
  <c r="V794" i="1"/>
  <c r="U795" i="1"/>
  <c r="AN795" i="1" s="1"/>
  <c r="V795" i="1"/>
  <c r="U796" i="1"/>
  <c r="AN796" i="1" s="1"/>
  <c r="V796" i="1"/>
  <c r="U797" i="1"/>
  <c r="AN797" i="1" s="1"/>
  <c r="V797" i="1"/>
  <c r="U798" i="1"/>
  <c r="AN798" i="1" s="1"/>
  <c r="V798" i="1"/>
  <c r="U799" i="1"/>
  <c r="AN799" i="1" s="1"/>
  <c r="V799" i="1"/>
  <c r="U800" i="1"/>
  <c r="AN800" i="1" s="1"/>
  <c r="V800" i="1"/>
  <c r="U801" i="1"/>
  <c r="AN801" i="1" s="1"/>
  <c r="V801" i="1"/>
  <c r="U802" i="1"/>
  <c r="AN802" i="1"/>
  <c r="V802" i="1"/>
  <c r="U803" i="1"/>
  <c r="AN803" i="1" s="1"/>
  <c r="V803" i="1"/>
  <c r="U804" i="1"/>
  <c r="AN804" i="1" s="1"/>
  <c r="V804" i="1"/>
  <c r="U805" i="1"/>
  <c r="AN805" i="1" s="1"/>
  <c r="V805" i="1"/>
  <c r="U806" i="1"/>
  <c r="AN806" i="1" s="1"/>
  <c r="V806" i="1"/>
  <c r="U807" i="1"/>
  <c r="AN807" i="1" s="1"/>
  <c r="V807" i="1"/>
  <c r="U808" i="1"/>
  <c r="AN808" i="1" s="1"/>
  <c r="V808" i="1"/>
  <c r="U809" i="1"/>
  <c r="AN809" i="1" s="1"/>
  <c r="V809" i="1"/>
  <c r="U810" i="1"/>
  <c r="AN810" i="1" s="1"/>
  <c r="V810" i="1"/>
  <c r="U811" i="1"/>
  <c r="AN811" i="1" s="1"/>
  <c r="V811" i="1"/>
  <c r="U812" i="1"/>
  <c r="AN812" i="1" s="1"/>
  <c r="V812" i="1"/>
  <c r="U813" i="1"/>
  <c r="AN813" i="1" s="1"/>
  <c r="V813" i="1"/>
  <c r="U814" i="1"/>
  <c r="AN814" i="1" s="1"/>
  <c r="V814" i="1"/>
  <c r="U815" i="1"/>
  <c r="AN815" i="1" s="1"/>
  <c r="V815" i="1"/>
  <c r="U816" i="1"/>
  <c r="AN816" i="1" s="1"/>
  <c r="V816" i="1"/>
  <c r="U817" i="1"/>
  <c r="AN817" i="1" s="1"/>
  <c r="V817" i="1"/>
  <c r="U818" i="1"/>
  <c r="AN818" i="1"/>
  <c r="AO818" i="1" s="1"/>
  <c r="AP818" i="1" s="1"/>
  <c r="AQ818" i="1" s="1"/>
  <c r="AR818" i="1" s="1"/>
  <c r="V818" i="1"/>
  <c r="U819" i="1"/>
  <c r="AN819" i="1" s="1"/>
  <c r="V819" i="1"/>
  <c r="U820" i="1"/>
  <c r="AN820" i="1" s="1"/>
  <c r="AO820" i="1" s="1"/>
  <c r="AP820" i="1" s="1"/>
  <c r="AQ820" i="1" s="1"/>
  <c r="AR820" i="1" s="1"/>
  <c r="V820" i="1"/>
  <c r="U821" i="1"/>
  <c r="AN821" i="1" s="1"/>
  <c r="V821" i="1"/>
  <c r="U822" i="1"/>
  <c r="AN822" i="1" s="1"/>
  <c r="AS822" i="1" s="1"/>
  <c r="V822" i="1"/>
  <c r="U823" i="1"/>
  <c r="AN823" i="1" s="1"/>
  <c r="V823" i="1"/>
  <c r="U824" i="1"/>
  <c r="AN824" i="1" s="1"/>
  <c r="AO824" i="1" s="1"/>
  <c r="AP824" i="1" s="1"/>
  <c r="AQ824" i="1" s="1"/>
  <c r="AR824" i="1" s="1"/>
  <c r="V824" i="1"/>
  <c r="U825" i="1"/>
  <c r="AN825" i="1" s="1"/>
  <c r="V825" i="1"/>
  <c r="U826" i="1"/>
  <c r="AN826" i="1" s="1"/>
  <c r="AO826" i="1" s="1"/>
  <c r="AP826" i="1" s="1"/>
  <c r="AQ826" i="1" s="1"/>
  <c r="AR826" i="1" s="1"/>
  <c r="V826" i="1"/>
  <c r="U827" i="1"/>
  <c r="AN827" i="1" s="1"/>
  <c r="V827" i="1"/>
  <c r="U828" i="1"/>
  <c r="AN828" i="1" s="1"/>
  <c r="V828" i="1"/>
  <c r="U829" i="1"/>
  <c r="V829" i="1"/>
  <c r="U830" i="1"/>
  <c r="AN830" i="1" s="1"/>
  <c r="V830" i="1"/>
  <c r="U831" i="1"/>
  <c r="AN831" i="1" s="1"/>
  <c r="V831" i="1"/>
  <c r="U832" i="1"/>
  <c r="AN832" i="1" s="1"/>
  <c r="V832" i="1"/>
  <c r="U833" i="1"/>
  <c r="AN833" i="1" s="1"/>
  <c r="V833" i="1"/>
  <c r="U834" i="1"/>
  <c r="AN834" i="1" s="1"/>
  <c r="V834" i="1"/>
  <c r="U835" i="1"/>
  <c r="AN835" i="1"/>
  <c r="V835" i="1"/>
  <c r="U836" i="1"/>
  <c r="AN836" i="1" s="1"/>
  <c r="V836" i="1"/>
  <c r="U837" i="1"/>
  <c r="AN837" i="1" s="1"/>
  <c r="V837" i="1"/>
  <c r="U838" i="1"/>
  <c r="AN838" i="1" s="1"/>
  <c r="V838" i="1"/>
  <c r="U839" i="1"/>
  <c r="AN839" i="1" s="1"/>
  <c r="V839" i="1"/>
  <c r="U840" i="1"/>
  <c r="AN840" i="1" s="1"/>
  <c r="V840" i="1"/>
  <c r="U841" i="1"/>
  <c r="AN841" i="1" s="1"/>
  <c r="V841" i="1"/>
  <c r="U842" i="1"/>
  <c r="AN842" i="1" s="1"/>
  <c r="V842" i="1"/>
  <c r="U843" i="1"/>
  <c r="AN843" i="1" s="1"/>
  <c r="V843" i="1"/>
  <c r="U844" i="1"/>
  <c r="AN844" i="1" s="1"/>
  <c r="V844" i="1"/>
  <c r="U845" i="1"/>
  <c r="AN845" i="1" s="1"/>
  <c r="V845" i="1"/>
  <c r="U846" i="1"/>
  <c r="AN846" i="1" s="1"/>
  <c r="V846" i="1"/>
  <c r="U847" i="1"/>
  <c r="AN847" i="1" s="1"/>
  <c r="V847" i="1"/>
  <c r="U848" i="1"/>
  <c r="AN848" i="1" s="1"/>
  <c r="V848" i="1"/>
  <c r="U849" i="1"/>
  <c r="AN849" i="1" s="1"/>
  <c r="V849" i="1"/>
  <c r="U850" i="1"/>
  <c r="AN850" i="1" s="1"/>
  <c r="V850" i="1"/>
  <c r="U851" i="1"/>
  <c r="AN851" i="1"/>
  <c r="AO851" i="1" s="1"/>
  <c r="AP851" i="1" s="1"/>
  <c r="AQ851" i="1" s="1"/>
  <c r="AR851" i="1" s="1"/>
  <c r="V851" i="1"/>
  <c r="U852" i="1"/>
  <c r="AN852" i="1" s="1"/>
  <c r="V852" i="1"/>
  <c r="U853" i="1"/>
  <c r="AN853" i="1" s="1"/>
  <c r="V853" i="1"/>
  <c r="U854" i="1"/>
  <c r="AN854" i="1" s="1"/>
  <c r="V854" i="1"/>
  <c r="U855" i="1"/>
  <c r="AN855" i="1" s="1"/>
  <c r="V855" i="1"/>
  <c r="U856" i="1"/>
  <c r="AN856" i="1" s="1"/>
  <c r="V856" i="1"/>
  <c r="U857" i="1"/>
  <c r="AN857" i="1" s="1"/>
  <c r="AO857" i="1" s="1"/>
  <c r="AP857" i="1" s="1"/>
  <c r="AQ857" i="1" s="1"/>
  <c r="AR857" i="1" s="1"/>
  <c r="V857" i="1"/>
  <c r="U858" i="1"/>
  <c r="AN858" i="1" s="1"/>
  <c r="V858" i="1"/>
  <c r="U859" i="1"/>
  <c r="AN859" i="1" s="1"/>
  <c r="AS859" i="1" s="1"/>
  <c r="V859" i="1"/>
  <c r="U860" i="1"/>
  <c r="AN860" i="1" s="1"/>
  <c r="V860" i="1"/>
  <c r="U861" i="1"/>
  <c r="AN861" i="1" s="1"/>
  <c r="V861" i="1"/>
  <c r="U862" i="1"/>
  <c r="AN862" i="1" s="1"/>
  <c r="V862" i="1"/>
  <c r="U863" i="1"/>
  <c r="AN863" i="1" s="1"/>
  <c r="V863" i="1"/>
  <c r="U864" i="1"/>
  <c r="AN864" i="1" s="1"/>
  <c r="V864" i="1"/>
  <c r="U865" i="1"/>
  <c r="AN865" i="1" s="1"/>
  <c r="AS865" i="1" s="1"/>
  <c r="V865" i="1"/>
  <c r="U866" i="1"/>
  <c r="AN866" i="1" s="1"/>
  <c r="V866" i="1"/>
  <c r="U867" i="1"/>
  <c r="AN867" i="1" s="1"/>
  <c r="AO867" i="1" s="1"/>
  <c r="AP867" i="1" s="1"/>
  <c r="AQ867" i="1" s="1"/>
  <c r="AR867" i="1" s="1"/>
  <c r="V867" i="1"/>
  <c r="U868" i="1"/>
  <c r="AN868" i="1" s="1"/>
  <c r="AO868" i="1" s="1"/>
  <c r="AP868" i="1" s="1"/>
  <c r="AQ868" i="1" s="1"/>
  <c r="V868" i="1"/>
  <c r="U869" i="1"/>
  <c r="AN869" i="1" s="1"/>
  <c r="V869" i="1"/>
  <c r="U870" i="1"/>
  <c r="AN870" i="1" s="1"/>
  <c r="V870" i="1"/>
  <c r="U871" i="1"/>
  <c r="AN871" i="1" s="1"/>
  <c r="V871" i="1"/>
  <c r="U872" i="1"/>
  <c r="AN872" i="1" s="1"/>
  <c r="AO872" i="1" s="1"/>
  <c r="AP872" i="1" s="1"/>
  <c r="AQ872" i="1" s="1"/>
  <c r="V872" i="1"/>
  <c r="U873" i="1"/>
  <c r="AN873" i="1" s="1"/>
  <c r="V873" i="1"/>
  <c r="U874" i="1"/>
  <c r="AN874" i="1" s="1"/>
  <c r="AO874" i="1" s="1"/>
  <c r="AP874" i="1" s="1"/>
  <c r="AQ874" i="1" s="1"/>
  <c r="V874" i="1"/>
  <c r="U875" i="1"/>
  <c r="AN875" i="1" s="1"/>
  <c r="V875" i="1"/>
  <c r="U876" i="1"/>
  <c r="AN876" i="1" s="1"/>
  <c r="AO876" i="1" s="1"/>
  <c r="AP876" i="1" s="1"/>
  <c r="AQ876" i="1" s="1"/>
  <c r="V876" i="1"/>
  <c r="U877" i="1"/>
  <c r="AN877" i="1" s="1"/>
  <c r="V877" i="1"/>
  <c r="U878" i="1"/>
  <c r="AN878" i="1" s="1"/>
  <c r="AO878" i="1" s="1"/>
  <c r="AP878" i="1" s="1"/>
  <c r="AQ878" i="1" s="1"/>
  <c r="V878" i="1"/>
  <c r="U879" i="1"/>
  <c r="AN879" i="1" s="1"/>
  <c r="V879" i="1"/>
  <c r="U880" i="1"/>
  <c r="AN880" i="1" s="1"/>
  <c r="AO880" i="1" s="1"/>
  <c r="AP880" i="1" s="1"/>
  <c r="AQ880" i="1" s="1"/>
  <c r="V880" i="1"/>
  <c r="U881" i="1"/>
  <c r="AN881" i="1" s="1"/>
  <c r="V881" i="1"/>
  <c r="U882" i="1"/>
  <c r="AN882" i="1" s="1"/>
  <c r="V882" i="1"/>
  <c r="U883" i="1"/>
  <c r="AN883" i="1"/>
  <c r="V883" i="1"/>
  <c r="U884" i="1"/>
  <c r="AN884" i="1" s="1"/>
  <c r="AO884" i="1" s="1"/>
  <c r="AP884" i="1" s="1"/>
  <c r="AQ884" i="1" s="1"/>
  <c r="AR884" i="1" s="1"/>
  <c r="V884" i="1"/>
  <c r="U885" i="1"/>
  <c r="AN885" i="1" s="1"/>
  <c r="V885" i="1"/>
  <c r="U886" i="1"/>
  <c r="AN886" i="1" s="1"/>
  <c r="V886" i="1"/>
  <c r="U887" i="1"/>
  <c r="AN887" i="1" s="1"/>
  <c r="V887" i="1"/>
  <c r="U888" i="1"/>
  <c r="AN888" i="1" s="1"/>
  <c r="V888" i="1"/>
  <c r="U889" i="1"/>
  <c r="AN889" i="1" s="1"/>
  <c r="V889" i="1"/>
  <c r="U890" i="1"/>
  <c r="AN890" i="1" s="1"/>
  <c r="V890" i="1"/>
  <c r="U891" i="1"/>
  <c r="AN891" i="1"/>
  <c r="V891" i="1"/>
  <c r="U892" i="1"/>
  <c r="AN892" i="1" s="1"/>
  <c r="V892" i="1"/>
  <c r="U893" i="1"/>
  <c r="AN893" i="1" s="1"/>
  <c r="AO893" i="1" s="1"/>
  <c r="AP893" i="1" s="1"/>
  <c r="AQ893" i="1" s="1"/>
  <c r="V893" i="1"/>
  <c r="U894" i="1"/>
  <c r="AN894" i="1" s="1"/>
  <c r="V894" i="1"/>
  <c r="U895" i="1"/>
  <c r="AN895" i="1" s="1"/>
  <c r="V895" i="1"/>
  <c r="U896" i="1"/>
  <c r="AN896" i="1" s="1"/>
  <c r="V896" i="1"/>
  <c r="U897" i="1"/>
  <c r="AN897" i="1" s="1"/>
  <c r="V897" i="1"/>
  <c r="U898" i="1"/>
  <c r="AN898" i="1" s="1"/>
  <c r="V898" i="1"/>
  <c r="U899" i="1"/>
  <c r="AN899" i="1"/>
  <c r="AO899" i="1" s="1"/>
  <c r="AP899" i="1" s="1"/>
  <c r="AQ899" i="1" s="1"/>
  <c r="AR899" i="1" s="1"/>
  <c r="V899" i="1"/>
  <c r="U900" i="1"/>
  <c r="AN900" i="1" s="1"/>
  <c r="V900" i="1"/>
  <c r="U901" i="1"/>
  <c r="AN901" i="1" s="1"/>
  <c r="V901" i="1"/>
  <c r="U902" i="1"/>
  <c r="AN902" i="1" s="1"/>
  <c r="V902" i="1"/>
  <c r="U903" i="1"/>
  <c r="AN903" i="1" s="1"/>
  <c r="V903" i="1"/>
  <c r="U904" i="1"/>
  <c r="AN904" i="1" s="1"/>
  <c r="V904" i="1"/>
  <c r="U905" i="1"/>
  <c r="AN905" i="1" s="1"/>
  <c r="V905" i="1"/>
  <c r="U906" i="1"/>
  <c r="AN906" i="1" s="1"/>
  <c r="V906" i="1"/>
  <c r="U907" i="1"/>
  <c r="AN907" i="1" s="1"/>
  <c r="V907" i="1"/>
  <c r="U908" i="1"/>
  <c r="AN908" i="1" s="1"/>
  <c r="V908" i="1"/>
  <c r="U909" i="1"/>
  <c r="AN909" i="1" s="1"/>
  <c r="V909" i="1"/>
  <c r="U910" i="1"/>
  <c r="AN910" i="1" s="1"/>
  <c r="V910" i="1"/>
  <c r="U911" i="1"/>
  <c r="AN911" i="1" s="1"/>
  <c r="V911" i="1"/>
  <c r="U912" i="1"/>
  <c r="AN912" i="1" s="1"/>
  <c r="V912" i="1"/>
  <c r="U913" i="1"/>
  <c r="AN913" i="1" s="1"/>
  <c r="V913" i="1"/>
  <c r="U914" i="1"/>
  <c r="AN914" i="1" s="1"/>
  <c r="V914" i="1"/>
  <c r="U915" i="1"/>
  <c r="AN915" i="1"/>
  <c r="V915" i="1"/>
  <c r="U916" i="1"/>
  <c r="AN916" i="1" s="1"/>
  <c r="AO916" i="1" s="1"/>
  <c r="AP916" i="1" s="1"/>
  <c r="AQ916" i="1" s="1"/>
  <c r="V916" i="1"/>
  <c r="U917" i="1"/>
  <c r="AN917" i="1" s="1"/>
  <c r="V917" i="1"/>
  <c r="U918" i="1"/>
  <c r="AN918" i="1" s="1"/>
  <c r="AO918" i="1" s="1"/>
  <c r="AP918" i="1" s="1"/>
  <c r="AQ918" i="1" s="1"/>
  <c r="V918" i="1"/>
  <c r="U919" i="1"/>
  <c r="AN919" i="1" s="1"/>
  <c r="V919" i="1"/>
  <c r="U920" i="1"/>
  <c r="AN920" i="1" s="1"/>
  <c r="V920" i="1"/>
  <c r="U921" i="1"/>
  <c r="AN921" i="1" s="1"/>
  <c r="V921" i="1"/>
  <c r="U922" i="1"/>
  <c r="AN922" i="1" s="1"/>
  <c r="V922" i="1"/>
  <c r="U923" i="1"/>
  <c r="AN923" i="1" s="1"/>
  <c r="AS923" i="1" s="1"/>
  <c r="V923" i="1"/>
  <c r="U924" i="1"/>
  <c r="AN924" i="1" s="1"/>
  <c r="V924" i="1"/>
  <c r="U925" i="1"/>
  <c r="AN925" i="1" s="1"/>
  <c r="V925" i="1"/>
  <c r="U926" i="1"/>
  <c r="AN926" i="1" s="1"/>
  <c r="V926" i="1"/>
  <c r="U927" i="1"/>
  <c r="AN927" i="1" s="1"/>
  <c r="V927" i="1"/>
  <c r="U928" i="1"/>
  <c r="AN928" i="1" s="1"/>
  <c r="V928" i="1"/>
  <c r="U929" i="1"/>
  <c r="AN929" i="1" s="1"/>
  <c r="V929" i="1"/>
  <c r="U930" i="1"/>
  <c r="AN930" i="1" s="1"/>
  <c r="V930" i="1"/>
  <c r="U931" i="1"/>
  <c r="AN931" i="1"/>
  <c r="AO931" i="1" s="1"/>
  <c r="AP931" i="1" s="1"/>
  <c r="AQ931" i="1" s="1"/>
  <c r="V931" i="1"/>
  <c r="U932" i="1"/>
  <c r="AN932" i="1" s="1"/>
  <c r="V932" i="1"/>
  <c r="U933" i="1"/>
  <c r="AN933" i="1" s="1"/>
  <c r="V933" i="1"/>
  <c r="U934" i="1"/>
  <c r="AN934" i="1" s="1"/>
  <c r="V934" i="1"/>
  <c r="U935" i="1"/>
  <c r="AN935" i="1" s="1"/>
  <c r="V935" i="1"/>
  <c r="U936" i="1"/>
  <c r="AN936" i="1" s="1"/>
  <c r="V936" i="1"/>
  <c r="U937" i="1"/>
  <c r="AN937" i="1" s="1"/>
  <c r="V937" i="1"/>
  <c r="U938" i="1"/>
  <c r="AN938" i="1" s="1"/>
  <c r="V938" i="1"/>
  <c r="U939" i="1"/>
  <c r="AN939" i="1" s="1"/>
  <c r="V939" i="1"/>
  <c r="U940" i="1"/>
  <c r="AN940" i="1" s="1"/>
  <c r="V940" i="1"/>
  <c r="U941" i="1"/>
  <c r="AN941" i="1" s="1"/>
  <c r="V941" i="1"/>
  <c r="U942" i="1"/>
  <c r="AN942" i="1" s="1"/>
  <c r="V942" i="1"/>
  <c r="U943" i="1"/>
  <c r="AN943" i="1" s="1"/>
  <c r="V943" i="1"/>
  <c r="U944" i="1"/>
  <c r="AN944" i="1" s="1"/>
  <c r="V944" i="1"/>
  <c r="U945" i="1"/>
  <c r="AN945" i="1" s="1"/>
  <c r="V945" i="1"/>
  <c r="U946" i="1"/>
  <c r="AN946" i="1" s="1"/>
  <c r="V946" i="1"/>
  <c r="U947" i="1"/>
  <c r="AN947" i="1"/>
  <c r="V947" i="1"/>
  <c r="U948" i="1"/>
  <c r="AN948" i="1" s="1"/>
  <c r="V948" i="1"/>
  <c r="U949" i="1"/>
  <c r="AN949" i="1" s="1"/>
  <c r="V949" i="1"/>
  <c r="U950" i="1"/>
  <c r="AN950" i="1" s="1"/>
  <c r="V950" i="1"/>
  <c r="U951" i="1"/>
  <c r="AN951" i="1" s="1"/>
  <c r="AO951" i="1" s="1"/>
  <c r="AP951" i="1" s="1"/>
  <c r="AQ951" i="1" s="1"/>
  <c r="V951" i="1"/>
  <c r="U952" i="1"/>
  <c r="AN952" i="1" s="1"/>
  <c r="V952" i="1"/>
  <c r="U953" i="1"/>
  <c r="AN953" i="1" s="1"/>
  <c r="V953" i="1"/>
  <c r="U954" i="1"/>
  <c r="AN954" i="1" s="1"/>
  <c r="V954" i="1"/>
  <c r="U955" i="1"/>
  <c r="AN955" i="1" s="1"/>
  <c r="V955" i="1"/>
  <c r="U956" i="1"/>
  <c r="AN956" i="1" s="1"/>
  <c r="V956" i="1"/>
  <c r="U957" i="1"/>
  <c r="AN957" i="1" s="1"/>
  <c r="AO957" i="1" s="1"/>
  <c r="AP957" i="1" s="1"/>
  <c r="AQ957" i="1" s="1"/>
  <c r="V957" i="1"/>
  <c r="U958" i="1"/>
  <c r="AN958" i="1" s="1"/>
  <c r="V958" i="1"/>
  <c r="U959" i="1"/>
  <c r="AN959" i="1" s="1"/>
  <c r="AO959" i="1" s="1"/>
  <c r="AP959" i="1" s="1"/>
  <c r="AQ959" i="1" s="1"/>
  <c r="V959" i="1"/>
  <c r="U960" i="1"/>
  <c r="AN960" i="1" s="1"/>
  <c r="V960" i="1"/>
  <c r="U961" i="1"/>
  <c r="AN961" i="1" s="1"/>
  <c r="V961" i="1"/>
  <c r="U962" i="1"/>
  <c r="AN962" i="1" s="1"/>
  <c r="V962" i="1"/>
  <c r="U963" i="1"/>
  <c r="AN963" i="1" s="1"/>
  <c r="V963" i="1"/>
  <c r="U964" i="1"/>
  <c r="AN964" i="1" s="1"/>
  <c r="AO964" i="1" s="1"/>
  <c r="AP964" i="1" s="1"/>
  <c r="AQ964" i="1" s="1"/>
  <c r="AR964" i="1" s="1"/>
  <c r="V964" i="1"/>
  <c r="U965" i="1"/>
  <c r="AN965" i="1" s="1"/>
  <c r="V965" i="1"/>
  <c r="U966" i="1"/>
  <c r="AN966" i="1" s="1"/>
  <c r="AO966" i="1" s="1"/>
  <c r="AP966" i="1" s="1"/>
  <c r="AQ966" i="1" s="1"/>
  <c r="AR966" i="1" s="1"/>
  <c r="V966" i="1"/>
  <c r="U967" i="1"/>
  <c r="AN967" i="1" s="1"/>
  <c r="V967" i="1"/>
  <c r="U968" i="1"/>
  <c r="AN968" i="1" s="1"/>
  <c r="AS968" i="1" s="1"/>
  <c r="V968" i="1"/>
  <c r="U969" i="1"/>
  <c r="AN969" i="1" s="1"/>
  <c r="V969" i="1"/>
  <c r="U970" i="1"/>
  <c r="AN970" i="1" s="1"/>
  <c r="AO970" i="1" s="1"/>
  <c r="AP970" i="1" s="1"/>
  <c r="AQ970" i="1" s="1"/>
  <c r="AR970" i="1" s="1"/>
  <c r="V970" i="1"/>
  <c r="U971" i="1"/>
  <c r="AN971" i="1" s="1"/>
  <c r="V971" i="1"/>
  <c r="U972" i="1"/>
  <c r="AN972" i="1" s="1"/>
  <c r="AO972" i="1" s="1"/>
  <c r="AP972" i="1" s="1"/>
  <c r="AQ972" i="1" s="1"/>
  <c r="AR972" i="1" s="1"/>
  <c r="V972" i="1"/>
  <c r="U973" i="1"/>
  <c r="AN973" i="1" s="1"/>
  <c r="V973" i="1"/>
  <c r="U974" i="1"/>
  <c r="AN974" i="1" s="1"/>
  <c r="AO974" i="1" s="1"/>
  <c r="AP974" i="1" s="1"/>
  <c r="AQ974" i="1" s="1"/>
  <c r="AR974" i="1" s="1"/>
  <c r="V974" i="1"/>
  <c r="U975" i="1"/>
  <c r="AN975" i="1" s="1"/>
  <c r="V975" i="1"/>
  <c r="U976" i="1"/>
  <c r="AN976" i="1" s="1"/>
  <c r="AO976" i="1" s="1"/>
  <c r="AP976" i="1" s="1"/>
  <c r="AQ976" i="1" s="1"/>
  <c r="AR976" i="1" s="1"/>
  <c r="V976" i="1"/>
  <c r="U977" i="1"/>
  <c r="AN977" i="1" s="1"/>
  <c r="V977" i="1"/>
  <c r="U978" i="1"/>
  <c r="AN978" i="1" s="1"/>
  <c r="AS978" i="1" s="1"/>
  <c r="V978" i="1"/>
  <c r="U979" i="1"/>
  <c r="V979" i="1"/>
  <c r="U980" i="1"/>
  <c r="AN980" i="1" s="1"/>
  <c r="V980" i="1"/>
  <c r="U981" i="1"/>
  <c r="V981" i="1"/>
  <c r="U982" i="1"/>
  <c r="AN982" i="1" s="1"/>
  <c r="AO982" i="1" s="1"/>
  <c r="AP982" i="1" s="1"/>
  <c r="AQ982" i="1" s="1"/>
  <c r="AR982" i="1" s="1"/>
  <c r="V982" i="1"/>
  <c r="U983" i="1"/>
  <c r="V983" i="1"/>
  <c r="U984" i="1"/>
  <c r="AN984" i="1" s="1"/>
  <c r="V984" i="1"/>
  <c r="U985" i="1"/>
  <c r="V985" i="1"/>
  <c r="U986" i="1"/>
  <c r="AN986" i="1" s="1"/>
  <c r="V986" i="1"/>
  <c r="U987" i="1"/>
  <c r="V987" i="1"/>
  <c r="U988" i="1"/>
  <c r="AC988" i="1" s="1"/>
  <c r="AL988" i="1" s="1"/>
  <c r="AW988" i="1" s="1"/>
  <c r="V988" i="1"/>
  <c r="U989" i="1"/>
  <c r="V989" i="1"/>
  <c r="U990" i="1"/>
  <c r="AC990" i="1" s="1"/>
  <c r="AL990" i="1" s="1"/>
  <c r="AW990" i="1" s="1"/>
  <c r="V990" i="1"/>
  <c r="U991" i="1"/>
  <c r="V991" i="1"/>
  <c r="U992" i="1"/>
  <c r="AN992" i="1" s="1"/>
  <c r="AS992" i="1" s="1"/>
  <c r="V992" i="1"/>
  <c r="U993" i="1"/>
  <c r="V993" i="1"/>
  <c r="U994" i="1"/>
  <c r="AN994" i="1" s="1"/>
  <c r="AS994" i="1" s="1"/>
  <c r="V994" i="1"/>
  <c r="U995" i="1"/>
  <c r="V995" i="1"/>
  <c r="U996" i="1"/>
  <c r="AN996" i="1" s="1"/>
  <c r="AO996" i="1" s="1"/>
  <c r="AP996" i="1" s="1"/>
  <c r="AQ996" i="1" s="1"/>
  <c r="AR996" i="1" s="1"/>
  <c r="V996" i="1"/>
  <c r="U997" i="1"/>
  <c r="V997" i="1"/>
  <c r="U998" i="1"/>
  <c r="AC998" i="1" s="1"/>
  <c r="AL998" i="1" s="1"/>
  <c r="AW998" i="1" s="1"/>
  <c r="V998" i="1"/>
  <c r="U999" i="1"/>
  <c r="V999" i="1"/>
  <c r="U1000" i="1"/>
  <c r="AN1000" i="1" s="1"/>
  <c r="V1000" i="1"/>
  <c r="U1001" i="1"/>
  <c r="V1001" i="1"/>
  <c r="U1002" i="1"/>
  <c r="AN1002" i="1" s="1"/>
  <c r="V1002" i="1"/>
  <c r="U1003" i="1"/>
  <c r="V1003" i="1"/>
  <c r="U1004" i="1"/>
  <c r="AC1004" i="1" s="1"/>
  <c r="AL1004" i="1" s="1"/>
  <c r="AW1004" i="1" s="1"/>
  <c r="AX1004" i="1" s="1"/>
  <c r="AY1004" i="1" s="1"/>
  <c r="AZ1004" i="1" s="1"/>
  <c r="BA1004" i="1" s="1"/>
  <c r="V1004" i="1"/>
  <c r="U1005" i="1"/>
  <c r="V1005" i="1"/>
  <c r="U1006" i="1"/>
  <c r="AN1006" i="1" s="1"/>
  <c r="AO1006" i="1" s="1"/>
  <c r="AP1006" i="1" s="1"/>
  <c r="AQ1006" i="1" s="1"/>
  <c r="AR1006" i="1" s="1"/>
  <c r="V1006" i="1"/>
  <c r="U1007" i="1"/>
  <c r="V1007" i="1"/>
  <c r="U1008" i="1"/>
  <c r="AN1008" i="1" s="1"/>
  <c r="AS1008" i="1" s="1"/>
  <c r="V1008" i="1"/>
  <c r="U1009" i="1"/>
  <c r="V1009" i="1"/>
  <c r="U1010" i="1"/>
  <c r="AN1010" i="1" s="1"/>
  <c r="AS1010" i="1" s="1"/>
  <c r="V1010" i="1"/>
  <c r="U1011" i="1"/>
  <c r="V1011" i="1"/>
  <c r="U1012" i="1"/>
  <c r="AN1012" i="1" s="1"/>
  <c r="AS1012" i="1" s="1"/>
  <c r="V1012" i="1"/>
  <c r="U1013" i="1"/>
  <c r="V1013" i="1"/>
  <c r="U1014" i="1"/>
  <c r="AC1014" i="1" s="1"/>
  <c r="AL1014" i="1" s="1"/>
  <c r="AW1014" i="1" s="1"/>
  <c r="AX1014" i="1" s="1"/>
  <c r="AY1014" i="1" s="1"/>
  <c r="AZ1014" i="1" s="1"/>
  <c r="BA1014" i="1" s="1"/>
  <c r="V1014" i="1"/>
  <c r="U1015" i="1"/>
  <c r="V1015" i="1"/>
  <c r="U1016" i="1"/>
  <c r="AN1016" i="1" s="1"/>
  <c r="V1016" i="1"/>
  <c r="U1017" i="1"/>
  <c r="V1017" i="1"/>
  <c r="U1018" i="1"/>
  <c r="AN1018" i="1" s="1"/>
  <c r="AO1018" i="1" s="1"/>
  <c r="AP1018" i="1" s="1"/>
  <c r="AQ1018" i="1" s="1"/>
  <c r="AR1018" i="1" s="1"/>
  <c r="V1018" i="1"/>
  <c r="U1019" i="1"/>
  <c r="V1019" i="1"/>
  <c r="U1020" i="1"/>
  <c r="AN1020" i="1" s="1"/>
  <c r="AS1020" i="1" s="1"/>
  <c r="V1020" i="1"/>
  <c r="U1021" i="1"/>
  <c r="V1021" i="1"/>
  <c r="U1022" i="1"/>
  <c r="AC1022" i="1" s="1"/>
  <c r="AL1022" i="1" s="1"/>
  <c r="AW1022" i="1" s="1"/>
  <c r="V1022" i="1"/>
  <c r="U1023" i="1"/>
  <c r="V1023" i="1"/>
  <c r="U1024" i="1"/>
  <c r="AN1024" i="1" s="1"/>
  <c r="AS1024" i="1" s="1"/>
  <c r="V1024" i="1"/>
  <c r="U1025" i="1"/>
  <c r="V1025" i="1"/>
  <c r="U1026" i="1"/>
  <c r="AN1026" i="1" s="1"/>
  <c r="V1026" i="1"/>
  <c r="U1027" i="1"/>
  <c r="V1027" i="1"/>
  <c r="U1028" i="1"/>
  <c r="AN1028" i="1" s="1"/>
  <c r="V1028" i="1"/>
  <c r="U1029" i="1"/>
  <c r="V1029" i="1"/>
  <c r="U1030" i="1"/>
  <c r="AC1030" i="1" s="1"/>
  <c r="AL1030" i="1" s="1"/>
  <c r="AW1030" i="1" s="1"/>
  <c r="V1030" i="1"/>
  <c r="U1031" i="1"/>
  <c r="V1031" i="1"/>
  <c r="U1032" i="1"/>
  <c r="AN1032" i="1" s="1"/>
  <c r="V1032" i="1"/>
  <c r="U1033" i="1"/>
  <c r="V1033" i="1"/>
  <c r="U1034" i="1"/>
  <c r="AN1034" i="1" s="1"/>
  <c r="V1034" i="1"/>
  <c r="U1035" i="1"/>
  <c r="V1035" i="1"/>
  <c r="U1036" i="1"/>
  <c r="AC1036" i="1" s="1"/>
  <c r="AL1036" i="1" s="1"/>
  <c r="AW1036" i="1" s="1"/>
  <c r="V1036" i="1"/>
  <c r="U1037" i="1"/>
  <c r="V1037" i="1"/>
  <c r="U1038" i="1"/>
  <c r="AN1038" i="1" s="1"/>
  <c r="V1038" i="1"/>
  <c r="U1039" i="1"/>
  <c r="V1039" i="1"/>
  <c r="U1040" i="1"/>
  <c r="AN1040" i="1" s="1"/>
  <c r="AS1040" i="1" s="1"/>
  <c r="V1040" i="1"/>
  <c r="U1041" i="1"/>
  <c r="V1041" i="1"/>
  <c r="U1042" i="1"/>
  <c r="AN1042" i="1" s="1"/>
  <c r="AO1042" i="1" s="1"/>
  <c r="AP1042" i="1" s="1"/>
  <c r="AQ1042" i="1" s="1"/>
  <c r="AR1042" i="1" s="1"/>
  <c r="V1042" i="1"/>
  <c r="U1043" i="1"/>
  <c r="V1043" i="1"/>
  <c r="U1044" i="1"/>
  <c r="AN1044" i="1" s="1"/>
  <c r="V1044" i="1"/>
  <c r="U1045" i="1"/>
  <c r="V1045" i="1"/>
  <c r="U1046" i="1"/>
  <c r="AN1046" i="1" s="1"/>
  <c r="AO1046" i="1" s="1"/>
  <c r="AP1046" i="1" s="1"/>
  <c r="AQ1046" i="1" s="1"/>
  <c r="AR1046" i="1" s="1"/>
  <c r="V1046" i="1"/>
  <c r="U1047" i="1"/>
  <c r="V1047" i="1"/>
  <c r="U1048" i="1"/>
  <c r="AN1048" i="1" s="1"/>
  <c r="V1048" i="1"/>
  <c r="U1049" i="1"/>
  <c r="V1049" i="1"/>
  <c r="U1050" i="1"/>
  <c r="AN1050" i="1" s="1"/>
  <c r="AO1050" i="1" s="1"/>
  <c r="AP1050" i="1" s="1"/>
  <c r="AQ1050" i="1" s="1"/>
  <c r="AR1050" i="1" s="1"/>
  <c r="V1050" i="1"/>
  <c r="U1051" i="1"/>
  <c r="V1051" i="1"/>
  <c r="U1052" i="1"/>
  <c r="AN1052" i="1" s="1"/>
  <c r="AS1052" i="1" s="1"/>
  <c r="V1052" i="1"/>
  <c r="U1053" i="1"/>
  <c r="V1053" i="1"/>
  <c r="U1054" i="1"/>
  <c r="AN1054" i="1" s="1"/>
  <c r="V1054" i="1"/>
  <c r="U1055" i="1"/>
  <c r="V1055" i="1"/>
  <c r="U1056" i="1"/>
  <c r="AN1056" i="1" s="1"/>
  <c r="AO1056" i="1" s="1"/>
  <c r="AP1056" i="1" s="1"/>
  <c r="AQ1056" i="1" s="1"/>
  <c r="AR1056" i="1" s="1"/>
  <c r="V1056" i="1"/>
  <c r="U1057" i="1"/>
  <c r="V1057" i="1"/>
  <c r="U1058" i="1"/>
  <c r="AN1058" i="1" s="1"/>
  <c r="V1058" i="1"/>
  <c r="U1059" i="1"/>
  <c r="V1059" i="1"/>
  <c r="U1060" i="1"/>
  <c r="AC1060" i="1" s="1"/>
  <c r="AL1060" i="1" s="1"/>
  <c r="AW1060" i="1" s="1"/>
  <c r="V1060" i="1"/>
  <c r="U1061" i="1"/>
  <c r="V1061" i="1"/>
  <c r="U1062" i="1"/>
  <c r="AC1062" i="1" s="1"/>
  <c r="AL1062" i="1" s="1"/>
  <c r="AW1062" i="1" s="1"/>
  <c r="V1062" i="1"/>
  <c r="U1063" i="1"/>
  <c r="V1063" i="1"/>
  <c r="U1064" i="1"/>
  <c r="AN1064" i="1" s="1"/>
  <c r="V1064" i="1"/>
  <c r="U1065" i="1"/>
  <c r="V1065" i="1"/>
  <c r="U1066" i="1"/>
  <c r="AN1066" i="1" s="1"/>
  <c r="AO1066" i="1" s="1"/>
  <c r="AP1066" i="1" s="1"/>
  <c r="AQ1066" i="1" s="1"/>
  <c r="AR1066" i="1" s="1"/>
  <c r="V1066" i="1"/>
  <c r="U1067" i="1"/>
  <c r="V1067" i="1"/>
  <c r="U1068" i="1"/>
  <c r="AN1068" i="1" s="1"/>
  <c r="V1068" i="1"/>
  <c r="U1069" i="1"/>
  <c r="V1069" i="1"/>
  <c r="U1070" i="1"/>
  <c r="AC1070" i="1" s="1"/>
  <c r="AL1070" i="1" s="1"/>
  <c r="AW1070" i="1" s="1"/>
  <c r="V1070" i="1"/>
  <c r="U1071" i="1"/>
  <c r="V1071" i="1"/>
  <c r="U1072" i="1"/>
  <c r="AN1072" i="1" s="1"/>
  <c r="V1072" i="1"/>
  <c r="U1073" i="1"/>
  <c r="V1073" i="1"/>
  <c r="U1074" i="1"/>
  <c r="AN1074" i="1" s="1"/>
  <c r="V1074" i="1"/>
  <c r="U1075" i="1"/>
  <c r="V1075" i="1"/>
  <c r="U1076" i="1"/>
  <c r="AN1076" i="1" s="1"/>
  <c r="AO1076" i="1" s="1"/>
  <c r="AP1076" i="1" s="1"/>
  <c r="AQ1076" i="1" s="1"/>
  <c r="AR1076" i="1" s="1"/>
  <c r="V1076" i="1"/>
  <c r="U1077" i="1"/>
  <c r="V1077" i="1"/>
  <c r="U1078" i="1"/>
  <c r="AN1078" i="1" s="1"/>
  <c r="V1078" i="1"/>
  <c r="U1079" i="1"/>
  <c r="V1079" i="1"/>
  <c r="U1080" i="1"/>
  <c r="AN1080" i="1" s="1"/>
  <c r="AO1080" i="1" s="1"/>
  <c r="AP1080" i="1" s="1"/>
  <c r="AQ1080" i="1" s="1"/>
  <c r="AR1080" i="1" s="1"/>
  <c r="V1080" i="1"/>
  <c r="U1081" i="1"/>
  <c r="V1081" i="1"/>
  <c r="U1082" i="1"/>
  <c r="AN1082" i="1" s="1"/>
  <c r="AO1082" i="1" s="1"/>
  <c r="AP1082" i="1" s="1"/>
  <c r="AQ1082" i="1" s="1"/>
  <c r="AR1082" i="1" s="1"/>
  <c r="V1082" i="1"/>
  <c r="U1083" i="1"/>
  <c r="V1083" i="1"/>
  <c r="U1084" i="1"/>
  <c r="AN1084" i="1" s="1"/>
  <c r="V1084" i="1"/>
  <c r="U1085" i="1"/>
  <c r="V1085" i="1"/>
  <c r="U1086" i="1"/>
  <c r="AN1086" i="1" s="1"/>
  <c r="AO1086" i="1" s="1"/>
  <c r="AP1086" i="1" s="1"/>
  <c r="AQ1086" i="1" s="1"/>
  <c r="AR1086" i="1" s="1"/>
  <c r="V1086" i="1"/>
  <c r="U1087" i="1"/>
  <c r="V1087" i="1"/>
  <c r="U1088" i="1"/>
  <c r="AN1088" i="1" s="1"/>
  <c r="V1088" i="1"/>
  <c r="U1089" i="1"/>
  <c r="V1089" i="1"/>
  <c r="U1090" i="1"/>
  <c r="AC1090" i="1" s="1"/>
  <c r="AL1090" i="1" s="1"/>
  <c r="AW1090" i="1" s="1"/>
  <c r="V1090" i="1"/>
  <c r="U1091" i="1"/>
  <c r="V1091" i="1"/>
  <c r="U1092" i="1"/>
  <c r="AN1092" i="1" s="1"/>
  <c r="AS1092" i="1" s="1"/>
  <c r="V1092" i="1"/>
  <c r="U1093" i="1"/>
  <c r="AN1093" i="1" s="1"/>
  <c r="V1093" i="1"/>
  <c r="U1094" i="1"/>
  <c r="AN1094" i="1" s="1"/>
  <c r="AS1094" i="1" s="1"/>
  <c r="V1094" i="1"/>
  <c r="U1095" i="1"/>
  <c r="V1095" i="1"/>
  <c r="U1096" i="1"/>
  <c r="V1096" i="1"/>
  <c r="U1097" i="1"/>
  <c r="V1097" i="1"/>
  <c r="U1098" i="1"/>
  <c r="AN1098" i="1" s="1"/>
  <c r="V1098" i="1"/>
  <c r="U1099" i="1"/>
  <c r="V1099" i="1"/>
  <c r="U1100" i="1"/>
  <c r="AN1100" i="1" s="1"/>
  <c r="V1100" i="1"/>
  <c r="U1101" i="1"/>
  <c r="AN1101" i="1" s="1"/>
  <c r="V1101" i="1"/>
  <c r="U1102" i="1"/>
  <c r="AN1102" i="1" s="1"/>
  <c r="V1102" i="1"/>
  <c r="U1103" i="1"/>
  <c r="V1103" i="1"/>
  <c r="U1104" i="1"/>
  <c r="V1104" i="1"/>
  <c r="U1105" i="1"/>
  <c r="V1105" i="1"/>
  <c r="U1106" i="1"/>
  <c r="AN1106" i="1" s="1"/>
  <c r="V1106" i="1"/>
  <c r="U1107" i="1"/>
  <c r="AN1107" i="1" s="1"/>
  <c r="V1107" i="1"/>
  <c r="U1108" i="1"/>
  <c r="V1108" i="1"/>
  <c r="U1109" i="1"/>
  <c r="V1109" i="1"/>
  <c r="U1110" i="1"/>
  <c r="AN1110" i="1" s="1"/>
  <c r="V1110" i="1"/>
  <c r="U1111" i="1"/>
  <c r="V1111" i="1"/>
  <c r="U1112" i="1"/>
  <c r="V1112" i="1"/>
  <c r="U1113" i="1"/>
  <c r="V1113" i="1"/>
  <c r="U1114" i="1"/>
  <c r="AN1114" i="1" s="1"/>
  <c r="V1114" i="1"/>
  <c r="U1115" i="1"/>
  <c r="AN1115" i="1" s="1"/>
  <c r="V1115" i="1"/>
  <c r="U1116" i="1"/>
  <c r="V1116" i="1"/>
  <c r="U1117" i="1"/>
  <c r="AN1117" i="1" s="1"/>
  <c r="V1117" i="1"/>
  <c r="U1118" i="1"/>
  <c r="AN1118" i="1" s="1"/>
  <c r="V1118" i="1"/>
  <c r="U1119" i="1"/>
  <c r="V1119" i="1"/>
  <c r="U1120" i="1"/>
  <c r="V1120" i="1"/>
  <c r="U1121" i="1"/>
  <c r="AN1121" i="1" s="1"/>
  <c r="V1121" i="1"/>
  <c r="U1122" i="1"/>
  <c r="AN1122" i="1" s="1"/>
  <c r="V1122" i="1"/>
  <c r="U1123" i="1"/>
  <c r="V1123" i="1"/>
  <c r="U1124" i="1"/>
  <c r="AC1124" i="1" s="1"/>
  <c r="AL1124" i="1" s="1"/>
  <c r="V1124" i="1"/>
  <c r="U1125" i="1"/>
  <c r="V1125" i="1"/>
  <c r="U1126" i="1"/>
  <c r="AN1126" i="1" s="1"/>
  <c r="V1126" i="1"/>
  <c r="U1127" i="1"/>
  <c r="V1127" i="1"/>
  <c r="U1128" i="1"/>
  <c r="V1128" i="1"/>
  <c r="U1129" i="1"/>
  <c r="AC1129" i="1" s="1"/>
  <c r="AL1129" i="1" s="1"/>
  <c r="V1129" i="1"/>
  <c r="U1130" i="1"/>
  <c r="AN1130" i="1" s="1"/>
  <c r="V1130" i="1"/>
  <c r="U1131" i="1"/>
  <c r="V1131" i="1"/>
  <c r="U1132" i="1"/>
  <c r="AN1132" i="1" s="1"/>
  <c r="V1132" i="1"/>
  <c r="U1133" i="1"/>
  <c r="AC1133" i="1" s="1"/>
  <c r="AL1133" i="1" s="1"/>
  <c r="AW1133" i="1" s="1"/>
  <c r="AX1133" i="1" s="1"/>
  <c r="AY1133" i="1" s="1"/>
  <c r="AZ1133" i="1" s="1"/>
  <c r="V1133" i="1"/>
  <c r="U1134" i="1"/>
  <c r="AN1134" i="1"/>
  <c r="V1134" i="1"/>
  <c r="U1135" i="1"/>
  <c r="V1135" i="1"/>
  <c r="U1136" i="1"/>
  <c r="V1136" i="1"/>
  <c r="U1137" i="1"/>
  <c r="V1137" i="1"/>
  <c r="U1138" i="1"/>
  <c r="AN1138" i="1" s="1"/>
  <c r="V1138" i="1"/>
  <c r="U1139" i="1"/>
  <c r="AC1139" i="1" s="1"/>
  <c r="AL1139" i="1" s="1"/>
  <c r="AW1139" i="1" s="1"/>
  <c r="V1139" i="1"/>
  <c r="U1140" i="1"/>
  <c r="AN1140" i="1" s="1"/>
  <c r="V1140" i="1"/>
  <c r="U1141" i="1"/>
  <c r="V1141" i="1"/>
  <c r="U1142" i="1"/>
  <c r="AN1142" i="1" s="1"/>
  <c r="V1142" i="1"/>
  <c r="U1143" i="1"/>
  <c r="V1143" i="1"/>
  <c r="U1144" i="1"/>
  <c r="V1144" i="1"/>
  <c r="U1145" i="1"/>
  <c r="V1145" i="1"/>
  <c r="U1146" i="1"/>
  <c r="AN1146" i="1" s="1"/>
  <c r="V1146" i="1"/>
  <c r="U1147" i="1"/>
  <c r="AC1147" i="1" s="1"/>
  <c r="AL1147" i="1" s="1"/>
  <c r="AW1147" i="1" s="1"/>
  <c r="V1147" i="1"/>
  <c r="U1148" i="1"/>
  <c r="V1148" i="1"/>
  <c r="U1149" i="1"/>
  <c r="V1149" i="1"/>
  <c r="U1150" i="1"/>
  <c r="AN1150" i="1"/>
  <c r="V1150" i="1"/>
  <c r="U1151" i="1"/>
  <c r="V1151" i="1"/>
  <c r="U1152" i="1"/>
  <c r="V1152" i="1"/>
  <c r="U1153" i="1"/>
  <c r="AC1153" i="1" s="1"/>
  <c r="AL1153" i="1" s="1"/>
  <c r="V1153" i="1"/>
  <c r="U1154" i="1"/>
  <c r="AN1154" i="1" s="1"/>
  <c r="V1154" i="1"/>
  <c r="U1155" i="1"/>
  <c r="AN1155" i="1" s="1"/>
  <c r="V1155" i="1"/>
  <c r="U1156" i="1"/>
  <c r="V1156" i="1"/>
  <c r="U1157" i="1"/>
  <c r="AN1157" i="1" s="1"/>
  <c r="V1157" i="1"/>
  <c r="U1158" i="1"/>
  <c r="V1158" i="1"/>
  <c r="U1159" i="1"/>
  <c r="V1159" i="1"/>
  <c r="U1160" i="1"/>
  <c r="V1160" i="1"/>
  <c r="U1161" i="1"/>
  <c r="AN1161" i="1" s="1"/>
  <c r="V1161" i="1"/>
  <c r="U1162" i="1"/>
  <c r="AN1162" i="1" s="1"/>
  <c r="V1162" i="1"/>
  <c r="U1163" i="1"/>
  <c r="V1163" i="1"/>
  <c r="U1164" i="1"/>
  <c r="AN1164" i="1"/>
  <c r="V1164" i="1"/>
  <c r="U1165" i="1"/>
  <c r="V1165" i="1"/>
  <c r="U1166" i="1"/>
  <c r="AN1166" i="1" s="1"/>
  <c r="V1166" i="1"/>
  <c r="U1167" i="1"/>
  <c r="V1167" i="1"/>
  <c r="U1168" i="1"/>
  <c r="V1168" i="1"/>
  <c r="U1169" i="1"/>
  <c r="AN1169" i="1" s="1"/>
  <c r="V1169" i="1"/>
  <c r="U1170" i="1"/>
  <c r="AN1170" i="1" s="1"/>
  <c r="V1170" i="1"/>
  <c r="U1171" i="1"/>
  <c r="V1171" i="1"/>
  <c r="U1172" i="1"/>
  <c r="AN1172" i="1" s="1"/>
  <c r="V1172" i="1"/>
  <c r="U1173" i="1"/>
  <c r="V1173" i="1"/>
  <c r="U1174" i="1"/>
  <c r="V1174" i="1"/>
  <c r="U1175" i="1"/>
  <c r="V1175" i="1"/>
  <c r="U1176" i="1"/>
  <c r="V1176" i="1"/>
  <c r="U1177" i="1"/>
  <c r="V1177" i="1"/>
  <c r="U1178" i="1"/>
  <c r="AN1178" i="1" s="1"/>
  <c r="V1178" i="1"/>
  <c r="U1179" i="1"/>
  <c r="AC1179" i="1" s="1"/>
  <c r="AL1179" i="1" s="1"/>
  <c r="AW1179" i="1" s="1"/>
  <c r="V1179" i="1"/>
  <c r="U1180" i="1"/>
  <c r="AN1180" i="1" s="1"/>
  <c r="V1180" i="1"/>
  <c r="U1181" i="1"/>
  <c r="AN1181" i="1"/>
  <c r="V1181" i="1"/>
  <c r="U1182" i="1"/>
  <c r="AN1182" i="1" s="1"/>
  <c r="V1182" i="1"/>
  <c r="U1183" i="1"/>
  <c r="AC1183" i="1" s="1"/>
  <c r="AL1183" i="1" s="1"/>
  <c r="V1183" i="1"/>
  <c r="U1184" i="1"/>
  <c r="AC1184" i="1" s="1"/>
  <c r="AL1184" i="1" s="1"/>
  <c r="V1184" i="1"/>
  <c r="U1185" i="1"/>
  <c r="V1185" i="1"/>
  <c r="U1186" i="1"/>
  <c r="AN1186" i="1" s="1"/>
  <c r="V1186" i="1"/>
  <c r="U1187" i="1"/>
  <c r="V1187" i="1"/>
  <c r="U1188" i="1"/>
  <c r="V1188" i="1"/>
  <c r="U1189" i="1"/>
  <c r="AN1189" i="1" s="1"/>
  <c r="AO1189" i="1" s="1"/>
  <c r="AP1189" i="1" s="1"/>
  <c r="AQ1189" i="1" s="1"/>
  <c r="V1189" i="1"/>
  <c r="U1190" i="1"/>
  <c r="V1190" i="1"/>
  <c r="U1191" i="1"/>
  <c r="V1191" i="1"/>
  <c r="U1192" i="1"/>
  <c r="V1192" i="1"/>
  <c r="U1193" i="1"/>
  <c r="V1193" i="1"/>
  <c r="U1194" i="1"/>
  <c r="V1194" i="1"/>
  <c r="U1195" i="1"/>
  <c r="V1195" i="1"/>
  <c r="U1196" i="1"/>
  <c r="V1196" i="1"/>
  <c r="U1197" i="1"/>
  <c r="V1197" i="1"/>
  <c r="U1198" i="1"/>
  <c r="V1198" i="1"/>
  <c r="U1199" i="1"/>
  <c r="AC1199" i="1" s="1"/>
  <c r="AL1199" i="1" s="1"/>
  <c r="V1199" i="1"/>
  <c r="U1200" i="1"/>
  <c r="V1200" i="1"/>
  <c r="J2" i="1"/>
  <c r="B13" i="1"/>
  <c r="J3" i="1"/>
  <c r="K3" i="1"/>
  <c r="J4" i="1"/>
  <c r="J5" i="1"/>
  <c r="K5" i="1"/>
  <c r="B11" i="1"/>
  <c r="B12" i="1"/>
  <c r="AS699" i="1"/>
  <c r="AO692" i="1"/>
  <c r="AP692" i="1" s="1"/>
  <c r="AQ692" i="1" s="1"/>
  <c r="R371" i="1"/>
  <c r="Z371" i="1" s="1"/>
  <c r="AW710" i="1"/>
  <c r="AC1164" i="1"/>
  <c r="AL1164" i="1" s="1"/>
  <c r="AW1164" i="1" s="1"/>
  <c r="AX1164" i="1" s="1"/>
  <c r="AY1164" i="1" s="1"/>
  <c r="AZ1164" i="1" s="1"/>
  <c r="BA1164" i="1" s="1"/>
  <c r="AW720" i="1"/>
  <c r="U320" i="1"/>
  <c r="R380" i="1"/>
  <c r="Z380" i="1" s="1"/>
  <c r="Q662" i="1"/>
  <c r="AC738" i="1"/>
  <c r="AL738" i="1" s="1"/>
  <c r="AW738" i="1" s="1"/>
  <c r="AX738" i="1" s="1"/>
  <c r="AY738" i="1" s="1"/>
  <c r="AZ738" i="1" s="1"/>
  <c r="Q245" i="1"/>
  <c r="Q346" i="1"/>
  <c r="T467" i="1"/>
  <c r="AB467" i="1" s="1"/>
  <c r="AC1157" i="1"/>
  <c r="AL1157" i="1" s="1"/>
  <c r="AW1157" i="1" s="1"/>
  <c r="Q509" i="1"/>
  <c r="R610" i="1"/>
  <c r="Z610" i="1" s="1"/>
  <c r="T171" i="1"/>
  <c r="AB171" i="1" s="1"/>
  <c r="AO847" i="1"/>
  <c r="AP847" i="1" s="1"/>
  <c r="AQ847" i="1" s="1"/>
  <c r="AR847" i="1" s="1"/>
  <c r="Q537" i="1"/>
  <c r="U612" i="1"/>
  <c r="O309" i="1"/>
  <c r="F16" i="1"/>
  <c r="DY3" i="1" s="1"/>
  <c r="AC1181" i="1"/>
  <c r="AL1181" i="1" s="1"/>
  <c r="AW669" i="1"/>
  <c r="AX669" i="1"/>
  <c r="AY669" i="1" s="1"/>
  <c r="AZ669" i="1" s="1"/>
  <c r="BA669" i="1" s="1"/>
  <c r="AS718" i="1"/>
  <c r="Q638" i="1"/>
  <c r="T192" i="1"/>
  <c r="AB192" i="1" s="1"/>
  <c r="U633" i="1"/>
  <c r="O264" i="1"/>
  <c r="T610" i="1"/>
  <c r="AB610" i="1" s="1"/>
  <c r="P547" i="1"/>
  <c r="O261" i="1"/>
  <c r="W261" i="1" s="1"/>
  <c r="AF261" i="1" s="1"/>
  <c r="AC1161" i="1"/>
  <c r="AL1161" i="1" s="1"/>
  <c r="AW1161" i="1" s="1"/>
  <c r="AW718" i="1"/>
  <c r="AX718" i="1" s="1"/>
  <c r="AY718" i="1" s="1"/>
  <c r="AZ718" i="1" s="1"/>
  <c r="BA718" i="1" s="1"/>
  <c r="AW714" i="1"/>
  <c r="AX714" i="1" s="1"/>
  <c r="AY714" i="1" s="1"/>
  <c r="AZ714" i="1" s="1"/>
  <c r="Q255" i="1"/>
  <c r="U328" i="1"/>
  <c r="Q189" i="1"/>
  <c r="S456" i="1"/>
  <c r="S497" i="1"/>
  <c r="P366" i="1"/>
  <c r="AC1169" i="1"/>
  <c r="AL1169" i="1" s="1"/>
  <c r="AW1169" i="1" s="1"/>
  <c r="AX1169" i="1" s="1"/>
  <c r="AC1093" i="1"/>
  <c r="AL1093" i="1" s="1"/>
  <c r="AW725" i="1"/>
  <c r="AX725" i="1" s="1"/>
  <c r="AY725" i="1" s="1"/>
  <c r="AZ725" i="1" s="1"/>
  <c r="BA725" i="1" s="1"/>
  <c r="AW724" i="1"/>
  <c r="AO694" i="1"/>
  <c r="AP694" i="1" s="1"/>
  <c r="AQ694" i="1" s="1"/>
  <c r="AS709" i="1"/>
  <c r="AO709" i="1"/>
  <c r="AP709" i="1" s="1"/>
  <c r="AQ709" i="1" s="1"/>
  <c r="U174" i="1"/>
  <c r="T501" i="1"/>
  <c r="AB501" i="1" s="1"/>
  <c r="S294" i="1"/>
  <c r="Q530" i="1"/>
  <c r="S363" i="1"/>
  <c r="S567" i="1"/>
  <c r="AN1177" i="1"/>
  <c r="AO1177" i="1" s="1"/>
  <c r="AP1177" i="1" s="1"/>
  <c r="AQ1177" i="1" s="1"/>
  <c r="AC1177" i="1"/>
  <c r="AL1177" i="1" s="1"/>
  <c r="AN1129" i="1"/>
  <c r="AO871" i="1"/>
  <c r="AP871" i="1" s="1"/>
  <c r="AQ871" i="1" s="1"/>
  <c r="AR871" i="1" s="1"/>
  <c r="AO708" i="1"/>
  <c r="AP708" i="1" s="1"/>
  <c r="AQ708" i="1" s="1"/>
  <c r="AO728" i="1"/>
  <c r="AP728" i="1" s="1"/>
  <c r="AQ728" i="1" s="1"/>
  <c r="AN1105" i="1"/>
  <c r="AS1105" i="1" s="1"/>
  <c r="AC1105" i="1"/>
  <c r="AL1105" i="1" s="1"/>
  <c r="AN1124" i="1"/>
  <c r="AO718" i="1"/>
  <c r="AP718" i="1" s="1"/>
  <c r="AQ718" i="1" s="1"/>
  <c r="AO734" i="1"/>
  <c r="AP734" i="1" s="1"/>
  <c r="AQ734" i="1" s="1"/>
  <c r="AO774" i="1"/>
  <c r="AP774" i="1" s="1"/>
  <c r="AQ774" i="1" s="1"/>
  <c r="AR774" i="1" s="1"/>
  <c r="U135" i="1"/>
  <c r="T159" i="1"/>
  <c r="AB159" i="1" s="1"/>
  <c r="P124" i="1"/>
  <c r="T589" i="1"/>
  <c r="AB589" i="1" s="1"/>
  <c r="O210" i="1"/>
  <c r="W210" i="1" s="1"/>
  <c r="AF210" i="1" s="1"/>
  <c r="O626" i="1"/>
  <c r="W626" i="1" s="1"/>
  <c r="AF626" i="1" s="1"/>
  <c r="S89" i="1"/>
  <c r="U506" i="1"/>
  <c r="P588" i="1"/>
  <c r="P608" i="1"/>
  <c r="T660" i="1"/>
  <c r="AB660" i="1" s="1"/>
  <c r="S633" i="1"/>
  <c r="O281" i="1"/>
  <c r="W281" i="1" s="1"/>
  <c r="AF281" i="1" s="1"/>
  <c r="R545" i="1"/>
  <c r="Z545" i="1" s="1"/>
  <c r="U357" i="1"/>
  <c r="U242" i="1"/>
  <c r="S464" i="1"/>
  <c r="P197" i="1"/>
  <c r="T611" i="1"/>
  <c r="AB611" i="1" s="1"/>
  <c r="S417" i="1"/>
  <c r="S600" i="1"/>
  <c r="U644" i="1"/>
  <c r="T401" i="1"/>
  <c r="AB401" i="1" s="1"/>
  <c r="AC1132" i="1"/>
  <c r="AL1132" i="1" s="1"/>
  <c r="AW1132" i="1" s="1"/>
  <c r="AX1132" i="1" s="1"/>
  <c r="AY1132" i="1" s="1"/>
  <c r="AZ1132" i="1" s="1"/>
  <c r="AS977" i="1"/>
  <c r="AO961" i="1"/>
  <c r="AP961" i="1" s="1"/>
  <c r="AQ961" i="1" s="1"/>
  <c r="AS847" i="1"/>
  <c r="AW737" i="1"/>
  <c r="AX737" i="1" s="1"/>
  <c r="AY737" i="1" s="1"/>
  <c r="AZ737" i="1" s="1"/>
  <c r="BA737" i="1" s="1"/>
  <c r="AW732" i="1"/>
  <c r="AW728" i="1"/>
  <c r="AX728" i="1" s="1"/>
  <c r="AY728" i="1" s="1"/>
  <c r="AZ728" i="1" s="1"/>
  <c r="AW727" i="1"/>
  <c r="AW709" i="1"/>
  <c r="AX709" i="1" s="1"/>
  <c r="AW701" i="1"/>
  <c r="AX701" i="1" s="1"/>
  <c r="AY701" i="1" s="1"/>
  <c r="AZ701" i="1" s="1"/>
  <c r="AW691" i="1"/>
  <c r="AW690" i="1"/>
  <c r="BB690" i="1"/>
  <c r="AW673" i="1"/>
  <c r="AX673" i="1" s="1"/>
  <c r="AY673" i="1" s="1"/>
  <c r="AZ673" i="1" s="1"/>
  <c r="AW671" i="1"/>
  <c r="AX671" i="1" s="1"/>
  <c r="AY671" i="1" s="1"/>
  <c r="AZ671" i="1" s="1"/>
  <c r="AW736" i="1"/>
  <c r="BB736" i="1" s="1"/>
  <c r="AW731" i="1"/>
  <c r="AX731" i="1" s="1"/>
  <c r="AY731" i="1" s="1"/>
  <c r="AZ731" i="1" s="1"/>
  <c r="AW726" i="1"/>
  <c r="AN1184" i="1"/>
  <c r="AN1152" i="1"/>
  <c r="AO1152" i="1" s="1"/>
  <c r="AP1152" i="1" s="1"/>
  <c r="AQ1152" i="1" s="1"/>
  <c r="AR1152" i="1" s="1"/>
  <c r="AC1152" i="1"/>
  <c r="AL1152" i="1" s="1"/>
  <c r="AW1152" i="1" s="1"/>
  <c r="AX1152" i="1" s="1"/>
  <c r="AY1152" i="1" s="1"/>
  <c r="AZ1152" i="1" s="1"/>
  <c r="BA1152" i="1" s="1"/>
  <c r="AC1155" i="1"/>
  <c r="AL1155" i="1" s="1"/>
  <c r="AW1155" i="1" s="1"/>
  <c r="AX1155" i="1" s="1"/>
  <c r="S395" i="1"/>
  <c r="Q402" i="1"/>
  <c r="S164" i="1"/>
  <c r="R98" i="1"/>
  <c r="Z98" i="1" s="1"/>
  <c r="P627" i="1"/>
  <c r="O265" i="1"/>
  <c r="W265" i="1" s="1"/>
  <c r="AF265" i="1" s="1"/>
  <c r="O527" i="1"/>
  <c r="W527" i="1" s="1"/>
  <c r="AF527" i="1" s="1"/>
  <c r="S528" i="1"/>
  <c r="S145" i="1"/>
  <c r="U514" i="1"/>
  <c r="O236" i="1"/>
  <c r="W236" i="1" s="1"/>
  <c r="AF236" i="1" s="1"/>
  <c r="T82" i="1"/>
  <c r="AB82" i="1" s="1"/>
  <c r="P262" i="1"/>
  <c r="R447" i="1"/>
  <c r="Z447" i="1" s="1"/>
  <c r="P511" i="1"/>
  <c r="U538" i="1"/>
  <c r="T128" i="1"/>
  <c r="AB128" i="1" s="1"/>
  <c r="R637" i="1"/>
  <c r="Z637" i="1" s="1"/>
  <c r="R328" i="1"/>
  <c r="Z328" i="1" s="1"/>
  <c r="O88" i="1"/>
  <c r="W88" i="1" s="1"/>
  <c r="AF88" i="1" s="1"/>
  <c r="T484" i="1"/>
  <c r="AB484" i="1" s="1"/>
  <c r="S140" i="1"/>
  <c r="Q204" i="1"/>
  <c r="P664" i="1"/>
  <c r="P349" i="1"/>
  <c r="P539" i="1"/>
  <c r="O171" i="1"/>
  <c r="U490" i="1"/>
  <c r="AO707" i="1"/>
  <c r="AP707" i="1" s="1"/>
  <c r="AQ707" i="1" s="1"/>
  <c r="AO780" i="1"/>
  <c r="AP780" i="1" s="1"/>
  <c r="AQ780" i="1" s="1"/>
  <c r="AR780" i="1" s="1"/>
  <c r="AO772" i="1"/>
  <c r="AP772" i="1" s="1"/>
  <c r="AQ772" i="1" s="1"/>
  <c r="AO764" i="1"/>
  <c r="AP764" i="1" s="1"/>
  <c r="AQ764" i="1" s="1"/>
  <c r="AO748" i="1"/>
  <c r="AP748" i="1" s="1"/>
  <c r="AQ748" i="1" s="1"/>
  <c r="AO740" i="1"/>
  <c r="AP740" i="1" s="1"/>
  <c r="AQ740" i="1" s="1"/>
  <c r="AR740" i="1" s="1"/>
  <c r="AO732" i="1"/>
  <c r="AP732" i="1" s="1"/>
  <c r="AQ732" i="1" s="1"/>
  <c r="AO696" i="1"/>
  <c r="AP696" i="1" s="1"/>
  <c r="AQ696" i="1" s="1"/>
  <c r="AO936" i="1"/>
  <c r="AP936" i="1" s="1"/>
  <c r="AQ936" i="1" s="1"/>
  <c r="AO854" i="1"/>
  <c r="AP854" i="1" s="1"/>
  <c r="AQ854" i="1" s="1"/>
  <c r="AO912" i="1"/>
  <c r="AP912" i="1" s="1"/>
  <c r="AQ912" i="1" s="1"/>
  <c r="AO914" i="1"/>
  <c r="AP914" i="1" s="1"/>
  <c r="AQ914" i="1" s="1"/>
  <c r="AR914" i="1" s="1"/>
  <c r="AO882" i="1"/>
  <c r="AP882" i="1" s="1"/>
  <c r="AQ882" i="1" s="1"/>
  <c r="AO850" i="1"/>
  <c r="AP850" i="1" s="1"/>
  <c r="AQ850" i="1" s="1"/>
  <c r="AO778" i="1"/>
  <c r="AP778" i="1" s="1"/>
  <c r="AQ778" i="1" s="1"/>
  <c r="AO770" i="1"/>
  <c r="AP770" i="1" s="1"/>
  <c r="AQ770" i="1" s="1"/>
  <c r="AO762" i="1"/>
  <c r="AP762" i="1" s="1"/>
  <c r="AQ762" i="1" s="1"/>
  <c r="AR762" i="1" s="1"/>
  <c r="AO730" i="1"/>
  <c r="AP730" i="1" s="1"/>
  <c r="AQ730" i="1" s="1"/>
  <c r="AR730" i="1" s="1"/>
  <c r="AO695" i="1"/>
  <c r="AP695" i="1" s="1"/>
  <c r="AQ695" i="1" s="1"/>
  <c r="AR695" i="1" s="1"/>
  <c r="AO908" i="1"/>
  <c r="AP908" i="1" s="1"/>
  <c r="AQ908" i="1" s="1"/>
  <c r="AO904" i="1"/>
  <c r="AP904" i="1" s="1"/>
  <c r="AQ904" i="1" s="1"/>
  <c r="AO906" i="1"/>
  <c r="AP906" i="1" s="1"/>
  <c r="AQ906" i="1" s="1"/>
  <c r="AO710" i="1"/>
  <c r="AP710" i="1" s="1"/>
  <c r="AQ710" i="1" s="1"/>
  <c r="AR710" i="1" s="1"/>
  <c r="AO869" i="1"/>
  <c r="AP869" i="1" s="1"/>
  <c r="AQ869" i="1" s="1"/>
  <c r="AO853" i="1"/>
  <c r="AP853" i="1" s="1"/>
  <c r="AQ853" i="1" s="1"/>
  <c r="AR853" i="1" s="1"/>
  <c r="AO845" i="1"/>
  <c r="AP845" i="1" s="1"/>
  <c r="AQ845" i="1" s="1"/>
  <c r="AO776" i="1"/>
  <c r="AP776" i="1" s="1"/>
  <c r="AQ776" i="1" s="1"/>
  <c r="AO758" i="1"/>
  <c r="AP758" i="1" s="1"/>
  <c r="AQ758" i="1" s="1"/>
  <c r="AO744" i="1"/>
  <c r="AP744" i="1" s="1"/>
  <c r="AQ744" i="1" s="1"/>
  <c r="AO910" i="1"/>
  <c r="AP910" i="1" s="1"/>
  <c r="AQ910" i="1" s="1"/>
  <c r="AR910" i="1" s="1"/>
  <c r="AO691" i="1"/>
  <c r="AP691" i="1" s="1"/>
  <c r="AQ691" i="1" s="1"/>
  <c r="AO852" i="1"/>
  <c r="AP852" i="1" s="1"/>
  <c r="AQ852" i="1" s="1"/>
  <c r="AO902" i="1"/>
  <c r="AP902" i="1" s="1"/>
  <c r="AQ902" i="1" s="1"/>
  <c r="AR902" i="1" s="1"/>
  <c r="AO844" i="1"/>
  <c r="AP844" i="1" s="1"/>
  <c r="AQ844" i="1" s="1"/>
  <c r="AO768" i="1"/>
  <c r="AP768" i="1" s="1"/>
  <c r="AQ768" i="1" s="1"/>
  <c r="AR768" i="1" s="1"/>
  <c r="AO736" i="1"/>
  <c r="AP736" i="1" s="1"/>
  <c r="AQ736" i="1" s="1"/>
  <c r="AR736" i="1" s="1"/>
  <c r="AN1163" i="1"/>
  <c r="AC1163" i="1"/>
  <c r="AL1163" i="1" s="1"/>
  <c r="AW1163" i="1" s="1"/>
  <c r="AX1163" i="1" s="1"/>
  <c r="AN1179" i="1"/>
  <c r="AO1179" i="1" s="1"/>
  <c r="AP1179" i="1" s="1"/>
  <c r="AQ1179" i="1" s="1"/>
  <c r="AN1147" i="1"/>
  <c r="AO1147" i="1" s="1"/>
  <c r="AP1147" i="1" s="1"/>
  <c r="AQ1147" i="1" s="1"/>
  <c r="AC1140" i="1"/>
  <c r="AL1140" i="1" s="1"/>
  <c r="R480" i="1"/>
  <c r="Z480" i="1" s="1"/>
  <c r="P259" i="1"/>
  <c r="S514" i="1"/>
  <c r="O410" i="1"/>
  <c r="W410" i="1" s="1"/>
  <c r="AF410" i="1" s="1"/>
  <c r="O623" i="1"/>
  <c r="W623" i="1" s="1"/>
  <c r="AF623" i="1" s="1"/>
  <c r="T488" i="1"/>
  <c r="AB488" i="1" s="1"/>
  <c r="P137" i="1"/>
  <c r="O628" i="1"/>
  <c r="W628" i="1" s="1"/>
  <c r="AF628" i="1" s="1"/>
  <c r="T364" i="1"/>
  <c r="AB364" i="1" s="1"/>
  <c r="T385" i="1"/>
  <c r="AB385" i="1" s="1"/>
  <c r="P198" i="1"/>
  <c r="Q583" i="1"/>
  <c r="O574" i="1"/>
  <c r="W574" i="1" s="1"/>
  <c r="AF574" i="1" s="1"/>
  <c r="T422" i="1"/>
  <c r="AB422" i="1" s="1"/>
  <c r="T143" i="1"/>
  <c r="AB143" i="1" s="1"/>
  <c r="O499" i="1"/>
  <c r="W499" i="1" s="1"/>
  <c r="AF499" i="1" s="1"/>
  <c r="R184" i="1"/>
  <c r="Z184" i="1" s="1"/>
  <c r="T547" i="1"/>
  <c r="AB547" i="1" s="1"/>
  <c r="Q390" i="1"/>
  <c r="R170" i="1"/>
  <c r="Z170" i="1" s="1"/>
  <c r="O302" i="1"/>
  <c r="W302" i="1" s="1"/>
  <c r="AF302" i="1" s="1"/>
  <c r="U377" i="1"/>
  <c r="Q476" i="1"/>
  <c r="T427" i="1"/>
  <c r="AB427" i="1" s="1"/>
  <c r="S162" i="1"/>
  <c r="S340" i="1"/>
  <c r="O272" i="1"/>
  <c r="W272" i="1" s="1"/>
  <c r="AF272" i="1" s="1"/>
  <c r="O586" i="1"/>
  <c r="U301" i="1"/>
  <c r="U658" i="1"/>
  <c r="O229" i="1"/>
  <c r="W229" i="1" s="1"/>
  <c r="AF229" i="1" s="1"/>
  <c r="U261" i="1"/>
  <c r="AC261" i="1" s="1"/>
  <c r="AL261" i="1" s="1"/>
  <c r="P465" i="1"/>
  <c r="O520" i="1"/>
  <c r="W520" i="1" s="1"/>
  <c r="AF520" i="1" s="1"/>
  <c r="T125" i="1"/>
  <c r="AB125" i="1" s="1"/>
  <c r="U575" i="1"/>
  <c r="R647" i="1"/>
  <c r="Z647" i="1" s="1"/>
  <c r="U532" i="1"/>
  <c r="S639" i="1"/>
  <c r="O519" i="1"/>
  <c r="W519" i="1" s="1"/>
  <c r="AF519" i="1" s="1"/>
  <c r="U120" i="1"/>
  <c r="T210" i="1"/>
  <c r="AB210" i="1" s="1"/>
  <c r="U276" i="1"/>
  <c r="O283" i="1"/>
  <c r="W283" i="1" s="1"/>
  <c r="AF283" i="1" s="1"/>
  <c r="R494" i="1"/>
  <c r="Z494" i="1" s="1"/>
  <c r="Q528" i="1"/>
  <c r="P495" i="1"/>
  <c r="O356" i="1"/>
  <c r="W356" i="1" s="1"/>
  <c r="AF356" i="1" s="1"/>
  <c r="S360" i="1"/>
  <c r="T600" i="1"/>
  <c r="AB600" i="1" s="1"/>
  <c r="R126" i="1"/>
  <c r="Z126" i="1" s="1"/>
  <c r="R389" i="1"/>
  <c r="Z389" i="1" s="1"/>
  <c r="Q604" i="1"/>
  <c r="U149" i="1"/>
  <c r="O467" i="1"/>
  <c r="T465" i="1"/>
  <c r="AB465" i="1" s="1"/>
  <c r="U332" i="1"/>
  <c r="S136" i="1"/>
  <c r="R534" i="1"/>
  <c r="Z534" i="1" s="1"/>
  <c r="Q607" i="1"/>
  <c r="T429" i="1"/>
  <c r="AB429" i="1" s="1"/>
  <c r="R634" i="1"/>
  <c r="Z634" i="1" s="1"/>
  <c r="P408" i="1"/>
  <c r="O240" i="1"/>
  <c r="W240" i="1" s="1"/>
  <c r="AF240" i="1" s="1"/>
  <c r="Q446" i="1"/>
  <c r="Q123" i="1"/>
  <c r="P166" i="1"/>
  <c r="T658" i="1"/>
  <c r="AB658" i="1" s="1"/>
  <c r="P510" i="1"/>
  <c r="T383" i="1"/>
  <c r="AB383" i="1" s="1"/>
  <c r="P654" i="1"/>
  <c r="T540" i="1"/>
  <c r="AB540" i="1" s="1"/>
  <c r="T350" i="1"/>
  <c r="AB350" i="1" s="1"/>
  <c r="O135" i="1"/>
  <c r="W135" i="1" s="1"/>
  <c r="AF135" i="1" s="1"/>
  <c r="O368" i="1"/>
  <c r="O372" i="1"/>
  <c r="W372" i="1" s="1"/>
  <c r="AF372" i="1" s="1"/>
  <c r="U455" i="1"/>
  <c r="O455" i="1"/>
  <c r="U621" i="1"/>
  <c r="O187" i="1"/>
  <c r="W187" i="1" s="1"/>
  <c r="AF187" i="1" s="1"/>
  <c r="R309" i="1"/>
  <c r="Z309" i="1" s="1"/>
  <c r="T533" i="1"/>
  <c r="AB533" i="1" s="1"/>
  <c r="Q385" i="1"/>
  <c r="U515" i="1"/>
  <c r="Q493" i="1"/>
  <c r="O485" i="1"/>
  <c r="W485" i="1" s="1"/>
  <c r="AF485" i="1" s="1"/>
  <c r="T387" i="1"/>
  <c r="AB387" i="1" s="1"/>
  <c r="U147" i="1"/>
  <c r="P245" i="1"/>
  <c r="P555" i="1"/>
  <c r="S510" i="1"/>
  <c r="S135" i="1"/>
  <c r="O605" i="1"/>
  <c r="U281" i="1"/>
  <c r="U552" i="1"/>
  <c r="T337" i="1"/>
  <c r="AB337" i="1" s="1"/>
  <c r="R94" i="1"/>
  <c r="Z94" i="1" s="1"/>
  <c r="O86" i="1"/>
  <c r="W86" i="1" s="1"/>
  <c r="AF86" i="1" s="1"/>
  <c r="T419" i="1"/>
  <c r="AB419" i="1" s="1"/>
  <c r="P636" i="1"/>
  <c r="S166" i="1"/>
  <c r="Q125" i="1"/>
  <c r="Q648" i="1"/>
  <c r="O209" i="1"/>
  <c r="W209" i="1" s="1"/>
  <c r="AF209" i="1" s="1"/>
  <c r="Q241" i="1"/>
  <c r="S252" i="1"/>
  <c r="T172" i="1"/>
  <c r="AB172" i="1" s="1"/>
  <c r="S211" i="1"/>
  <c r="R402" i="1"/>
  <c r="Z402" i="1" s="1"/>
  <c r="R509" i="1"/>
  <c r="Z509" i="1" s="1"/>
  <c r="Q483" i="1"/>
  <c r="P522" i="1"/>
  <c r="S216" i="1"/>
  <c r="R224" i="1"/>
  <c r="Z224" i="1" s="1"/>
  <c r="R576" i="1"/>
  <c r="Z576" i="1" s="1"/>
  <c r="R614" i="1"/>
  <c r="Z614" i="1" s="1"/>
  <c r="Q155" i="1"/>
  <c r="P501" i="1"/>
  <c r="Q381" i="1"/>
  <c r="R580" i="1"/>
  <c r="Z580" i="1" s="1"/>
  <c r="P152" i="1"/>
  <c r="P252" i="1"/>
  <c r="S116" i="1"/>
  <c r="R185" i="1"/>
  <c r="Z185" i="1" s="1"/>
  <c r="S439" i="1"/>
  <c r="T321" i="1"/>
  <c r="AB321" i="1" s="1"/>
  <c r="S281" i="1"/>
  <c r="P612" i="1"/>
  <c r="Q108" i="1"/>
  <c r="T216" i="1"/>
  <c r="AB216" i="1" s="1"/>
  <c r="P424" i="1"/>
  <c r="P165" i="1"/>
  <c r="U530" i="1"/>
  <c r="S295" i="1"/>
  <c r="R423" i="1"/>
  <c r="Z423" i="1" s="1"/>
  <c r="U465" i="1"/>
  <c r="U200" i="1"/>
  <c r="O517" i="1"/>
  <c r="Q565" i="1"/>
  <c r="P219" i="1"/>
  <c r="U300" i="1"/>
  <c r="T512" i="1"/>
  <c r="AB512" i="1" s="1"/>
  <c r="O297" i="1"/>
  <c r="S625" i="1"/>
  <c r="Q507" i="1"/>
  <c r="U576" i="1"/>
  <c r="Q102" i="1"/>
  <c r="P373" i="1"/>
  <c r="R635" i="1"/>
  <c r="Z635" i="1" s="1"/>
  <c r="S428" i="1"/>
  <c r="O114" i="1"/>
  <c r="W114" i="1" s="1"/>
  <c r="AF114" i="1" s="1"/>
  <c r="P634" i="1"/>
  <c r="R313" i="1"/>
  <c r="Z313" i="1" s="1"/>
  <c r="T310" i="1"/>
  <c r="AB310" i="1" s="1"/>
  <c r="R383" i="1"/>
  <c r="Z383" i="1" s="1"/>
  <c r="O116" i="1"/>
  <c r="P192" i="1"/>
  <c r="Q177" i="1"/>
  <c r="Q571" i="1"/>
  <c r="U247" i="1"/>
  <c r="S627" i="1"/>
  <c r="T577" i="1"/>
  <c r="AB577" i="1" s="1"/>
  <c r="R145" i="1"/>
  <c r="Z145" i="1" s="1"/>
  <c r="S582" i="1"/>
  <c r="S649" i="1"/>
  <c r="P291" i="1"/>
  <c r="T593" i="1"/>
  <c r="AB593" i="1" s="1"/>
  <c r="T404" i="1"/>
  <c r="AB404" i="1" s="1"/>
  <c r="Q280" i="1"/>
  <c r="P231" i="1"/>
  <c r="R419" i="1"/>
  <c r="Z419" i="1" s="1"/>
  <c r="T267" i="1"/>
  <c r="AB267" i="1" s="1"/>
  <c r="O142" i="1"/>
  <c r="W142" i="1" s="1"/>
  <c r="AF142" i="1" s="1"/>
  <c r="P100" i="1"/>
  <c r="U265" i="1"/>
  <c r="P199" i="1"/>
  <c r="P502" i="1"/>
  <c r="R599" i="1"/>
  <c r="Z599" i="1" s="1"/>
  <c r="O298" i="1"/>
  <c r="O609" i="1"/>
  <c r="O290" i="1"/>
  <c r="P457" i="1"/>
  <c r="R239" i="1"/>
  <c r="Z239" i="1" s="1"/>
  <c r="R544" i="1"/>
  <c r="Z544" i="1" s="1"/>
  <c r="P391" i="1"/>
  <c r="U128" i="1"/>
  <c r="T489" i="1"/>
  <c r="AB489" i="1" s="1"/>
  <c r="S602" i="1"/>
  <c r="R137" i="1"/>
  <c r="P623" i="1"/>
  <c r="Q423" i="1"/>
  <c r="T296" i="1"/>
  <c r="AB296" i="1" s="1"/>
  <c r="U196" i="1"/>
  <c r="U634" i="1"/>
  <c r="O154" i="1"/>
  <c r="W154" i="1" s="1"/>
  <c r="AF154" i="1" s="1"/>
  <c r="Q347" i="1"/>
  <c r="S465" i="1"/>
  <c r="Q158" i="1"/>
  <c r="T251" i="1"/>
  <c r="AB251" i="1" s="1"/>
  <c r="R528" i="1"/>
  <c r="Z528" i="1" s="1"/>
  <c r="R236" i="1"/>
  <c r="Z236" i="1" s="1"/>
  <c r="R327" i="1"/>
  <c r="Z327" i="1" s="1"/>
  <c r="O447" i="1"/>
  <c r="W447" i="1" s="1"/>
  <c r="AF447" i="1" s="1"/>
  <c r="U183" i="1"/>
  <c r="U547" i="1"/>
  <c r="S473" i="1"/>
  <c r="U422" i="1"/>
  <c r="U635" i="1"/>
  <c r="T199" i="1"/>
  <c r="AB199" i="1" s="1"/>
  <c r="P570" i="1"/>
  <c r="U257" i="1"/>
  <c r="S333" i="1"/>
  <c r="O445" i="1"/>
  <c r="R590" i="1"/>
  <c r="Z590" i="1" s="1"/>
  <c r="R553" i="1"/>
  <c r="Z553" i="1" s="1"/>
  <c r="T182" i="1"/>
  <c r="AB182" i="1" s="1"/>
  <c r="O453" i="1"/>
  <c r="W453" i="1" s="1"/>
  <c r="AF453" i="1" s="1"/>
  <c r="U666" i="1"/>
  <c r="R549" i="1"/>
  <c r="Z549" i="1" s="1"/>
  <c r="P305" i="1"/>
  <c r="Q327" i="1"/>
  <c r="P380" i="1"/>
  <c r="R507" i="1"/>
  <c r="Z507" i="1" s="1"/>
  <c r="R142" i="1"/>
  <c r="Z142" i="1" s="1"/>
  <c r="P520" i="1"/>
  <c r="U143" i="1"/>
  <c r="U588" i="1"/>
  <c r="Q609" i="1"/>
  <c r="O226" i="1"/>
  <c r="T406" i="1"/>
  <c r="AB406" i="1" s="1"/>
  <c r="O464" i="1"/>
  <c r="S331" i="1"/>
  <c r="S587" i="1"/>
  <c r="R101" i="1"/>
  <c r="Z101" i="1" s="1"/>
  <c r="S312" i="1"/>
  <c r="S263" i="1"/>
  <c r="U212" i="1"/>
  <c r="Q143" i="1"/>
  <c r="P626" i="1"/>
  <c r="Q271" i="1"/>
  <c r="Q562" i="1"/>
  <c r="T197" i="1"/>
  <c r="AB197" i="1" s="1"/>
  <c r="S375" i="1"/>
  <c r="S247" i="1"/>
  <c r="U263" i="1"/>
  <c r="O441" i="1"/>
  <c r="O449" i="1"/>
  <c r="W449" i="1" s="1"/>
  <c r="AF449" i="1" s="1"/>
  <c r="Q514" i="1"/>
  <c r="Q294" i="1"/>
  <c r="T342" i="1"/>
  <c r="AB342" i="1" s="1"/>
  <c r="O370" i="1"/>
  <c r="S416" i="1"/>
  <c r="U477" i="1"/>
  <c r="O516" i="1"/>
  <c r="O122" i="1"/>
  <c r="W122" i="1" s="1"/>
  <c r="AF122" i="1" s="1"/>
  <c r="T432" i="1"/>
  <c r="AB432" i="1" s="1"/>
  <c r="P607" i="1"/>
  <c r="S208" i="1"/>
  <c r="S630" i="1"/>
  <c r="U374" i="1"/>
  <c r="O504" i="1"/>
  <c r="W504" i="1" s="1"/>
  <c r="AF504" i="1" s="1"/>
  <c r="P151" i="1"/>
  <c r="T294" i="1"/>
  <c r="AB294" i="1" s="1"/>
  <c r="O498" i="1"/>
  <c r="W498" i="1" s="1"/>
  <c r="AF498" i="1" s="1"/>
  <c r="U195" i="1"/>
  <c r="U558" i="1"/>
  <c r="R559" i="1"/>
  <c r="Z559" i="1" s="1"/>
  <c r="U201" i="1"/>
  <c r="O404" i="1"/>
  <c r="W404" i="1" s="1"/>
  <c r="AF404" i="1" s="1"/>
  <c r="O101" i="1"/>
  <c r="Q447" i="1"/>
  <c r="R207" i="1"/>
  <c r="Z207" i="1" s="1"/>
  <c r="T581" i="1"/>
  <c r="AB581" i="1" s="1"/>
  <c r="U391" i="1"/>
  <c r="T376" i="1"/>
  <c r="AB376" i="1" s="1"/>
  <c r="T583" i="1"/>
  <c r="AB583" i="1" s="1"/>
  <c r="S462" i="1"/>
  <c r="T111" i="1"/>
  <c r="AB111" i="1" s="1"/>
  <c r="O202" i="1"/>
  <c r="S390" i="1"/>
  <c r="S236" i="1"/>
  <c r="P193" i="1"/>
  <c r="O293" i="1"/>
  <c r="O407" i="1"/>
  <c r="Q459" i="1"/>
  <c r="Q130" i="1"/>
  <c r="S299" i="1"/>
  <c r="U181" i="1"/>
  <c r="Q396" i="1"/>
  <c r="U638" i="1"/>
  <c r="Q628" i="1"/>
  <c r="AN1199" i="1"/>
  <c r="AO1199" i="1" s="1"/>
  <c r="AP1199" i="1" s="1"/>
  <c r="AQ1199" i="1" s="1"/>
  <c r="AR1199" i="1" s="1"/>
  <c r="AN1197" i="1"/>
  <c r="AC1197" i="1"/>
  <c r="AL1197" i="1" s="1"/>
  <c r="AW1197" i="1" s="1"/>
  <c r="AX1197" i="1" s="1"/>
  <c r="AY1197" i="1" s="1"/>
  <c r="AZ1197" i="1" s="1"/>
  <c r="BA1197" i="1" s="1"/>
  <c r="AN1193" i="1"/>
  <c r="AO1193" i="1" s="1"/>
  <c r="AP1193" i="1" s="1"/>
  <c r="AQ1193" i="1" s="1"/>
  <c r="AR1193" i="1" s="1"/>
  <c r="AC1193" i="1"/>
  <c r="AL1193" i="1" s="1"/>
  <c r="AW1193" i="1" s="1"/>
  <c r="BB1193" i="1" s="1"/>
  <c r="AN1191" i="1"/>
  <c r="AO1191" i="1" s="1"/>
  <c r="AP1191" i="1" s="1"/>
  <c r="AQ1191" i="1" s="1"/>
  <c r="AR1191" i="1" s="1"/>
  <c r="AC1191" i="1"/>
  <c r="AL1191" i="1" s="1"/>
  <c r="AW1191" i="1" s="1"/>
  <c r="AX1191" i="1" s="1"/>
  <c r="AY1191" i="1" s="1"/>
  <c r="AZ1191" i="1" s="1"/>
  <c r="BA1191" i="1" s="1"/>
  <c r="AC1189" i="1"/>
  <c r="AL1189" i="1" s="1"/>
  <c r="AW1189" i="1" s="1"/>
  <c r="AN1187" i="1"/>
  <c r="AS1187" i="1" s="1"/>
  <c r="AC1187" i="1"/>
  <c r="AL1187" i="1" s="1"/>
  <c r="AW1187" i="1" s="1"/>
  <c r="P586" i="1"/>
  <c r="R473" i="1"/>
  <c r="Z473" i="1" s="1"/>
  <c r="R623" i="1"/>
  <c r="Z623" i="1" s="1"/>
  <c r="O642" i="1"/>
  <c r="R568" i="1"/>
  <c r="Z568" i="1" s="1"/>
  <c r="Q169" i="1"/>
  <c r="O292" i="1"/>
  <c r="W292" i="1" s="1"/>
  <c r="AF292" i="1" s="1"/>
  <c r="P176" i="1"/>
  <c r="R146" i="1"/>
  <c r="Z146" i="1" s="1"/>
  <c r="P468" i="1"/>
  <c r="R461" i="1"/>
  <c r="Z461" i="1" s="1"/>
  <c r="T528" i="1"/>
  <c r="AB528" i="1" s="1"/>
  <c r="T392" i="1"/>
  <c r="AB392" i="1" s="1"/>
  <c r="P464" i="1"/>
  <c r="U164" i="1"/>
  <c r="S264" i="1"/>
  <c r="O422" i="1"/>
  <c r="S500" i="1"/>
  <c r="R565" i="1"/>
  <c r="Z565" i="1" s="1"/>
  <c r="P572" i="1"/>
  <c r="U595" i="1"/>
  <c r="U298" i="1"/>
  <c r="R334" i="1"/>
  <c r="Z334" i="1" s="1"/>
  <c r="S219" i="1"/>
  <c r="T281" i="1"/>
  <c r="AB281" i="1" s="1"/>
  <c r="S446" i="1"/>
  <c r="O104" i="1"/>
  <c r="W104" i="1" s="1"/>
  <c r="AF104" i="1" s="1"/>
  <c r="T136" i="1"/>
  <c r="AB136" i="1" s="1"/>
  <c r="P265" i="1"/>
  <c r="S492" i="1"/>
  <c r="R630" i="1"/>
  <c r="Z630" i="1" s="1"/>
  <c r="S357" i="1"/>
  <c r="T381" i="1"/>
  <c r="AB381" i="1" s="1"/>
  <c r="P191" i="1"/>
  <c r="U446" i="1"/>
  <c r="P591" i="1"/>
  <c r="O211" i="1"/>
  <c r="T245" i="1"/>
  <c r="AB245" i="1" s="1"/>
  <c r="R513" i="1"/>
  <c r="Z513" i="1" s="1"/>
  <c r="P323" i="1"/>
  <c r="R560" i="1"/>
  <c r="Z560" i="1" s="1"/>
  <c r="P306" i="1"/>
  <c r="O552" i="1"/>
  <c r="Q573" i="1"/>
  <c r="O414" i="1"/>
  <c r="Q519" i="1"/>
  <c r="U406" i="1"/>
  <c r="U437" i="1"/>
  <c r="U166" i="1"/>
  <c r="R302" i="1"/>
  <c r="Z302" i="1" s="1"/>
  <c r="S214" i="1"/>
  <c r="T235" i="1"/>
  <c r="AB235" i="1" s="1"/>
  <c r="O319" i="1"/>
  <c r="W319" i="1" s="1"/>
  <c r="AF319" i="1" s="1"/>
  <c r="T471" i="1"/>
  <c r="AB471" i="1" s="1"/>
  <c r="S495" i="1"/>
  <c r="T550" i="1"/>
  <c r="AB550" i="1" s="1"/>
  <c r="Q120" i="1"/>
  <c r="O304" i="1"/>
  <c r="W304" i="1" s="1"/>
  <c r="AF304" i="1" s="1"/>
  <c r="P214" i="1"/>
  <c r="O373" i="1"/>
  <c r="W373" i="1" s="1"/>
  <c r="AF373" i="1" s="1"/>
  <c r="O622" i="1"/>
  <c r="W622" i="1" s="1"/>
  <c r="AF622" i="1" s="1"/>
  <c r="U285" i="1"/>
  <c r="O242" i="1"/>
  <c r="P631" i="1"/>
  <c r="Q633" i="1"/>
  <c r="P477" i="1"/>
  <c r="S155" i="1"/>
  <c r="O513" i="1"/>
  <c r="P558" i="1"/>
  <c r="R458" i="1"/>
  <c r="Z458" i="1" s="1"/>
  <c r="S113" i="1"/>
  <c r="O558" i="1"/>
  <c r="S611" i="1"/>
  <c r="T186" i="1"/>
  <c r="AB186" i="1" s="1"/>
  <c r="S364" i="1"/>
  <c r="O139" i="1"/>
  <c r="W139" i="1" s="1"/>
  <c r="AF139" i="1" s="1"/>
  <c r="P318" i="1"/>
  <c r="O153" i="1"/>
  <c r="W153" i="1" s="1"/>
  <c r="AF153" i="1" s="1"/>
  <c r="S636" i="1"/>
  <c r="T232" i="1"/>
  <c r="AB232" i="1" s="1"/>
  <c r="S193" i="1"/>
  <c r="T163" i="1"/>
  <c r="AB163" i="1" s="1"/>
  <c r="P655" i="1"/>
  <c r="R305" i="1"/>
  <c r="Z305" i="1" s="1"/>
  <c r="P638" i="1"/>
  <c r="T266" i="1"/>
  <c r="AB266" i="1" s="1"/>
  <c r="R477" i="1"/>
  <c r="Z477" i="1" s="1"/>
  <c r="Q409" i="1"/>
  <c r="P161" i="1"/>
  <c r="T344" i="1"/>
  <c r="AB344" i="1" s="1"/>
  <c r="U611" i="1"/>
  <c r="R357" i="1"/>
  <c r="Z357" i="1" s="1"/>
  <c r="Q252" i="1"/>
  <c r="P587" i="1"/>
  <c r="P171" i="1"/>
  <c r="Q128" i="1"/>
  <c r="S486" i="1"/>
  <c r="P663" i="1"/>
  <c r="R542" i="1"/>
  <c r="Z542" i="1" s="1"/>
  <c r="O330" i="1"/>
  <c r="W330" i="1" s="1"/>
  <c r="AF330" i="1" s="1"/>
  <c r="O403" i="1"/>
  <c r="O480" i="1"/>
  <c r="W480" i="1" s="1"/>
  <c r="AF480" i="1" s="1"/>
  <c r="Q616" i="1"/>
  <c r="Q581" i="1"/>
  <c r="O94" i="1"/>
  <c r="U139" i="1"/>
  <c r="P284" i="1"/>
  <c r="R479" i="1"/>
  <c r="Z479" i="1" s="1"/>
  <c r="S84" i="1"/>
  <c r="S606" i="1"/>
  <c r="Q546" i="1"/>
  <c r="O662" i="1"/>
  <c r="W662" i="1" s="1"/>
  <c r="AF662" i="1" s="1"/>
  <c r="T424" i="1"/>
  <c r="O286" i="1"/>
  <c r="W286" i="1" s="1"/>
  <c r="AF286" i="1" s="1"/>
  <c r="U630" i="1"/>
  <c r="R611" i="1"/>
  <c r="Z611" i="1" s="1"/>
  <c r="U393" i="1"/>
  <c r="S320" i="1"/>
  <c r="U333" i="1"/>
  <c r="R622" i="1"/>
  <c r="Z622" i="1" s="1"/>
  <c r="S249" i="1"/>
  <c r="O399" i="1"/>
  <c r="O432" i="1"/>
  <c r="W432" i="1" s="1"/>
  <c r="AF432" i="1" s="1"/>
  <c r="O357" i="1"/>
  <c r="W357" i="1" s="1"/>
  <c r="AF357" i="1" s="1"/>
  <c r="P485" i="1"/>
  <c r="U160" i="1"/>
  <c r="S521" i="1"/>
  <c r="S338" i="1"/>
  <c r="O583" i="1"/>
  <c r="O637" i="1"/>
  <c r="W637" i="1" s="1"/>
  <c r="AF637" i="1" s="1"/>
  <c r="Q278" i="1"/>
  <c r="S511" i="1"/>
  <c r="U293" i="1"/>
  <c r="P665" i="1"/>
  <c r="U356" i="1"/>
  <c r="U310" i="1"/>
  <c r="R474" i="1"/>
  <c r="Z474" i="1" s="1"/>
  <c r="R254" i="1"/>
  <c r="Z254" i="1" s="1"/>
  <c r="T455" i="1"/>
  <c r="AB455" i="1" s="1"/>
  <c r="P580" i="1"/>
  <c r="T479" i="1"/>
  <c r="AB479" i="1" s="1"/>
  <c r="P540" i="1"/>
  <c r="AN1176" i="1"/>
  <c r="AO1176" i="1" s="1"/>
  <c r="AP1176" i="1" s="1"/>
  <c r="AQ1176" i="1" s="1"/>
  <c r="AR1176" i="1" s="1"/>
  <c r="AC1176" i="1"/>
  <c r="AL1176" i="1" s="1"/>
  <c r="AW1176" i="1" s="1"/>
  <c r="AN1171" i="1"/>
  <c r="AO1171" i="1" s="1"/>
  <c r="AP1171" i="1" s="1"/>
  <c r="AQ1171" i="1" s="1"/>
  <c r="AC1171" i="1"/>
  <c r="AL1171" i="1" s="1"/>
  <c r="AW1171" i="1" s="1"/>
  <c r="AN1144" i="1"/>
  <c r="AS1144" i="1" s="1"/>
  <c r="AC1144" i="1"/>
  <c r="AL1144" i="1" s="1"/>
  <c r="AW1144" i="1" s="1"/>
  <c r="AC1121" i="1"/>
  <c r="AL1121" i="1"/>
  <c r="AW1121" i="1" s="1"/>
  <c r="AN1200" i="1"/>
  <c r="AO1200" i="1" s="1"/>
  <c r="AP1200" i="1" s="1"/>
  <c r="AQ1200" i="1" s="1"/>
  <c r="AR1200" i="1" s="1"/>
  <c r="AC1200" i="1"/>
  <c r="AL1200" i="1" s="1"/>
  <c r="AN1198" i="1"/>
  <c r="AC1198" i="1"/>
  <c r="AL1198" i="1" s="1"/>
  <c r="AW1198" i="1" s="1"/>
  <c r="AN1196" i="1"/>
  <c r="AO1196" i="1" s="1"/>
  <c r="AP1196" i="1" s="1"/>
  <c r="AQ1196" i="1" s="1"/>
  <c r="AR1196" i="1" s="1"/>
  <c r="AC1196" i="1"/>
  <c r="AL1196" i="1" s="1"/>
  <c r="AN1194" i="1"/>
  <c r="AO1194" i="1"/>
  <c r="AP1194" i="1" s="1"/>
  <c r="AQ1194" i="1" s="1"/>
  <c r="AR1194" i="1" s="1"/>
  <c r="AC1194" i="1"/>
  <c r="AL1194" i="1" s="1"/>
  <c r="AW1194" i="1" s="1"/>
  <c r="AN1192" i="1"/>
  <c r="AO1192" i="1" s="1"/>
  <c r="AP1192" i="1" s="1"/>
  <c r="AQ1192" i="1" s="1"/>
  <c r="AR1192" i="1" s="1"/>
  <c r="AC1192" i="1"/>
  <c r="AL1192" i="1" s="1"/>
  <c r="AW1192" i="1" s="1"/>
  <c r="AN1190" i="1"/>
  <c r="AC1190" i="1"/>
  <c r="AL1190" i="1" s="1"/>
  <c r="AN1188" i="1"/>
  <c r="AC1188" i="1"/>
  <c r="AL1188" i="1" s="1"/>
  <c r="AW1188" i="1" s="1"/>
  <c r="AN1183" i="1"/>
  <c r="AN1175" i="1"/>
  <c r="AS1175" i="1" s="1"/>
  <c r="AC1175" i="1"/>
  <c r="AL1175" i="1" s="1"/>
  <c r="AW1175" i="1" s="1"/>
  <c r="AN1167" i="1"/>
  <c r="AO1167" i="1" s="1"/>
  <c r="AP1167" i="1" s="1"/>
  <c r="AQ1167" i="1" s="1"/>
  <c r="AR1167" i="1" s="1"/>
  <c r="AC1167" i="1"/>
  <c r="AL1167" i="1" s="1"/>
  <c r="AW1167" i="1" s="1"/>
  <c r="AN1159" i="1"/>
  <c r="AO1159" i="1" s="1"/>
  <c r="AP1159" i="1" s="1"/>
  <c r="AQ1159" i="1" s="1"/>
  <c r="AR1159" i="1" s="1"/>
  <c r="AC1159" i="1"/>
  <c r="AL1159" i="1" s="1"/>
  <c r="AW1159" i="1" s="1"/>
  <c r="AN1151" i="1"/>
  <c r="AC1151" i="1"/>
  <c r="AL1151" i="1" s="1"/>
  <c r="AW1151" i="1" s="1"/>
  <c r="AX1151" i="1" s="1"/>
  <c r="AY1151" i="1" s="1"/>
  <c r="AZ1151" i="1" s="1"/>
  <c r="BA1151" i="1" s="1"/>
  <c r="AN1143" i="1"/>
  <c r="AS1143" i="1" s="1"/>
  <c r="AC1143" i="1"/>
  <c r="AL1143" i="1" s="1"/>
  <c r="AW1143" i="1" s="1"/>
  <c r="AC1101" i="1"/>
  <c r="AL1101" i="1" s="1"/>
  <c r="AW1101" i="1" s="1"/>
  <c r="AO971" i="1"/>
  <c r="AP971" i="1" s="1"/>
  <c r="AQ971" i="1" s="1"/>
  <c r="AR971" i="1" s="1"/>
  <c r="AO967" i="1"/>
  <c r="AP967" i="1" s="1"/>
  <c r="AQ967" i="1" s="1"/>
  <c r="AR967" i="1" s="1"/>
  <c r="AO955" i="1"/>
  <c r="AP955" i="1" s="1"/>
  <c r="AQ955" i="1" s="1"/>
  <c r="AR955" i="1" s="1"/>
  <c r="AO953" i="1"/>
  <c r="AP953" i="1" s="1"/>
  <c r="AQ953" i="1" s="1"/>
  <c r="AR953" i="1" s="1"/>
  <c r="AO937" i="1"/>
  <c r="AP937" i="1" s="1"/>
  <c r="AQ937" i="1" s="1"/>
  <c r="AR937" i="1" s="1"/>
  <c r="AO929" i="1"/>
  <c r="AP929" i="1" s="1"/>
  <c r="AQ929" i="1" s="1"/>
  <c r="AR929" i="1" s="1"/>
  <c r="AO921" i="1"/>
  <c r="AP921" i="1" s="1"/>
  <c r="AQ921" i="1" s="1"/>
  <c r="AR921" i="1" s="1"/>
  <c r="AO915" i="1"/>
  <c r="AP915" i="1" s="1"/>
  <c r="AQ915" i="1" s="1"/>
  <c r="AO913" i="1"/>
  <c r="AP913" i="1" s="1"/>
  <c r="AQ913" i="1" s="1"/>
  <c r="AR913" i="1" s="1"/>
  <c r="AO907" i="1"/>
  <c r="AP907" i="1" s="1"/>
  <c r="AQ907" i="1" s="1"/>
  <c r="AR907" i="1" s="1"/>
  <c r="AO905" i="1"/>
  <c r="AP905" i="1" s="1"/>
  <c r="AQ905" i="1" s="1"/>
  <c r="AR905" i="1" s="1"/>
  <c r="AO897" i="1"/>
  <c r="AP897" i="1" s="1"/>
  <c r="AQ897" i="1" s="1"/>
  <c r="AR897" i="1" s="1"/>
  <c r="AO891" i="1"/>
  <c r="AP891" i="1" s="1"/>
  <c r="AQ891" i="1" s="1"/>
  <c r="AR891" i="1" s="1"/>
  <c r="AO889" i="1"/>
  <c r="AP889" i="1" s="1"/>
  <c r="AQ889" i="1" s="1"/>
  <c r="AR889" i="1" s="1"/>
  <c r="AO883" i="1"/>
  <c r="AP883" i="1" s="1"/>
  <c r="AQ883" i="1" s="1"/>
  <c r="AO881" i="1"/>
  <c r="AP881" i="1" s="1"/>
  <c r="AQ881" i="1" s="1"/>
  <c r="AR881" i="1" s="1"/>
  <c r="AO875" i="1"/>
  <c r="AP875" i="1" s="1"/>
  <c r="AQ875" i="1" s="1"/>
  <c r="AR875" i="1" s="1"/>
  <c r="AO873" i="1"/>
  <c r="AP873" i="1" s="1"/>
  <c r="AQ873" i="1" s="1"/>
  <c r="AR873" i="1" s="1"/>
  <c r="AO859" i="1"/>
  <c r="AP859" i="1" s="1"/>
  <c r="AQ859" i="1" s="1"/>
  <c r="AR859" i="1" s="1"/>
  <c r="AO849" i="1"/>
  <c r="AP849" i="1" s="1"/>
  <c r="AQ849" i="1" s="1"/>
  <c r="AR849" i="1" s="1"/>
  <c r="AO843" i="1"/>
  <c r="AP843" i="1" s="1"/>
  <c r="AQ843" i="1" s="1"/>
  <c r="AR843" i="1" s="1"/>
  <c r="AO841" i="1"/>
  <c r="AP841" i="1" s="1"/>
  <c r="AQ841" i="1" s="1"/>
  <c r="AR841" i="1" s="1"/>
  <c r="AS955" i="1"/>
  <c r="AN1116" i="1"/>
  <c r="AO1116" i="1" s="1"/>
  <c r="AP1116" i="1" s="1"/>
  <c r="AQ1116" i="1" s="1"/>
  <c r="AR1116" i="1" s="1"/>
  <c r="AC1116" i="1"/>
  <c r="AL1116" i="1" s="1"/>
  <c r="AW1116" i="1" s="1"/>
  <c r="AX1116" i="1" s="1"/>
  <c r="AY1116" i="1" s="1"/>
  <c r="AZ1116" i="1" s="1"/>
  <c r="BA1116" i="1" s="1"/>
  <c r="AN1108" i="1"/>
  <c r="AS1108" i="1" s="1"/>
  <c r="AC1108" i="1"/>
  <c r="AL1108" i="1" s="1"/>
  <c r="AW1108" i="1" s="1"/>
  <c r="AX1108" i="1" s="1"/>
  <c r="AY1108" i="1" s="1"/>
  <c r="AZ1108" i="1" s="1"/>
  <c r="BA1108" i="1" s="1"/>
  <c r="O359" i="1"/>
  <c r="AC1186" i="1"/>
  <c r="AL1186" i="1" s="1"/>
  <c r="AC1182" i="1"/>
  <c r="AL1182" i="1" s="1"/>
  <c r="AW1182" i="1" s="1"/>
  <c r="AC1178" i="1"/>
  <c r="AL1178" i="1" s="1"/>
  <c r="AW1178" i="1" s="1"/>
  <c r="AX1178" i="1" s="1"/>
  <c r="AY1178" i="1" s="1"/>
  <c r="AZ1178" i="1" s="1"/>
  <c r="BA1178" i="1" s="1"/>
  <c r="AC1170" i="1"/>
  <c r="AL1170" i="1" s="1"/>
  <c r="AW1170" i="1" s="1"/>
  <c r="AX1170" i="1" s="1"/>
  <c r="AY1170" i="1" s="1"/>
  <c r="AZ1170" i="1" s="1"/>
  <c r="BA1170" i="1" s="1"/>
  <c r="AC1166" i="1"/>
  <c r="AL1166" i="1" s="1"/>
  <c r="AW1166" i="1" s="1"/>
  <c r="AC1162" i="1"/>
  <c r="AL1162" i="1" s="1"/>
  <c r="AW1162" i="1" s="1"/>
  <c r="AX1162" i="1" s="1"/>
  <c r="AY1162" i="1" s="1"/>
  <c r="AZ1162" i="1" s="1"/>
  <c r="BA1162" i="1" s="1"/>
  <c r="AC1154" i="1"/>
  <c r="AL1154" i="1" s="1"/>
  <c r="AW1154" i="1" s="1"/>
  <c r="AX1154" i="1" s="1"/>
  <c r="AY1154" i="1" s="1"/>
  <c r="AZ1154" i="1" s="1"/>
  <c r="BA1154" i="1" s="1"/>
  <c r="AC1150" i="1"/>
  <c r="AL1150" i="1"/>
  <c r="AW1150" i="1" s="1"/>
  <c r="AX1150" i="1" s="1"/>
  <c r="AY1150" i="1" s="1"/>
  <c r="AZ1150" i="1" s="1"/>
  <c r="BA1150" i="1" s="1"/>
  <c r="AC1146" i="1"/>
  <c r="AL1146" i="1" s="1"/>
  <c r="AW1146" i="1" s="1"/>
  <c r="AX1146" i="1" s="1"/>
  <c r="AC1142" i="1"/>
  <c r="AL1142" i="1" s="1"/>
  <c r="AW1142" i="1" s="1"/>
  <c r="AN1113" i="1"/>
  <c r="AO1113" i="1" s="1"/>
  <c r="AP1113" i="1" s="1"/>
  <c r="AQ1113" i="1" s="1"/>
  <c r="AR1113" i="1" s="1"/>
  <c r="AC1113" i="1"/>
  <c r="AL1113" i="1" s="1"/>
  <c r="AW1113" i="1" s="1"/>
  <c r="AW717" i="1"/>
  <c r="AX717" i="1" s="1"/>
  <c r="AY717" i="1" s="1"/>
  <c r="AZ717" i="1" s="1"/>
  <c r="BA717" i="1" s="1"/>
  <c r="AO1170" i="1"/>
  <c r="AP1170" i="1" s="1"/>
  <c r="AQ1170" i="1" s="1"/>
  <c r="AR1170" i="1" s="1"/>
  <c r="AN1133" i="1"/>
  <c r="AO1133" i="1" s="1"/>
  <c r="AP1133" i="1" s="1"/>
  <c r="AQ1133" i="1" s="1"/>
  <c r="AR1133" i="1" s="1"/>
  <c r="AC1046" i="1"/>
  <c r="AL1046" i="1" s="1"/>
  <c r="AW1046" i="1" s="1"/>
  <c r="AC829" i="1"/>
  <c r="AL829" i="1" s="1"/>
  <c r="AW829" i="1" s="1"/>
  <c r="AN829" i="1"/>
  <c r="AO829" i="1" s="1"/>
  <c r="AP829" i="1" s="1"/>
  <c r="AQ829" i="1" s="1"/>
  <c r="AW685" i="1"/>
  <c r="AX685" i="1" s="1"/>
  <c r="AY685" i="1" s="1"/>
  <c r="AZ685" i="1" s="1"/>
  <c r="BA685" i="1" s="1"/>
  <c r="AW684" i="1"/>
  <c r="AW682" i="1"/>
  <c r="BB682" i="1" s="1"/>
  <c r="AW675" i="1"/>
  <c r="AX675" i="1"/>
  <c r="AY675" i="1" s="1"/>
  <c r="AZ675" i="1" s="1"/>
  <c r="BA675" i="1" s="1"/>
  <c r="AW722" i="1"/>
  <c r="AX722" i="1" s="1"/>
  <c r="AY722" i="1" s="1"/>
  <c r="AZ722" i="1" s="1"/>
  <c r="BA722" i="1" s="1"/>
  <c r="AW719" i="1"/>
  <c r="AX719" i="1" s="1"/>
  <c r="AY719" i="1" s="1"/>
  <c r="AZ719" i="1" s="1"/>
  <c r="AW688" i="1"/>
  <c r="AX688" i="1" s="1"/>
  <c r="AY688" i="1" s="1"/>
  <c r="AZ688" i="1" s="1"/>
  <c r="BA688" i="1" s="1"/>
  <c r="AW674" i="1"/>
  <c r="BB674" i="1" s="1"/>
  <c r="AW670" i="1"/>
  <c r="BB670" i="1" s="1"/>
  <c r="AW735" i="1"/>
  <c r="AW716" i="1"/>
  <c r="AX716" i="1" s="1"/>
  <c r="AY716" i="1" s="1"/>
  <c r="AZ716" i="1" s="1"/>
  <c r="BA716" i="1" s="1"/>
  <c r="AW715" i="1"/>
  <c r="AX715" i="1" s="1"/>
  <c r="AY715" i="1" s="1"/>
  <c r="AZ715" i="1" s="1"/>
  <c r="BA715" i="1" s="1"/>
  <c r="AW712" i="1"/>
  <c r="BB712" i="1" s="1"/>
  <c r="AW706" i="1"/>
  <c r="AW704" i="1"/>
  <c r="AX704" i="1" s="1"/>
  <c r="AY704" i="1" s="1"/>
  <c r="AZ704" i="1" s="1"/>
  <c r="BA704" i="1" s="1"/>
  <c r="AW680" i="1"/>
  <c r="BB680" i="1" s="1"/>
  <c r="AW678" i="1"/>
  <c r="AW677" i="1"/>
  <c r="AX677" i="1" s="1"/>
  <c r="AY677" i="1" s="1"/>
  <c r="AZ677" i="1" s="1"/>
  <c r="AN1120" i="1"/>
  <c r="AC1120" i="1"/>
  <c r="AL1120" i="1" s="1"/>
  <c r="AW1120" i="1" s="1"/>
  <c r="AC1115" i="1"/>
  <c r="AL1115" i="1" s="1"/>
  <c r="AW1115" i="1" s="1"/>
  <c r="AN1001" i="1"/>
  <c r="AC1001" i="1"/>
  <c r="AL1001" i="1" s="1"/>
  <c r="AW1001" i="1" s="1"/>
  <c r="AN1128" i="1"/>
  <c r="AC1128" i="1"/>
  <c r="AL1128" i="1" s="1"/>
  <c r="AW1128" i="1" s="1"/>
  <c r="AN1123" i="1"/>
  <c r="AC1123" i="1"/>
  <c r="AL1123" i="1" s="1"/>
  <c r="AW1123" i="1" s="1"/>
  <c r="AX1123" i="1" s="1"/>
  <c r="AY1123" i="1" s="1"/>
  <c r="AZ1123" i="1" s="1"/>
  <c r="BA1123" i="1" s="1"/>
  <c r="AN1096" i="1"/>
  <c r="AC1096" i="1"/>
  <c r="AL1096" i="1" s="1"/>
  <c r="AW1096" i="1" s="1"/>
  <c r="AN1073" i="1"/>
  <c r="AC1073" i="1"/>
  <c r="AL1073" i="1" s="1"/>
  <c r="AN985" i="1"/>
  <c r="AC985" i="1"/>
  <c r="AL985" i="1" s="1"/>
  <c r="AW985" i="1" s="1"/>
  <c r="AN1136" i="1"/>
  <c r="AC1136" i="1"/>
  <c r="AL1136" i="1"/>
  <c r="AW1136" i="1" s="1"/>
  <c r="AX1136" i="1" s="1"/>
  <c r="AY1136" i="1" s="1"/>
  <c r="AZ1136" i="1" s="1"/>
  <c r="BA1136" i="1" s="1"/>
  <c r="AN1131" i="1"/>
  <c r="AC1131" i="1"/>
  <c r="AL1131" i="1" s="1"/>
  <c r="AW1131" i="1" s="1"/>
  <c r="AN1104" i="1"/>
  <c r="AC1104" i="1"/>
  <c r="AL1104" i="1" s="1"/>
  <c r="AW1104" i="1" s="1"/>
  <c r="AN1099" i="1"/>
  <c r="AC1099" i="1"/>
  <c r="AL1099" i="1" s="1"/>
  <c r="AW1099" i="1" s="1"/>
  <c r="AN1057" i="1"/>
  <c r="AC1057" i="1"/>
  <c r="AL1057" i="1" s="1"/>
  <c r="AW1057" i="1" s="1"/>
  <c r="AN1089" i="1"/>
  <c r="AO1089" i="1" s="1"/>
  <c r="AP1089" i="1" s="1"/>
  <c r="AQ1089" i="1" s="1"/>
  <c r="AR1089" i="1" s="1"/>
  <c r="AC1089" i="1"/>
  <c r="AL1089" i="1" s="1"/>
  <c r="AW1089" i="1" s="1"/>
  <c r="AN1139" i="1"/>
  <c r="AN1112" i="1"/>
  <c r="AC1112" i="1"/>
  <c r="AL1112" i="1" s="1"/>
  <c r="AW1112" i="1" s="1"/>
  <c r="AC1107" i="1"/>
  <c r="AL1107" i="1" s="1"/>
  <c r="AW1107" i="1" s="1"/>
  <c r="AC1020" i="1"/>
  <c r="AL1020" i="1" s="1"/>
  <c r="AW1020" i="1" s="1"/>
  <c r="AN1060" i="1"/>
  <c r="AO1060" i="1" s="1"/>
  <c r="AP1060" i="1" s="1"/>
  <c r="AQ1060" i="1" s="1"/>
  <c r="AR1060" i="1" s="1"/>
  <c r="R592" i="1"/>
  <c r="Z592" i="1" s="1"/>
  <c r="P117" i="1"/>
  <c r="P466" i="1"/>
  <c r="Q110" i="1"/>
  <c r="P425" i="1"/>
  <c r="P492" i="1"/>
  <c r="P257" i="1"/>
  <c r="O244" i="1"/>
  <c r="W244" i="1" s="1"/>
  <c r="AF244" i="1" s="1"/>
  <c r="P187" i="1"/>
  <c r="U424" i="1"/>
  <c r="U520" i="1"/>
  <c r="S494" i="1"/>
  <c r="Q567" i="1"/>
  <c r="O600" i="1"/>
  <c r="AA600" i="1" s="1"/>
  <c r="AJ600" i="1" s="1"/>
  <c r="R373" i="1"/>
  <c r="Z373" i="1" s="1"/>
  <c r="T158" i="1"/>
  <c r="AB158" i="1" s="1"/>
  <c r="S280" i="1"/>
  <c r="S297" i="1"/>
  <c r="U213" i="1"/>
  <c r="R598" i="1"/>
  <c r="Z598" i="1" s="1"/>
  <c r="T327" i="1"/>
  <c r="AB327" i="1" s="1"/>
  <c r="T244" i="1"/>
  <c r="AB244" i="1" s="1"/>
  <c r="T188" i="1"/>
  <c r="AB188" i="1" s="1"/>
  <c r="U461" i="1"/>
  <c r="P461" i="1"/>
  <c r="T179" i="1"/>
  <c r="AB179" i="1" s="1"/>
  <c r="U479" i="1"/>
  <c r="Q488" i="1"/>
  <c r="Q650" i="1"/>
  <c r="R278" i="1"/>
  <c r="Z278" i="1" s="1"/>
  <c r="T480" i="1"/>
  <c r="AB480" i="1" s="1"/>
  <c r="O348" i="1"/>
  <c r="W348" i="1" s="1"/>
  <c r="AF348" i="1" s="1"/>
  <c r="R247" i="1"/>
  <c r="Z247" i="1" s="1"/>
  <c r="S248" i="1"/>
  <c r="R209" i="1"/>
  <c r="Z209" i="1" s="1"/>
  <c r="O528" i="1"/>
  <c r="W528" i="1" s="1"/>
  <c r="AF528" i="1" s="1"/>
  <c r="R329" i="1"/>
  <c r="Z329" i="1" s="1"/>
  <c r="Q610" i="1"/>
  <c r="Q620" i="1"/>
  <c r="S400" i="1"/>
  <c r="R441" i="1"/>
  <c r="Z441" i="1" s="1"/>
  <c r="T362" i="1"/>
  <c r="AB362" i="1" s="1"/>
  <c r="P289" i="1"/>
  <c r="T646" i="1"/>
  <c r="AB646" i="1" s="1"/>
  <c r="P104" i="1"/>
  <c r="S251" i="1"/>
  <c r="Q115" i="1"/>
  <c r="R353" i="1"/>
  <c r="Z353" i="1" s="1"/>
  <c r="T352" i="1"/>
  <c r="AB352" i="1" s="1"/>
  <c r="R114" i="1"/>
  <c r="O87" i="1"/>
  <c r="R467" i="1"/>
  <c r="Z467" i="1" s="1"/>
  <c r="R223" i="1"/>
  <c r="Z223" i="1" s="1"/>
  <c r="O168" i="1"/>
  <c r="W168" i="1" s="1"/>
  <c r="AF168" i="1" s="1"/>
  <c r="P378" i="1"/>
  <c r="S578" i="1"/>
  <c r="T233" i="1"/>
  <c r="AB233" i="1" s="1"/>
  <c r="S325" i="1"/>
  <c r="Q167" i="1"/>
  <c r="S387" i="1"/>
  <c r="Q643" i="1"/>
  <c r="R160" i="1"/>
  <c r="Z160" i="1" s="1"/>
  <c r="T408" i="1"/>
  <c r="AB408" i="1" s="1"/>
  <c r="Q306" i="1"/>
  <c r="R404" i="1"/>
  <c r="Z404" i="1" s="1"/>
  <c r="T153" i="1"/>
  <c r="AB153" i="1" s="1"/>
  <c r="T420" i="1"/>
  <c r="AB420" i="1" s="1"/>
  <c r="T410" i="1"/>
  <c r="AB410" i="1" s="1"/>
  <c r="T209" i="1"/>
  <c r="AB209" i="1" s="1"/>
  <c r="R154" i="1"/>
  <c r="Z154" i="1" s="1"/>
  <c r="O166" i="1"/>
  <c r="P469" i="1"/>
  <c r="P400" i="1"/>
  <c r="S407" i="1"/>
  <c r="P254" i="1"/>
  <c r="Q313" i="1"/>
  <c r="U609" i="1"/>
  <c r="T369" i="1"/>
  <c r="AB369" i="1" s="1"/>
  <c r="T264" i="1"/>
  <c r="AB264" i="1" s="1"/>
  <c r="O143" i="1"/>
  <c r="T509" i="1"/>
  <c r="AB509" i="1" s="1"/>
  <c r="U545" i="1"/>
  <c r="R97" i="1"/>
  <c r="Z97" i="1" s="1"/>
  <c r="S383" i="1"/>
  <c r="Q133" i="1"/>
  <c r="Q430" i="1"/>
  <c r="T650" i="1"/>
  <c r="AB650" i="1" s="1"/>
  <c r="U129" i="1"/>
  <c r="R131" i="1"/>
  <c r="Z131" i="1" s="1"/>
  <c r="U603" i="1"/>
  <c r="P416" i="1"/>
  <c r="S651" i="1"/>
  <c r="P279" i="1"/>
  <c r="O327" i="1"/>
  <c r="S522" i="1"/>
  <c r="Q171" i="1"/>
  <c r="S484" i="1"/>
  <c r="O285" i="1"/>
  <c r="P133" i="1"/>
  <c r="S479" i="1"/>
  <c r="U613" i="1"/>
  <c r="T418" i="1"/>
  <c r="AB418" i="1" s="1"/>
  <c r="R531" i="1"/>
  <c r="Z531" i="1" s="1"/>
  <c r="U163" i="1"/>
  <c r="Q89" i="1"/>
  <c r="R462" i="1"/>
  <c r="Z462" i="1" s="1"/>
  <c r="T102" i="1"/>
  <c r="AB102" i="1" s="1"/>
  <c r="P358" i="1"/>
  <c r="Q499" i="1"/>
  <c r="T606" i="1"/>
  <c r="AB606" i="1" s="1"/>
  <c r="P228" i="1"/>
  <c r="T585" i="1"/>
  <c r="AB585" i="1" s="1"/>
  <c r="R417" i="1"/>
  <c r="Z417" i="1" s="1"/>
  <c r="R633" i="1"/>
  <c r="Z633" i="1" s="1"/>
  <c r="R482" i="1"/>
  <c r="Z482" i="1" s="1"/>
  <c r="S443" i="1"/>
  <c r="P556" i="1"/>
  <c r="U289" i="1"/>
  <c r="P207" i="1"/>
  <c r="S290" i="1"/>
  <c r="T657" i="1"/>
  <c r="AB657" i="1" s="1"/>
  <c r="P328" i="1"/>
  <c r="T335" i="1"/>
  <c r="AB335" i="1" s="1"/>
  <c r="S470" i="1"/>
  <c r="T169" i="1"/>
  <c r="AB169" i="1" s="1"/>
  <c r="Q659" i="1"/>
  <c r="O387" i="1"/>
  <c r="S221" i="1"/>
  <c r="S131" i="1"/>
  <c r="O311" i="1"/>
  <c r="T317" i="1"/>
  <c r="AB317" i="1" s="1"/>
  <c r="T507" i="1"/>
  <c r="AB507" i="1" s="1"/>
  <c r="U105" i="1"/>
  <c r="O350" i="1"/>
  <c r="W350" i="1" s="1"/>
  <c r="AF350" i="1" s="1"/>
  <c r="S499" i="1"/>
  <c r="T180" i="1"/>
  <c r="AB180" i="1" s="1"/>
  <c r="U86" i="1"/>
  <c r="U311" i="1"/>
  <c r="T196" i="1"/>
  <c r="AB196" i="1" s="1"/>
  <c r="R271" i="1"/>
  <c r="Z271" i="1" s="1"/>
  <c r="R515" i="1"/>
  <c r="Z515" i="1" s="1"/>
  <c r="U507" i="1"/>
  <c r="S516" i="1"/>
  <c r="T503" i="1"/>
  <c r="AB503" i="1" s="1"/>
  <c r="R524" i="1"/>
  <c r="Z524" i="1" s="1"/>
  <c r="R289" i="1"/>
  <c r="Z289" i="1" s="1"/>
  <c r="U585" i="1"/>
  <c r="Q525" i="1"/>
  <c r="T531" i="1"/>
  <c r="AB531" i="1" s="1"/>
  <c r="O471" i="1"/>
  <c r="W471" i="1" s="1"/>
  <c r="AF471" i="1" s="1"/>
  <c r="P507" i="1"/>
  <c r="T393" i="1"/>
  <c r="AB393" i="1" s="1"/>
  <c r="U353" i="1"/>
  <c r="U579" i="1"/>
  <c r="O466" i="1"/>
  <c r="S468" i="1"/>
  <c r="P364" i="1"/>
  <c r="S445" i="1"/>
  <c r="Q195" i="1"/>
  <c r="P98" i="1"/>
  <c r="P647" i="1"/>
  <c r="O546" i="1"/>
  <c r="W546" i="1" s="1"/>
  <c r="AF546" i="1" s="1"/>
  <c r="O195" i="1"/>
  <c r="T152" i="1"/>
  <c r="AB152" i="1" s="1"/>
  <c r="P355" i="1"/>
  <c r="U87" i="1"/>
  <c r="O156" i="1"/>
  <c r="S188" i="1"/>
  <c r="O342" i="1"/>
  <c r="R225" i="1"/>
  <c r="Z225" i="1" s="1"/>
  <c r="Q160" i="1"/>
  <c r="O544" i="1"/>
  <c r="W544" i="1" s="1"/>
  <c r="AF544" i="1" s="1"/>
  <c r="Q88" i="1"/>
  <c r="R325" i="1"/>
  <c r="Z325" i="1" s="1"/>
  <c r="T441" i="1"/>
  <c r="AB441" i="1" s="1"/>
  <c r="P604" i="1"/>
  <c r="U478" i="1"/>
  <c r="U551" i="1"/>
  <c r="P196" i="1"/>
  <c r="AK196" i="1" s="1"/>
  <c r="T592" i="1"/>
  <c r="AB592" i="1" s="1"/>
  <c r="T308" i="1"/>
  <c r="AB308" i="1" s="1"/>
  <c r="P516" i="1"/>
  <c r="U522" i="1"/>
  <c r="T312" i="1"/>
  <c r="AB312" i="1" s="1"/>
  <c r="T587" i="1"/>
  <c r="AB587" i="1" s="1"/>
  <c r="R257" i="1"/>
  <c r="Z257" i="1" s="1"/>
  <c r="R251" i="1"/>
  <c r="Z251" i="1" s="1"/>
  <c r="S489" i="1"/>
  <c r="R132" i="1"/>
  <c r="Z132" i="1" s="1"/>
  <c r="Q451" i="1"/>
  <c r="S213" i="1"/>
  <c r="R127" i="1"/>
  <c r="Z127" i="1" s="1"/>
  <c r="T198" i="1"/>
  <c r="AB198" i="1" s="1"/>
  <c r="O103" i="1"/>
  <c r="R326" i="1"/>
  <c r="Z326" i="1" s="1"/>
  <c r="S186" i="1"/>
  <c r="U385" i="1"/>
  <c r="R570" i="1"/>
  <c r="Z570" i="1" s="1"/>
  <c r="U334" i="1"/>
  <c r="R374" i="1"/>
  <c r="Z374" i="1" s="1"/>
  <c r="O543" i="1"/>
  <c r="W543" i="1" s="1"/>
  <c r="AF543" i="1" s="1"/>
  <c r="S542" i="1"/>
  <c r="Q563" i="1"/>
  <c r="O409" i="1"/>
  <c r="W409" i="1" s="1"/>
  <c r="AF409" i="1" s="1"/>
  <c r="O652" i="1"/>
  <c r="Q127" i="1"/>
  <c r="R361" i="1"/>
  <c r="Z361" i="1" s="1"/>
  <c r="Q312" i="1"/>
  <c r="T470" i="1"/>
  <c r="AB470" i="1" s="1"/>
  <c r="T322" i="1"/>
  <c r="AB322" i="1" s="1"/>
  <c r="Q486" i="1"/>
  <c r="S230" i="1"/>
  <c r="Q331" i="1"/>
  <c r="S472" i="1"/>
  <c r="T271" i="1"/>
  <c r="AB271" i="1" s="1"/>
  <c r="T641" i="1"/>
  <c r="AB641" i="1" s="1"/>
  <c r="U84" i="1"/>
  <c r="R242" i="1"/>
  <c r="Z242" i="1" s="1"/>
  <c r="O239" i="1"/>
  <c r="W239" i="1" s="1"/>
  <c r="AF239" i="1" s="1"/>
  <c r="R306" i="1"/>
  <c r="Z306" i="1" s="1"/>
  <c r="Q357" i="1"/>
  <c r="O279" i="1"/>
  <c r="P451" i="1"/>
  <c r="U617" i="1"/>
  <c r="O275" i="1"/>
  <c r="Q256" i="1"/>
  <c r="Q482" i="1"/>
  <c r="R149" i="1"/>
  <c r="Z149" i="1" s="1"/>
  <c r="P232" i="1"/>
  <c r="S192" i="1"/>
  <c r="Q198" i="1"/>
  <c r="R344" i="1"/>
  <c r="Z344" i="1" s="1"/>
  <c r="R284" i="1"/>
  <c r="Z284" i="1" s="1"/>
  <c r="Q350" i="1"/>
  <c r="R661" i="1"/>
  <c r="Z661" i="1" s="1"/>
  <c r="U449" i="1"/>
  <c r="T508" i="1"/>
  <c r="AB508" i="1" s="1"/>
  <c r="R287" i="1"/>
  <c r="Z287" i="1" s="1"/>
  <c r="O164" i="1"/>
  <c r="W164" i="1" s="1"/>
  <c r="AF164" i="1" s="1"/>
  <c r="T615" i="1"/>
  <c r="AB615" i="1" s="1"/>
  <c r="P447" i="1"/>
  <c r="X447" i="1" s="1"/>
  <c r="AG447" i="1" s="1"/>
  <c r="R659" i="1"/>
  <c r="Z659" i="1" s="1"/>
  <c r="P446" i="1"/>
  <c r="Q553" i="1"/>
  <c r="T651" i="1"/>
  <c r="AB651" i="1" s="1"/>
  <c r="P421" i="1"/>
  <c r="T398" i="1"/>
  <c r="AB398" i="1" s="1"/>
  <c r="Q180" i="1"/>
  <c r="R172" i="1"/>
  <c r="Z172" i="1" s="1"/>
  <c r="S142" i="1"/>
  <c r="U154" i="1"/>
  <c r="Q191" i="1"/>
  <c r="P148" i="1"/>
  <c r="U564" i="1"/>
  <c r="P444" i="1"/>
  <c r="O556" i="1"/>
  <c r="Q321" i="1"/>
  <c r="T96" i="1"/>
  <c r="AB96" i="1" s="1"/>
  <c r="U482" i="1"/>
  <c r="P458" i="1"/>
  <c r="T305" i="1"/>
  <c r="AB305" i="1" s="1"/>
  <c r="S643" i="1"/>
  <c r="S515" i="1"/>
  <c r="P122" i="1"/>
  <c r="U404" i="1"/>
  <c r="R83" i="1"/>
  <c r="Z83" i="1" s="1"/>
  <c r="U104" i="1"/>
  <c r="U133" i="1"/>
  <c r="Q475" i="1"/>
  <c r="R205" i="1"/>
  <c r="Z205" i="1" s="1"/>
  <c r="R529" i="1"/>
  <c r="Z529" i="1" s="1"/>
  <c r="S285" i="1"/>
  <c r="T616" i="1"/>
  <c r="AB616" i="1" s="1"/>
  <c r="Q665" i="1"/>
  <c r="U372" i="1"/>
  <c r="P650" i="1"/>
  <c r="U438" i="1"/>
  <c r="P552" i="1"/>
  <c r="X552" i="1" s="1"/>
  <c r="AG552" i="1" s="1"/>
  <c r="S653" i="1"/>
  <c r="O306" i="1"/>
  <c r="W306" i="1" s="1"/>
  <c r="AF306" i="1" s="1"/>
  <c r="R629" i="1"/>
  <c r="Z629" i="1" s="1"/>
  <c r="P436" i="1"/>
  <c r="P417" i="1"/>
  <c r="U351" i="1"/>
  <c r="P244" i="1"/>
  <c r="Q383" i="1"/>
  <c r="U485" i="1"/>
  <c r="T457" i="1"/>
  <c r="AB457" i="1" s="1"/>
  <c r="U180" i="1"/>
  <c r="Q605" i="1"/>
  <c r="P381" i="1"/>
  <c r="T85" i="1"/>
  <c r="AB85" i="1" s="1"/>
  <c r="R221" i="1"/>
  <c r="Z221" i="1" s="1"/>
  <c r="S223" i="1"/>
  <c r="U283" i="1"/>
  <c r="P517" i="1"/>
  <c r="T201" i="1"/>
  <c r="AB201" i="1" s="1"/>
  <c r="S153" i="1"/>
  <c r="O300" i="1"/>
  <c r="O402" i="1"/>
  <c r="R450" i="1"/>
  <c r="Z450" i="1" s="1"/>
  <c r="T451" i="1"/>
  <c r="AB451" i="1" s="1"/>
  <c r="R572" i="1"/>
  <c r="Z572" i="1" s="1"/>
  <c r="Q404" i="1"/>
  <c r="S102" i="1"/>
  <c r="R150" i="1"/>
  <c r="Z150" i="1" s="1"/>
  <c r="R121" i="1"/>
  <c r="Z121" i="1" s="1"/>
  <c r="U608" i="1"/>
  <c r="Q134" i="1"/>
  <c r="P615" i="1"/>
  <c r="S646" i="1"/>
  <c r="U240" i="1"/>
  <c r="R249" i="1"/>
  <c r="Z249" i="1" s="1"/>
  <c r="S134" i="1"/>
  <c r="U268" i="1"/>
  <c r="T354" i="1"/>
  <c r="AB354" i="1" s="1"/>
  <c r="T559" i="1"/>
  <c r="AB559" i="1" s="1"/>
  <c r="O524" i="1"/>
  <c r="W524" i="1" s="1"/>
  <c r="AF524" i="1" s="1"/>
  <c r="O186" i="1"/>
  <c r="W186" i="1" s="1"/>
  <c r="AF186" i="1" s="1"/>
  <c r="U108" i="1"/>
  <c r="S336" i="1"/>
  <c r="Q286" i="1"/>
  <c r="Q445" i="1"/>
  <c r="U442" i="1"/>
  <c r="R259" i="1"/>
  <c r="Z259" i="1" s="1"/>
  <c r="O160" i="1"/>
  <c r="R155" i="1"/>
  <c r="Z155" i="1" s="1"/>
  <c r="R345" i="1"/>
  <c r="Z345" i="1" s="1"/>
  <c r="P183" i="1"/>
  <c r="T319" i="1"/>
  <c r="AB319" i="1" s="1"/>
  <c r="O146" i="1"/>
  <c r="W146" i="1" s="1"/>
  <c r="AF146" i="1" s="1"/>
  <c r="U618" i="1"/>
  <c r="Q197" i="1"/>
  <c r="R163" i="1"/>
  <c r="Z163" i="1" s="1"/>
  <c r="Q568" i="1"/>
  <c r="R111" i="1"/>
  <c r="Z111" i="1" s="1"/>
  <c r="S277" i="1"/>
  <c r="P595" i="1"/>
  <c r="S319" i="1"/>
  <c r="Q203" i="1"/>
  <c r="S572" i="1"/>
  <c r="S86" i="1"/>
  <c r="AA86" i="1" s="1"/>
  <c r="AJ86" i="1" s="1"/>
  <c r="Q485" i="1"/>
  <c r="R324" i="1"/>
  <c r="Z324" i="1" s="1"/>
  <c r="P606" i="1"/>
  <c r="U95" i="1"/>
  <c r="P536" i="1"/>
  <c r="T516" i="1"/>
  <c r="AB516" i="1" s="1"/>
  <c r="T122" i="1"/>
  <c r="AB122" i="1" s="1"/>
  <c r="Q370" i="1"/>
  <c r="T360" i="1"/>
  <c r="AB360" i="1" s="1"/>
  <c r="R243" i="1"/>
  <c r="Z243" i="1" s="1"/>
  <c r="U271" i="1"/>
  <c r="P134" i="1"/>
  <c r="Q427" i="1"/>
  <c r="P153" i="1"/>
  <c r="R612" i="1"/>
  <c r="Z612" i="1" s="1"/>
  <c r="Q545" i="1"/>
  <c r="T505" i="1"/>
  <c r="AB505" i="1" s="1"/>
  <c r="U464" i="1"/>
  <c r="P624" i="1"/>
  <c r="R393" i="1"/>
  <c r="Z393" i="1" s="1"/>
  <c r="T157" i="1"/>
  <c r="AB157" i="1" s="1"/>
  <c r="U294" i="1"/>
  <c r="T98" i="1"/>
  <c r="AB98" i="1" s="1"/>
  <c r="T238" i="1"/>
  <c r="AB238" i="1" s="1"/>
  <c r="Q265" i="1"/>
  <c r="T494" i="1"/>
  <c r="AB494" i="1" s="1"/>
  <c r="U492" i="1"/>
  <c r="U593" i="1"/>
  <c r="P332" i="1"/>
  <c r="R438" i="1"/>
  <c r="Z438" i="1" s="1"/>
  <c r="T573" i="1"/>
  <c r="AB573" i="1" s="1"/>
  <c r="O644" i="1"/>
  <c r="R516" i="1"/>
  <c r="Z516" i="1" s="1"/>
  <c r="S119" i="1"/>
  <c r="U384" i="1"/>
  <c r="S143" i="1"/>
  <c r="AN143" i="1" s="1"/>
  <c r="Q344" i="1"/>
  <c r="P613" i="1"/>
  <c r="Q193" i="1"/>
  <c r="P242" i="1"/>
  <c r="R265" i="1"/>
  <c r="Z265" i="1" s="1"/>
  <c r="T224" i="1"/>
  <c r="AB224" i="1" s="1"/>
  <c r="S595" i="1"/>
  <c r="R422" i="1"/>
  <c r="Z422" i="1" s="1"/>
  <c r="S274" i="1"/>
  <c r="T594" i="1"/>
  <c r="AB594" i="1" s="1"/>
  <c r="O294" i="1"/>
  <c r="O331" i="1"/>
  <c r="O291" i="1"/>
  <c r="W291" i="1" s="1"/>
  <c r="AF291" i="1" s="1"/>
  <c r="O371" i="1"/>
  <c r="W371" i="1" s="1"/>
  <c r="AF371" i="1" s="1"/>
  <c r="T146" i="1"/>
  <c r="AB146" i="1" s="1"/>
  <c r="P297" i="1"/>
  <c r="O91" i="1"/>
  <c r="S597" i="1"/>
  <c r="O369" i="1"/>
  <c r="Q533" i="1"/>
  <c r="U410" i="1"/>
  <c r="P174" i="1"/>
  <c r="O326" i="1"/>
  <c r="W326" i="1" s="1"/>
  <c r="AF326" i="1" s="1"/>
  <c r="O123" i="1"/>
  <c r="W123" i="1" s="1"/>
  <c r="AF123" i="1" s="1"/>
  <c r="R331" i="1"/>
  <c r="Z331" i="1" s="1"/>
  <c r="P132" i="1"/>
  <c r="R208" i="1"/>
  <c r="Z208" i="1" s="1"/>
  <c r="O196" i="1"/>
  <c r="T109" i="1"/>
  <c r="AB109" i="1" s="1"/>
  <c r="U559" i="1"/>
  <c r="Q330" i="1"/>
  <c r="P177" i="1"/>
  <c r="P605" i="1"/>
  <c r="U409" i="1"/>
  <c r="AC409" i="1" s="1"/>
  <c r="AL409" i="1" s="1"/>
  <c r="T293" i="1"/>
  <c r="AB293" i="1" s="1"/>
  <c r="T412" i="1"/>
  <c r="AB412" i="1" s="1"/>
  <c r="P88" i="1"/>
  <c r="Q149" i="1"/>
  <c r="T363" i="1"/>
  <c r="AB363" i="1" s="1"/>
  <c r="Q543" i="1"/>
  <c r="S380" i="1"/>
  <c r="T226" i="1"/>
  <c r="AB226" i="1" s="1"/>
  <c r="O353" i="1"/>
  <c r="W353" i="1" s="1"/>
  <c r="AF353" i="1" s="1"/>
  <c r="Q349" i="1"/>
  <c r="P146" i="1"/>
  <c r="S545" i="1"/>
  <c r="O108" i="1"/>
  <c r="W108" i="1" s="1"/>
  <c r="AF108" i="1" s="1"/>
  <c r="Q100" i="1"/>
  <c r="U307" i="1"/>
  <c r="O450" i="1"/>
  <c r="W450" i="1" s="1"/>
  <c r="AF450" i="1" s="1"/>
  <c r="P282" i="1"/>
  <c r="U577" i="1"/>
  <c r="R492" i="1"/>
  <c r="Z492" i="1" s="1"/>
  <c r="T453" i="1"/>
  <c r="AB453" i="1" s="1"/>
  <c r="U462" i="1"/>
  <c r="Q111" i="1"/>
  <c r="T666" i="1"/>
  <c r="AB666" i="1" s="1"/>
  <c r="S176" i="1"/>
  <c r="P625" i="1"/>
  <c r="P273" i="1"/>
  <c r="Q631" i="1"/>
  <c r="U497" i="1"/>
  <c r="O352" i="1"/>
  <c r="P535" i="1"/>
  <c r="Q116" i="1"/>
  <c r="R296" i="1"/>
  <c r="Z296" i="1" s="1"/>
  <c r="P179" i="1"/>
  <c r="S404" i="1"/>
  <c r="T379" i="1"/>
  <c r="AB379" i="1" s="1"/>
  <c r="O217" i="1"/>
  <c r="O514" i="1"/>
  <c r="W514" i="1" s="1"/>
  <c r="AF514" i="1" s="1"/>
  <c r="U256" i="1"/>
  <c r="R198" i="1"/>
  <c r="Z198" i="1" s="1"/>
  <c r="R314" i="1"/>
  <c r="Z314" i="1" s="1"/>
  <c r="Q334" i="1"/>
  <c r="U88" i="1"/>
  <c r="AC88" i="1" s="1"/>
  <c r="AL88" i="1" s="1"/>
  <c r="S98" i="1"/>
  <c r="T133" i="1"/>
  <c r="AB133" i="1" s="1"/>
  <c r="O428" i="1"/>
  <c r="W428" i="1" s="1"/>
  <c r="AF428" i="1" s="1"/>
  <c r="P456" i="1"/>
  <c r="T219" i="1"/>
  <c r="AB219" i="1" s="1"/>
  <c r="O614" i="1"/>
  <c r="S657" i="1"/>
  <c r="S424" i="1"/>
  <c r="S457" i="1"/>
  <c r="R342" i="1"/>
  <c r="Z342" i="1" s="1"/>
  <c r="S645" i="1"/>
  <c r="T431" i="1"/>
  <c r="AB431" i="1" s="1"/>
  <c r="U170" i="1"/>
  <c r="S326" i="1"/>
  <c r="U191" i="1"/>
  <c r="S493" i="1"/>
  <c r="U562" i="1"/>
  <c r="O418" i="1"/>
  <c r="P497" i="1"/>
  <c r="U600" i="1"/>
  <c r="AN600" i="1" s="1"/>
  <c r="AO600" i="1" s="1"/>
  <c r="S527" i="1"/>
  <c r="Q82" i="1"/>
  <c r="R421" i="1"/>
  <c r="Z421" i="1" s="1"/>
  <c r="O128" i="1"/>
  <c r="U315" i="1"/>
  <c r="O483" i="1"/>
  <c r="R162" i="1"/>
  <c r="Z162" i="1" s="1"/>
  <c r="Q343" i="1"/>
  <c r="S355" i="1"/>
  <c r="O303" i="1"/>
  <c r="W303" i="1" s="1"/>
  <c r="AF303" i="1" s="1"/>
  <c r="R117" i="1"/>
  <c r="Z117" i="1" s="1"/>
  <c r="P611" i="1"/>
  <c r="U127" i="1"/>
  <c r="T438" i="1"/>
  <c r="AB438" i="1" s="1"/>
  <c r="O639" i="1"/>
  <c r="S168" i="1"/>
  <c r="S551" i="1"/>
  <c r="P337" i="1"/>
  <c r="R252" i="1"/>
  <c r="Z252" i="1" s="1"/>
  <c r="Q601" i="1"/>
  <c r="U245" i="1"/>
  <c r="S391" i="1"/>
  <c r="Q109" i="1"/>
  <c r="Q92" i="1"/>
  <c r="T311" i="1"/>
  <c r="AB311" i="1" s="1"/>
  <c r="T145" i="1"/>
  <c r="AB145" i="1" s="1"/>
  <c r="Q282" i="1"/>
  <c r="U220" i="1"/>
  <c r="O140" i="1"/>
  <c r="T168" i="1"/>
  <c r="AB168" i="1" s="1"/>
  <c r="P397" i="1"/>
  <c r="P642" i="1"/>
  <c r="Q505" i="1"/>
  <c r="O632" i="1"/>
  <c r="P221" i="1"/>
  <c r="T359" i="1"/>
  <c r="AB359" i="1" s="1"/>
  <c r="T423" i="1"/>
  <c r="AB423" i="1" s="1"/>
  <c r="T535" i="1"/>
  <c r="AB535" i="1" s="1"/>
  <c r="R493" i="1"/>
  <c r="Z493" i="1" s="1"/>
  <c r="P212" i="1"/>
  <c r="R385" i="1"/>
  <c r="Z385" i="1" s="1"/>
  <c r="T262" i="1"/>
  <c r="AB262" i="1" s="1"/>
  <c r="R212" i="1"/>
  <c r="Z212" i="1" s="1"/>
  <c r="O421" i="1"/>
  <c r="O90" i="1"/>
  <c r="W90" i="1" s="1"/>
  <c r="AF90" i="1" s="1"/>
  <c r="R468" i="1"/>
  <c r="Z468" i="1" s="1"/>
  <c r="R489" i="1"/>
  <c r="Z489" i="1" s="1"/>
  <c r="U606" i="1"/>
  <c r="P524" i="1"/>
  <c r="R349" i="1"/>
  <c r="Z349" i="1" s="1"/>
  <c r="T473" i="1"/>
  <c r="AB473" i="1" s="1"/>
  <c r="R233" i="1"/>
  <c r="Z233" i="1" s="1"/>
  <c r="T495" i="1"/>
  <c r="AB495" i="1" s="1"/>
  <c r="O604" i="1"/>
  <c r="X604" i="1" s="1"/>
  <c r="AG604" i="1" s="1"/>
  <c r="O435" i="1"/>
  <c r="T316" i="1"/>
  <c r="AB316" i="1" s="1"/>
  <c r="T103" i="1"/>
  <c r="AB103" i="1" s="1"/>
  <c r="R445" i="1"/>
  <c r="Z445" i="1" s="1"/>
  <c r="O133" i="1"/>
  <c r="W133" i="1" s="1"/>
  <c r="AF133" i="1" s="1"/>
  <c r="Q229" i="1"/>
  <c r="R571" i="1"/>
  <c r="Z571" i="1" s="1"/>
  <c r="S408" i="1"/>
  <c r="Q297" i="1"/>
  <c r="Q253" i="1"/>
  <c r="Q653" i="1"/>
  <c r="O312" i="1"/>
  <c r="S615" i="1"/>
  <c r="O602" i="1"/>
  <c r="W602" i="1" s="1"/>
  <c r="AF602" i="1" s="1"/>
  <c r="P545" i="1"/>
  <c r="P271" i="1"/>
  <c r="R641" i="1"/>
  <c r="Z641" i="1" s="1"/>
  <c r="S562" i="1"/>
  <c r="U350" i="1"/>
  <c r="T417" i="1"/>
  <c r="AB417" i="1" s="1"/>
  <c r="P230" i="1"/>
  <c r="Q502" i="1"/>
  <c r="P294" i="1"/>
  <c r="U363" i="1"/>
  <c r="S144" i="1"/>
  <c r="Q358" i="1"/>
  <c r="R526" i="1"/>
  <c r="Z526" i="1" s="1"/>
  <c r="S370" i="1"/>
  <c r="Q147" i="1"/>
  <c r="O379" i="1"/>
  <c r="W379" i="1" s="1"/>
  <c r="AF379" i="1" s="1"/>
  <c r="S554" i="1"/>
  <c r="R579" i="1"/>
  <c r="Z579" i="1" s="1"/>
  <c r="O161" i="1"/>
  <c r="P326" i="1"/>
  <c r="Q178" i="1"/>
  <c r="P266" i="1"/>
  <c r="R158" i="1"/>
  <c r="Z158" i="1" s="1"/>
  <c r="U365" i="1"/>
  <c r="R293" i="1"/>
  <c r="Z293" i="1" s="1"/>
  <c r="P229" i="1"/>
  <c r="Q391" i="1"/>
  <c r="R469" i="1"/>
  <c r="Z469" i="1" s="1"/>
  <c r="S96" i="1"/>
  <c r="T558" i="1"/>
  <c r="AB558" i="1" s="1"/>
  <c r="AK558" i="1" s="1"/>
  <c r="Q510" i="1"/>
  <c r="U146" i="1"/>
  <c r="S531" i="1"/>
  <c r="P513" i="1"/>
  <c r="S372" i="1"/>
  <c r="R356" i="1"/>
  <c r="Z356" i="1" s="1"/>
  <c r="Q99" i="1"/>
  <c r="Q232" i="1"/>
  <c r="R520" i="1"/>
  <c r="Z520" i="1" s="1"/>
  <c r="Q466" i="1"/>
  <c r="O565" i="1"/>
  <c r="W565" i="1" s="1"/>
  <c r="AF565" i="1" s="1"/>
  <c r="T390" i="1"/>
  <c r="AB390" i="1" s="1"/>
  <c r="U93" i="1"/>
  <c r="T181" i="1"/>
  <c r="AB181" i="1" s="1"/>
  <c r="U649" i="1"/>
  <c r="S287" i="1"/>
  <c r="Q549" i="1"/>
  <c r="T313" i="1"/>
  <c r="AB313" i="1" s="1"/>
  <c r="P127" i="1"/>
  <c r="Q646" i="1"/>
  <c r="Q596" i="1"/>
  <c r="U157" i="1"/>
  <c r="P527" i="1"/>
  <c r="T86" i="1"/>
  <c r="AB86" i="1" s="1"/>
  <c r="P430" i="1"/>
  <c r="P635" i="1"/>
  <c r="U637" i="1"/>
  <c r="R411" i="1"/>
  <c r="Z411" i="1" s="1"/>
  <c r="U152" i="1"/>
  <c r="P125" i="1"/>
  <c r="U100" i="1"/>
  <c r="T117" i="1"/>
  <c r="AB117" i="1" s="1"/>
  <c r="P431" i="1"/>
  <c r="R283" i="1"/>
  <c r="Z283" i="1" s="1"/>
  <c r="O337" i="1"/>
  <c r="T357" i="1"/>
  <c r="AB357" i="1" s="1"/>
  <c r="T456" i="1"/>
  <c r="AB456" i="1" s="1"/>
  <c r="T434" i="1"/>
  <c r="AB434" i="1" s="1"/>
  <c r="Q172" i="1"/>
  <c r="Q221" i="1"/>
  <c r="S447" i="1"/>
  <c r="O470" i="1"/>
  <c r="W470" i="1" s="1"/>
  <c r="AF470" i="1" s="1"/>
  <c r="Q570" i="1"/>
  <c r="R555" i="1"/>
  <c r="Z555" i="1" s="1"/>
  <c r="O260" i="1"/>
  <c r="P236" i="1"/>
  <c r="X236" i="1" s="1"/>
  <c r="AG236" i="1" s="1"/>
  <c r="T444" i="1"/>
  <c r="AB444" i="1" s="1"/>
  <c r="O547" i="1"/>
  <c r="U571" i="1"/>
  <c r="Q420" i="1"/>
  <c r="P542" i="1"/>
  <c r="S384" i="1"/>
  <c r="R517" i="1"/>
  <c r="Z517" i="1" s="1"/>
  <c r="O587" i="1"/>
  <c r="S147" i="1"/>
  <c r="T472" i="1"/>
  <c r="AB472" i="1" s="1"/>
  <c r="U526" i="1"/>
  <c r="T132" i="1"/>
  <c r="AB132" i="1" s="1"/>
  <c r="O423" i="1"/>
  <c r="P383" i="1"/>
  <c r="Q223" i="1"/>
  <c r="U91" i="1"/>
  <c r="R338" i="1"/>
  <c r="Z338" i="1" s="1"/>
  <c r="Q516" i="1"/>
  <c r="P216" i="1"/>
  <c r="P275" i="1"/>
  <c r="U291" i="1"/>
  <c r="AC291" i="1" s="1"/>
  <c r="AL291" i="1" s="1"/>
  <c r="T542" i="1"/>
  <c r="AB542" i="1" s="1"/>
  <c r="Q645" i="1"/>
  <c r="S348" i="1"/>
  <c r="O172" i="1"/>
  <c r="O207" i="1"/>
  <c r="O263" i="1"/>
  <c r="W263" i="1" s="1"/>
  <c r="AF263" i="1" s="1"/>
  <c r="P470" i="1"/>
  <c r="Q599" i="1"/>
  <c r="P119" i="1"/>
  <c r="Q322" i="1"/>
  <c r="S466" i="1"/>
  <c r="U141" i="1"/>
  <c r="U392" i="1"/>
  <c r="R86" i="1"/>
  <c r="Z86" i="1" s="1"/>
  <c r="O629" i="1"/>
  <c r="W629" i="1" s="1"/>
  <c r="AF629" i="1" s="1"/>
  <c r="O461" i="1"/>
  <c r="U161" i="1"/>
  <c r="U158" i="1"/>
  <c r="R472" i="1"/>
  <c r="T114" i="1"/>
  <c r="AB114" i="1" s="1"/>
  <c r="O163" i="1"/>
  <c r="W163" i="1" s="1"/>
  <c r="AF163" i="1" s="1"/>
  <c r="T91" i="1"/>
  <c r="AB91" i="1" s="1"/>
  <c r="O376" i="1"/>
  <c r="T549" i="1"/>
  <c r="AB549" i="1" s="1"/>
  <c r="O448" i="1"/>
  <c r="O282" i="1"/>
  <c r="Q418" i="1"/>
  <c r="T374" i="1"/>
  <c r="AB374" i="1" s="1"/>
  <c r="P121" i="1"/>
  <c r="R194" i="1"/>
  <c r="Z194" i="1" s="1"/>
  <c r="R262" i="1"/>
  <c r="Z262" i="1" s="1"/>
  <c r="O535" i="1"/>
  <c r="W535" i="1" s="1"/>
  <c r="AF535" i="1" s="1"/>
  <c r="T435" i="1"/>
  <c r="AB435" i="1" s="1"/>
  <c r="Q489" i="1"/>
  <c r="R237" i="1"/>
  <c r="Z237" i="1" s="1"/>
  <c r="R418" i="1"/>
  <c r="Z418" i="1" s="1"/>
  <c r="Q240" i="1"/>
  <c r="U249" i="1"/>
  <c r="U348" i="1"/>
  <c r="AC348" i="1" s="1"/>
  <c r="AL348" i="1" s="1"/>
  <c r="T339" i="1"/>
  <c r="AB339" i="1" s="1"/>
  <c r="T175" i="1"/>
  <c r="AB175" i="1" s="1"/>
  <c r="T212" i="1"/>
  <c r="AB212" i="1" s="1"/>
  <c r="R391" i="1"/>
  <c r="Z391" i="1" s="1"/>
  <c r="R318" i="1"/>
  <c r="Z318" i="1" s="1"/>
  <c r="O542" i="1"/>
  <c r="O484" i="1"/>
  <c r="S613" i="1"/>
  <c r="T178" i="1"/>
  <c r="AB178" i="1" s="1"/>
  <c r="Q217" i="1"/>
  <c r="O85" i="1"/>
  <c r="S482" i="1"/>
  <c r="P247" i="1"/>
  <c r="U224" i="1"/>
  <c r="R386" i="1"/>
  <c r="Z386" i="1" s="1"/>
  <c r="U518" i="1"/>
  <c r="T536" i="1"/>
  <c r="AB536" i="1" s="1"/>
  <c r="R250" i="1"/>
  <c r="Z250" i="1" s="1"/>
  <c r="T89" i="1"/>
  <c r="AB89" i="1" s="1"/>
  <c r="AS735" i="1"/>
  <c r="AS671" i="1"/>
  <c r="AS679" i="1"/>
  <c r="AS687" i="1"/>
  <c r="AS717" i="1"/>
  <c r="AS725" i="1"/>
  <c r="AS683" i="1"/>
  <c r="AS697" i="1"/>
  <c r="AS733" i="1"/>
  <c r="AS675" i="1"/>
  <c r="AS685" i="1"/>
  <c r="AS689" i="1"/>
  <c r="AS700" i="1"/>
  <c r="AS706" i="1"/>
  <c r="AS667" i="1"/>
  <c r="AS669" i="1"/>
  <c r="AS677" i="1"/>
  <c r="AS681" i="1"/>
  <c r="AS715" i="1"/>
  <c r="AS673" i="1"/>
  <c r="AS702" i="1"/>
  <c r="AS723" i="1"/>
  <c r="AS692" i="1"/>
  <c r="AS910" i="1"/>
  <c r="AS951" i="1"/>
  <c r="AS973" i="1"/>
  <c r="AS957" i="1"/>
  <c r="AS936" i="1"/>
  <c r="AS868" i="1"/>
  <c r="AS846" i="1"/>
  <c r="AS691" i="1"/>
  <c r="AS969" i="1"/>
  <c r="AS924" i="1"/>
  <c r="AS894" i="1"/>
  <c r="AS870" i="1"/>
  <c r="AS892" i="1"/>
  <c r="AS920" i="1"/>
  <c r="AS888" i="1"/>
  <c r="AS856" i="1"/>
  <c r="AS938" i="1"/>
  <c r="AS922" i="1"/>
  <c r="AS890" i="1"/>
  <c r="AS858" i="1"/>
  <c r="AS707" i="1"/>
  <c r="AS931" i="1"/>
  <c r="AS915" i="1"/>
  <c r="AS907" i="1"/>
  <c r="AS899" i="1"/>
  <c r="AS891" i="1"/>
  <c r="AS883" i="1"/>
  <c r="AS875" i="1"/>
  <c r="AS867" i="1"/>
  <c r="AS843" i="1"/>
  <c r="AS788" i="1"/>
  <c r="AS780" i="1"/>
  <c r="AS772" i="1"/>
  <c r="AS764" i="1"/>
  <c r="AS756" i="1"/>
  <c r="AS748" i="1"/>
  <c r="AS740" i="1"/>
  <c r="AS732" i="1"/>
  <c r="AS724" i="1"/>
  <c r="AS708" i="1"/>
  <c r="AS834" i="1"/>
  <c r="AS830" i="1"/>
  <c r="AS826" i="1"/>
  <c r="AS720" i="1"/>
  <c r="AS696" i="1"/>
  <c r="AS975" i="1"/>
  <c r="AS967" i="1"/>
  <c r="AS959" i="1"/>
  <c r="AS961" i="1"/>
  <c r="AS900" i="1"/>
  <c r="AS884" i="1"/>
  <c r="AS918" i="1"/>
  <c r="AS854" i="1"/>
  <c r="AS876" i="1"/>
  <c r="AS912" i="1"/>
  <c r="AS880" i="1"/>
  <c r="AS848" i="1"/>
  <c r="AS934" i="1"/>
  <c r="AS914" i="1"/>
  <c r="AS882" i="1"/>
  <c r="AS850" i="1"/>
  <c r="AS937" i="1"/>
  <c r="AS929" i="1"/>
  <c r="AS921" i="1"/>
  <c r="AS913" i="1"/>
  <c r="AS905" i="1"/>
  <c r="AS897" i="1"/>
  <c r="AS889" i="1"/>
  <c r="AS881" i="1"/>
  <c r="AS873" i="1"/>
  <c r="AS849" i="1"/>
  <c r="AS841" i="1"/>
  <c r="AS786" i="1"/>
  <c r="AS778" i="1"/>
  <c r="AS770" i="1"/>
  <c r="AS754" i="1"/>
  <c r="AS746" i="1"/>
  <c r="AS738" i="1"/>
  <c r="AS730" i="1"/>
  <c r="AS722" i="1"/>
  <c r="AS694" i="1"/>
  <c r="AS833" i="1"/>
  <c r="AS825" i="1"/>
  <c r="AS821" i="1"/>
  <c r="AS712" i="1"/>
  <c r="AS695" i="1"/>
  <c r="AN1135" i="1"/>
  <c r="AC1135" i="1"/>
  <c r="AL1135" i="1" s="1"/>
  <c r="AW1135" i="1" s="1"/>
  <c r="AS1132" i="1"/>
  <c r="AO1132" i="1"/>
  <c r="AP1132" i="1" s="1"/>
  <c r="AQ1132" i="1" s="1"/>
  <c r="AR1132" i="1" s="1"/>
  <c r="AN1127" i="1"/>
  <c r="AC1127" i="1"/>
  <c r="AL1127" i="1" s="1"/>
  <c r="AW1127" i="1" s="1"/>
  <c r="AN1119" i="1"/>
  <c r="AC1119" i="1"/>
  <c r="AL1119" i="1" s="1"/>
  <c r="AW1119" i="1" s="1"/>
  <c r="AN1111" i="1"/>
  <c r="AC1111" i="1"/>
  <c r="AL1111" i="1"/>
  <c r="AW1111" i="1" s="1"/>
  <c r="AX1111" i="1" s="1"/>
  <c r="AY1111" i="1" s="1"/>
  <c r="AZ1111" i="1" s="1"/>
  <c r="BA1111" i="1" s="1"/>
  <c r="AN1103" i="1"/>
  <c r="AS1103" i="1" s="1"/>
  <c r="AC1103" i="1"/>
  <c r="AL1103" i="1" s="1"/>
  <c r="AW1103" i="1" s="1"/>
  <c r="AO1100" i="1"/>
  <c r="AP1100" i="1" s="1"/>
  <c r="AQ1100" i="1" s="1"/>
  <c r="AR1100" i="1" s="1"/>
  <c r="AS1100" i="1"/>
  <c r="AN1095" i="1"/>
  <c r="AS1095" i="1" s="1"/>
  <c r="AC1095" i="1"/>
  <c r="AL1095" i="1" s="1"/>
  <c r="AW1095" i="1" s="1"/>
  <c r="AN1081" i="1"/>
  <c r="AC1081" i="1"/>
  <c r="AL1081" i="1" s="1"/>
  <c r="AW1081" i="1" s="1"/>
  <c r="AN1065" i="1"/>
  <c r="AO1065" i="1" s="1"/>
  <c r="AP1065" i="1" s="1"/>
  <c r="AQ1065" i="1" s="1"/>
  <c r="AR1065" i="1" s="1"/>
  <c r="AC1065" i="1"/>
  <c r="AL1065" i="1" s="1"/>
  <c r="AW1065" i="1" s="1"/>
  <c r="AN1049" i="1"/>
  <c r="AC1049" i="1"/>
  <c r="AL1049" i="1"/>
  <c r="AW1049" i="1" s="1"/>
  <c r="AX1049" i="1" s="1"/>
  <c r="AY1049" i="1" s="1"/>
  <c r="AZ1049" i="1" s="1"/>
  <c r="BA1049" i="1" s="1"/>
  <c r="AC1028" i="1"/>
  <c r="AL1028" i="1" s="1"/>
  <c r="AW1028" i="1" s="1"/>
  <c r="AN1009" i="1"/>
  <c r="AC1009" i="1"/>
  <c r="AL1009" i="1" s="1"/>
  <c r="AW1009" i="1" s="1"/>
  <c r="AN993" i="1"/>
  <c r="AC993" i="1"/>
  <c r="AL993" i="1" s="1"/>
  <c r="AW993" i="1" s="1"/>
  <c r="BB993" i="1" s="1"/>
  <c r="AW683" i="1"/>
  <c r="AO1161" i="1"/>
  <c r="AP1161" i="1" s="1"/>
  <c r="AQ1161" i="1" s="1"/>
  <c r="AR1161" i="1" s="1"/>
  <c r="AS1161" i="1"/>
  <c r="T652" i="1"/>
  <c r="AB652" i="1" s="1"/>
  <c r="S343" i="1"/>
  <c r="P186" i="1"/>
  <c r="Q372" i="1"/>
  <c r="Y372" i="1" s="1"/>
  <c r="AH372" i="1" s="1"/>
  <c r="Q190" i="1"/>
  <c r="P479" i="1"/>
  <c r="Q175" i="1"/>
  <c r="O408" i="1"/>
  <c r="P211" i="1"/>
  <c r="T449" i="1"/>
  <c r="AB449" i="1" s="1"/>
  <c r="R322" i="1"/>
  <c r="Z322" i="1" s="1"/>
  <c r="S418" i="1"/>
  <c r="U594" i="1"/>
  <c r="Q302" i="1"/>
  <c r="Q186" i="1"/>
  <c r="T144" i="1"/>
  <c r="AB144" i="1" s="1"/>
  <c r="Q501" i="1"/>
  <c r="P113" i="1"/>
  <c r="O606" i="1"/>
  <c r="P659" i="1"/>
  <c r="O601" i="1"/>
  <c r="S530" i="1"/>
  <c r="R613" i="1"/>
  <c r="Z613" i="1" s="1"/>
  <c r="O654" i="1"/>
  <c r="W654" i="1" s="1"/>
  <c r="AF654" i="1" s="1"/>
  <c r="Q201" i="1"/>
  <c r="R269" i="1"/>
  <c r="Z269" i="1" s="1"/>
  <c r="R104" i="1"/>
  <c r="Z104" i="1" s="1"/>
  <c r="O238" i="1"/>
  <c r="P589" i="1"/>
  <c r="O120" i="1"/>
  <c r="Q481" i="1"/>
  <c r="O501" i="1"/>
  <c r="W501" i="1" s="1"/>
  <c r="AF501" i="1" s="1"/>
  <c r="S574" i="1"/>
  <c r="S440" i="1"/>
  <c r="Q395" i="1"/>
  <c r="R256" i="1"/>
  <c r="Z256" i="1" s="1"/>
  <c r="R409" i="1"/>
  <c r="Z409" i="1" s="1"/>
  <c r="O594" i="1"/>
  <c r="W594" i="1" s="1"/>
  <c r="AF594" i="1" s="1"/>
  <c r="Q303" i="1"/>
  <c r="Q304" i="1"/>
  <c r="U241" i="1"/>
  <c r="Q455" i="1"/>
  <c r="U427" i="1"/>
  <c r="S467" i="1"/>
  <c r="R562" i="1"/>
  <c r="Z562" i="1" s="1"/>
  <c r="U193" i="1"/>
  <c r="AN193" i="1" s="1"/>
  <c r="AO193" i="1" s="1"/>
  <c r="R621" i="1"/>
  <c r="Z621" i="1" s="1"/>
  <c r="Q333" i="1"/>
  <c r="U231" i="1"/>
  <c r="T399" i="1"/>
  <c r="T523" i="1"/>
  <c r="AB523" i="1" s="1"/>
  <c r="Q657" i="1"/>
  <c r="O537" i="1"/>
  <c r="W537" i="1" s="1"/>
  <c r="AF537" i="1" s="1"/>
  <c r="U233" i="1"/>
  <c r="R133" i="1"/>
  <c r="Z133" i="1" s="1"/>
  <c r="AI133" i="1" s="1"/>
  <c r="T612" i="1"/>
  <c r="AB612" i="1" s="1"/>
  <c r="U226" i="1"/>
  <c r="T330" i="1"/>
  <c r="AB330" i="1" s="1"/>
  <c r="Q323" i="1"/>
  <c r="T131" i="1"/>
  <c r="AB131" i="1" s="1"/>
  <c r="T437" i="1"/>
  <c r="AB437" i="1" s="1"/>
  <c r="T184" i="1"/>
  <c r="AB184" i="1" s="1"/>
  <c r="Q150" i="1"/>
  <c r="P503" i="1"/>
  <c r="O596" i="1"/>
  <c r="W596" i="1" s="1"/>
  <c r="AF596" i="1" s="1"/>
  <c r="O178" i="1"/>
  <c r="P630" i="1"/>
  <c r="T463" i="1"/>
  <c r="AB463" i="1" s="1"/>
  <c r="P489" i="1"/>
  <c r="U508" i="1"/>
  <c r="S317" i="1"/>
  <c r="O540" i="1"/>
  <c r="T532" i="1"/>
  <c r="AB532" i="1" s="1"/>
  <c r="U192" i="1"/>
  <c r="Q380" i="1"/>
  <c r="U614" i="1"/>
  <c r="O660" i="1"/>
  <c r="W660" i="1" s="1"/>
  <c r="AF660" i="1" s="1"/>
  <c r="O145" i="1"/>
  <c r="U337" i="1"/>
  <c r="P579" i="1"/>
  <c r="Q522" i="1"/>
  <c r="Q397" i="1"/>
  <c r="U132" i="1"/>
  <c r="P103" i="1"/>
  <c r="Q608" i="1"/>
  <c r="T608" i="1"/>
  <c r="AB608" i="1" s="1"/>
  <c r="S229" i="1"/>
  <c r="R401" i="1"/>
  <c r="Z401" i="1" s="1"/>
  <c r="S589" i="1"/>
  <c r="U286" i="1"/>
  <c r="O503" i="1"/>
  <c r="P333" i="1"/>
  <c r="U407" i="1"/>
  <c r="Q527" i="1"/>
  <c r="Y527" i="1" s="1"/>
  <c r="AH527" i="1" s="1"/>
  <c r="U496" i="1"/>
  <c r="U355" i="1"/>
  <c r="U90" i="1"/>
  <c r="U398" i="1"/>
  <c r="T149" i="1"/>
  <c r="AB149" i="1" s="1"/>
  <c r="S322" i="1"/>
  <c r="R446" i="1"/>
  <c r="Z446" i="1" s="1"/>
  <c r="T378" i="1"/>
  <c r="AB378" i="1" s="1"/>
  <c r="R500" i="1"/>
  <c r="Z500" i="1" s="1"/>
  <c r="O364" i="1"/>
  <c r="O316" i="1"/>
  <c r="W316" i="1" s="1"/>
  <c r="AF316" i="1" s="1"/>
  <c r="S536" i="1"/>
  <c r="O349" i="1"/>
  <c r="W349" i="1" s="1"/>
  <c r="AF349" i="1" s="1"/>
  <c r="Q145" i="1"/>
  <c r="R339" i="1"/>
  <c r="Z339" i="1" s="1"/>
  <c r="U586" i="1"/>
  <c r="Q345" i="1"/>
  <c r="R89" i="1"/>
  <c r="Z89" i="1" s="1"/>
  <c r="S122" i="1"/>
  <c r="T332" i="1"/>
  <c r="AB332" i="1" s="1"/>
  <c r="P622" i="1"/>
  <c r="R525" i="1"/>
  <c r="Z525" i="1" s="1"/>
  <c r="T440" i="1"/>
  <c r="AB440" i="1" s="1"/>
  <c r="O344" i="1"/>
  <c r="AI344" i="1" s="1"/>
  <c r="R82" i="1"/>
  <c r="Z82" i="1" s="1"/>
  <c r="R261" i="1"/>
  <c r="Z261" i="1" s="1"/>
  <c r="AI261" i="1" s="1"/>
  <c r="S225" i="1"/>
  <c r="S585" i="1"/>
  <c r="O462" i="1"/>
  <c r="O176" i="1"/>
  <c r="O570" i="1"/>
  <c r="O619" i="1"/>
  <c r="Q151" i="1"/>
  <c r="Q554" i="1"/>
  <c r="T340" i="1"/>
  <c r="AB340" i="1" s="1"/>
  <c r="S552" i="1"/>
  <c r="T603" i="1"/>
  <c r="AB603" i="1" s="1"/>
  <c r="U382" i="1"/>
  <c r="R128" i="1"/>
  <c r="Z128" i="1" s="1"/>
  <c r="O102" i="1"/>
  <c r="T459" i="1"/>
  <c r="AB459" i="1" s="1"/>
  <c r="P423" i="1"/>
  <c r="Q544" i="1"/>
  <c r="S607" i="1"/>
  <c r="R103" i="1"/>
  <c r="Z103" i="1" s="1"/>
  <c r="S284" i="1"/>
  <c r="O577" i="1"/>
  <c r="S637" i="1"/>
  <c r="P190" i="1"/>
  <c r="R563" i="1"/>
  <c r="Z563" i="1" s="1"/>
  <c r="R616" i="1"/>
  <c r="Z616" i="1" s="1"/>
  <c r="U529" i="1"/>
  <c r="T371" i="1"/>
  <c r="AB371" i="1" s="1"/>
  <c r="P215" i="1"/>
  <c r="Q618" i="1"/>
  <c r="S114" i="1"/>
  <c r="T343" i="1"/>
  <c r="AB343" i="1" s="1"/>
  <c r="R405" i="1"/>
  <c r="Z405" i="1" s="1"/>
  <c r="P145" i="1"/>
  <c r="Q384" i="1"/>
  <c r="Q348" i="1"/>
  <c r="T656" i="1"/>
  <c r="AB656" i="1" s="1"/>
  <c r="S160" i="1"/>
  <c r="U531" i="1"/>
  <c r="Q480" i="1"/>
  <c r="U426" i="1"/>
  <c r="S644" i="1"/>
  <c r="Q288" i="1"/>
  <c r="P255" i="1"/>
  <c r="T246" i="1"/>
  <c r="AB246" i="1" s="1"/>
  <c r="P563" i="1"/>
  <c r="O649" i="1"/>
  <c r="S617" i="1"/>
  <c r="U111" i="1"/>
  <c r="R546" i="1"/>
  <c r="Z546" i="1" s="1"/>
  <c r="R427" i="1"/>
  <c r="Z427" i="1" s="1"/>
  <c r="U470" i="1"/>
  <c r="U187" i="1"/>
  <c r="AC187" i="1" s="1"/>
  <c r="AL187" i="1" s="1"/>
  <c r="R290" i="1"/>
  <c r="Z290" i="1" s="1"/>
  <c r="O93" i="1"/>
  <c r="W93" i="1" s="1"/>
  <c r="AF93" i="1" s="1"/>
  <c r="U131" i="1"/>
  <c r="AN131" i="1" s="1"/>
  <c r="U643" i="1"/>
  <c r="P322" i="1"/>
  <c r="Q366" i="1"/>
  <c r="P118" i="1"/>
  <c r="R366" i="1"/>
  <c r="Z366" i="1" s="1"/>
  <c r="U258" i="1"/>
  <c r="O321" i="1"/>
  <c r="P620" i="1"/>
  <c r="S412" i="1"/>
  <c r="P399" i="1"/>
  <c r="Q468" i="1"/>
  <c r="U238" i="1"/>
  <c r="Q508" i="1"/>
  <c r="P541" i="1"/>
  <c r="T493" i="1"/>
  <c r="AB493" i="1" s="1"/>
  <c r="O334" i="1"/>
  <c r="R112" i="1"/>
  <c r="Z112" i="1" s="1"/>
  <c r="S163" i="1"/>
  <c r="P432" i="1"/>
  <c r="Q247" i="1"/>
  <c r="P442" i="1"/>
  <c r="Q94" i="1"/>
  <c r="O345" i="1"/>
  <c r="W345" i="1" s="1"/>
  <c r="AF345" i="1" s="1"/>
  <c r="U663" i="1"/>
  <c r="T230" i="1"/>
  <c r="AB230" i="1" s="1"/>
  <c r="Q290" i="1"/>
  <c r="O656" i="1"/>
  <c r="T277" i="1"/>
  <c r="AB277" i="1" s="1"/>
  <c r="U244" i="1"/>
  <c r="AC244" i="1" s="1"/>
  <c r="AL244" i="1" s="1"/>
  <c r="U539" i="1"/>
  <c r="P657" i="1"/>
  <c r="Q376" i="1"/>
  <c r="T584" i="1"/>
  <c r="AB584" i="1" s="1"/>
  <c r="O541" i="1"/>
  <c r="X541" i="1" s="1"/>
  <c r="AG541" i="1" s="1"/>
  <c r="T118" i="1"/>
  <c r="AB118" i="1" s="1"/>
  <c r="R597" i="1"/>
  <c r="Z597" i="1" s="1"/>
  <c r="P97" i="1"/>
  <c r="R95" i="1"/>
  <c r="Z95" i="1" s="1"/>
  <c r="O578" i="1"/>
  <c r="W578" i="1" s="1"/>
  <c r="AF578" i="1" s="1"/>
  <c r="T297" i="1"/>
  <c r="AB297" i="1" s="1"/>
  <c r="U493" i="1"/>
  <c r="O443" i="1"/>
  <c r="R632" i="1"/>
  <c r="Z632" i="1" s="1"/>
  <c r="Q305" i="1"/>
  <c r="T148" i="1"/>
  <c r="AB148" i="1" s="1"/>
  <c r="Q557" i="1"/>
  <c r="T596" i="1"/>
  <c r="AB596" i="1" s="1"/>
  <c r="O585" i="1"/>
  <c r="P302" i="1"/>
  <c r="Q629" i="1"/>
  <c r="S450" i="1"/>
  <c r="U194" i="1"/>
  <c r="T309" i="1"/>
  <c r="AB309" i="1" s="1"/>
  <c r="U262" i="1"/>
  <c r="Q407" i="1"/>
  <c r="S577" i="1"/>
  <c r="T499" i="1"/>
  <c r="AB499" i="1" s="1"/>
  <c r="Q535" i="1"/>
  <c r="P420" i="1"/>
  <c r="P546" i="1"/>
  <c r="U234" i="1"/>
  <c r="U112" i="1"/>
  <c r="P135" i="1"/>
  <c r="U542" i="1"/>
  <c r="Q575" i="1"/>
  <c r="R416" i="1"/>
  <c r="Z416" i="1" s="1"/>
  <c r="Q464" i="1"/>
  <c r="S634" i="1"/>
  <c r="U623" i="1"/>
  <c r="R84" i="1"/>
  <c r="Z84" i="1" s="1"/>
  <c r="O377" i="1"/>
  <c r="W377" i="1" s="1"/>
  <c r="AF377" i="1" s="1"/>
  <c r="R315" i="1"/>
  <c r="Z315" i="1" s="1"/>
  <c r="T506" i="1"/>
  <c r="AB506" i="1" s="1"/>
  <c r="O232" i="1"/>
  <c r="W232" i="1" s="1"/>
  <c r="AF232" i="1" s="1"/>
  <c r="P532" i="1"/>
  <c r="Q625" i="1"/>
  <c r="P86" i="1"/>
  <c r="X86" i="1" s="1"/>
  <c r="AG86" i="1" s="1"/>
  <c r="U228" i="1"/>
  <c r="U444" i="1"/>
  <c r="U598" i="1"/>
  <c r="R319" i="1"/>
  <c r="Z319" i="1" s="1"/>
  <c r="P414" i="1"/>
  <c r="O661" i="1"/>
  <c r="P377" i="1"/>
  <c r="O490" i="1"/>
  <c r="S622" i="1"/>
  <c r="T546" i="1"/>
  <c r="AB546" i="1" s="1"/>
  <c r="P486" i="1"/>
  <c r="P482" i="1"/>
  <c r="S368" i="1"/>
  <c r="U354" i="1"/>
  <c r="R607" i="1"/>
  <c r="Z607" i="1" s="1"/>
  <c r="Q276" i="1"/>
  <c r="O659" i="1"/>
  <c r="O507" i="1"/>
  <c r="W507" i="1" s="1"/>
  <c r="AF507" i="1" s="1"/>
  <c r="P515" i="1"/>
  <c r="S305" i="1"/>
  <c r="R195" i="1"/>
  <c r="Z195" i="1" s="1"/>
  <c r="R320" i="1"/>
  <c r="Z320" i="1" s="1"/>
  <c r="O582" i="1"/>
  <c r="P360" i="1"/>
  <c r="T579" i="1"/>
  <c r="AB579" i="1" s="1"/>
  <c r="O89" i="1"/>
  <c r="O439" i="1"/>
  <c r="W439" i="1" s="1"/>
  <c r="AF439" i="1" s="1"/>
  <c r="T458" i="1"/>
  <c r="AB458" i="1" s="1"/>
  <c r="Q600" i="1"/>
  <c r="S268" i="1"/>
  <c r="Q602" i="1"/>
  <c r="O607" i="1"/>
  <c r="Y607" i="1" s="1"/>
  <c r="AH607" i="1" s="1"/>
  <c r="Q377" i="1"/>
  <c r="P496" i="1"/>
  <c r="U243" i="1"/>
  <c r="P194" i="1"/>
  <c r="R626" i="1"/>
  <c r="Z626" i="1" s="1"/>
  <c r="Q234" i="1"/>
  <c r="U252" i="1"/>
  <c r="S573" i="1"/>
  <c r="P299" i="1"/>
  <c r="R433" i="1"/>
  <c r="Z433" i="1" s="1"/>
  <c r="R99" i="1"/>
  <c r="Z99" i="1" s="1"/>
  <c r="U304" i="1"/>
  <c r="P557" i="1"/>
  <c r="R569" i="1"/>
  <c r="Z569" i="1" s="1"/>
  <c r="T377" i="1"/>
  <c r="AB377" i="1" s="1"/>
  <c r="S352" i="1"/>
  <c r="S438" i="1"/>
  <c r="O398" i="1"/>
  <c r="P500" i="1"/>
  <c r="P504" i="1"/>
  <c r="S90" i="1"/>
  <c r="AN90" i="1" s="1"/>
  <c r="AO90" i="1" s="1"/>
  <c r="O215" i="1"/>
  <c r="W215" i="1" s="1"/>
  <c r="AF215" i="1" s="1"/>
  <c r="P427" i="1"/>
  <c r="O502" i="1"/>
  <c r="Q292" i="1"/>
  <c r="R323" i="1"/>
  <c r="Z323" i="1" s="1"/>
  <c r="O97" i="1"/>
  <c r="U491" i="1"/>
  <c r="P488" i="1"/>
  <c r="R589" i="1"/>
  <c r="Z589" i="1" s="1"/>
  <c r="P256" i="1"/>
  <c r="U199" i="1"/>
  <c r="P666" i="1"/>
  <c r="O325" i="1"/>
  <c r="Q338" i="1"/>
  <c r="R264" i="1"/>
  <c r="Z264" i="1" s="1"/>
  <c r="T578" i="1"/>
  <c r="AB578" i="1" s="1"/>
  <c r="O497" i="1"/>
  <c r="W497" i="1" s="1"/>
  <c r="AF497" i="1" s="1"/>
  <c r="O223" i="1"/>
  <c r="O310" i="1"/>
  <c r="W310" i="1" s="1"/>
  <c r="AF310" i="1" s="1"/>
  <c r="Q623" i="1"/>
  <c r="P120" i="1"/>
  <c r="R105" i="1"/>
  <c r="Z105" i="1" s="1"/>
  <c r="S226" i="1"/>
  <c r="U186" i="1"/>
  <c r="P258" i="1"/>
  <c r="P566" i="1"/>
  <c r="T325" i="1"/>
  <c r="AB325" i="1" s="1"/>
  <c r="P567" i="1"/>
  <c r="R617" i="1"/>
  <c r="Z617" i="1" s="1"/>
  <c r="R189" i="1"/>
  <c r="Z189" i="1" s="1"/>
  <c r="O472" i="1"/>
  <c r="W472" i="1" s="1"/>
  <c r="AF472" i="1" s="1"/>
  <c r="O254" i="1"/>
  <c r="T151" i="1"/>
  <c r="AB151" i="1" s="1"/>
  <c r="S506" i="1"/>
  <c r="U413" i="1"/>
  <c r="R100" i="1"/>
  <c r="Z100" i="1" s="1"/>
  <c r="Q577" i="1"/>
  <c r="U290" i="1"/>
  <c r="R578" i="1"/>
  <c r="Z578" i="1" s="1"/>
  <c r="P272" i="1"/>
  <c r="O512" i="1"/>
  <c r="W512" i="1" s="1"/>
  <c r="AF512" i="1" s="1"/>
  <c r="O224" i="1"/>
  <c r="U556" i="1"/>
  <c r="R281" i="1"/>
  <c r="Z281" i="1" s="1"/>
  <c r="U336" i="1"/>
  <c r="Q244" i="1"/>
  <c r="U448" i="1"/>
  <c r="P345" i="1"/>
  <c r="S579" i="1"/>
  <c r="U172" i="1"/>
  <c r="S532" i="1"/>
  <c r="U415" i="1"/>
  <c r="T425" i="1"/>
  <c r="AB425" i="1" s="1"/>
  <c r="O650" i="1"/>
  <c r="U317" i="1"/>
  <c r="O173" i="1"/>
  <c r="S171" i="1"/>
  <c r="R369" i="1"/>
  <c r="Z369" i="1" s="1"/>
  <c r="Q119" i="1"/>
  <c r="O347" i="1"/>
  <c r="W347" i="1" s="1"/>
  <c r="AF347" i="1" s="1"/>
  <c r="Q368" i="1"/>
  <c r="P528" i="1"/>
  <c r="T613" i="1"/>
  <c r="AB613" i="1" s="1"/>
  <c r="S127" i="1"/>
  <c r="P598" i="1"/>
  <c r="T520" i="1"/>
  <c r="AB520" i="1" s="1"/>
  <c r="P569" i="1"/>
  <c r="T382" i="1"/>
  <c r="AB382" i="1" s="1"/>
  <c r="U321" i="1"/>
  <c r="U555" i="1"/>
  <c r="O454" i="1"/>
  <c r="W454" i="1" s="1"/>
  <c r="AF454" i="1" s="1"/>
  <c r="Q394" i="1"/>
  <c r="U388" i="1"/>
  <c r="T283" i="1"/>
  <c r="AB283" i="1" s="1"/>
  <c r="O201" i="1"/>
  <c r="W201" i="1" s="1"/>
  <c r="AF201" i="1" s="1"/>
  <c r="P491" i="1"/>
  <c r="O521" i="1"/>
  <c r="W521" i="1" s="1"/>
  <c r="AF521" i="1" s="1"/>
  <c r="T426" i="1"/>
  <c r="AB426" i="1" s="1"/>
  <c r="P628" i="1"/>
  <c r="X628" i="1" s="1"/>
  <c r="AG628" i="1" s="1"/>
  <c r="U476" i="1"/>
  <c r="U375" i="1"/>
  <c r="P213" i="1"/>
  <c r="R448" i="1"/>
  <c r="Z448" i="1" s="1"/>
  <c r="Q214" i="1"/>
  <c r="U498" i="1"/>
  <c r="O262" i="1"/>
  <c r="P111" i="1"/>
  <c r="R139" i="1"/>
  <c r="Z139" i="1" s="1"/>
  <c r="R596" i="1"/>
  <c r="Z596" i="1" s="1"/>
  <c r="T402" i="1"/>
  <c r="AB402" i="1" s="1"/>
  <c r="Q326" i="1"/>
  <c r="O363" i="1"/>
  <c r="W363" i="1" s="1"/>
  <c r="AF363" i="1" s="1"/>
  <c r="R266" i="1"/>
  <c r="Z266" i="1" s="1"/>
  <c r="O130" i="1"/>
  <c r="O155" i="1"/>
  <c r="O194" i="1"/>
  <c r="S629" i="1"/>
  <c r="S310" i="1"/>
  <c r="S126" i="1"/>
  <c r="R608" i="1"/>
  <c r="Z608" i="1" s="1"/>
  <c r="R606" i="1"/>
  <c r="Z606" i="1" s="1"/>
  <c r="T107" i="1"/>
  <c r="AB107" i="1" s="1"/>
  <c r="P141" i="1"/>
  <c r="Q450" i="1"/>
  <c r="O385" i="1"/>
  <c r="W385" i="1" s="1"/>
  <c r="AF385" i="1" s="1"/>
  <c r="U662" i="1"/>
  <c r="R536" i="1"/>
  <c r="Z536" i="1" s="1"/>
  <c r="R165" i="1"/>
  <c r="Z165" i="1" s="1"/>
  <c r="S227" i="1"/>
  <c r="R537" i="1"/>
  <c r="Z537" i="1" s="1"/>
  <c r="P389" i="1"/>
  <c r="O475" i="1"/>
  <c r="W475" i="1" s="1"/>
  <c r="AF475" i="1" s="1"/>
  <c r="R414" i="1"/>
  <c r="Z414" i="1" s="1"/>
  <c r="AI414" i="1" s="1"/>
  <c r="P164" i="1"/>
  <c r="U467" i="1"/>
  <c r="Q360" i="1"/>
  <c r="R396" i="1"/>
  <c r="Z396" i="1" s="1"/>
  <c r="R502" i="1"/>
  <c r="Z502" i="1" s="1"/>
  <c r="S178" i="1"/>
  <c r="R288" i="1"/>
  <c r="Z288" i="1" s="1"/>
  <c r="O641" i="1"/>
  <c r="T94" i="1"/>
  <c r="AB94" i="1" s="1"/>
  <c r="S382" i="1"/>
  <c r="AN382" i="1" s="1"/>
  <c r="AO382" i="1" s="1"/>
  <c r="T194" i="1"/>
  <c r="AB194" i="1" s="1"/>
  <c r="Q220" i="1"/>
  <c r="O336" i="1"/>
  <c r="S112" i="1"/>
  <c r="T411" i="1"/>
  <c r="AB411" i="1" s="1"/>
  <c r="T282" i="1"/>
  <c r="AB282" i="1" s="1"/>
  <c r="P224" i="1"/>
  <c r="P568" i="1"/>
  <c r="Q138" i="1"/>
  <c r="P210" i="1"/>
  <c r="S463" i="1"/>
  <c r="R501" i="1"/>
  <c r="Z501" i="1" s="1"/>
  <c r="AI501" i="1" s="1"/>
  <c r="T101" i="1"/>
  <c r="AB101" i="1" s="1"/>
  <c r="U103" i="1"/>
  <c r="O148" i="1"/>
  <c r="X148" i="1" s="1"/>
  <c r="AG148" i="1" s="1"/>
  <c r="U179" i="1"/>
  <c r="R303" i="1"/>
  <c r="Z303" i="1" s="1"/>
  <c r="T174" i="1"/>
  <c r="AB174" i="1" s="1"/>
  <c r="O322" i="1"/>
  <c r="U411" i="1"/>
  <c r="S332" i="1"/>
  <c r="T582" i="1"/>
  <c r="AB582" i="1" s="1"/>
  <c r="O478" i="1"/>
  <c r="U401" i="1"/>
  <c r="U640" i="1"/>
  <c r="S243" i="1"/>
  <c r="P409" i="1"/>
  <c r="T150" i="1"/>
  <c r="AB150" i="1" s="1"/>
  <c r="O295" i="1"/>
  <c r="U500" i="1"/>
  <c r="U546" i="1"/>
  <c r="Q277" i="1"/>
  <c r="O617" i="1"/>
  <c r="U582" i="1"/>
  <c r="S85" i="1"/>
  <c r="P616" i="1"/>
  <c r="S203" i="1"/>
  <c r="T298" i="1"/>
  <c r="AB298" i="1" s="1"/>
  <c r="R381" i="1"/>
  <c r="Z381" i="1" s="1"/>
  <c r="Q504" i="1"/>
  <c r="T260" i="1"/>
  <c r="AB260" i="1" s="1"/>
  <c r="O665" i="1"/>
  <c r="S406" i="1"/>
  <c r="S397" i="1"/>
  <c r="P237" i="1"/>
  <c r="S118" i="1"/>
  <c r="R643" i="1"/>
  <c r="Z643" i="1" s="1"/>
  <c r="U654" i="1"/>
  <c r="AC654" i="1" s="1"/>
  <c r="AL654" i="1" s="1"/>
  <c r="P156" i="1"/>
  <c r="P467" i="1"/>
  <c r="S293" i="1"/>
  <c r="S159" i="1"/>
  <c r="T358" i="1"/>
  <c r="AB358" i="1" s="1"/>
  <c r="P543" i="1"/>
  <c r="R234" i="1"/>
  <c r="Z234" i="1" s="1"/>
  <c r="U524" i="1"/>
  <c r="R312" i="1"/>
  <c r="Z312" i="1" s="1"/>
  <c r="U433" i="1"/>
  <c r="T115" i="1"/>
  <c r="AB115" i="1" s="1"/>
  <c r="O179" i="1"/>
  <c r="W179" i="1" s="1"/>
  <c r="AF179" i="1" s="1"/>
  <c r="U591" i="1"/>
  <c r="O257" i="1"/>
  <c r="W257" i="1" s="1"/>
  <c r="AF257" i="1" s="1"/>
  <c r="O136" i="1"/>
  <c r="W136" i="1" s="1"/>
  <c r="AF136" i="1" s="1"/>
  <c r="S172" i="1"/>
  <c r="U599" i="1"/>
  <c r="Q114" i="1"/>
  <c r="S568" i="1"/>
  <c r="U659" i="1"/>
  <c r="Q613" i="1"/>
  <c r="S619" i="1"/>
  <c r="AA619" i="1" s="1"/>
  <c r="AJ619" i="1" s="1"/>
  <c r="S454" i="1"/>
  <c r="R244" i="1"/>
  <c r="Z244" i="1" s="1"/>
  <c r="AI244" i="1" s="1"/>
  <c r="R642" i="1"/>
  <c r="Z642" i="1" s="1"/>
  <c r="U339" i="1"/>
  <c r="T522" i="1"/>
  <c r="AB522" i="1" s="1"/>
  <c r="P574" i="1"/>
  <c r="O313" i="1"/>
  <c r="W313" i="1" s="1"/>
  <c r="AF313" i="1" s="1"/>
  <c r="P225" i="1"/>
  <c r="T156" i="1"/>
  <c r="AB156" i="1" s="1"/>
  <c r="U296" i="1"/>
  <c r="S339" i="1"/>
  <c r="O92" i="1"/>
  <c r="Q336" i="1"/>
  <c r="Y336" i="1" s="1"/>
  <c r="AH336" i="1" s="1"/>
  <c r="Q181" i="1"/>
  <c r="O126" i="1"/>
  <c r="P530" i="1"/>
  <c r="Q206" i="1"/>
  <c r="P303" i="1"/>
  <c r="P330" i="1"/>
  <c r="T100" i="1"/>
  <c r="AB100" i="1" s="1"/>
  <c r="U483" i="1"/>
  <c r="Q136" i="1"/>
  <c r="U489" i="1"/>
  <c r="O510" i="1"/>
  <c r="S148" i="1"/>
  <c r="U165" i="1"/>
  <c r="O386" i="1"/>
  <c r="O608" i="1"/>
  <c r="P484" i="1"/>
  <c r="Q437" i="1"/>
  <c r="O269" i="1"/>
  <c r="W269" i="1" s="1"/>
  <c r="AF269" i="1" s="1"/>
  <c r="O576" i="1"/>
  <c r="R506" i="1"/>
  <c r="Z506" i="1" s="1"/>
  <c r="Q137" i="1"/>
  <c r="R451" i="1"/>
  <c r="Z451" i="1" s="1"/>
  <c r="P648" i="1"/>
  <c r="T137" i="1"/>
  <c r="AB137" i="1" s="1"/>
  <c r="Q341" i="1"/>
  <c r="T525" i="1"/>
  <c r="AB525" i="1" s="1"/>
  <c r="Q257" i="1"/>
  <c r="Q580" i="1"/>
  <c r="O465" i="1"/>
  <c r="W465" i="1" s="1"/>
  <c r="AF465" i="1" s="1"/>
  <c r="T623" i="1"/>
  <c r="AB623" i="1" s="1"/>
  <c r="O419" i="1"/>
  <c r="T275" i="1"/>
  <c r="AB275" i="1" s="1"/>
  <c r="U419" i="1"/>
  <c r="P514" i="1"/>
  <c r="P551" i="1"/>
  <c r="P534" i="1"/>
  <c r="U646" i="1"/>
  <c r="S337" i="1"/>
  <c r="O621" i="1"/>
  <c r="P480" i="1"/>
  <c r="S201" i="1"/>
  <c r="O563" i="1"/>
  <c r="Q542" i="1"/>
  <c r="O193" i="1"/>
  <c r="P253" i="1"/>
  <c r="R430" i="1"/>
  <c r="Z430" i="1" s="1"/>
  <c r="R453" i="1"/>
  <c r="Z453" i="1" s="1"/>
  <c r="O121" i="1"/>
  <c r="S460" i="1"/>
  <c r="U620" i="1"/>
  <c r="O534" i="1"/>
  <c r="P386" i="1"/>
  <c r="R220" i="1"/>
  <c r="Z220" i="1" s="1"/>
  <c r="Q467" i="1"/>
  <c r="P621" i="1"/>
  <c r="O526" i="1"/>
  <c r="O117" i="1"/>
  <c r="P249" i="1"/>
  <c r="T165" i="1"/>
  <c r="AB165" i="1" s="1"/>
  <c r="R159" i="1"/>
  <c r="Z159" i="1" s="1"/>
  <c r="U399" i="1"/>
  <c r="R91" i="1"/>
  <c r="Z91" i="1" s="1"/>
  <c r="Q168" i="1"/>
  <c r="T403" i="1"/>
  <c r="AB403" i="1" s="1"/>
  <c r="S170" i="1"/>
  <c r="U657" i="1"/>
  <c r="U471" i="1"/>
  <c r="S210" i="1"/>
  <c r="Q578" i="1"/>
  <c r="O98" i="1"/>
  <c r="O560" i="1"/>
  <c r="U239" i="1"/>
  <c r="U352" i="1"/>
  <c r="S661" i="1"/>
  <c r="R316" i="1"/>
  <c r="Z316" i="1" s="1"/>
  <c r="P429" i="1"/>
  <c r="P525" i="1"/>
  <c r="R175" i="1"/>
  <c r="Z175" i="1" s="1"/>
  <c r="R246" i="1"/>
  <c r="Z246" i="1" s="1"/>
  <c r="S596" i="1"/>
  <c r="S541" i="1"/>
  <c r="P123" i="1"/>
  <c r="O611" i="1"/>
  <c r="R277" i="1"/>
  <c r="Z277" i="1" s="1"/>
  <c r="S173" i="1"/>
  <c r="Q582" i="1"/>
  <c r="P437" i="1"/>
  <c r="S594" i="1"/>
  <c r="R108" i="1"/>
  <c r="Z108" i="1" s="1"/>
  <c r="R410" i="1"/>
  <c r="Z410" i="1" s="1"/>
  <c r="O557" i="1"/>
  <c r="W557" i="1" s="1"/>
  <c r="AF557" i="1" s="1"/>
  <c r="S496" i="1"/>
  <c r="Q362" i="1"/>
  <c r="P562" i="1"/>
  <c r="Q91" i="1"/>
  <c r="R426" i="1"/>
  <c r="Z426" i="1" s="1"/>
  <c r="T134" i="1"/>
  <c r="AB134" i="1" s="1"/>
  <c r="S313" i="1"/>
  <c r="R548" i="1"/>
  <c r="Z548" i="1" s="1"/>
  <c r="Q405" i="1"/>
  <c r="P139" i="1"/>
  <c r="Q611" i="1"/>
  <c r="S543" i="1"/>
  <c r="U656" i="1"/>
  <c r="T644" i="1"/>
  <c r="AB644" i="1" s="1"/>
  <c r="R394" i="1"/>
  <c r="Z394" i="1" s="1"/>
  <c r="O612" i="1"/>
  <c r="U168" i="1"/>
  <c r="P645" i="1"/>
  <c r="P84" i="1"/>
  <c r="Q194" i="1"/>
  <c r="S398" i="1"/>
  <c r="R428" i="1"/>
  <c r="Z428" i="1" s="1"/>
  <c r="S187" i="1"/>
  <c r="U642" i="1"/>
  <c r="Q655" i="1"/>
  <c r="T259" i="1"/>
  <c r="AB259" i="1" s="1"/>
  <c r="AK259" i="1" s="1"/>
  <c r="T257" i="1"/>
  <c r="AB257" i="1" s="1"/>
  <c r="P235" i="1"/>
  <c r="P286" i="1"/>
  <c r="P208" i="1"/>
  <c r="Q406" i="1"/>
  <c r="T569" i="1"/>
  <c r="AB569" i="1" s="1"/>
  <c r="P413" i="1"/>
  <c r="U277" i="1"/>
  <c r="Q572" i="1"/>
  <c r="U345" i="1"/>
  <c r="U554" i="1"/>
  <c r="S232" i="1"/>
  <c r="T645" i="1"/>
  <c r="AB645" i="1" s="1"/>
  <c r="O132" i="1"/>
  <c r="R217" i="1"/>
  <c r="Z217" i="1" s="1"/>
  <c r="O568" i="1"/>
  <c r="W568" i="1" s="1"/>
  <c r="AF568" i="1" s="1"/>
  <c r="Q461" i="1"/>
  <c r="P487" i="1"/>
  <c r="T256" i="1"/>
  <c r="AB256" i="1" s="1"/>
  <c r="AK256" i="1" s="1"/>
  <c r="S558" i="1"/>
  <c r="P443" i="1"/>
  <c r="T586" i="1"/>
  <c r="AB586" i="1" s="1"/>
  <c r="R530" i="1"/>
  <c r="Z530" i="1" s="1"/>
  <c r="P637" i="1"/>
  <c r="P544" i="1"/>
  <c r="U125" i="1"/>
  <c r="Q308" i="1"/>
  <c r="P185" i="1"/>
  <c r="P454" i="1"/>
  <c r="P519" i="1"/>
  <c r="O150" i="1"/>
  <c r="R248" i="1"/>
  <c r="Z248" i="1" s="1"/>
  <c r="U456" i="1"/>
  <c r="S388" i="1"/>
  <c r="AN388" i="1" s="1"/>
  <c r="AO388" i="1" s="1"/>
  <c r="P90" i="1"/>
  <c r="O189" i="1"/>
  <c r="W189" i="1" s="1"/>
  <c r="AF189" i="1" s="1"/>
  <c r="Q309" i="1"/>
  <c r="O360" i="1"/>
  <c r="U116" i="1"/>
  <c r="U267" i="1"/>
  <c r="S525" i="1"/>
  <c r="Q161" i="1"/>
  <c r="S565" i="1"/>
  <c r="U475" i="1"/>
  <c r="O378" i="1"/>
  <c r="R431" i="1"/>
  <c r="Z431" i="1" s="1"/>
  <c r="P296" i="1"/>
  <c r="S481" i="1"/>
  <c r="Q141" i="1"/>
  <c r="T492" i="1"/>
  <c r="AB492" i="1" s="1"/>
  <c r="T526" i="1"/>
  <c r="AB526" i="1" s="1"/>
  <c r="Q210" i="1"/>
  <c r="Y210" i="1" s="1"/>
  <c r="AH210" i="1" s="1"/>
  <c r="P472" i="1"/>
  <c r="S115" i="1"/>
  <c r="S487" i="1"/>
  <c r="S628" i="1"/>
  <c r="AA628" i="1" s="1"/>
  <c r="AJ628" i="1" s="1"/>
  <c r="O643" i="1"/>
  <c r="W643" i="1" s="1"/>
  <c r="AF643" i="1" s="1"/>
  <c r="Q352" i="1"/>
  <c r="T635" i="1"/>
  <c r="AB635" i="1" s="1"/>
  <c r="Q219" i="1"/>
  <c r="U182" i="1"/>
  <c r="O212" i="1"/>
  <c r="R603" i="1"/>
  <c r="Z603" i="1" s="1"/>
  <c r="P407" i="1"/>
  <c r="R638" i="1"/>
  <c r="Z638" i="1" s="1"/>
  <c r="T580" i="1"/>
  <c r="AB580" i="1" s="1"/>
  <c r="Q270" i="1"/>
  <c r="T491" i="1"/>
  <c r="AB491" i="1" s="1"/>
  <c r="P126" i="1"/>
  <c r="T539" i="1"/>
  <c r="AB539" i="1" s="1"/>
  <c r="R434" i="1"/>
  <c r="Z434" i="1" s="1"/>
  <c r="T167" i="1"/>
  <c r="AB167" i="1" s="1"/>
  <c r="Q432" i="1"/>
  <c r="R125" i="1"/>
  <c r="Z125" i="1" s="1"/>
  <c r="U570" i="1"/>
  <c r="S327" i="1"/>
  <c r="R113" i="1"/>
  <c r="Z113" i="1" s="1"/>
  <c r="R203" i="1"/>
  <c r="Z203" i="1" s="1"/>
  <c r="Q226" i="1"/>
  <c r="U269" i="1"/>
  <c r="R161" i="1"/>
  <c r="Z161" i="1" s="1"/>
  <c r="O237" i="1"/>
  <c r="Q652" i="1"/>
  <c r="T389" i="1"/>
  <c r="AB389" i="1" s="1"/>
  <c r="P433" i="1"/>
  <c r="U390" i="1"/>
  <c r="S520" i="1"/>
  <c r="R365" i="1"/>
  <c r="Z365" i="1" s="1"/>
  <c r="T200" i="1"/>
  <c r="AB200" i="1" s="1"/>
  <c r="P261" i="1"/>
  <c r="U601" i="1"/>
  <c r="Q541" i="1"/>
  <c r="O549" i="1"/>
  <c r="W549" i="1" s="1"/>
  <c r="AF549" i="1" s="1"/>
  <c r="T242" i="1"/>
  <c r="AB242" i="1" s="1"/>
  <c r="Q208" i="1"/>
  <c r="O96" i="1"/>
  <c r="P476" i="1"/>
  <c r="T502" i="1"/>
  <c r="AB502" i="1" s="1"/>
  <c r="O581" i="1"/>
  <c r="T272" i="1"/>
  <c r="AB272" i="1" s="1"/>
  <c r="O346" i="1"/>
  <c r="W346" i="1" s="1"/>
  <c r="AF346" i="1" s="1"/>
  <c r="S93" i="1"/>
  <c r="AA93" i="1" s="1"/>
  <c r="AJ93" i="1" s="1"/>
  <c r="P441" i="1"/>
  <c r="S195" i="1"/>
  <c r="U274" i="1"/>
  <c r="Q103" i="1"/>
  <c r="U227" i="1"/>
  <c r="O396" i="1"/>
  <c r="W396" i="1" s="1"/>
  <c r="AF396" i="1" s="1"/>
  <c r="R600" i="1"/>
  <c r="Z600" i="1" s="1"/>
  <c r="S95" i="1"/>
  <c r="O343" i="1"/>
  <c r="P419" i="1"/>
  <c r="R301" i="1"/>
  <c r="Z301" i="1" s="1"/>
  <c r="P287" i="1"/>
  <c r="R202" i="1"/>
  <c r="Z202" i="1" s="1"/>
  <c r="R153" i="1"/>
  <c r="Z153" i="1" s="1"/>
  <c r="P340" i="1"/>
  <c r="R436" i="1"/>
  <c r="Z436" i="1" s="1"/>
  <c r="O412" i="1"/>
  <c r="U115" i="1"/>
  <c r="U344" i="1"/>
  <c r="S512" i="1"/>
  <c r="S529" i="1"/>
  <c r="S257" i="1"/>
  <c r="S642" i="1"/>
  <c r="U628" i="1"/>
  <c r="Q231" i="1"/>
  <c r="U439" i="1"/>
  <c r="U223" i="1"/>
  <c r="O169" i="1"/>
  <c r="P653" i="1"/>
  <c r="U569" i="1"/>
  <c r="T207" i="1"/>
  <c r="AB207" i="1" s="1"/>
  <c r="U145" i="1"/>
  <c r="T629" i="1"/>
  <c r="AB629" i="1" s="1"/>
  <c r="P533" i="1"/>
  <c r="R664" i="1"/>
  <c r="Z664" i="1" s="1"/>
  <c r="O460" i="1"/>
  <c r="Q534" i="1"/>
  <c r="P353" i="1"/>
  <c r="O214" i="1"/>
  <c r="S103" i="1"/>
  <c r="R656" i="1"/>
  <c r="Z656" i="1" s="1"/>
  <c r="Q174" i="1"/>
  <c r="O393" i="1"/>
  <c r="W393" i="1" s="1"/>
  <c r="AF393" i="1" s="1"/>
  <c r="U173" i="1"/>
  <c r="R138" i="1"/>
  <c r="Z138" i="1" s="1"/>
  <c r="T303" i="1"/>
  <c r="AB303" i="1" s="1"/>
  <c r="P387" i="1"/>
  <c r="P475" i="1"/>
  <c r="R550" i="1"/>
  <c r="Z550" i="1" s="1"/>
  <c r="U512" i="1"/>
  <c r="O413" i="1"/>
  <c r="S583" i="1"/>
  <c r="O595" i="1"/>
  <c r="T341" i="1"/>
  <c r="AB341" i="1" s="1"/>
  <c r="P362" i="1"/>
  <c r="S513" i="1"/>
  <c r="S198" i="1"/>
  <c r="Q497" i="1"/>
  <c r="T205" i="1"/>
  <c r="AB205" i="1" s="1"/>
  <c r="U484" i="1"/>
  <c r="R118" i="1"/>
  <c r="Z118" i="1" s="1"/>
  <c r="R496" i="1"/>
  <c r="Z496" i="1" s="1"/>
  <c r="T478" i="1"/>
  <c r="AB478" i="1" s="1"/>
  <c r="R188" i="1"/>
  <c r="Z188" i="1" s="1"/>
  <c r="S423" i="1"/>
  <c r="Q640" i="1"/>
  <c r="O245" i="1"/>
  <c r="R375" i="1"/>
  <c r="Z375" i="1" s="1"/>
  <c r="R370" i="1"/>
  <c r="Z370" i="1" s="1"/>
  <c r="AI370" i="1" s="1"/>
  <c r="Q199" i="1"/>
  <c r="U313" i="1"/>
  <c r="AN313" i="1" s="1"/>
  <c r="AO313" i="1" s="1"/>
  <c r="U110" i="1"/>
  <c r="S291" i="1"/>
  <c r="S306" i="1"/>
  <c r="T138" i="1"/>
  <c r="AB138" i="1" s="1"/>
  <c r="U119" i="1"/>
  <c r="U323" i="1"/>
  <c r="Q460" i="1"/>
  <c r="O131" i="1"/>
  <c r="W131" i="1" s="1"/>
  <c r="AF131" i="1" s="1"/>
  <c r="U109" i="1"/>
  <c r="Q148" i="1"/>
  <c r="T254" i="1"/>
  <c r="AB254" i="1" s="1"/>
  <c r="P512" i="1"/>
  <c r="Q597" i="1"/>
  <c r="U264" i="1"/>
  <c r="P293" i="1"/>
  <c r="U359" i="1"/>
  <c r="R662" i="1"/>
  <c r="Q503" i="1"/>
  <c r="T445" i="1"/>
  <c r="AB445" i="1" s="1"/>
  <c r="P374" i="1"/>
  <c r="Q666" i="1"/>
  <c r="O152" i="1"/>
  <c r="AC152" i="1" s="1"/>
  <c r="AL152" i="1" s="1"/>
  <c r="P509" i="1"/>
  <c r="T643" i="1"/>
  <c r="AB643" i="1" s="1"/>
  <c r="S432" i="1"/>
  <c r="Q211" i="1"/>
  <c r="U142" i="1"/>
  <c r="T576" i="1"/>
  <c r="T247" i="1"/>
  <c r="AB247" i="1" s="1"/>
  <c r="U246" i="1"/>
  <c r="P281" i="1"/>
  <c r="AK281" i="1" s="1"/>
  <c r="S365" i="1"/>
  <c r="U156" i="1"/>
  <c r="Q87" i="1"/>
  <c r="S215" i="1"/>
  <c r="R333" i="1"/>
  <c r="Z333" i="1" s="1"/>
  <c r="U342" i="1"/>
  <c r="U236" i="1"/>
  <c r="S556" i="1"/>
  <c r="O227" i="1"/>
  <c r="T112" i="1"/>
  <c r="AB112" i="1" s="1"/>
  <c r="O375" i="1"/>
  <c r="W375" i="1" s="1"/>
  <c r="AF375" i="1" s="1"/>
  <c r="O231" i="1"/>
  <c r="X231" i="1" s="1"/>
  <c r="AG231" i="1" s="1"/>
  <c r="O218" i="1"/>
  <c r="O658" i="1"/>
  <c r="P481" i="1"/>
  <c r="Q540" i="1"/>
  <c r="U629" i="1"/>
  <c r="U280" i="1"/>
  <c r="U306" i="1"/>
  <c r="R341" i="1"/>
  <c r="Z341" i="1" s="1"/>
  <c r="P130" i="1"/>
  <c r="S149" i="1"/>
  <c r="R605" i="1"/>
  <c r="Z605" i="1" s="1"/>
  <c r="S557" i="1"/>
  <c r="S88" i="1"/>
  <c r="Q487" i="1"/>
  <c r="U567" i="1"/>
  <c r="Q317" i="1"/>
  <c r="S273" i="1"/>
  <c r="U647" i="1"/>
  <c r="T428" i="1"/>
  <c r="AB428" i="1" s="1"/>
  <c r="O271" i="1"/>
  <c r="Y271" i="1" s="1"/>
  <c r="AH271" i="1" s="1"/>
  <c r="S485" i="1"/>
  <c r="AN485" i="1" s="1"/>
  <c r="AO485" i="1" s="1"/>
  <c r="Q551" i="1"/>
  <c r="R490" i="1"/>
  <c r="Z490" i="1" s="1"/>
  <c r="Q216" i="1"/>
  <c r="P341" i="1"/>
  <c r="Q617" i="1"/>
  <c r="S151" i="1"/>
  <c r="S635" i="1"/>
  <c r="AN635" i="1" s="1"/>
  <c r="S254" i="1"/>
  <c r="Q426" i="1"/>
  <c r="R651" i="1"/>
  <c r="Z651" i="1" s="1"/>
  <c r="S298" i="1"/>
  <c r="T397" i="1"/>
  <c r="AB397" i="1" s="1"/>
  <c r="P149" i="1"/>
  <c r="T99" i="1"/>
  <c r="AB99" i="1" s="1"/>
  <c r="O573" i="1"/>
  <c r="P506" i="1"/>
  <c r="S354" i="1"/>
  <c r="AN354" i="1" s="1"/>
  <c r="R552" i="1"/>
  <c r="Z552" i="1" s="1"/>
  <c r="P398" i="1"/>
  <c r="P138" i="1"/>
  <c r="P313" i="1"/>
  <c r="U544" i="1"/>
  <c r="Q436" i="1"/>
  <c r="O561" i="1"/>
  <c r="R602" i="1"/>
  <c r="Z602" i="1" s="1"/>
  <c r="O213" i="1"/>
  <c r="T421" i="1"/>
  <c r="AB421" i="1" s="1"/>
  <c r="S430" i="1"/>
  <c r="O317" i="1"/>
  <c r="P593" i="1"/>
  <c r="U232" i="1"/>
  <c r="O113" i="1"/>
  <c r="T284" i="1"/>
  <c r="AB284" i="1" s="1"/>
  <c r="U459" i="1"/>
  <c r="O199" i="1"/>
  <c r="AC199" i="1" s="1"/>
  <c r="R292" i="1"/>
  <c r="Z292" i="1" s="1"/>
  <c r="P583" i="1"/>
  <c r="X583" i="1" s="1"/>
  <c r="AG583" i="1" s="1"/>
  <c r="S508" i="1"/>
  <c r="P523" i="1"/>
  <c r="P351" i="1"/>
  <c r="Q235" i="1"/>
  <c r="T355" i="1"/>
  <c r="AB355" i="1" s="1"/>
  <c r="U206" i="1"/>
  <c r="R654" i="1"/>
  <c r="Z654" i="1" s="1"/>
  <c r="U607" i="1"/>
  <c r="O111" i="1"/>
  <c r="U584" i="1"/>
  <c r="R168" i="1"/>
  <c r="Z168" i="1" s="1"/>
  <c r="P490" i="1"/>
  <c r="T121" i="1"/>
  <c r="P577" i="1"/>
  <c r="U167" i="1"/>
  <c r="R298" i="1"/>
  <c r="Z298" i="1" s="1"/>
  <c r="O482" i="1"/>
  <c r="Q496" i="1"/>
  <c r="T497" i="1"/>
  <c r="AB497" i="1" s="1"/>
  <c r="Q619" i="1"/>
  <c r="S128" i="1"/>
  <c r="R512" i="1"/>
  <c r="Z512" i="1" s="1"/>
  <c r="U259" i="1"/>
  <c r="U495" i="1"/>
  <c r="S318" i="1"/>
  <c r="S539" i="1"/>
  <c r="S250" i="1"/>
  <c r="S150" i="1"/>
  <c r="T279" i="1"/>
  <c r="P342" i="1"/>
  <c r="S564" i="1"/>
  <c r="U631" i="1"/>
  <c r="S321" i="1"/>
  <c r="Q511" i="1"/>
  <c r="S402" i="1"/>
  <c r="R358" i="1"/>
  <c r="Z358" i="1" s="1"/>
  <c r="S376" i="1"/>
  <c r="T538" i="1"/>
  <c r="AB538" i="1" s="1"/>
  <c r="O259" i="1"/>
  <c r="O222" i="1"/>
  <c r="Q416" i="1"/>
  <c r="R92" i="1"/>
  <c r="Z92" i="1" s="1"/>
  <c r="R408" i="1"/>
  <c r="Z408" i="1" s="1"/>
  <c r="S334" i="1"/>
  <c r="Q492" i="1"/>
  <c r="S350" i="1"/>
  <c r="AA350" i="1" s="1"/>
  <c r="AJ350" i="1" s="1"/>
  <c r="O388" i="1"/>
  <c r="R280" i="1"/>
  <c r="Z280" i="1" s="1"/>
  <c r="R279" i="1"/>
  <c r="Z279" i="1" s="1"/>
  <c r="P363" i="1"/>
  <c r="Q642" i="1"/>
  <c r="O495" i="1"/>
  <c r="U435" i="1"/>
  <c r="T553" i="1"/>
  <c r="AB553" i="1" s="1"/>
  <c r="Q517" i="1"/>
  <c r="P168" i="1"/>
  <c r="R532" i="1"/>
  <c r="Z532" i="1" s="1"/>
  <c r="P92" i="1"/>
  <c r="T361" i="1"/>
  <c r="AB361" i="1" s="1"/>
  <c r="O129" i="1"/>
  <c r="P597" i="1"/>
  <c r="P649" i="1"/>
  <c r="R618" i="1"/>
  <c r="Z618" i="1" s="1"/>
  <c r="S526" i="1"/>
  <c r="T521" i="1"/>
  <c r="AB521" i="1" s="1"/>
  <c r="U636" i="1"/>
  <c r="R527" i="1"/>
  <c r="Z527" i="1" s="1"/>
  <c r="U503" i="1"/>
  <c r="T380" i="1"/>
  <c r="AB380" i="1" s="1"/>
  <c r="U251" i="1"/>
  <c r="S433" i="1"/>
  <c r="S154" i="1"/>
  <c r="S414" i="1"/>
  <c r="Q373" i="1"/>
  <c r="R655" i="1"/>
  <c r="Z655" i="1" s="1"/>
  <c r="U580" i="1"/>
  <c r="P335" i="1"/>
  <c r="P599" i="1"/>
  <c r="O137" i="1"/>
  <c r="W137" i="1" s="1"/>
  <c r="AF137" i="1" s="1"/>
  <c r="U361" i="1"/>
  <c r="P300" i="1"/>
  <c r="U248" i="1"/>
  <c r="R535" i="1"/>
  <c r="Z535" i="1" s="1"/>
  <c r="S609" i="1"/>
  <c r="T366" i="1"/>
  <c r="AB366" i="1" s="1"/>
  <c r="P658" i="1"/>
  <c r="AK658" i="1" s="1"/>
  <c r="O508" i="1"/>
  <c r="U122" i="1"/>
  <c r="O247" i="1"/>
  <c r="S174" i="1"/>
  <c r="R377" i="1"/>
  <c r="Z377" i="1" s="1"/>
  <c r="R652" i="1"/>
  <c r="Z652" i="1" s="1"/>
  <c r="R204" i="1"/>
  <c r="Z204" i="1" s="1"/>
  <c r="Q531" i="1"/>
  <c r="P354" i="1"/>
  <c r="P379" i="1"/>
  <c r="S129" i="1"/>
  <c r="T304" i="1"/>
  <c r="AB304" i="1" s="1"/>
  <c r="U288" i="1"/>
  <c r="R164" i="1"/>
  <c r="Z164" i="1" s="1"/>
  <c r="U214" i="1"/>
  <c r="Q408" i="1"/>
  <c r="Y408" i="1" s="1"/>
  <c r="AH408" i="1" s="1"/>
  <c r="S538" i="1"/>
  <c r="S121" i="1"/>
  <c r="P128" i="1"/>
  <c r="S648" i="1"/>
  <c r="Q559" i="1"/>
  <c r="T88" i="1"/>
  <c r="AB88" i="1" s="1"/>
  <c r="S204" i="1"/>
  <c r="Q498" i="1"/>
  <c r="Y498" i="1" s="1"/>
  <c r="AH498" i="1" s="1"/>
  <c r="U235" i="1"/>
  <c r="S480" i="1"/>
  <c r="Q106" i="1"/>
  <c r="O592" i="1"/>
  <c r="S662" i="1"/>
  <c r="Q332" i="1"/>
  <c r="P101" i="1"/>
  <c r="T140" i="1"/>
  <c r="AB140" i="1" s="1"/>
  <c r="Q506" i="1"/>
  <c r="P181" i="1"/>
  <c r="S426" i="1"/>
  <c r="Q441" i="1"/>
  <c r="Q513" i="1"/>
  <c r="T318" i="1"/>
  <c r="AB318" i="1" s="1"/>
  <c r="T460" i="1"/>
  <c r="AB460" i="1" s="1"/>
  <c r="R476" i="1"/>
  <c r="Z476" i="1" s="1"/>
  <c r="T448" i="1"/>
  <c r="AB448" i="1" s="1"/>
  <c r="R583" i="1"/>
  <c r="Z583" i="1" s="1"/>
  <c r="U572" i="1"/>
  <c r="R343" i="1"/>
  <c r="Z343" i="1" s="1"/>
  <c r="P311" i="1"/>
  <c r="O278" i="1"/>
  <c r="W278" i="1" s="1"/>
  <c r="AF278" i="1" s="1"/>
  <c r="P460" i="1"/>
  <c r="Q205" i="1"/>
  <c r="O367" i="1"/>
  <c r="U543" i="1"/>
  <c r="AN543" i="1" s="1"/>
  <c r="AO543" i="1" s="1"/>
  <c r="P325" i="1"/>
  <c r="Q285" i="1"/>
  <c r="S491" i="1"/>
  <c r="U553" i="1"/>
  <c r="Q392" i="1"/>
  <c r="O532" i="1"/>
  <c r="O469" i="1"/>
  <c r="W469" i="1" s="1"/>
  <c r="AF469" i="1" s="1"/>
  <c r="U155" i="1"/>
  <c r="T631" i="1"/>
  <c r="AB631" i="1" s="1"/>
  <c r="R539" i="1"/>
  <c r="Z539" i="1" s="1"/>
  <c r="S224" i="1"/>
  <c r="O515" i="1"/>
  <c r="P404" i="1"/>
  <c r="T609" i="1"/>
  <c r="AB609" i="1" s="1"/>
  <c r="T588" i="1"/>
  <c r="AB588" i="1" s="1"/>
  <c r="O548" i="1"/>
  <c r="P147" i="1"/>
  <c r="R364" i="1"/>
  <c r="Z364" i="1" s="1"/>
  <c r="O277" i="1"/>
  <c r="Q84" i="1"/>
  <c r="R173" i="1"/>
  <c r="Z173" i="1" s="1"/>
  <c r="S614" i="1"/>
  <c r="AN614" i="1" s="1"/>
  <c r="R363" i="1"/>
  <c r="Z363" i="1" s="1"/>
  <c r="Q403" i="1"/>
  <c r="R415" i="1"/>
  <c r="Z415" i="1" s="1"/>
  <c r="R330" i="1"/>
  <c r="Z330" i="1" s="1"/>
  <c r="T513" i="1"/>
  <c r="AB513" i="1" s="1"/>
  <c r="U312" i="1"/>
  <c r="O444" i="1"/>
  <c r="W444" i="1" s="1"/>
  <c r="AF444" i="1" s="1"/>
  <c r="Q524" i="1"/>
  <c r="Y524" i="1" s="1"/>
  <c r="AH524" i="1" s="1"/>
  <c r="S99" i="1"/>
  <c r="T161" i="1"/>
  <c r="AB161" i="1" s="1"/>
  <c r="T141" i="1"/>
  <c r="AB141" i="1" s="1"/>
  <c r="R304" i="1"/>
  <c r="Z304" i="1" s="1"/>
  <c r="T315" i="1"/>
  <c r="AB315" i="1" s="1"/>
  <c r="T388" i="1"/>
  <c r="Q337" i="1"/>
  <c r="Q387" i="1"/>
  <c r="O192" i="1"/>
  <c r="S324" i="1"/>
  <c r="S314" i="1"/>
  <c r="T290" i="1"/>
  <c r="AB290" i="1" s="1"/>
  <c r="S146" i="1"/>
  <c r="U335" i="1"/>
  <c r="T333" i="1"/>
  <c r="AB333" i="1" s="1"/>
  <c r="S239" i="1"/>
  <c r="T365" i="1"/>
  <c r="AB365" i="1" s="1"/>
  <c r="P347" i="1"/>
  <c r="S367" i="1"/>
  <c r="U602" i="1"/>
  <c r="AN602" i="1" s="1"/>
  <c r="AO602" i="1" s="1"/>
  <c r="S200" i="1"/>
  <c r="Q431" i="1"/>
  <c r="Q176" i="1"/>
  <c r="Q421" i="1"/>
  <c r="S292" i="1"/>
  <c r="Q444" i="1"/>
  <c r="U525" i="1"/>
  <c r="O253" i="1"/>
  <c r="X253" i="1" s="1"/>
  <c r="Q529" i="1"/>
  <c r="Q515" i="1"/>
  <c r="P248" i="1"/>
  <c r="U548" i="1"/>
  <c r="T624" i="1"/>
  <c r="AB624" i="1" s="1"/>
  <c r="P102" i="1"/>
  <c r="X102" i="1" s="1"/>
  <c r="AG102" i="1" s="1"/>
  <c r="O664" i="1"/>
  <c r="Q410" i="1"/>
  <c r="T87" i="1"/>
  <c r="AB87" i="1" s="1"/>
  <c r="U151" i="1"/>
  <c r="T468" i="1"/>
  <c r="AB468" i="1" s="1"/>
  <c r="T595" i="1"/>
  <c r="AB595" i="1" s="1"/>
  <c r="U134" i="1"/>
  <c r="Q641" i="1"/>
  <c r="Y641" i="1" s="1"/>
  <c r="AH641" i="1" s="1"/>
  <c r="S385" i="1"/>
  <c r="R585" i="1"/>
  <c r="Z585" i="1" s="1"/>
  <c r="O572" i="1"/>
  <c r="P411" i="1"/>
  <c r="T519" i="1"/>
  <c r="AB519" i="1" s="1"/>
  <c r="S245" i="1"/>
  <c r="U97" i="1"/>
  <c r="U292" i="1"/>
  <c r="P640" i="1"/>
  <c r="T373" i="1"/>
  <c r="AB373" i="1" s="1"/>
  <c r="AK373" i="1" s="1"/>
  <c r="R340" i="1"/>
  <c r="Z340" i="1" s="1"/>
  <c r="U616" i="1"/>
  <c r="Q548" i="1"/>
  <c r="O391" i="1"/>
  <c r="R471" i="1"/>
  <c r="Z471" i="1" s="1"/>
  <c r="Q351" i="1"/>
  <c r="O458" i="1"/>
  <c r="S124" i="1"/>
  <c r="S123" i="1"/>
  <c r="T119" i="1"/>
  <c r="AB119" i="1" s="1"/>
  <c r="Q209" i="1"/>
  <c r="O320" i="1"/>
  <c r="U331" i="1"/>
  <c r="U441" i="1"/>
  <c r="S453" i="1"/>
  <c r="S242" i="1"/>
  <c r="O509" i="1"/>
  <c r="O494" i="1"/>
  <c r="W494" i="1" s="1"/>
  <c r="AF494" i="1" s="1"/>
  <c r="Q622" i="1"/>
  <c r="Q478" i="1"/>
  <c r="R624" i="1"/>
  <c r="Z624" i="1" s="1"/>
  <c r="S588" i="1"/>
  <c r="Q474" i="1"/>
  <c r="S444" i="1"/>
  <c r="T407" i="1"/>
  <c r="AB407" i="1" s="1"/>
  <c r="U488" i="1"/>
  <c r="S197" i="1"/>
  <c r="U82" i="1"/>
  <c r="O219" i="1"/>
  <c r="S449" i="1"/>
  <c r="P478" i="1"/>
  <c r="U460" i="1"/>
  <c r="AN460" i="1" s="1"/>
  <c r="S517" i="1"/>
  <c r="R335" i="1"/>
  <c r="Z335" i="1" s="1"/>
  <c r="S546" i="1"/>
  <c r="Q379" i="1"/>
  <c r="O100" i="1"/>
  <c r="R273" i="1"/>
  <c r="Z273" i="1" s="1"/>
  <c r="Q179" i="1"/>
  <c r="U566" i="1"/>
  <c r="T555" i="1"/>
  <c r="AB555" i="1" s="1"/>
  <c r="O157" i="1"/>
  <c r="U325" i="1"/>
  <c r="P434" i="1"/>
  <c r="Q156" i="1"/>
  <c r="P596" i="1"/>
  <c r="P578" i="1"/>
  <c r="AN1041" i="1"/>
  <c r="AO1041" i="1" s="1"/>
  <c r="AP1041" i="1" s="1"/>
  <c r="AQ1041" i="1" s="1"/>
  <c r="AR1041" i="1" s="1"/>
  <c r="AC1041" i="1"/>
  <c r="AL1041" i="1" s="1"/>
  <c r="AW1041" i="1" s="1"/>
  <c r="AX1041" i="1" s="1"/>
  <c r="AY1041" i="1" s="1"/>
  <c r="AZ1041" i="1" s="1"/>
  <c r="BA1041" i="1" s="1"/>
  <c r="AN1025" i="1"/>
  <c r="AC1025" i="1"/>
  <c r="AL1025" i="1" s="1"/>
  <c r="AW1025" i="1" s="1"/>
  <c r="AN1004" i="1"/>
  <c r="AO1004" i="1" s="1"/>
  <c r="AP1004" i="1" s="1"/>
  <c r="AQ1004" i="1" s="1"/>
  <c r="AR1004" i="1" s="1"/>
  <c r="AW667" i="1"/>
  <c r="AX667" i="1"/>
  <c r="AY667" i="1" s="1"/>
  <c r="AZ667" i="1" s="1"/>
  <c r="BA667" i="1" s="1"/>
  <c r="Q538" i="1"/>
  <c r="O618" i="1"/>
  <c r="O225" i="1"/>
  <c r="P585" i="1"/>
  <c r="Q621" i="1"/>
  <c r="R538" i="1"/>
  <c r="Z538" i="1" s="1"/>
  <c r="S181" i="1"/>
  <c r="U560" i="1"/>
  <c r="O181" i="1"/>
  <c r="T286" i="1"/>
  <c r="AB286" i="1" s="1"/>
  <c r="S566" i="1"/>
  <c r="S640" i="1"/>
  <c r="R294" i="1"/>
  <c r="Z294" i="1" s="1"/>
  <c r="Q587" i="1"/>
  <c r="S448" i="1"/>
  <c r="S534" i="1"/>
  <c r="U474" i="1"/>
  <c r="Q382" i="1"/>
  <c r="O308" i="1"/>
  <c r="Q574" i="1"/>
  <c r="T228" i="1"/>
  <c r="AB228" i="1" s="1"/>
  <c r="U117" i="1"/>
  <c r="T270" i="1"/>
  <c r="AB270" i="1" s="1"/>
  <c r="Q484" i="1"/>
  <c r="P114" i="1"/>
  <c r="R407" i="1"/>
  <c r="Z407" i="1" s="1"/>
  <c r="P280" i="1"/>
  <c r="Q520" i="1"/>
  <c r="P158" i="1"/>
  <c r="O533" i="1"/>
  <c r="P107" i="1"/>
  <c r="T591" i="1"/>
  <c r="AB591" i="1" s="1"/>
  <c r="U502" i="1"/>
  <c r="Q550" i="1"/>
  <c r="P83" i="1"/>
  <c r="P359" i="1"/>
  <c r="P222" i="1"/>
  <c r="S403" i="1"/>
  <c r="U652" i="1"/>
  <c r="R229" i="1"/>
  <c r="Z229" i="1" s="1"/>
  <c r="T625" i="1"/>
  <c r="AB625" i="1" s="1"/>
  <c r="Q495" i="1"/>
  <c r="T185" i="1"/>
  <c r="AB185" i="1" s="1"/>
  <c r="U624" i="1"/>
  <c r="S488" i="1"/>
  <c r="U358" i="1"/>
  <c r="Q500" i="1"/>
  <c r="O564" i="1"/>
  <c r="U528" i="1"/>
  <c r="AN528" i="1" s="1"/>
  <c r="AS528" i="1" s="1"/>
  <c r="U452" i="1"/>
  <c r="T329" i="1"/>
  <c r="AB329" i="1" s="1"/>
  <c r="T642" i="1"/>
  <c r="AB642" i="1" s="1"/>
  <c r="S396" i="1"/>
  <c r="U254" i="1"/>
  <c r="R435" i="1"/>
  <c r="Z435" i="1" s="1"/>
  <c r="S483" i="1"/>
  <c r="R362" i="1"/>
  <c r="Z362" i="1" s="1"/>
  <c r="P438" i="1"/>
  <c r="Q552" i="1"/>
  <c r="P505" i="1"/>
  <c r="U440" i="1"/>
  <c r="S476" i="1"/>
  <c r="S234" i="1"/>
  <c r="T328" i="1"/>
  <c r="AB328" i="1" s="1"/>
  <c r="U367" i="1"/>
  <c r="S270" i="1"/>
  <c r="S576" i="1"/>
  <c r="S544" i="1"/>
  <c r="S82" i="1"/>
  <c r="O324" i="1"/>
  <c r="S138" i="1"/>
  <c r="R557" i="1"/>
  <c r="Z557" i="1" s="1"/>
  <c r="O83" i="1"/>
  <c r="U178" i="1"/>
  <c r="S381" i="1"/>
  <c r="Q274" i="1"/>
  <c r="O248" i="1"/>
  <c r="T552" i="1"/>
  <c r="AB552" i="1" s="1"/>
  <c r="Q354" i="1"/>
  <c r="R554" i="1"/>
  <c r="Z554" i="1" s="1"/>
  <c r="R376" i="1"/>
  <c r="Q576" i="1"/>
  <c r="R508" i="1"/>
  <c r="Z508" i="1" s="1"/>
  <c r="O159" i="1"/>
  <c r="Q224" i="1"/>
  <c r="P553" i="1"/>
  <c r="P82" i="1"/>
  <c r="Q166" i="1"/>
  <c r="S246" i="1"/>
  <c r="R179" i="1"/>
  <c r="Z179" i="1" s="1"/>
  <c r="O456" i="1"/>
  <c r="W456" i="1" s="1"/>
  <c r="AF456" i="1" s="1"/>
  <c r="T120" i="1"/>
  <c r="AB120" i="1" s="1"/>
  <c r="O184" i="1"/>
  <c r="U402" i="1"/>
  <c r="T601" i="1"/>
  <c r="AB601" i="1" s="1"/>
  <c r="U282" i="1"/>
  <c r="S386" i="1"/>
  <c r="R227" i="1"/>
  <c r="Z227" i="1" s="1"/>
  <c r="S519" i="1"/>
  <c r="R581" i="1"/>
  <c r="Z581" i="1" s="1"/>
  <c r="Q435" i="1"/>
  <c r="O491" i="1"/>
  <c r="S586" i="1"/>
  <c r="AN586" i="1" s="1"/>
  <c r="AO586" i="1" s="1"/>
  <c r="Q592" i="1"/>
  <c r="T562" i="1"/>
  <c r="AB562" i="1" s="1"/>
  <c r="U596" i="1"/>
  <c r="Q456" i="1"/>
  <c r="R372" i="1"/>
  <c r="Z372" i="1" s="1"/>
  <c r="S378" i="1"/>
  <c r="T243" i="1"/>
  <c r="AB243" i="1" s="1"/>
  <c r="T320" i="1"/>
  <c r="AB320" i="1" s="1"/>
  <c r="S241" i="1"/>
  <c r="O489" i="1"/>
  <c r="W489" i="1" s="1"/>
  <c r="AF489" i="1" s="1"/>
  <c r="U386" i="1"/>
  <c r="P112" i="1"/>
  <c r="U140" i="1"/>
  <c r="O415" i="1"/>
  <c r="W415" i="1" s="1"/>
  <c r="AF415" i="1" s="1"/>
  <c r="U225" i="1"/>
  <c r="O426" i="1"/>
  <c r="S524" i="1"/>
  <c r="R591" i="1"/>
  <c r="Z591" i="1" s="1"/>
  <c r="P560" i="1"/>
  <c r="R106" i="1"/>
  <c r="Z106" i="1" s="1"/>
  <c r="S289" i="1"/>
  <c r="T193" i="1"/>
  <c r="AB193" i="1" s="1"/>
  <c r="AK193" i="1" s="1"/>
  <c r="U124" i="1"/>
  <c r="T487" i="1"/>
  <c r="AB487" i="1" s="1"/>
  <c r="S547" i="1"/>
  <c r="U237" i="1"/>
  <c r="O147" i="1"/>
  <c r="Q86" i="1"/>
  <c r="O361" i="1"/>
  <c r="R384" i="1"/>
  <c r="Z384" i="1" s="1"/>
  <c r="S401" i="1"/>
  <c r="R413" i="1"/>
  <c r="Z413" i="1" s="1"/>
  <c r="S373" i="1"/>
  <c r="Q598" i="1"/>
  <c r="U273" i="1"/>
  <c r="P652" i="1"/>
  <c r="S194" i="1"/>
  <c r="Q291" i="1"/>
  <c r="T129" i="1"/>
  <c r="AB129" i="1" s="1"/>
  <c r="R200" i="1"/>
  <c r="Z200" i="1" s="1"/>
  <c r="O288" i="1"/>
  <c r="T84" i="1"/>
  <c r="AB84" i="1" s="1"/>
  <c r="O200" i="1"/>
  <c r="W200" i="1" s="1"/>
  <c r="AF200" i="1" s="1"/>
  <c r="R379" i="1"/>
  <c r="Z379" i="1" s="1"/>
  <c r="S137" i="1"/>
  <c r="U287" i="1"/>
  <c r="R653" i="1"/>
  <c r="Z653" i="1" s="1"/>
  <c r="O481" i="1"/>
  <c r="Q439" i="1"/>
  <c r="S276" i="1"/>
  <c r="AN276" i="1" s="1"/>
  <c r="AO276" i="1" s="1"/>
  <c r="O95" i="1"/>
  <c r="W95" i="1" s="1"/>
  <c r="AF95" i="1" s="1"/>
  <c r="T93" i="1"/>
  <c r="AB93" i="1" s="1"/>
  <c r="T301" i="1"/>
  <c r="AB301" i="1" s="1"/>
  <c r="T130" i="1"/>
  <c r="AB130" i="1" s="1"/>
  <c r="O167" i="1"/>
  <c r="O627" i="1"/>
  <c r="O243" i="1"/>
  <c r="P203" i="1"/>
  <c r="Q159" i="1"/>
  <c r="T241" i="1"/>
  <c r="AB241" i="1" s="1"/>
  <c r="T475" i="1"/>
  <c r="AB475" i="1" s="1"/>
  <c r="P319" i="1"/>
  <c r="S228" i="1"/>
  <c r="T258" i="1"/>
  <c r="AB258" i="1" s="1"/>
  <c r="O459" i="1"/>
  <c r="O315" i="1"/>
  <c r="R456" i="1"/>
  <c r="Z456" i="1" s="1"/>
  <c r="R628" i="1"/>
  <c r="Z628" i="1" s="1"/>
  <c r="R88" i="1"/>
  <c r="Z88" i="1" s="1"/>
  <c r="Q521" i="1"/>
  <c r="U450" i="1"/>
  <c r="T662" i="1"/>
  <c r="AB662" i="1" s="1"/>
  <c r="P350" i="1"/>
  <c r="P415" i="1"/>
  <c r="S369" i="1"/>
  <c r="P403" i="1"/>
  <c r="U347" i="1"/>
  <c r="T446" i="1"/>
  <c r="AB446" i="1" s="1"/>
  <c r="O107" i="1"/>
  <c r="T384" i="1"/>
  <c r="AB384" i="1" s="1"/>
  <c r="Q314" i="1"/>
  <c r="S563" i="1"/>
  <c r="Q398" i="1"/>
  <c r="O323" i="1"/>
  <c r="W323" i="1" s="1"/>
  <c r="AF323" i="1" s="1"/>
  <c r="O496" i="1"/>
  <c r="W496" i="1" s="1"/>
  <c r="AF496" i="1" s="1"/>
  <c r="P643" i="1"/>
  <c r="Q422" i="1"/>
  <c r="S353" i="1"/>
  <c r="P609" i="1"/>
  <c r="Q320" i="1"/>
  <c r="P150" i="1"/>
  <c r="O249" i="1"/>
  <c r="R182" i="1"/>
  <c r="Z182" i="1" s="1"/>
  <c r="U314" i="1"/>
  <c r="S110" i="1"/>
  <c r="U118" i="1"/>
  <c r="R454" i="1"/>
  <c r="Z454" i="1" s="1"/>
  <c r="S341" i="1"/>
  <c r="S347" i="1"/>
  <c r="P629" i="1"/>
  <c r="P276" i="1"/>
  <c r="T295" i="1"/>
  <c r="AB295" i="1" s="1"/>
  <c r="U102" i="1"/>
  <c r="O206" i="1"/>
  <c r="T598" i="1"/>
  <c r="AB598" i="1" s="1"/>
  <c r="R533" i="1"/>
  <c r="Z533" i="1" s="1"/>
  <c r="R521" i="1"/>
  <c r="Z521" i="1" s="1"/>
  <c r="P426" i="1"/>
  <c r="O569" i="1"/>
  <c r="W569" i="1" s="1"/>
  <c r="AF569" i="1" s="1"/>
  <c r="Q170" i="1"/>
  <c r="R504" i="1"/>
  <c r="Z504" i="1" s="1"/>
  <c r="Q212" i="1"/>
  <c r="T220" i="1"/>
  <c r="AB220" i="1" s="1"/>
  <c r="O328" i="1"/>
  <c r="AI328" i="1" s="1"/>
  <c r="P200" i="1"/>
  <c r="X200" i="1" s="1"/>
  <c r="AG200" i="1" s="1"/>
  <c r="T462" i="1"/>
  <c r="AB462" i="1" s="1"/>
  <c r="Q266" i="1"/>
  <c r="S533" i="1"/>
  <c r="S286" i="1"/>
  <c r="S652" i="1"/>
  <c r="O221" i="1"/>
  <c r="W221" i="1" s="1"/>
  <c r="AF221" i="1" s="1"/>
  <c r="R147" i="1"/>
  <c r="Z147" i="1" s="1"/>
  <c r="S415" i="1"/>
  <c r="O555" i="1"/>
  <c r="R167" i="1"/>
  <c r="Z167" i="1" s="1"/>
  <c r="R382" i="1"/>
  <c r="Z382" i="1" s="1"/>
  <c r="R102" i="1"/>
  <c r="Z102" i="1" s="1"/>
  <c r="O648" i="1"/>
  <c r="T564" i="1"/>
  <c r="AB564" i="1" s="1"/>
  <c r="S569" i="1"/>
  <c r="T346" i="1"/>
  <c r="AB346" i="1" s="1"/>
  <c r="P241" i="1"/>
  <c r="AK241" i="1" s="1"/>
  <c r="Q85" i="1"/>
  <c r="O191" i="1"/>
  <c r="S169" i="1"/>
  <c r="O452" i="1"/>
  <c r="S581" i="1"/>
  <c r="U316" i="1"/>
  <c r="U619" i="1"/>
  <c r="O411" i="1"/>
  <c r="W411" i="1" s="1"/>
  <c r="AF411" i="1" s="1"/>
  <c r="T139" i="1"/>
  <c r="AB139" i="1" s="1"/>
  <c r="T90" i="1"/>
  <c r="AB90" i="1" s="1"/>
  <c r="Q248" i="1"/>
  <c r="U590" i="1"/>
  <c r="O624" i="1"/>
  <c r="P268" i="1"/>
  <c r="T604" i="1"/>
  <c r="AB604" i="1" s="1"/>
  <c r="Q389" i="1"/>
  <c r="P369" i="1"/>
  <c r="T190" i="1"/>
  <c r="P584" i="1"/>
  <c r="U516" i="1"/>
  <c r="T217" i="1"/>
  <c r="AB217" i="1" s="1"/>
  <c r="S610" i="1"/>
  <c r="R498" i="1"/>
  <c r="Z498" i="1" s="1"/>
  <c r="Q318" i="1"/>
  <c r="R255" i="1"/>
  <c r="Z255" i="1" s="1"/>
  <c r="O551" i="1"/>
  <c r="T543" i="1"/>
  <c r="AB543" i="1" s="1"/>
  <c r="Q263" i="1"/>
  <c r="U486" i="1"/>
  <c r="U322" i="1"/>
  <c r="O183" i="1"/>
  <c r="P385" i="1"/>
  <c r="X385" i="1" s="1"/>
  <c r="AG385" i="1" s="1"/>
  <c r="S420" i="1"/>
  <c r="Q142" i="1"/>
  <c r="U626" i="1"/>
  <c r="P375" i="1"/>
  <c r="O440" i="1"/>
  <c r="S601" i="1"/>
  <c r="R425" i="1"/>
  <c r="Z425" i="1" s="1"/>
  <c r="Q399" i="1"/>
  <c r="O284" i="1"/>
  <c r="U481" i="1"/>
  <c r="O351" i="1"/>
  <c r="R505" i="1"/>
  <c r="Z505" i="1" s="1"/>
  <c r="R519" i="1"/>
  <c r="Z519" i="1" s="1"/>
  <c r="T127" i="1"/>
  <c r="AB127" i="1" s="1"/>
  <c r="R268" i="1"/>
  <c r="Z268" i="1" s="1"/>
  <c r="Q300" i="1"/>
  <c r="R398" i="1"/>
  <c r="Z398" i="1" s="1"/>
  <c r="Q112" i="1"/>
  <c r="Q237" i="1"/>
  <c r="T466" i="1"/>
  <c r="AB466" i="1" s="1"/>
  <c r="S469" i="1"/>
  <c r="U188" i="1"/>
  <c r="S271" i="1"/>
  <c r="P346" i="1"/>
  <c r="U509" i="1"/>
  <c r="Q449" i="1"/>
  <c r="O115" i="1"/>
  <c r="O198" i="1"/>
  <c r="P162" i="1"/>
  <c r="U330" i="1"/>
  <c r="U665" i="1"/>
  <c r="Q230" i="1"/>
  <c r="R499" i="1"/>
  <c r="Z499" i="1" s="1"/>
  <c r="R253" i="1"/>
  <c r="Z253" i="1" s="1"/>
  <c r="T278" i="1"/>
  <c r="AB278" i="1" s="1"/>
  <c r="R399" i="1"/>
  <c r="Z399" i="1" s="1"/>
  <c r="T517" i="1"/>
  <c r="AB517" i="1" s="1"/>
  <c r="T331" i="1"/>
  <c r="AB331" i="1" s="1"/>
  <c r="T202" i="1"/>
  <c r="AB202" i="1" s="1"/>
  <c r="S553" i="1"/>
  <c r="U581" i="1"/>
  <c r="R346" i="1"/>
  <c r="Z346" i="1" s="1"/>
  <c r="O340" i="1"/>
  <c r="O268" i="1"/>
  <c r="W268" i="1" s="1"/>
  <c r="AF268" i="1" s="1"/>
  <c r="P89" i="1"/>
  <c r="U175" i="1"/>
  <c r="T541" i="1"/>
  <c r="AB541" i="1" s="1"/>
  <c r="R547" i="1"/>
  <c r="Z547" i="1" s="1"/>
  <c r="O174" i="1"/>
  <c r="R336" i="1"/>
  <c r="Z336" i="1" s="1"/>
  <c r="Q251" i="1"/>
  <c r="O362" i="1"/>
  <c r="Q603" i="1"/>
  <c r="U466" i="1"/>
  <c r="T348" i="1"/>
  <c r="AB348" i="1" s="1"/>
  <c r="O477" i="1"/>
  <c r="S501" i="1"/>
  <c r="P646" i="1"/>
  <c r="AK646" i="1" s="1"/>
  <c r="P633" i="1"/>
  <c r="T302" i="1"/>
  <c r="AB302" i="1" s="1"/>
  <c r="O289" i="1"/>
  <c r="S167" i="1"/>
  <c r="T391" i="1"/>
  <c r="AB391" i="1" s="1"/>
  <c r="S302" i="1"/>
  <c r="P292" i="1"/>
  <c r="U94" i="1"/>
  <c r="Q287" i="1"/>
  <c r="Q424" i="1"/>
  <c r="P338" i="1"/>
  <c r="T647" i="1"/>
  <c r="AB647" i="1" s="1"/>
  <c r="U578" i="1"/>
  <c r="R351" i="1"/>
  <c r="Z351" i="1" s="1"/>
  <c r="O430" i="1"/>
  <c r="S244" i="1"/>
  <c r="U113" i="1"/>
  <c r="S478" i="1"/>
  <c r="P109" i="1"/>
  <c r="O365" i="1"/>
  <c r="Q458" i="1"/>
  <c r="U447" i="1"/>
  <c r="R307" i="1"/>
  <c r="Z307" i="1" s="1"/>
  <c r="O566" i="1"/>
  <c r="W566" i="1" s="1"/>
  <c r="AF566" i="1" s="1"/>
  <c r="U589" i="1"/>
  <c r="U250" i="1"/>
  <c r="R514" i="1"/>
  <c r="Q243" i="1"/>
  <c r="Q249" i="1"/>
  <c r="Q188" i="1"/>
  <c r="Q319" i="1"/>
  <c r="P288" i="1"/>
  <c r="P463" i="1"/>
  <c r="S654" i="1"/>
  <c r="U210" i="1"/>
  <c r="O487" i="1"/>
  <c r="O634" i="1"/>
  <c r="R122" i="1"/>
  <c r="Z122" i="1" s="1"/>
  <c r="R130" i="1"/>
  <c r="Z130" i="1" s="1"/>
  <c r="R123" i="1"/>
  <c r="Z123" i="1" s="1"/>
  <c r="R397" i="1"/>
  <c r="Z397" i="1" s="1"/>
  <c r="Q634" i="1"/>
  <c r="T638" i="1"/>
  <c r="AB638" i="1" s="1"/>
  <c r="Q182" i="1"/>
  <c r="R197" i="1"/>
  <c r="Z197" i="1" s="1"/>
  <c r="O305" i="1"/>
  <c r="W305" i="1" s="1"/>
  <c r="AF305" i="1" s="1"/>
  <c r="R567" i="1"/>
  <c r="Z567" i="1" s="1"/>
  <c r="U303" i="1"/>
  <c r="U457" i="1"/>
  <c r="P406" i="1"/>
  <c r="S83" i="1"/>
  <c r="Q644" i="1"/>
  <c r="S253" i="1"/>
  <c r="O394" i="1"/>
  <c r="U610" i="1"/>
  <c r="R201" i="1"/>
  <c r="Z201" i="1" s="1"/>
  <c r="Q612" i="1"/>
  <c r="R151" i="1"/>
  <c r="Z151" i="1" s="1"/>
  <c r="U349" i="1"/>
  <c r="S555" i="1"/>
  <c r="T436" i="1"/>
  <c r="AB436" i="1" s="1"/>
  <c r="P367" i="1"/>
  <c r="R291" i="1"/>
  <c r="Z291" i="1" s="1"/>
  <c r="T633" i="1"/>
  <c r="AB633" i="1" s="1"/>
  <c r="Q465" i="1"/>
  <c r="R459" i="1"/>
  <c r="Z459" i="1" s="1"/>
  <c r="O647" i="1"/>
  <c r="P209" i="1"/>
  <c r="Q129" i="1"/>
  <c r="S604" i="1"/>
  <c r="R495" i="1"/>
  <c r="Z495" i="1" s="1"/>
  <c r="S626" i="1"/>
  <c r="T273" i="1"/>
  <c r="R619" i="1"/>
  <c r="Z619" i="1" s="1"/>
  <c r="AI619" i="1" s="1"/>
  <c r="P452" i="1"/>
  <c r="T464" i="1"/>
  <c r="AB464" i="1" s="1"/>
  <c r="T231" i="1"/>
  <c r="AB231" i="1" s="1"/>
  <c r="T353" i="1"/>
  <c r="AB353" i="1" s="1"/>
  <c r="T415" i="1"/>
  <c r="AB415" i="1" s="1"/>
  <c r="S231" i="1"/>
  <c r="T177" i="1"/>
  <c r="AB177" i="1" s="1"/>
  <c r="O267" i="1"/>
  <c r="U505" i="1"/>
  <c r="O645" i="1"/>
  <c r="W645" i="1" s="1"/>
  <c r="AF645" i="1" s="1"/>
  <c r="T225" i="1"/>
  <c r="AB225" i="1" s="1"/>
  <c r="P320" i="1"/>
  <c r="R169" i="1"/>
  <c r="Z169" i="1" s="1"/>
  <c r="S358" i="1"/>
  <c r="P548" i="1"/>
  <c r="S120" i="1"/>
  <c r="AN120" i="1" s="1"/>
  <c r="AS120" i="1" s="1"/>
  <c r="Q471" i="1"/>
  <c r="P344" i="1"/>
  <c r="P462" i="1"/>
  <c r="S266" i="1"/>
  <c r="P180" i="1"/>
  <c r="Q339" i="1"/>
  <c r="S218" i="1"/>
  <c r="O246" i="1"/>
  <c r="O635" i="1"/>
  <c r="U622" i="1"/>
  <c r="P178" i="1"/>
  <c r="U510" i="1"/>
  <c r="Q146" i="1"/>
  <c r="O335" i="1"/>
  <c r="U197" i="1"/>
  <c r="U453" i="1"/>
  <c r="P473" i="1"/>
  <c r="R218" i="1"/>
  <c r="Z218" i="1" s="1"/>
  <c r="P617" i="1"/>
  <c r="P370" i="1"/>
  <c r="P549" i="1"/>
  <c r="R551" i="1"/>
  <c r="Z551" i="1" s="1"/>
  <c r="S371" i="1"/>
  <c r="Q526" i="1"/>
  <c r="O562" i="1"/>
  <c r="R129" i="1"/>
  <c r="Z129" i="1" s="1"/>
  <c r="S394" i="1"/>
  <c r="Q275" i="1"/>
  <c r="T486" i="1"/>
  <c r="AB486" i="1" s="1"/>
  <c r="U604" i="1"/>
  <c r="P106" i="1"/>
  <c r="R191" i="1"/>
  <c r="Z191" i="1" s="1"/>
  <c r="O492" i="1"/>
  <c r="W492" i="1" s="1"/>
  <c r="AF492" i="1" s="1"/>
  <c r="T500" i="1"/>
  <c r="AB500" i="1" s="1"/>
  <c r="Q469" i="1"/>
  <c r="R226" i="1"/>
  <c r="Z226" i="1" s="1"/>
  <c r="T215" i="1"/>
  <c r="AB215" i="1" s="1"/>
  <c r="U416" i="1"/>
  <c r="T630" i="1"/>
  <c r="AB630" i="1" s="1"/>
  <c r="T289" i="1"/>
  <c r="AB289" i="1" s="1"/>
  <c r="U360" i="1"/>
  <c r="T628" i="1"/>
  <c r="AB628" i="1" s="1"/>
  <c r="U655" i="1"/>
  <c r="T654" i="1"/>
  <c r="AB654" i="1" s="1"/>
  <c r="Q490" i="1"/>
  <c r="O493" i="1"/>
  <c r="W493" i="1" s="1"/>
  <c r="AF493" i="1" s="1"/>
  <c r="R359" i="1"/>
  <c r="Z359" i="1" s="1"/>
  <c r="Q479" i="1"/>
  <c r="P312" i="1"/>
  <c r="O276" i="1"/>
  <c r="AC276" i="1" s="1"/>
  <c r="P559" i="1"/>
  <c r="R241" i="1"/>
  <c r="Z241" i="1" s="1"/>
  <c r="T105" i="1"/>
  <c r="AB105" i="1" s="1"/>
  <c r="R566" i="1"/>
  <c r="Z566" i="1" s="1"/>
  <c r="Q361" i="1"/>
  <c r="Q164" i="1"/>
  <c r="U434" i="1"/>
  <c r="R449" i="1"/>
  <c r="Z449" i="1" s="1"/>
  <c r="O105" i="1"/>
  <c r="W105" i="1" s="1"/>
  <c r="AF105" i="1" s="1"/>
  <c r="O442" i="1"/>
  <c r="W442" i="1" s="1"/>
  <c r="AF442" i="1" s="1"/>
  <c r="U533" i="1"/>
  <c r="U561" i="1"/>
  <c r="R439" i="1"/>
  <c r="Z439" i="1" s="1"/>
  <c r="Q163" i="1"/>
  <c r="S346" i="1"/>
  <c r="T211" i="1"/>
  <c r="AB211" i="1" s="1"/>
  <c r="S624" i="1"/>
  <c r="O488" i="1"/>
  <c r="AC488" i="1" s="1"/>
  <c r="AL488" i="1" s="1"/>
  <c r="S592" i="1"/>
  <c r="P336" i="1"/>
  <c r="R639" i="1"/>
  <c r="Z639" i="1" s="1"/>
  <c r="S190" i="1"/>
  <c r="P314" i="1"/>
  <c r="S152" i="1"/>
  <c r="O299" i="1"/>
  <c r="O383" i="1"/>
  <c r="W383" i="1" s="1"/>
  <c r="AF383" i="1" s="1"/>
  <c r="Q664" i="1"/>
  <c r="U625" i="1"/>
  <c r="Q614" i="1"/>
  <c r="Q310" i="1"/>
  <c r="R491" i="1"/>
  <c r="Z491" i="1" s="1"/>
  <c r="P590" i="1"/>
  <c r="O525" i="1"/>
  <c r="W525" i="1" s="1"/>
  <c r="AF525" i="1" s="1"/>
  <c r="S104" i="1"/>
  <c r="P661" i="1"/>
  <c r="O479" i="1"/>
  <c r="R481" i="1"/>
  <c r="Z481" i="1" s="1"/>
  <c r="O188" i="1"/>
  <c r="AI188" i="1" s="1"/>
  <c r="Q122" i="1"/>
  <c r="S308" i="1"/>
  <c r="T416" i="1"/>
  <c r="AB416" i="1" s="1"/>
  <c r="R238" i="1"/>
  <c r="Z238" i="1" s="1"/>
  <c r="P204" i="1"/>
  <c r="U219" i="1"/>
  <c r="R310" i="1"/>
  <c r="Z310" i="1" s="1"/>
  <c r="R258" i="1"/>
  <c r="Z258" i="1" s="1"/>
  <c r="S238" i="1"/>
  <c r="O559" i="1"/>
  <c r="T599" i="1"/>
  <c r="AB599" i="1" s="1"/>
  <c r="P307" i="1"/>
  <c r="O197" i="1"/>
  <c r="T394" i="1"/>
  <c r="AB394" i="1" s="1"/>
  <c r="U573" i="1"/>
  <c r="U177" i="1"/>
  <c r="Q651" i="1"/>
  <c r="O395" i="1"/>
  <c r="W395" i="1" s="1"/>
  <c r="AF395" i="1" s="1"/>
  <c r="U535" i="1"/>
  <c r="Q637" i="1"/>
  <c r="R211" i="1"/>
  <c r="Z211" i="1" s="1"/>
  <c r="U378" i="1"/>
  <c r="S315" i="1"/>
  <c r="S269" i="1"/>
  <c r="O234" i="1"/>
  <c r="W234" i="1" s="1"/>
  <c r="AF234" i="1" s="1"/>
  <c r="U362" i="1"/>
  <c r="P402" i="1"/>
  <c r="Q215" i="1"/>
  <c r="Y215" i="1" s="1"/>
  <c r="AH215" i="1" s="1"/>
  <c r="U126" i="1"/>
  <c r="U405" i="1"/>
  <c r="Q656" i="1"/>
  <c r="U536" i="1"/>
  <c r="AN536" i="1" s="1"/>
  <c r="AO536" i="1" s="1"/>
  <c r="S117" i="1"/>
  <c r="Q463" i="1"/>
  <c r="R390" i="1"/>
  <c r="Z390" i="1" s="1"/>
  <c r="Q365" i="1"/>
  <c r="S189" i="1"/>
  <c r="O400" i="1"/>
  <c r="W400" i="1" s="1"/>
  <c r="AF400" i="1" s="1"/>
  <c r="U171" i="1"/>
  <c r="T572" i="1"/>
  <c r="AB572" i="1" s="1"/>
  <c r="T334" i="1"/>
  <c r="AB334" i="1" s="1"/>
  <c r="T92" i="1"/>
  <c r="AB92" i="1" s="1"/>
  <c r="Q523" i="1"/>
  <c r="S156" i="1"/>
  <c r="T234" i="1"/>
  <c r="AB234" i="1" s="1"/>
  <c r="R276" i="1"/>
  <c r="Z276" i="1" s="1"/>
  <c r="AI276" i="1" s="1"/>
  <c r="U537" i="1"/>
  <c r="T619" i="1"/>
  <c r="AB619" i="1" s="1"/>
  <c r="R300" i="1"/>
  <c r="Z300" i="1" s="1"/>
  <c r="U473" i="1"/>
  <c r="S656" i="1"/>
  <c r="P582" i="1"/>
  <c r="O446" i="1"/>
  <c r="U368" i="1"/>
  <c r="R193" i="1"/>
  <c r="Z193" i="1" s="1"/>
  <c r="U299" i="1"/>
  <c r="O417" i="1"/>
  <c r="P260" i="1"/>
  <c r="O511" i="1"/>
  <c r="O109" i="1"/>
  <c r="P382" i="1"/>
  <c r="T269" i="1"/>
  <c r="AB269" i="1" s="1"/>
  <c r="Q202" i="1"/>
  <c r="Q512" i="1"/>
  <c r="T183" i="1"/>
  <c r="AB183" i="1" s="1"/>
  <c r="S256" i="1"/>
  <c r="U346" i="1"/>
  <c r="T166" i="1"/>
  <c r="AB166" i="1" s="1"/>
  <c r="P309" i="1"/>
  <c r="P274" i="1"/>
  <c r="U592" i="1"/>
  <c r="U648" i="1"/>
  <c r="T617" i="1"/>
  <c r="AB617" i="1" s="1"/>
  <c r="T162" i="1"/>
  <c r="AB162" i="1" s="1"/>
  <c r="T324" i="1"/>
  <c r="AB324" i="1" s="1"/>
  <c r="T375" i="1"/>
  <c r="AB375" i="1" s="1"/>
  <c r="S240" i="1"/>
  <c r="P592" i="1"/>
  <c r="Q624" i="1"/>
  <c r="S177" i="1"/>
  <c r="P95" i="1"/>
  <c r="T116" i="1"/>
  <c r="AB116" i="1" s="1"/>
  <c r="O158" i="1"/>
  <c r="Q454" i="1"/>
  <c r="S502" i="1"/>
  <c r="Q96" i="1"/>
  <c r="T252" i="1"/>
  <c r="AB252" i="1" s="1"/>
  <c r="U107" i="1"/>
  <c r="R485" i="1"/>
  <c r="Z485" i="1" s="1"/>
  <c r="O486" i="1"/>
  <c r="S307" i="1"/>
  <c r="S458" i="1"/>
  <c r="S161" i="1"/>
  <c r="R295" i="1"/>
  <c r="Z295" i="1" s="1"/>
  <c r="O666" i="1"/>
  <c r="U189" i="1"/>
  <c r="R561" i="1"/>
  <c r="Z561" i="1" s="1"/>
  <c r="Q113" i="1"/>
  <c r="R387" i="1"/>
  <c r="Z387" i="1" s="1"/>
  <c r="R272" i="1"/>
  <c r="Z272" i="1" s="1"/>
  <c r="P238" i="1"/>
  <c r="Q101" i="1"/>
  <c r="Y101" i="1" s="1"/>
  <c r="AH101" i="1" s="1"/>
  <c r="Q107" i="1"/>
  <c r="Q196" i="1"/>
  <c r="S278" i="1"/>
  <c r="R297" i="1"/>
  <c r="Z297" i="1" s="1"/>
  <c r="S451" i="1"/>
  <c r="O620" i="1"/>
  <c r="P188" i="1"/>
  <c r="R556" i="1"/>
  <c r="Z556" i="1" s="1"/>
  <c r="P285" i="1"/>
  <c r="T627" i="1"/>
  <c r="AB627" i="1" s="1"/>
  <c r="R245" i="1"/>
  <c r="Z245" i="1" s="1"/>
  <c r="T430" i="1"/>
  <c r="AB430" i="1" s="1"/>
  <c r="R174" i="1"/>
  <c r="Z174" i="1" s="1"/>
  <c r="T214" i="1"/>
  <c r="AB214" i="1" s="1"/>
  <c r="T548" i="1"/>
  <c r="AB548" i="1" s="1"/>
  <c r="P428" i="1"/>
  <c r="R658" i="1"/>
  <c r="Z658" i="1" s="1"/>
  <c r="U207" i="1"/>
  <c r="Q126" i="1"/>
  <c r="U400" i="1"/>
  <c r="O366" i="1"/>
  <c r="W366" i="1" s="1"/>
  <c r="AF366" i="1" s="1"/>
  <c r="R166" i="1"/>
  <c r="Z166" i="1" s="1"/>
  <c r="S260" i="1"/>
  <c r="T461" i="1"/>
  <c r="AB461" i="1" s="1"/>
  <c r="Q268" i="1"/>
  <c r="T336" i="1"/>
  <c r="AB336" i="1" s="1"/>
  <c r="T483" i="1"/>
  <c r="AB483" i="1" s="1"/>
  <c r="P537" i="1"/>
  <c r="P357" i="1"/>
  <c r="O646" i="1"/>
  <c r="W646" i="1" s="1"/>
  <c r="AF646" i="1" s="1"/>
  <c r="P172" i="1"/>
  <c r="S584" i="1"/>
  <c r="Q293" i="1"/>
  <c r="Y293" i="1" s="1"/>
  <c r="AH293" i="1" s="1"/>
  <c r="U511" i="1"/>
  <c r="AN511" i="1" s="1"/>
  <c r="T414" i="1"/>
  <c r="AB414" i="1" s="1"/>
  <c r="U430" i="1"/>
  <c r="P418" i="1"/>
  <c r="Q311" i="1"/>
  <c r="U425" i="1"/>
  <c r="T454" i="1"/>
  <c r="AB454" i="1" s="1"/>
  <c r="T560" i="1"/>
  <c r="AB560" i="1" s="1"/>
  <c r="AK560" i="1" s="1"/>
  <c r="Q187" i="1"/>
  <c r="R228" i="1"/>
  <c r="Z228" i="1" s="1"/>
  <c r="U521" i="1"/>
  <c r="S374" i="1"/>
  <c r="O554" i="1"/>
  <c r="P644" i="1"/>
  <c r="T306" i="1"/>
  <c r="AB306" i="1" s="1"/>
  <c r="AK306" i="1" s="1"/>
  <c r="Q165" i="1"/>
  <c r="O233" i="1"/>
  <c r="W233" i="1" s="1"/>
  <c r="AF233" i="1" s="1"/>
  <c r="P277" i="1"/>
  <c r="P321" i="1"/>
  <c r="U639" i="1"/>
  <c r="Q615" i="1"/>
  <c r="Q606" i="1"/>
  <c r="S650" i="1"/>
  <c r="S429" i="1"/>
  <c r="O545" i="1"/>
  <c r="Q660" i="1"/>
  <c r="Q440" i="1"/>
  <c r="T640" i="1"/>
  <c r="AB640" i="1" s="1"/>
  <c r="T292" i="1"/>
  <c r="AB292" i="1" s="1"/>
  <c r="Q315" i="1"/>
  <c r="U383" i="1"/>
  <c r="T563" i="1"/>
  <c r="AB563" i="1" s="1"/>
  <c r="T515" i="1"/>
  <c r="AB515" i="1" s="1"/>
  <c r="Q470" i="1"/>
  <c r="P182" i="1"/>
  <c r="P564" i="1"/>
  <c r="P405" i="1"/>
  <c r="T368" i="1"/>
  <c r="AB368" i="1" s="1"/>
  <c r="R321" i="1"/>
  <c r="Z321" i="1" s="1"/>
  <c r="P184" i="1"/>
  <c r="R231" i="1"/>
  <c r="Z231" i="1" s="1"/>
  <c r="T524" i="1"/>
  <c r="AB524" i="1" s="1"/>
  <c r="P96" i="1"/>
  <c r="O663" i="1"/>
  <c r="S301" i="1"/>
  <c r="AN301" i="1" s="1"/>
  <c r="O149" i="1"/>
  <c r="U443" i="1"/>
  <c r="O424" i="1"/>
  <c r="Q184" i="1"/>
  <c r="O580" i="1"/>
  <c r="U221" i="1"/>
  <c r="O427" i="1"/>
  <c r="U394" i="1"/>
  <c r="U284" i="1"/>
  <c r="P571" i="1"/>
  <c r="O420" i="1"/>
  <c r="Q254" i="1"/>
  <c r="Q132" i="1"/>
  <c r="S258" i="1"/>
  <c r="O476" i="1"/>
  <c r="W476" i="1" s="1"/>
  <c r="AF476" i="1" s="1"/>
  <c r="P361" i="1"/>
  <c r="T189" i="1"/>
  <c r="AB189" i="1" s="1"/>
  <c r="P163" i="1"/>
  <c r="AK163" i="1" s="1"/>
  <c r="P576" i="1"/>
  <c r="U597" i="1"/>
  <c r="Q118" i="1"/>
  <c r="T474" i="1"/>
  <c r="AB474" i="1" s="1"/>
  <c r="R540" i="1"/>
  <c r="Z540" i="1" s="1"/>
  <c r="S179" i="1"/>
  <c r="R152" i="1"/>
  <c r="Z152" i="1" s="1"/>
  <c r="Q324" i="1"/>
  <c r="P240" i="1"/>
  <c r="Q183" i="1"/>
  <c r="P195" i="1"/>
  <c r="P159" i="1"/>
  <c r="Q233" i="1"/>
  <c r="U211" i="1"/>
  <c r="P334" i="1"/>
  <c r="U215" i="1"/>
  <c r="P641" i="1"/>
  <c r="U279" i="1"/>
  <c r="S345" i="1"/>
  <c r="U209" i="1"/>
  <c r="AO1180" i="1"/>
  <c r="AP1180" i="1" s="1"/>
  <c r="AQ1180" i="1" s="1"/>
  <c r="AR1180" i="1" s="1"/>
  <c r="AS1180" i="1"/>
  <c r="AC1084" i="1"/>
  <c r="AL1084" i="1" s="1"/>
  <c r="AW1084" i="1" s="1"/>
  <c r="AC1052" i="1"/>
  <c r="AL1052" i="1" s="1"/>
  <c r="AW1052" i="1" s="1"/>
  <c r="AN1033" i="1"/>
  <c r="AO1033" i="1" s="1"/>
  <c r="AP1033" i="1" s="1"/>
  <c r="AQ1033" i="1" s="1"/>
  <c r="AR1033" i="1" s="1"/>
  <c r="AC1033" i="1"/>
  <c r="AL1033" i="1" s="1"/>
  <c r="AW1033" i="1" s="1"/>
  <c r="AX1033" i="1" s="1"/>
  <c r="AY1033" i="1" s="1"/>
  <c r="AZ1033" i="1" s="1"/>
  <c r="BA1033" i="1" s="1"/>
  <c r="AN1017" i="1"/>
  <c r="AO1017" i="1" s="1"/>
  <c r="AP1017" i="1" s="1"/>
  <c r="AQ1017" i="1" s="1"/>
  <c r="AR1017" i="1" s="1"/>
  <c r="AC1017" i="1"/>
  <c r="AL1017" i="1" s="1"/>
  <c r="AW1017" i="1" s="1"/>
  <c r="AC996" i="1"/>
  <c r="AL996" i="1" s="1"/>
  <c r="AW996" i="1" s="1"/>
  <c r="P656" i="1"/>
  <c r="P619" i="1"/>
  <c r="Q239" i="1"/>
  <c r="U540" i="1"/>
  <c r="R215" i="1"/>
  <c r="Z215" i="1" s="1"/>
  <c r="T626" i="1"/>
  <c r="AB626" i="1" s="1"/>
  <c r="T653" i="1"/>
  <c r="AB653" i="1" s="1"/>
  <c r="S666" i="1"/>
  <c r="U327" i="1"/>
  <c r="T490" i="1"/>
  <c r="AB490" i="1" s="1"/>
  <c r="S261" i="1"/>
  <c r="U198" i="1"/>
  <c r="Q301" i="1"/>
  <c r="T367" i="1"/>
  <c r="AB367" i="1" s="1"/>
  <c r="U130" i="1"/>
  <c r="O474" i="1"/>
  <c r="W474" i="1" s="1"/>
  <c r="AF474" i="1" s="1"/>
  <c r="S184" i="1"/>
  <c r="S461" i="1"/>
  <c r="O603" i="1"/>
  <c r="T123" i="1"/>
  <c r="AB123" i="1" s="1"/>
  <c r="T249" i="1"/>
  <c r="AB249" i="1" s="1"/>
  <c r="U397" i="1"/>
  <c r="P324" i="1"/>
  <c r="P331" i="1"/>
  <c r="R442" i="1"/>
  <c r="Z442" i="1" s="1"/>
  <c r="Q393" i="1"/>
  <c r="S209" i="1"/>
  <c r="O653" i="1"/>
  <c r="O438" i="1"/>
  <c r="W438" i="1" s="1"/>
  <c r="AF438" i="1" s="1"/>
  <c r="S660" i="1"/>
  <c r="U513" i="1"/>
  <c r="Q663" i="1"/>
  <c r="T300" i="1"/>
  <c r="AB300" i="1" s="1"/>
  <c r="T237" i="1"/>
  <c r="AB237" i="1" s="1"/>
  <c r="U216" i="1"/>
  <c r="T545" i="1"/>
  <c r="T287" i="1"/>
  <c r="AB287" i="1" s="1"/>
  <c r="O463" i="1"/>
  <c r="O633" i="1"/>
  <c r="R260" i="1"/>
  <c r="Z260" i="1" s="1"/>
  <c r="Q162" i="1"/>
  <c r="Q289" i="1"/>
  <c r="O416" i="1"/>
  <c r="P298" i="1"/>
  <c r="Q639" i="1"/>
  <c r="P91" i="1"/>
  <c r="AS1186" i="1"/>
  <c r="AO1186" i="1"/>
  <c r="AP1186" i="1" s="1"/>
  <c r="AQ1186" i="1" s="1"/>
  <c r="AR1186" i="1" s="1"/>
  <c r="AS1182" i="1"/>
  <c r="AO1182" i="1"/>
  <c r="AP1182" i="1" s="1"/>
  <c r="AQ1182" i="1" s="1"/>
  <c r="AR1182" i="1" s="1"/>
  <c r="AO1181" i="1"/>
  <c r="AP1181" i="1"/>
  <c r="AQ1181" i="1" s="1"/>
  <c r="AR1181" i="1" s="1"/>
  <c r="AS1181" i="1"/>
  <c r="AO1178" i="1"/>
  <c r="AP1178" i="1" s="1"/>
  <c r="AQ1178" i="1" s="1"/>
  <c r="AR1178" i="1" s="1"/>
  <c r="AS1178" i="1"/>
  <c r="AS1169" i="1"/>
  <c r="AO1169" i="1"/>
  <c r="AP1169" i="1" s="1"/>
  <c r="AQ1169" i="1" s="1"/>
  <c r="AR1169" i="1" s="1"/>
  <c r="AS1166" i="1"/>
  <c r="AO1166" i="1"/>
  <c r="AP1166" i="1" s="1"/>
  <c r="AQ1166" i="1" s="1"/>
  <c r="AR1166" i="1" s="1"/>
  <c r="AS1164" i="1"/>
  <c r="AO1164" i="1"/>
  <c r="AP1164" i="1" s="1"/>
  <c r="AQ1164" i="1" s="1"/>
  <c r="AR1164" i="1" s="1"/>
  <c r="AO1162" i="1"/>
  <c r="AP1162" i="1" s="1"/>
  <c r="AQ1162" i="1" s="1"/>
  <c r="AR1162" i="1" s="1"/>
  <c r="AS1162" i="1"/>
  <c r="AS1157" i="1"/>
  <c r="AO1157" i="1"/>
  <c r="AP1157" i="1" s="1"/>
  <c r="AQ1157" i="1" s="1"/>
  <c r="AR1157" i="1" s="1"/>
  <c r="AO1154" i="1"/>
  <c r="AP1154" i="1" s="1"/>
  <c r="AQ1154" i="1" s="1"/>
  <c r="AR1154" i="1" s="1"/>
  <c r="AS1154" i="1"/>
  <c r="AS1150" i="1"/>
  <c r="AO1150" i="1"/>
  <c r="AP1150" i="1" s="1"/>
  <c r="AQ1150" i="1" s="1"/>
  <c r="AR1150" i="1" s="1"/>
  <c r="AS1146" i="1"/>
  <c r="AO1146" i="1"/>
  <c r="AP1146" i="1" s="1"/>
  <c r="AQ1146" i="1" s="1"/>
  <c r="AR1146" i="1" s="1"/>
  <c r="AS1142" i="1"/>
  <c r="AO1142" i="1"/>
  <c r="AP1142" i="1" s="1"/>
  <c r="AQ1142" i="1" s="1"/>
  <c r="AR1142" i="1" s="1"/>
  <c r="AC1138" i="1"/>
  <c r="AL1138" i="1" s="1"/>
  <c r="AW1138" i="1" s="1"/>
  <c r="AX1138" i="1" s="1"/>
  <c r="AY1138" i="1" s="1"/>
  <c r="AZ1138" i="1" s="1"/>
  <c r="BA1138" i="1" s="1"/>
  <c r="AC1134" i="1"/>
  <c r="AL1134" i="1" s="1"/>
  <c r="AW1134" i="1" s="1"/>
  <c r="AC1130" i="1"/>
  <c r="AL1130" i="1" s="1"/>
  <c r="AW1130" i="1" s="1"/>
  <c r="AC1126" i="1"/>
  <c r="AL1126" i="1" s="1"/>
  <c r="AW1126" i="1" s="1"/>
  <c r="AC1122" i="1"/>
  <c r="AL1122" i="1" s="1"/>
  <c r="AW1122" i="1" s="1"/>
  <c r="AC1118" i="1"/>
  <c r="AL1118" i="1" s="1"/>
  <c r="AW1118" i="1" s="1"/>
  <c r="AS1117" i="1"/>
  <c r="AO1117" i="1"/>
  <c r="AP1117" i="1" s="1"/>
  <c r="AQ1117" i="1" s="1"/>
  <c r="AR1117" i="1" s="1"/>
  <c r="AC1114" i="1"/>
  <c r="AL1114" i="1" s="1"/>
  <c r="AW1114" i="1" s="1"/>
  <c r="AX1114" i="1" s="1"/>
  <c r="AY1114" i="1" s="1"/>
  <c r="AZ1114" i="1" s="1"/>
  <c r="BA1114" i="1" s="1"/>
  <c r="AC1110" i="1"/>
  <c r="AL1110" i="1" s="1"/>
  <c r="AW1110" i="1" s="1"/>
  <c r="AC1106" i="1"/>
  <c r="AL1106" i="1" s="1"/>
  <c r="AW1106" i="1" s="1"/>
  <c r="AC1102" i="1"/>
  <c r="AL1102" i="1" s="1"/>
  <c r="AW1102" i="1" s="1"/>
  <c r="AC1098" i="1"/>
  <c r="AL1098" i="1"/>
  <c r="AW1098" i="1" s="1"/>
  <c r="AC1094" i="1"/>
  <c r="AL1094" i="1" s="1"/>
  <c r="AW1094" i="1" s="1"/>
  <c r="AO1093" i="1"/>
  <c r="AP1093" i="1" s="1"/>
  <c r="AQ1093" i="1" s="1"/>
  <c r="AR1093" i="1" s="1"/>
  <c r="AS1093" i="1"/>
  <c r="AC1088" i="1"/>
  <c r="AL1088" i="1" s="1"/>
  <c r="AW1088" i="1" s="1"/>
  <c r="AN1085" i="1"/>
  <c r="AC1085" i="1"/>
  <c r="AL1085" i="1" s="1"/>
  <c r="AW1085" i="1" s="1"/>
  <c r="AX1085" i="1" s="1"/>
  <c r="AY1085" i="1" s="1"/>
  <c r="AZ1085" i="1" s="1"/>
  <c r="BA1085" i="1" s="1"/>
  <c r="AC1080" i="1"/>
  <c r="AL1080" i="1" s="1"/>
  <c r="AW1080" i="1" s="1"/>
  <c r="AX1080" i="1" s="1"/>
  <c r="AY1080" i="1" s="1"/>
  <c r="AZ1080" i="1" s="1"/>
  <c r="BA1080" i="1" s="1"/>
  <c r="AN1077" i="1"/>
  <c r="AS1077" i="1" s="1"/>
  <c r="AC1077" i="1"/>
  <c r="AL1077" i="1" s="1"/>
  <c r="AW1077" i="1" s="1"/>
  <c r="AX1077" i="1" s="1"/>
  <c r="AY1077" i="1" s="1"/>
  <c r="AZ1077" i="1" s="1"/>
  <c r="BA1077" i="1" s="1"/>
  <c r="AC1072" i="1"/>
  <c r="AL1072" i="1" s="1"/>
  <c r="AW1072" i="1" s="1"/>
  <c r="AX1072" i="1" s="1"/>
  <c r="AY1072" i="1" s="1"/>
  <c r="AZ1072" i="1" s="1"/>
  <c r="BA1072" i="1" s="1"/>
  <c r="AN1069" i="1"/>
  <c r="AO1069" i="1" s="1"/>
  <c r="AP1069" i="1" s="1"/>
  <c r="AQ1069" i="1" s="1"/>
  <c r="AR1069" i="1" s="1"/>
  <c r="AC1069" i="1"/>
  <c r="AL1069" i="1" s="1"/>
  <c r="AW1069" i="1" s="1"/>
  <c r="AX1069" i="1" s="1"/>
  <c r="AY1069" i="1" s="1"/>
  <c r="AZ1069" i="1" s="1"/>
  <c r="BA1069" i="1" s="1"/>
  <c r="AC1064" i="1"/>
  <c r="AL1064" i="1" s="1"/>
  <c r="AW1064" i="1" s="1"/>
  <c r="AN1061" i="1"/>
  <c r="AC1061" i="1"/>
  <c r="AL1061" i="1" s="1"/>
  <c r="AW1061" i="1" s="1"/>
  <c r="AC1056" i="1"/>
  <c r="AL1056" i="1" s="1"/>
  <c r="AW1056" i="1" s="1"/>
  <c r="AN1053" i="1"/>
  <c r="AC1053" i="1"/>
  <c r="AL1053" i="1" s="1"/>
  <c r="AW1053" i="1" s="1"/>
  <c r="AC1048" i="1"/>
  <c r="AL1048" i="1" s="1"/>
  <c r="AW1048" i="1" s="1"/>
  <c r="AN1045" i="1"/>
  <c r="AO1045" i="1" s="1"/>
  <c r="AP1045" i="1" s="1"/>
  <c r="AQ1045" i="1" s="1"/>
  <c r="AR1045" i="1" s="1"/>
  <c r="AC1045" i="1"/>
  <c r="AL1045" i="1" s="1"/>
  <c r="AW1045" i="1" s="1"/>
  <c r="AC1040" i="1"/>
  <c r="AL1040" i="1" s="1"/>
  <c r="AW1040" i="1" s="1"/>
  <c r="AN1037" i="1"/>
  <c r="AS1037" i="1" s="1"/>
  <c r="AC1037" i="1"/>
  <c r="AL1037" i="1" s="1"/>
  <c r="AW1037" i="1" s="1"/>
  <c r="AX1037" i="1" s="1"/>
  <c r="AY1037" i="1" s="1"/>
  <c r="AZ1037" i="1" s="1"/>
  <c r="BA1037" i="1" s="1"/>
  <c r="AC1032" i="1"/>
  <c r="AL1032" i="1" s="1"/>
  <c r="AW1032" i="1" s="1"/>
  <c r="AN1029" i="1"/>
  <c r="AC1029" i="1"/>
  <c r="AL1029" i="1" s="1"/>
  <c r="AW1029" i="1" s="1"/>
  <c r="AX1029" i="1" s="1"/>
  <c r="AY1029" i="1" s="1"/>
  <c r="AZ1029" i="1" s="1"/>
  <c r="BA1029" i="1" s="1"/>
  <c r="AC1024" i="1"/>
  <c r="AL1024" i="1" s="1"/>
  <c r="AW1024" i="1" s="1"/>
  <c r="AN1021" i="1"/>
  <c r="AC1021" i="1"/>
  <c r="AL1021" i="1" s="1"/>
  <c r="AW1021" i="1" s="1"/>
  <c r="AC1016" i="1"/>
  <c r="AL1016" i="1" s="1"/>
  <c r="AW1016" i="1" s="1"/>
  <c r="AX1016" i="1" s="1"/>
  <c r="AY1016" i="1" s="1"/>
  <c r="AZ1016" i="1" s="1"/>
  <c r="BA1016" i="1" s="1"/>
  <c r="AN1013" i="1"/>
  <c r="AO1013" i="1" s="1"/>
  <c r="AP1013" i="1" s="1"/>
  <c r="AQ1013" i="1" s="1"/>
  <c r="AR1013" i="1" s="1"/>
  <c r="AC1013" i="1"/>
  <c r="AL1013" i="1" s="1"/>
  <c r="AW1013" i="1" s="1"/>
  <c r="AC1008" i="1"/>
  <c r="AL1008" i="1" s="1"/>
  <c r="AW1008" i="1" s="1"/>
  <c r="AN1005" i="1"/>
  <c r="AS1005" i="1" s="1"/>
  <c r="AC1005" i="1"/>
  <c r="AL1005" i="1" s="1"/>
  <c r="AW1005" i="1" s="1"/>
  <c r="AC1000" i="1"/>
  <c r="AL1000" i="1" s="1"/>
  <c r="AW1000" i="1" s="1"/>
  <c r="AX1000" i="1" s="1"/>
  <c r="AY1000" i="1" s="1"/>
  <c r="AZ1000" i="1" s="1"/>
  <c r="BA1000" i="1" s="1"/>
  <c r="AN997" i="1"/>
  <c r="AC997" i="1"/>
  <c r="AL997" i="1" s="1"/>
  <c r="AW997" i="1" s="1"/>
  <c r="AX997" i="1" s="1"/>
  <c r="AY997" i="1" s="1"/>
  <c r="AZ997" i="1" s="1"/>
  <c r="BA997" i="1" s="1"/>
  <c r="AC992" i="1"/>
  <c r="AL992" i="1" s="1"/>
  <c r="AW992" i="1" s="1"/>
  <c r="BB992" i="1" s="1"/>
  <c r="AN989" i="1"/>
  <c r="AC989" i="1"/>
  <c r="AL989" i="1" s="1"/>
  <c r="AW989" i="1" s="1"/>
  <c r="AC984" i="1"/>
  <c r="AL984" i="1" s="1"/>
  <c r="AW984" i="1" s="1"/>
  <c r="AN981" i="1"/>
  <c r="AS981" i="1" s="1"/>
  <c r="AC981" i="1"/>
  <c r="AL981" i="1" s="1"/>
  <c r="AW981" i="1" s="1"/>
  <c r="AX981" i="1" s="1"/>
  <c r="AY981" i="1" s="1"/>
  <c r="AZ981" i="1" s="1"/>
  <c r="BA981" i="1" s="1"/>
  <c r="AW713" i="1"/>
  <c r="AX713" i="1" s="1"/>
  <c r="AY713" i="1" s="1"/>
  <c r="AZ713" i="1" s="1"/>
  <c r="BA713" i="1" s="1"/>
  <c r="AO1138" i="1"/>
  <c r="AP1138" i="1" s="1"/>
  <c r="AQ1138" i="1" s="1"/>
  <c r="AR1138" i="1" s="1"/>
  <c r="AS1138" i="1"/>
  <c r="AO1134" i="1"/>
  <c r="AP1134" i="1" s="1"/>
  <c r="AQ1134" i="1" s="1"/>
  <c r="AR1134" i="1" s="1"/>
  <c r="AS1134" i="1"/>
  <c r="AS1130" i="1"/>
  <c r="AO1130" i="1"/>
  <c r="AP1130" i="1" s="1"/>
  <c r="AQ1130" i="1" s="1"/>
  <c r="AR1130" i="1" s="1"/>
  <c r="AS1126" i="1"/>
  <c r="AO1126" i="1"/>
  <c r="AP1126" i="1" s="1"/>
  <c r="AQ1126" i="1" s="1"/>
  <c r="AR1126" i="1" s="1"/>
  <c r="AO1122" i="1"/>
  <c r="AP1122" i="1" s="1"/>
  <c r="AQ1122" i="1" s="1"/>
  <c r="AR1122" i="1" s="1"/>
  <c r="AS1122" i="1"/>
  <c r="AO1118" i="1"/>
  <c r="AP1118" i="1" s="1"/>
  <c r="AQ1118" i="1" s="1"/>
  <c r="AR1118" i="1" s="1"/>
  <c r="AS1118" i="1"/>
  <c r="AO1114" i="1"/>
  <c r="AP1114" i="1" s="1"/>
  <c r="AQ1114" i="1" s="1"/>
  <c r="AR1114" i="1" s="1"/>
  <c r="AS1114" i="1"/>
  <c r="AS1110" i="1"/>
  <c r="AO1110" i="1"/>
  <c r="AP1110" i="1" s="1"/>
  <c r="AQ1110" i="1" s="1"/>
  <c r="AR1110" i="1" s="1"/>
  <c r="AO1106" i="1"/>
  <c r="AP1106" i="1" s="1"/>
  <c r="AQ1106" i="1" s="1"/>
  <c r="AR1106" i="1" s="1"/>
  <c r="AS1106" i="1"/>
  <c r="AS1102" i="1"/>
  <c r="AO1102" i="1"/>
  <c r="AP1102" i="1" s="1"/>
  <c r="AQ1102" i="1" s="1"/>
  <c r="AR1102" i="1" s="1"/>
  <c r="AS1098" i="1"/>
  <c r="AO1098" i="1"/>
  <c r="AP1098" i="1" s="1"/>
  <c r="AQ1098" i="1" s="1"/>
  <c r="AR1098" i="1" s="1"/>
  <c r="AW723" i="1"/>
  <c r="AS1170" i="1"/>
  <c r="AO667" i="1"/>
  <c r="AP667" i="1" s="1"/>
  <c r="AQ667" i="1" s="1"/>
  <c r="AR667" i="1" s="1"/>
  <c r="AO675" i="1"/>
  <c r="AP675" i="1" s="1"/>
  <c r="AQ675" i="1" s="1"/>
  <c r="AR675" i="1" s="1"/>
  <c r="AO683" i="1"/>
  <c r="AP683" i="1" s="1"/>
  <c r="AQ683" i="1" s="1"/>
  <c r="AR683" i="1" s="1"/>
  <c r="AO733" i="1"/>
  <c r="AP733" i="1" s="1"/>
  <c r="AQ733" i="1" s="1"/>
  <c r="AR733" i="1" s="1"/>
  <c r="AO681" i="1"/>
  <c r="AP681" i="1" s="1"/>
  <c r="AQ681" i="1" s="1"/>
  <c r="AR681" i="1" s="1"/>
  <c r="AO685" i="1"/>
  <c r="AP685" i="1" s="1"/>
  <c r="AQ685" i="1" s="1"/>
  <c r="AR685" i="1" s="1"/>
  <c r="AO723" i="1"/>
  <c r="AP723" i="1" s="1"/>
  <c r="AQ723" i="1" s="1"/>
  <c r="AR723" i="1" s="1"/>
  <c r="AO673" i="1"/>
  <c r="AP673" i="1" s="1"/>
  <c r="AQ673" i="1" s="1"/>
  <c r="AR673" i="1" s="1"/>
  <c r="AO677" i="1"/>
  <c r="AP677" i="1" s="1"/>
  <c r="AQ677" i="1" s="1"/>
  <c r="AR677" i="1" s="1"/>
  <c r="AO687" i="1"/>
  <c r="AP687" i="1" s="1"/>
  <c r="AQ687" i="1" s="1"/>
  <c r="AR687" i="1" s="1"/>
  <c r="AO706" i="1"/>
  <c r="AP706" i="1" s="1"/>
  <c r="AQ706" i="1" s="1"/>
  <c r="AR706" i="1" s="1"/>
  <c r="AO713" i="1"/>
  <c r="AP713" i="1" s="1"/>
  <c r="AQ713" i="1" s="1"/>
  <c r="AR713" i="1" s="1"/>
  <c r="AO725" i="1"/>
  <c r="AP725" i="1" s="1"/>
  <c r="AQ725" i="1" s="1"/>
  <c r="AR725" i="1" s="1"/>
  <c r="AO669" i="1"/>
  <c r="AP669" i="1" s="1"/>
  <c r="AQ669" i="1" s="1"/>
  <c r="AR669" i="1" s="1"/>
  <c r="AO671" i="1"/>
  <c r="AP671" i="1" s="1"/>
  <c r="AQ671" i="1" s="1"/>
  <c r="AR671" i="1" s="1"/>
  <c r="AO679" i="1"/>
  <c r="AP679" i="1" s="1"/>
  <c r="AQ679" i="1" s="1"/>
  <c r="AR679" i="1" s="1"/>
  <c r="AO719" i="1"/>
  <c r="AP719" i="1" s="1"/>
  <c r="AQ719" i="1" s="1"/>
  <c r="AR719" i="1" s="1"/>
  <c r="AO697" i="1"/>
  <c r="AP697" i="1" s="1"/>
  <c r="AQ697" i="1" s="1"/>
  <c r="AR697" i="1" s="1"/>
  <c r="AO715" i="1"/>
  <c r="AP715" i="1" s="1"/>
  <c r="AQ715" i="1" s="1"/>
  <c r="AR715" i="1" s="1"/>
  <c r="AO717" i="1"/>
  <c r="AP717" i="1" s="1"/>
  <c r="AQ717" i="1" s="1"/>
  <c r="AR717" i="1" s="1"/>
  <c r="AO712" i="1"/>
  <c r="AP712" i="1" s="1"/>
  <c r="AQ712" i="1" s="1"/>
  <c r="AR712" i="1" s="1"/>
  <c r="AO689" i="1"/>
  <c r="AP689" i="1" s="1"/>
  <c r="AQ689" i="1" s="1"/>
  <c r="AR689" i="1" s="1"/>
  <c r="AN1090" i="1"/>
  <c r="AC1086" i="1"/>
  <c r="AL1086" i="1" s="1"/>
  <c r="AW1086" i="1" s="1"/>
  <c r="AC1078" i="1"/>
  <c r="AL1078" i="1" s="1"/>
  <c r="AW1078" i="1" s="1"/>
  <c r="AN1070" i="1"/>
  <c r="AO1070" i="1" s="1"/>
  <c r="AP1070" i="1" s="1"/>
  <c r="AQ1070" i="1" s="1"/>
  <c r="AR1070" i="1" s="1"/>
  <c r="AN1062" i="1"/>
  <c r="AS1062" i="1" s="1"/>
  <c r="AC1050" i="1"/>
  <c r="AL1050" i="1" s="1"/>
  <c r="AW1050" i="1" s="1"/>
  <c r="AC1038" i="1"/>
  <c r="AL1038" i="1" s="1"/>
  <c r="AW1038" i="1" s="1"/>
  <c r="AX1038" i="1" s="1"/>
  <c r="AY1038" i="1" s="1"/>
  <c r="AZ1038" i="1" s="1"/>
  <c r="BA1038" i="1" s="1"/>
  <c r="AN1030" i="1"/>
  <c r="AO1030" i="1" s="1"/>
  <c r="AP1030" i="1" s="1"/>
  <c r="AQ1030" i="1" s="1"/>
  <c r="AR1030" i="1" s="1"/>
  <c r="AN1022" i="1"/>
  <c r="AC1018" i="1"/>
  <c r="AL1018" i="1" s="1"/>
  <c r="AW1018" i="1" s="1"/>
  <c r="AC1006" i="1"/>
  <c r="AL1006" i="1" s="1"/>
  <c r="AW1006" i="1" s="1"/>
  <c r="AN998" i="1"/>
  <c r="AN990" i="1"/>
  <c r="AS990" i="1" s="1"/>
  <c r="AC978" i="1"/>
  <c r="AL978" i="1" s="1"/>
  <c r="AW978" i="1" s="1"/>
  <c r="AO798" i="1"/>
  <c r="AP798" i="1" s="1"/>
  <c r="AQ798" i="1" s="1"/>
  <c r="AR798" i="1" s="1"/>
  <c r="AS798" i="1"/>
  <c r="AW734" i="1"/>
  <c r="AX734" i="1" s="1"/>
  <c r="AY734" i="1" s="1"/>
  <c r="AZ734" i="1" s="1"/>
  <c r="BA734" i="1" s="1"/>
  <c r="AW730" i="1"/>
  <c r="AX730" i="1" s="1"/>
  <c r="AY730" i="1" s="1"/>
  <c r="AZ730" i="1" s="1"/>
  <c r="BA730" i="1" s="1"/>
  <c r="AW721" i="1"/>
  <c r="AX721" i="1" s="1"/>
  <c r="AY721" i="1" s="1"/>
  <c r="AZ721" i="1" s="1"/>
  <c r="BA721" i="1" s="1"/>
  <c r="AW703" i="1"/>
  <c r="AX703" i="1" s="1"/>
  <c r="AY703" i="1" s="1"/>
  <c r="AZ703" i="1" s="1"/>
  <c r="BA703" i="1" s="1"/>
  <c r="AW692" i="1"/>
  <c r="BB692" i="1" s="1"/>
  <c r="AW687" i="1"/>
  <c r="AX687" i="1" s="1"/>
  <c r="AY687" i="1" s="1"/>
  <c r="AZ687" i="1" s="1"/>
  <c r="BA687" i="1" s="1"/>
  <c r="AW681" i="1"/>
  <c r="AX681" i="1" s="1"/>
  <c r="AY681" i="1" s="1"/>
  <c r="AZ681" i="1" s="1"/>
  <c r="BA681" i="1" s="1"/>
  <c r="AW676" i="1"/>
  <c r="AX676" i="1" s="1"/>
  <c r="AY676" i="1" s="1"/>
  <c r="AZ676" i="1" s="1"/>
  <c r="BA676" i="1" s="1"/>
  <c r="AW672" i="1"/>
  <c r="AX672" i="1" s="1"/>
  <c r="AY672" i="1" s="1"/>
  <c r="AZ672" i="1" s="1"/>
  <c r="BA672" i="1" s="1"/>
  <c r="AN1091" i="1"/>
  <c r="AO1091" i="1" s="1"/>
  <c r="AP1091" i="1" s="1"/>
  <c r="AQ1091" i="1" s="1"/>
  <c r="AR1091" i="1" s="1"/>
  <c r="AC1091" i="1"/>
  <c r="AL1091" i="1" s="1"/>
  <c r="AW1091" i="1" s="1"/>
  <c r="AN1087" i="1"/>
  <c r="AC1087" i="1"/>
  <c r="AL1087" i="1"/>
  <c r="AW1087" i="1" s="1"/>
  <c r="AN1083" i="1"/>
  <c r="AS1083" i="1" s="1"/>
  <c r="AC1083" i="1"/>
  <c r="AL1083" i="1" s="1"/>
  <c r="AW1083" i="1" s="1"/>
  <c r="AN1079" i="1"/>
  <c r="AO1079" i="1" s="1"/>
  <c r="AP1079" i="1" s="1"/>
  <c r="AQ1079" i="1" s="1"/>
  <c r="AR1079" i="1" s="1"/>
  <c r="AC1079" i="1"/>
  <c r="AL1079" i="1" s="1"/>
  <c r="AW1079" i="1" s="1"/>
  <c r="AN1075" i="1"/>
  <c r="AO1075" i="1" s="1"/>
  <c r="AP1075" i="1" s="1"/>
  <c r="AQ1075" i="1" s="1"/>
  <c r="AR1075" i="1" s="1"/>
  <c r="AC1075" i="1"/>
  <c r="AL1075" i="1" s="1"/>
  <c r="AW1075" i="1" s="1"/>
  <c r="AN1071" i="1"/>
  <c r="AS1071" i="1" s="1"/>
  <c r="AC1071" i="1"/>
  <c r="AL1071" i="1" s="1"/>
  <c r="AW1071" i="1" s="1"/>
  <c r="AX1071" i="1" s="1"/>
  <c r="AY1071" i="1" s="1"/>
  <c r="AZ1071" i="1" s="1"/>
  <c r="BA1071" i="1" s="1"/>
  <c r="AN1067" i="1"/>
  <c r="AC1067" i="1"/>
  <c r="AL1067" i="1" s="1"/>
  <c r="AW1067" i="1" s="1"/>
  <c r="AN1063" i="1"/>
  <c r="AS1063" i="1" s="1"/>
  <c r="AC1063" i="1"/>
  <c r="AL1063" i="1" s="1"/>
  <c r="AW1063" i="1" s="1"/>
  <c r="AN1059" i="1"/>
  <c r="AC1059" i="1"/>
  <c r="AL1059" i="1" s="1"/>
  <c r="AW1059" i="1" s="1"/>
  <c r="AN1055" i="1"/>
  <c r="AO1055" i="1" s="1"/>
  <c r="AP1055" i="1" s="1"/>
  <c r="AQ1055" i="1" s="1"/>
  <c r="AR1055" i="1" s="1"/>
  <c r="AC1055" i="1"/>
  <c r="AL1055" i="1" s="1"/>
  <c r="AW1055" i="1" s="1"/>
  <c r="AN1051" i="1"/>
  <c r="AC1051" i="1"/>
  <c r="AL1051" i="1" s="1"/>
  <c r="AW1051" i="1" s="1"/>
  <c r="AN1047" i="1"/>
  <c r="AS1047" i="1" s="1"/>
  <c r="AC1047" i="1"/>
  <c r="AL1047" i="1" s="1"/>
  <c r="AW1047" i="1" s="1"/>
  <c r="AN1043" i="1"/>
  <c r="AS1043" i="1" s="1"/>
  <c r="AC1043" i="1"/>
  <c r="AL1043" i="1" s="1"/>
  <c r="AW1043" i="1" s="1"/>
  <c r="AN1039" i="1"/>
  <c r="AO1039" i="1" s="1"/>
  <c r="AP1039" i="1" s="1"/>
  <c r="AQ1039" i="1" s="1"/>
  <c r="AR1039" i="1" s="1"/>
  <c r="AC1039" i="1"/>
  <c r="AL1039" i="1" s="1"/>
  <c r="AW1039" i="1" s="1"/>
  <c r="AN1035" i="1"/>
  <c r="AC1035" i="1"/>
  <c r="AL1035" i="1" s="1"/>
  <c r="AW1035" i="1" s="1"/>
  <c r="AN1031" i="1"/>
  <c r="AO1031" i="1" s="1"/>
  <c r="AP1031" i="1" s="1"/>
  <c r="AQ1031" i="1" s="1"/>
  <c r="AR1031" i="1" s="1"/>
  <c r="AC1031" i="1"/>
  <c r="AL1031" i="1"/>
  <c r="AW1031" i="1" s="1"/>
  <c r="AX1031" i="1" s="1"/>
  <c r="AY1031" i="1" s="1"/>
  <c r="AZ1031" i="1" s="1"/>
  <c r="BA1031" i="1" s="1"/>
  <c r="AN1027" i="1"/>
  <c r="AC1027" i="1"/>
  <c r="AL1027" i="1" s="1"/>
  <c r="AW1027" i="1" s="1"/>
  <c r="AN1023" i="1"/>
  <c r="AC1023" i="1"/>
  <c r="AL1023" i="1" s="1"/>
  <c r="AW1023" i="1" s="1"/>
  <c r="AN1019" i="1"/>
  <c r="AS1019" i="1" s="1"/>
  <c r="AC1019" i="1"/>
  <c r="AL1019" i="1" s="1"/>
  <c r="AW1019" i="1" s="1"/>
  <c r="AN1015" i="1"/>
  <c r="AC1015" i="1"/>
  <c r="AL1015" i="1"/>
  <c r="AW1015" i="1" s="1"/>
  <c r="BB1015" i="1" s="1"/>
  <c r="AN1011" i="1"/>
  <c r="AS1011" i="1" s="1"/>
  <c r="AC1011" i="1"/>
  <c r="AL1011" i="1" s="1"/>
  <c r="AW1011" i="1" s="1"/>
  <c r="AN1007" i="1"/>
  <c r="AC1007" i="1"/>
  <c r="AL1007" i="1" s="1"/>
  <c r="AW1007" i="1" s="1"/>
  <c r="AN1003" i="1"/>
  <c r="AC1003" i="1"/>
  <c r="AL1003" i="1" s="1"/>
  <c r="AW1003" i="1" s="1"/>
  <c r="AN999" i="1"/>
  <c r="AS999" i="1" s="1"/>
  <c r="AC999" i="1"/>
  <c r="AL999" i="1" s="1"/>
  <c r="AW999" i="1" s="1"/>
  <c r="AN995" i="1"/>
  <c r="AC995" i="1"/>
  <c r="AL995" i="1" s="1"/>
  <c r="AW995" i="1" s="1"/>
  <c r="AN991" i="1"/>
  <c r="AS991" i="1" s="1"/>
  <c r="AC991" i="1"/>
  <c r="AL991" i="1" s="1"/>
  <c r="AW991" i="1" s="1"/>
  <c r="AN987" i="1"/>
  <c r="AC987" i="1"/>
  <c r="AL987" i="1" s="1"/>
  <c r="AW987" i="1" s="1"/>
  <c r="AN983" i="1"/>
  <c r="AS983" i="1" s="1"/>
  <c r="AC983" i="1"/>
  <c r="AL983" i="1" s="1"/>
  <c r="AW983" i="1" s="1"/>
  <c r="BB983" i="1" s="1"/>
  <c r="AN979" i="1"/>
  <c r="AO979" i="1" s="1"/>
  <c r="AP979" i="1" s="1"/>
  <c r="AQ979" i="1" s="1"/>
  <c r="AR979" i="1" s="1"/>
  <c r="AC979" i="1"/>
  <c r="AL979" i="1" s="1"/>
  <c r="AW979" i="1" s="1"/>
  <c r="AW733" i="1"/>
  <c r="AX733" i="1" s="1"/>
  <c r="AY733" i="1" s="1"/>
  <c r="AZ733" i="1" s="1"/>
  <c r="BA733" i="1" s="1"/>
  <c r="AW729" i="1"/>
  <c r="AW708" i="1"/>
  <c r="AW699" i="1"/>
  <c r="AW679" i="1"/>
  <c r="AX679" i="1" s="1"/>
  <c r="AY679" i="1" s="1"/>
  <c r="AZ679" i="1" s="1"/>
  <c r="BA679" i="1" s="1"/>
  <c r="AC977" i="1"/>
  <c r="AL977" i="1" s="1"/>
  <c r="AW977" i="1" s="1"/>
  <c r="BB977" i="1" s="1"/>
  <c r="AC975" i="1"/>
  <c r="AL975" i="1" s="1"/>
  <c r="AW975" i="1" s="1"/>
  <c r="AC973" i="1"/>
  <c r="AL973" i="1" s="1"/>
  <c r="AW973" i="1" s="1"/>
  <c r="AC971" i="1"/>
  <c r="AL971" i="1" s="1"/>
  <c r="AW971" i="1" s="1"/>
  <c r="AC970" i="1"/>
  <c r="AL970" i="1" s="1"/>
  <c r="AW970" i="1" s="1"/>
  <c r="AC969" i="1"/>
  <c r="AL969" i="1" s="1"/>
  <c r="AW969" i="1" s="1"/>
  <c r="BB969" i="1" s="1"/>
  <c r="AC967" i="1"/>
  <c r="AL967" i="1" s="1"/>
  <c r="AW967" i="1" s="1"/>
  <c r="BB967" i="1" s="1"/>
  <c r="AC966" i="1"/>
  <c r="AL966" i="1" s="1"/>
  <c r="AW966" i="1" s="1"/>
  <c r="AC965" i="1"/>
  <c r="AL965" i="1" s="1"/>
  <c r="AW965" i="1" s="1"/>
  <c r="AC963" i="1"/>
  <c r="AL963" i="1" s="1"/>
  <c r="AW963" i="1" s="1"/>
  <c r="AC962" i="1"/>
  <c r="AL962" i="1" s="1"/>
  <c r="AW962" i="1" s="1"/>
  <c r="AC961" i="1"/>
  <c r="AL961" i="1" s="1"/>
  <c r="AW961" i="1" s="1"/>
  <c r="AC960" i="1"/>
  <c r="AL960" i="1" s="1"/>
  <c r="AW960" i="1" s="1"/>
  <c r="AC959" i="1"/>
  <c r="AL959" i="1" s="1"/>
  <c r="AW959" i="1" s="1"/>
  <c r="AC958" i="1"/>
  <c r="AL958" i="1" s="1"/>
  <c r="AW958" i="1" s="1"/>
  <c r="AC957" i="1"/>
  <c r="AL957" i="1" s="1"/>
  <c r="AW957" i="1" s="1"/>
  <c r="AC956" i="1"/>
  <c r="AL956" i="1"/>
  <c r="AW956" i="1" s="1"/>
  <c r="AC955" i="1"/>
  <c r="AL955" i="1" s="1"/>
  <c r="AW955" i="1" s="1"/>
  <c r="AC954" i="1"/>
  <c r="AL954" i="1" s="1"/>
  <c r="AW954" i="1" s="1"/>
  <c r="AC953" i="1"/>
  <c r="AL953" i="1" s="1"/>
  <c r="AW953" i="1" s="1"/>
  <c r="AX953" i="1" s="1"/>
  <c r="AY953" i="1" s="1"/>
  <c r="AZ953" i="1" s="1"/>
  <c r="BA953" i="1" s="1"/>
  <c r="AC952" i="1"/>
  <c r="AL952" i="1" s="1"/>
  <c r="AW952" i="1" s="1"/>
  <c r="AX952" i="1" s="1"/>
  <c r="AY952" i="1" s="1"/>
  <c r="AZ952" i="1" s="1"/>
  <c r="BA952" i="1" s="1"/>
  <c r="AC951" i="1"/>
  <c r="AL951" i="1" s="1"/>
  <c r="AW951" i="1" s="1"/>
  <c r="AC950" i="1"/>
  <c r="AL950" i="1" s="1"/>
  <c r="AW950" i="1" s="1"/>
  <c r="AC949" i="1"/>
  <c r="AL949" i="1" s="1"/>
  <c r="AW949" i="1" s="1"/>
  <c r="AX949" i="1" s="1"/>
  <c r="AY949" i="1" s="1"/>
  <c r="AZ949" i="1" s="1"/>
  <c r="BA949" i="1" s="1"/>
  <c r="AC948" i="1"/>
  <c r="AL948" i="1" s="1"/>
  <c r="AW948" i="1" s="1"/>
  <c r="AC947" i="1"/>
  <c r="AL947" i="1" s="1"/>
  <c r="AW947" i="1" s="1"/>
  <c r="AC946" i="1"/>
  <c r="AL946" i="1" s="1"/>
  <c r="AW946" i="1" s="1"/>
  <c r="AC945" i="1"/>
  <c r="AL945" i="1" s="1"/>
  <c r="AW945" i="1" s="1"/>
  <c r="AC944" i="1"/>
  <c r="AL944" i="1" s="1"/>
  <c r="AW944" i="1" s="1"/>
  <c r="AC943" i="1"/>
  <c r="AL943" i="1" s="1"/>
  <c r="AW943" i="1" s="1"/>
  <c r="AC942" i="1"/>
  <c r="AL942" i="1"/>
  <c r="AW942" i="1" s="1"/>
  <c r="AC941" i="1"/>
  <c r="AL941" i="1" s="1"/>
  <c r="AW941" i="1" s="1"/>
  <c r="AC940" i="1"/>
  <c r="AL940" i="1" s="1"/>
  <c r="AW940" i="1" s="1"/>
  <c r="AC939" i="1"/>
  <c r="AL939" i="1" s="1"/>
  <c r="AW939" i="1" s="1"/>
  <c r="AC938" i="1"/>
  <c r="AL938" i="1" s="1"/>
  <c r="AW938" i="1" s="1"/>
  <c r="AC937" i="1"/>
  <c r="AL937" i="1" s="1"/>
  <c r="AW937" i="1" s="1"/>
  <c r="AC936" i="1"/>
  <c r="AL936" i="1" s="1"/>
  <c r="AW936" i="1" s="1"/>
  <c r="AC935" i="1"/>
  <c r="AL935" i="1" s="1"/>
  <c r="AW935" i="1" s="1"/>
  <c r="BB935" i="1" s="1"/>
  <c r="AC934" i="1"/>
  <c r="AL934" i="1" s="1"/>
  <c r="AW934" i="1" s="1"/>
  <c r="AX934" i="1" s="1"/>
  <c r="AY934" i="1" s="1"/>
  <c r="AZ934" i="1" s="1"/>
  <c r="BA934" i="1" s="1"/>
  <c r="AC933" i="1"/>
  <c r="AL933" i="1" s="1"/>
  <c r="AW933" i="1" s="1"/>
  <c r="AX933" i="1" s="1"/>
  <c r="AY933" i="1" s="1"/>
  <c r="AZ933" i="1" s="1"/>
  <c r="BA933" i="1" s="1"/>
  <c r="AC932" i="1"/>
  <c r="AL932" i="1" s="1"/>
  <c r="AW932" i="1" s="1"/>
  <c r="AC931" i="1"/>
  <c r="AL931" i="1" s="1"/>
  <c r="AW931" i="1" s="1"/>
  <c r="AC930" i="1"/>
  <c r="AL930" i="1" s="1"/>
  <c r="AW930" i="1" s="1"/>
  <c r="AC929" i="1"/>
  <c r="AL929" i="1" s="1"/>
  <c r="AW929" i="1" s="1"/>
  <c r="AC928" i="1"/>
  <c r="AL928" i="1" s="1"/>
  <c r="AW928" i="1" s="1"/>
  <c r="AC927" i="1"/>
  <c r="AL927" i="1" s="1"/>
  <c r="AW927" i="1" s="1"/>
  <c r="AC926" i="1"/>
  <c r="AL926" i="1" s="1"/>
  <c r="AW926" i="1" s="1"/>
  <c r="AC925" i="1"/>
  <c r="AL925" i="1" s="1"/>
  <c r="AW925" i="1" s="1"/>
  <c r="AX925" i="1" s="1"/>
  <c r="AY925" i="1" s="1"/>
  <c r="AZ925" i="1" s="1"/>
  <c r="BA925" i="1" s="1"/>
  <c r="AC924" i="1"/>
  <c r="AL924" i="1" s="1"/>
  <c r="AW924" i="1" s="1"/>
  <c r="AC923" i="1"/>
  <c r="AL923" i="1" s="1"/>
  <c r="AW923" i="1" s="1"/>
  <c r="AC922" i="1"/>
  <c r="AL922" i="1" s="1"/>
  <c r="AW922" i="1" s="1"/>
  <c r="AC921" i="1"/>
  <c r="AL921" i="1" s="1"/>
  <c r="AW921" i="1" s="1"/>
  <c r="AC920" i="1"/>
  <c r="AL920" i="1" s="1"/>
  <c r="AW920" i="1" s="1"/>
  <c r="AC919" i="1"/>
  <c r="AL919" i="1" s="1"/>
  <c r="AW919" i="1" s="1"/>
  <c r="AX919" i="1" s="1"/>
  <c r="AC918" i="1"/>
  <c r="AL918" i="1"/>
  <c r="AW918" i="1" s="1"/>
  <c r="BB918" i="1" s="1"/>
  <c r="AC917" i="1"/>
  <c r="AL917" i="1" s="1"/>
  <c r="AW917" i="1" s="1"/>
  <c r="AC916" i="1"/>
  <c r="AL916" i="1" s="1"/>
  <c r="AW916" i="1" s="1"/>
  <c r="AC915" i="1"/>
  <c r="AL915" i="1" s="1"/>
  <c r="AW915" i="1" s="1"/>
  <c r="AC914" i="1"/>
  <c r="AL914" i="1" s="1"/>
  <c r="AW914" i="1" s="1"/>
  <c r="AC913" i="1"/>
  <c r="AL913" i="1" s="1"/>
  <c r="AW913" i="1" s="1"/>
  <c r="AX913" i="1" s="1"/>
  <c r="AY913" i="1" s="1"/>
  <c r="AZ913" i="1" s="1"/>
  <c r="BA913" i="1" s="1"/>
  <c r="AC912" i="1"/>
  <c r="AL912" i="1" s="1"/>
  <c r="AW912" i="1" s="1"/>
  <c r="AC911" i="1"/>
  <c r="AL911" i="1" s="1"/>
  <c r="AW911" i="1" s="1"/>
  <c r="AC910" i="1"/>
  <c r="AL910" i="1"/>
  <c r="AW910" i="1" s="1"/>
  <c r="BB910" i="1" s="1"/>
  <c r="AC909" i="1"/>
  <c r="AL909" i="1" s="1"/>
  <c r="AW909" i="1" s="1"/>
  <c r="BB909" i="1" s="1"/>
  <c r="AC908" i="1"/>
  <c r="AL908" i="1" s="1"/>
  <c r="AW908" i="1" s="1"/>
  <c r="AC907" i="1"/>
  <c r="AL907" i="1" s="1"/>
  <c r="AW907" i="1" s="1"/>
  <c r="AX907" i="1" s="1"/>
  <c r="AY907" i="1" s="1"/>
  <c r="AZ907" i="1" s="1"/>
  <c r="BA907" i="1" s="1"/>
  <c r="AC906" i="1"/>
  <c r="AL906" i="1" s="1"/>
  <c r="AW906" i="1" s="1"/>
  <c r="AC905" i="1"/>
  <c r="AL905" i="1" s="1"/>
  <c r="AW905" i="1" s="1"/>
  <c r="AC904" i="1"/>
  <c r="AL904" i="1" s="1"/>
  <c r="AW904" i="1" s="1"/>
  <c r="AC903" i="1"/>
  <c r="AL903" i="1" s="1"/>
  <c r="AW903" i="1" s="1"/>
  <c r="AX903" i="1" s="1"/>
  <c r="AC902" i="1"/>
  <c r="AL902" i="1" s="1"/>
  <c r="AW902" i="1" s="1"/>
  <c r="AC901" i="1"/>
  <c r="AL901" i="1" s="1"/>
  <c r="AW901" i="1" s="1"/>
  <c r="AX901" i="1" s="1"/>
  <c r="AY901" i="1" s="1"/>
  <c r="AZ901" i="1" s="1"/>
  <c r="BA901" i="1" s="1"/>
  <c r="AC900" i="1"/>
  <c r="AL900" i="1"/>
  <c r="AW900" i="1" s="1"/>
  <c r="AX900" i="1" s="1"/>
  <c r="AY900" i="1" s="1"/>
  <c r="AZ900" i="1" s="1"/>
  <c r="BA900" i="1" s="1"/>
  <c r="AC899" i="1"/>
  <c r="AL899" i="1" s="1"/>
  <c r="AW899" i="1" s="1"/>
  <c r="AC898" i="1"/>
  <c r="AL898" i="1" s="1"/>
  <c r="AW898" i="1" s="1"/>
  <c r="AC897" i="1"/>
  <c r="AL897" i="1" s="1"/>
  <c r="AW897" i="1" s="1"/>
  <c r="AC896" i="1"/>
  <c r="AL896" i="1" s="1"/>
  <c r="AW896" i="1" s="1"/>
  <c r="AC895" i="1"/>
  <c r="AL895" i="1" s="1"/>
  <c r="AW895" i="1" s="1"/>
  <c r="BB895" i="1" s="1"/>
  <c r="AC894" i="1"/>
  <c r="AL894" i="1" s="1"/>
  <c r="AW894" i="1" s="1"/>
  <c r="AC893" i="1"/>
  <c r="AL893" i="1" s="1"/>
  <c r="AW893" i="1" s="1"/>
  <c r="AC892" i="1"/>
  <c r="AL892" i="1" s="1"/>
  <c r="AW892" i="1" s="1"/>
  <c r="AC891" i="1"/>
  <c r="AL891" i="1" s="1"/>
  <c r="AW891" i="1" s="1"/>
  <c r="AX891" i="1" s="1"/>
  <c r="AY891" i="1" s="1"/>
  <c r="AZ891" i="1" s="1"/>
  <c r="BA891" i="1" s="1"/>
  <c r="AC890" i="1"/>
  <c r="AL890" i="1" s="1"/>
  <c r="AW890" i="1" s="1"/>
  <c r="AC889" i="1"/>
  <c r="AL889" i="1" s="1"/>
  <c r="AW889" i="1" s="1"/>
  <c r="AX889" i="1" s="1"/>
  <c r="AY889" i="1" s="1"/>
  <c r="AZ889" i="1" s="1"/>
  <c r="BA889" i="1" s="1"/>
  <c r="AC888" i="1"/>
  <c r="AL888" i="1" s="1"/>
  <c r="AW888" i="1" s="1"/>
  <c r="AC887" i="1"/>
  <c r="AL887" i="1" s="1"/>
  <c r="AW887" i="1" s="1"/>
  <c r="AC886" i="1"/>
  <c r="AL886" i="1" s="1"/>
  <c r="AW886" i="1" s="1"/>
  <c r="AC885" i="1"/>
  <c r="AL885" i="1" s="1"/>
  <c r="AW885" i="1" s="1"/>
  <c r="AC884" i="1"/>
  <c r="AL884" i="1"/>
  <c r="AW884" i="1" s="1"/>
  <c r="AC883" i="1"/>
  <c r="AL883" i="1" s="1"/>
  <c r="AW883" i="1" s="1"/>
  <c r="AC882" i="1"/>
  <c r="AL882" i="1" s="1"/>
  <c r="AW882" i="1" s="1"/>
  <c r="AC881" i="1"/>
  <c r="AL881" i="1" s="1"/>
  <c r="AW881" i="1" s="1"/>
  <c r="BB881" i="1" s="1"/>
  <c r="AC880" i="1"/>
  <c r="AL880" i="1" s="1"/>
  <c r="AW880" i="1" s="1"/>
  <c r="AC879" i="1"/>
  <c r="AL879" i="1" s="1"/>
  <c r="AW879" i="1" s="1"/>
  <c r="AC878" i="1"/>
  <c r="AL878" i="1" s="1"/>
  <c r="AW878" i="1" s="1"/>
  <c r="AC877" i="1"/>
  <c r="AL877" i="1" s="1"/>
  <c r="AW877" i="1" s="1"/>
  <c r="AX877" i="1" s="1"/>
  <c r="AY877" i="1" s="1"/>
  <c r="AZ877" i="1" s="1"/>
  <c r="BA877" i="1" s="1"/>
  <c r="AC876" i="1"/>
  <c r="AL876" i="1" s="1"/>
  <c r="AW876" i="1" s="1"/>
  <c r="AC875" i="1"/>
  <c r="AL875" i="1" s="1"/>
  <c r="AW875" i="1" s="1"/>
  <c r="AX875" i="1" s="1"/>
  <c r="AY875" i="1" s="1"/>
  <c r="AZ875" i="1" s="1"/>
  <c r="BA875" i="1" s="1"/>
  <c r="AC874" i="1"/>
  <c r="AL874" i="1" s="1"/>
  <c r="AW874" i="1" s="1"/>
  <c r="AC873" i="1"/>
  <c r="AL873" i="1" s="1"/>
  <c r="AW873" i="1" s="1"/>
  <c r="AX873" i="1" s="1"/>
  <c r="AY873" i="1" s="1"/>
  <c r="AZ873" i="1" s="1"/>
  <c r="BA873" i="1" s="1"/>
  <c r="AC872" i="1"/>
  <c r="AL872" i="1" s="1"/>
  <c r="AW872" i="1" s="1"/>
  <c r="AC871" i="1"/>
  <c r="AL871" i="1" s="1"/>
  <c r="AW871" i="1" s="1"/>
  <c r="AX871" i="1" s="1"/>
  <c r="AY871" i="1" s="1"/>
  <c r="AZ871" i="1" s="1"/>
  <c r="BA871" i="1" s="1"/>
  <c r="AC870" i="1"/>
  <c r="AL870" i="1" s="1"/>
  <c r="AW870" i="1" s="1"/>
  <c r="AC869" i="1"/>
  <c r="AL869" i="1" s="1"/>
  <c r="AW869" i="1" s="1"/>
  <c r="AC868" i="1"/>
  <c r="AL868" i="1" s="1"/>
  <c r="AW868" i="1" s="1"/>
  <c r="AX868" i="1" s="1"/>
  <c r="AY868" i="1" s="1"/>
  <c r="AZ868" i="1" s="1"/>
  <c r="BA868" i="1" s="1"/>
  <c r="AC866" i="1"/>
  <c r="AL866" i="1" s="1"/>
  <c r="AW866" i="1" s="1"/>
  <c r="AC864" i="1"/>
  <c r="AL864" i="1" s="1"/>
  <c r="AW864" i="1" s="1"/>
  <c r="AC862" i="1"/>
  <c r="AL862" i="1" s="1"/>
  <c r="AW862" i="1" s="1"/>
  <c r="AC861" i="1"/>
  <c r="AL861" i="1" s="1"/>
  <c r="AW861" i="1" s="1"/>
  <c r="AX861" i="1" s="1"/>
  <c r="AY861" i="1" s="1"/>
  <c r="AZ861" i="1" s="1"/>
  <c r="BA861" i="1" s="1"/>
  <c r="AC860" i="1"/>
  <c r="AL860" i="1"/>
  <c r="AW860" i="1" s="1"/>
  <c r="BB860" i="1" s="1"/>
  <c r="AC859" i="1"/>
  <c r="AL859" i="1" s="1"/>
  <c r="AW859" i="1" s="1"/>
  <c r="AC858" i="1"/>
  <c r="AL858" i="1" s="1"/>
  <c r="AW858" i="1" s="1"/>
  <c r="AC856" i="1"/>
  <c r="AL856" i="1" s="1"/>
  <c r="AW856" i="1" s="1"/>
  <c r="AC855" i="1"/>
  <c r="AL855" i="1" s="1"/>
  <c r="AW855" i="1" s="1"/>
  <c r="AC854" i="1"/>
  <c r="AL854" i="1" s="1"/>
  <c r="AW854" i="1" s="1"/>
  <c r="AC852" i="1"/>
  <c r="AL852" i="1"/>
  <c r="AW852" i="1" s="1"/>
  <c r="AC851" i="1"/>
  <c r="AL851" i="1" s="1"/>
  <c r="AW851" i="1" s="1"/>
  <c r="AX851" i="1" s="1"/>
  <c r="AY851" i="1" s="1"/>
  <c r="AZ851" i="1" s="1"/>
  <c r="BA851" i="1" s="1"/>
  <c r="AC850" i="1"/>
  <c r="AL850" i="1" s="1"/>
  <c r="AW850" i="1" s="1"/>
  <c r="AC849" i="1"/>
  <c r="AL849" i="1" s="1"/>
  <c r="AW849" i="1" s="1"/>
  <c r="AC848" i="1"/>
  <c r="AL848" i="1" s="1"/>
  <c r="AW848" i="1" s="1"/>
  <c r="AC847" i="1"/>
  <c r="AL847" i="1" s="1"/>
  <c r="AW847" i="1" s="1"/>
  <c r="AX847" i="1" s="1"/>
  <c r="AY847" i="1" s="1"/>
  <c r="AZ847" i="1" s="1"/>
  <c r="BA847" i="1" s="1"/>
  <c r="AC846" i="1"/>
  <c r="AL846" i="1" s="1"/>
  <c r="AW846" i="1" s="1"/>
  <c r="AC845" i="1"/>
  <c r="AL845" i="1" s="1"/>
  <c r="AW845" i="1" s="1"/>
  <c r="AX845" i="1" s="1"/>
  <c r="AY845" i="1" s="1"/>
  <c r="AZ845" i="1" s="1"/>
  <c r="BA845" i="1" s="1"/>
  <c r="AC844" i="1"/>
  <c r="AL844" i="1" s="1"/>
  <c r="AW844" i="1" s="1"/>
  <c r="AC843" i="1"/>
  <c r="AL843" i="1" s="1"/>
  <c r="AW843" i="1" s="1"/>
  <c r="AX843" i="1" s="1"/>
  <c r="AY843" i="1" s="1"/>
  <c r="AZ843" i="1" s="1"/>
  <c r="BA843" i="1" s="1"/>
  <c r="AC842" i="1"/>
  <c r="AL842" i="1" s="1"/>
  <c r="AW842" i="1" s="1"/>
  <c r="AX842" i="1" s="1"/>
  <c r="AY842" i="1" s="1"/>
  <c r="AZ842" i="1" s="1"/>
  <c r="BA842" i="1" s="1"/>
  <c r="AC841" i="1"/>
  <c r="AL841" i="1" s="1"/>
  <c r="AW841" i="1" s="1"/>
  <c r="AX841" i="1" s="1"/>
  <c r="AY841" i="1" s="1"/>
  <c r="AZ841" i="1" s="1"/>
  <c r="BA841" i="1" s="1"/>
  <c r="AC840" i="1"/>
  <c r="AL840" i="1" s="1"/>
  <c r="AW840" i="1" s="1"/>
  <c r="AC839" i="1"/>
  <c r="AL839" i="1" s="1"/>
  <c r="AW839" i="1" s="1"/>
  <c r="AX839" i="1" s="1"/>
  <c r="AY839" i="1" s="1"/>
  <c r="AZ839" i="1" s="1"/>
  <c r="BA839" i="1" s="1"/>
  <c r="AC838" i="1"/>
  <c r="AL838" i="1" s="1"/>
  <c r="AW838" i="1" s="1"/>
  <c r="AC837" i="1"/>
  <c r="AL837" i="1" s="1"/>
  <c r="AW837" i="1" s="1"/>
  <c r="AC836" i="1"/>
  <c r="AL836" i="1" s="1"/>
  <c r="AW836" i="1" s="1"/>
  <c r="AC835" i="1"/>
  <c r="AL835" i="1" s="1"/>
  <c r="AW835" i="1" s="1"/>
  <c r="AX835" i="1" s="1"/>
  <c r="AY835" i="1" s="1"/>
  <c r="AZ835" i="1" s="1"/>
  <c r="BA835" i="1" s="1"/>
  <c r="AC834" i="1"/>
  <c r="AL834" i="1" s="1"/>
  <c r="AW834" i="1" s="1"/>
  <c r="AC833" i="1"/>
  <c r="AL833" i="1" s="1"/>
  <c r="AW833" i="1" s="1"/>
  <c r="AC832" i="1"/>
  <c r="AL832" i="1" s="1"/>
  <c r="AW832" i="1" s="1"/>
  <c r="AC831" i="1"/>
  <c r="AL831" i="1" s="1"/>
  <c r="AW831" i="1" s="1"/>
  <c r="AX831" i="1" s="1"/>
  <c r="AY831" i="1" s="1"/>
  <c r="AZ831" i="1" s="1"/>
  <c r="BA831" i="1" s="1"/>
  <c r="AC830" i="1"/>
  <c r="AL830" i="1" s="1"/>
  <c r="AW830" i="1" s="1"/>
  <c r="AC828" i="1"/>
  <c r="AL828" i="1" s="1"/>
  <c r="AW828" i="1" s="1"/>
  <c r="AX828" i="1" s="1"/>
  <c r="AY828" i="1" s="1"/>
  <c r="AZ828" i="1" s="1"/>
  <c r="BA828" i="1" s="1"/>
  <c r="AC827" i="1"/>
  <c r="AL827" i="1"/>
  <c r="AW827" i="1" s="1"/>
  <c r="AC826" i="1"/>
  <c r="AL826" i="1" s="1"/>
  <c r="AW826" i="1" s="1"/>
  <c r="AX826" i="1" s="1"/>
  <c r="AY826" i="1" s="1"/>
  <c r="AZ826" i="1" s="1"/>
  <c r="BA826" i="1" s="1"/>
  <c r="AC825" i="1"/>
  <c r="AL825" i="1" s="1"/>
  <c r="AW825" i="1" s="1"/>
  <c r="AC823" i="1"/>
  <c r="AL823" i="1" s="1"/>
  <c r="AW823" i="1" s="1"/>
  <c r="AC822" i="1"/>
  <c r="AL822" i="1" s="1"/>
  <c r="AW822" i="1" s="1"/>
  <c r="AC821" i="1"/>
  <c r="AL821" i="1" s="1"/>
  <c r="AW821" i="1" s="1"/>
  <c r="AC819" i="1"/>
  <c r="AL819" i="1"/>
  <c r="AW819" i="1" s="1"/>
  <c r="AC818" i="1"/>
  <c r="AL818" i="1" s="1"/>
  <c r="AW818" i="1" s="1"/>
  <c r="AX818" i="1" s="1"/>
  <c r="AY818" i="1" s="1"/>
  <c r="AZ818" i="1" s="1"/>
  <c r="BA818" i="1" s="1"/>
  <c r="AC817" i="1"/>
  <c r="AL817" i="1" s="1"/>
  <c r="AW817" i="1" s="1"/>
  <c r="AC816" i="1"/>
  <c r="AL816" i="1" s="1"/>
  <c r="AW816" i="1" s="1"/>
  <c r="AC815" i="1"/>
  <c r="AL815" i="1" s="1"/>
  <c r="AW815" i="1" s="1"/>
  <c r="AC814" i="1"/>
  <c r="AL814" i="1" s="1"/>
  <c r="AW814" i="1" s="1"/>
  <c r="AX814" i="1" s="1"/>
  <c r="AY814" i="1" s="1"/>
  <c r="AZ814" i="1" s="1"/>
  <c r="BA814" i="1" s="1"/>
  <c r="AC813" i="1"/>
  <c r="AL813" i="1" s="1"/>
  <c r="AW813" i="1" s="1"/>
  <c r="AC812" i="1"/>
  <c r="AL812" i="1" s="1"/>
  <c r="AW812" i="1" s="1"/>
  <c r="AC811" i="1"/>
  <c r="AL811" i="1" s="1"/>
  <c r="AW811" i="1" s="1"/>
  <c r="AC810" i="1"/>
  <c r="AL810" i="1" s="1"/>
  <c r="AW810" i="1" s="1"/>
  <c r="AX810" i="1" s="1"/>
  <c r="AY810" i="1" s="1"/>
  <c r="AZ810" i="1" s="1"/>
  <c r="BA810" i="1" s="1"/>
  <c r="AC809" i="1"/>
  <c r="AL809" i="1" s="1"/>
  <c r="AW809" i="1" s="1"/>
  <c r="AC808" i="1"/>
  <c r="AL808" i="1" s="1"/>
  <c r="AW808" i="1" s="1"/>
  <c r="AC807" i="1"/>
  <c r="AL807" i="1" s="1"/>
  <c r="AW807" i="1" s="1"/>
  <c r="AC806" i="1"/>
  <c r="AL806" i="1" s="1"/>
  <c r="AW806" i="1" s="1"/>
  <c r="AX806" i="1" s="1"/>
  <c r="AY806" i="1" s="1"/>
  <c r="AZ806" i="1" s="1"/>
  <c r="BA806" i="1" s="1"/>
  <c r="AC805" i="1"/>
  <c r="AL805" i="1" s="1"/>
  <c r="AW805" i="1" s="1"/>
  <c r="AC804" i="1"/>
  <c r="AL804" i="1" s="1"/>
  <c r="AW804" i="1" s="1"/>
  <c r="AC803" i="1"/>
  <c r="AL803" i="1" s="1"/>
  <c r="AW803" i="1" s="1"/>
  <c r="AC802" i="1"/>
  <c r="AL802" i="1" s="1"/>
  <c r="AW802" i="1" s="1"/>
  <c r="AX802" i="1" s="1"/>
  <c r="AY802" i="1" s="1"/>
  <c r="AZ802" i="1" s="1"/>
  <c r="BA802" i="1" s="1"/>
  <c r="AC801" i="1"/>
  <c r="AL801" i="1" s="1"/>
  <c r="AW801" i="1" s="1"/>
  <c r="AC800" i="1"/>
  <c r="AL800" i="1" s="1"/>
  <c r="AW800" i="1" s="1"/>
  <c r="AX800" i="1" s="1"/>
  <c r="AY800" i="1" s="1"/>
  <c r="AZ800" i="1" s="1"/>
  <c r="BA800" i="1" s="1"/>
  <c r="AC799" i="1"/>
  <c r="AL799" i="1" s="1"/>
  <c r="AW799" i="1" s="1"/>
  <c r="AC798" i="1"/>
  <c r="AL798" i="1" s="1"/>
  <c r="AW798" i="1" s="1"/>
  <c r="AX798" i="1" s="1"/>
  <c r="AY798" i="1" s="1"/>
  <c r="AZ798" i="1" s="1"/>
  <c r="BA798" i="1" s="1"/>
  <c r="AC797" i="1"/>
  <c r="AL797" i="1" s="1"/>
  <c r="AW797" i="1" s="1"/>
  <c r="AC796" i="1"/>
  <c r="AL796" i="1" s="1"/>
  <c r="AW796" i="1" s="1"/>
  <c r="AC795" i="1"/>
  <c r="AL795" i="1"/>
  <c r="AW795" i="1" s="1"/>
  <c r="AX795" i="1" s="1"/>
  <c r="AY795" i="1" s="1"/>
  <c r="AZ795" i="1" s="1"/>
  <c r="BA795" i="1" s="1"/>
  <c r="AC794" i="1"/>
  <c r="AL794" i="1" s="1"/>
  <c r="AW794" i="1" s="1"/>
  <c r="AC792" i="1"/>
  <c r="AL792" i="1" s="1"/>
  <c r="AW792" i="1" s="1"/>
  <c r="AX792" i="1" s="1"/>
  <c r="AY792" i="1" s="1"/>
  <c r="AZ792" i="1" s="1"/>
  <c r="BA792" i="1" s="1"/>
  <c r="AC790" i="1"/>
  <c r="AL790" i="1" s="1"/>
  <c r="AW790" i="1" s="1"/>
  <c r="AC788" i="1"/>
  <c r="AL788" i="1" s="1"/>
  <c r="AW788" i="1" s="1"/>
  <c r="AX788" i="1" s="1"/>
  <c r="AY788" i="1" s="1"/>
  <c r="AZ788" i="1" s="1"/>
  <c r="BA788" i="1" s="1"/>
  <c r="AC786" i="1"/>
  <c r="AL786" i="1" s="1"/>
  <c r="AW786" i="1" s="1"/>
  <c r="AX786" i="1" s="1"/>
  <c r="AY786" i="1" s="1"/>
  <c r="AZ786" i="1" s="1"/>
  <c r="BA786" i="1" s="1"/>
  <c r="AC785" i="1"/>
  <c r="AL785" i="1" s="1"/>
  <c r="AW785" i="1" s="1"/>
  <c r="AC784" i="1"/>
  <c r="AL784" i="1" s="1"/>
  <c r="AW784" i="1" s="1"/>
  <c r="AX784" i="1" s="1"/>
  <c r="AY784" i="1" s="1"/>
  <c r="AZ784" i="1" s="1"/>
  <c r="BA784" i="1" s="1"/>
  <c r="AC783" i="1"/>
  <c r="AL783" i="1" s="1"/>
  <c r="AW783" i="1" s="1"/>
  <c r="AC782" i="1"/>
  <c r="AL782" i="1" s="1"/>
  <c r="AW782" i="1" s="1"/>
  <c r="AX782" i="1" s="1"/>
  <c r="AY782" i="1" s="1"/>
  <c r="AZ782" i="1" s="1"/>
  <c r="BA782" i="1" s="1"/>
  <c r="AC781" i="1"/>
  <c r="AL781" i="1" s="1"/>
  <c r="AW781" i="1" s="1"/>
  <c r="AC780" i="1"/>
  <c r="AL780" i="1" s="1"/>
  <c r="AW780" i="1" s="1"/>
  <c r="AX780" i="1" s="1"/>
  <c r="AY780" i="1" s="1"/>
  <c r="AZ780" i="1" s="1"/>
  <c r="BA780" i="1" s="1"/>
  <c r="AC779" i="1"/>
  <c r="AL779" i="1" s="1"/>
  <c r="AW779" i="1" s="1"/>
  <c r="AX779" i="1" s="1"/>
  <c r="AY779" i="1" s="1"/>
  <c r="AZ779" i="1" s="1"/>
  <c r="BA779" i="1" s="1"/>
  <c r="AC778" i="1"/>
  <c r="AL778" i="1" s="1"/>
  <c r="AW778" i="1" s="1"/>
  <c r="AX778" i="1" s="1"/>
  <c r="AY778" i="1" s="1"/>
  <c r="AZ778" i="1" s="1"/>
  <c r="BA778" i="1" s="1"/>
  <c r="AC777" i="1"/>
  <c r="AL777" i="1" s="1"/>
  <c r="AW777" i="1" s="1"/>
  <c r="AC776" i="1"/>
  <c r="AL776" i="1" s="1"/>
  <c r="AW776" i="1" s="1"/>
  <c r="AC775" i="1"/>
  <c r="AL775" i="1" s="1"/>
  <c r="AW775" i="1" s="1"/>
  <c r="AC774" i="1"/>
  <c r="AL774" i="1" s="1"/>
  <c r="AW774" i="1" s="1"/>
  <c r="AX774" i="1" s="1"/>
  <c r="AY774" i="1" s="1"/>
  <c r="AZ774" i="1" s="1"/>
  <c r="BA774" i="1" s="1"/>
  <c r="AC773" i="1"/>
  <c r="AL773" i="1" s="1"/>
  <c r="AW773" i="1" s="1"/>
  <c r="AC772" i="1"/>
  <c r="AL772" i="1" s="1"/>
  <c r="AW772" i="1" s="1"/>
  <c r="AC771" i="1"/>
  <c r="AL771" i="1" s="1"/>
  <c r="AW771" i="1" s="1"/>
  <c r="AC770" i="1"/>
  <c r="AL770" i="1" s="1"/>
  <c r="AW770" i="1" s="1"/>
  <c r="AX770" i="1" s="1"/>
  <c r="AY770" i="1" s="1"/>
  <c r="AZ770" i="1" s="1"/>
  <c r="BA770" i="1" s="1"/>
  <c r="AC769" i="1"/>
  <c r="AL769" i="1" s="1"/>
  <c r="AW769" i="1" s="1"/>
  <c r="AC768" i="1"/>
  <c r="AL768" i="1" s="1"/>
  <c r="AW768" i="1" s="1"/>
  <c r="AC767" i="1"/>
  <c r="AL767" i="1" s="1"/>
  <c r="AW767" i="1" s="1"/>
  <c r="AC766" i="1"/>
  <c r="AL766" i="1" s="1"/>
  <c r="AW766" i="1" s="1"/>
  <c r="AX766" i="1" s="1"/>
  <c r="AY766" i="1" s="1"/>
  <c r="AZ766" i="1" s="1"/>
  <c r="BA766" i="1" s="1"/>
  <c r="AC765" i="1"/>
  <c r="AL765" i="1" s="1"/>
  <c r="AW765" i="1" s="1"/>
  <c r="AC764" i="1"/>
  <c r="AL764" i="1" s="1"/>
  <c r="AW764" i="1" s="1"/>
  <c r="AX764" i="1" s="1"/>
  <c r="AY764" i="1" s="1"/>
  <c r="AZ764" i="1" s="1"/>
  <c r="BA764" i="1" s="1"/>
  <c r="AC763" i="1"/>
  <c r="AL763" i="1"/>
  <c r="AW763" i="1" s="1"/>
  <c r="AX763" i="1" s="1"/>
  <c r="AY763" i="1" s="1"/>
  <c r="AZ763" i="1" s="1"/>
  <c r="BA763" i="1" s="1"/>
  <c r="AC762" i="1"/>
  <c r="AL762" i="1" s="1"/>
  <c r="AW762" i="1" s="1"/>
  <c r="AC761" i="1"/>
  <c r="AL761" i="1" s="1"/>
  <c r="AW761" i="1" s="1"/>
  <c r="AC760" i="1"/>
  <c r="AL760" i="1" s="1"/>
  <c r="AW760" i="1" s="1"/>
  <c r="AX760" i="1" s="1"/>
  <c r="AY760" i="1" s="1"/>
  <c r="AZ760" i="1" s="1"/>
  <c r="BA760" i="1" s="1"/>
  <c r="AC759" i="1"/>
  <c r="AL759" i="1" s="1"/>
  <c r="AW759" i="1" s="1"/>
  <c r="AC758" i="1"/>
  <c r="AL758" i="1" s="1"/>
  <c r="AW758" i="1" s="1"/>
  <c r="AX758" i="1" s="1"/>
  <c r="AY758" i="1" s="1"/>
  <c r="AZ758" i="1" s="1"/>
  <c r="BA758" i="1" s="1"/>
  <c r="AC757" i="1"/>
  <c r="AL757" i="1" s="1"/>
  <c r="AW757" i="1" s="1"/>
  <c r="AC756" i="1"/>
  <c r="AL756" i="1" s="1"/>
  <c r="AW756" i="1" s="1"/>
  <c r="AC755" i="1"/>
  <c r="AL755" i="1"/>
  <c r="AW755" i="1" s="1"/>
  <c r="AC754" i="1"/>
  <c r="AL754" i="1" s="1"/>
  <c r="AW754" i="1" s="1"/>
  <c r="AX754" i="1" s="1"/>
  <c r="AY754" i="1" s="1"/>
  <c r="AZ754" i="1" s="1"/>
  <c r="BA754" i="1" s="1"/>
  <c r="AC753" i="1"/>
  <c r="AL753" i="1" s="1"/>
  <c r="AW753" i="1" s="1"/>
  <c r="AC752" i="1"/>
  <c r="AL752" i="1" s="1"/>
  <c r="AW752" i="1" s="1"/>
  <c r="AX752" i="1" s="1"/>
  <c r="AY752" i="1" s="1"/>
  <c r="AZ752" i="1" s="1"/>
  <c r="BA752" i="1" s="1"/>
  <c r="AC751" i="1"/>
  <c r="AL751" i="1" s="1"/>
  <c r="AW751" i="1" s="1"/>
  <c r="AC750" i="1"/>
  <c r="AL750" i="1" s="1"/>
  <c r="AW750" i="1" s="1"/>
  <c r="AX750" i="1" s="1"/>
  <c r="AY750" i="1" s="1"/>
  <c r="AZ750" i="1" s="1"/>
  <c r="BA750" i="1" s="1"/>
  <c r="AC749" i="1"/>
  <c r="AL749" i="1" s="1"/>
  <c r="AW749" i="1" s="1"/>
  <c r="AC748" i="1"/>
  <c r="AL748" i="1" s="1"/>
  <c r="AW748" i="1" s="1"/>
  <c r="AX748" i="1" s="1"/>
  <c r="AY748" i="1" s="1"/>
  <c r="AZ748" i="1" s="1"/>
  <c r="BA748" i="1" s="1"/>
  <c r="AC747" i="1"/>
  <c r="AL747" i="1" s="1"/>
  <c r="AW747" i="1" s="1"/>
  <c r="AC746" i="1"/>
  <c r="AL746" i="1" s="1"/>
  <c r="AW746" i="1" s="1"/>
  <c r="AX746" i="1" s="1"/>
  <c r="AY746" i="1" s="1"/>
  <c r="AZ746" i="1" s="1"/>
  <c r="BA746" i="1" s="1"/>
  <c r="AC745" i="1"/>
  <c r="AL745" i="1" s="1"/>
  <c r="AW745" i="1" s="1"/>
  <c r="AC744" i="1"/>
  <c r="AL744" i="1" s="1"/>
  <c r="AW744" i="1" s="1"/>
  <c r="AC743" i="1"/>
  <c r="AL743" i="1" s="1"/>
  <c r="AW743" i="1" s="1"/>
  <c r="AC742" i="1"/>
  <c r="AL742" i="1" s="1"/>
  <c r="AW742" i="1" s="1"/>
  <c r="AX742" i="1" s="1"/>
  <c r="AY742" i="1" s="1"/>
  <c r="AZ742" i="1" s="1"/>
  <c r="BA742" i="1" s="1"/>
  <c r="AC741" i="1"/>
  <c r="AL741" i="1" s="1"/>
  <c r="AW741" i="1" s="1"/>
  <c r="AC740" i="1"/>
  <c r="AL740" i="1" s="1"/>
  <c r="AW740" i="1" s="1"/>
  <c r="AC739" i="1"/>
  <c r="AL739" i="1" s="1"/>
  <c r="AW739" i="1" s="1"/>
  <c r="AW711" i="1"/>
  <c r="AX711" i="1" s="1"/>
  <c r="AY711" i="1" s="1"/>
  <c r="AZ711" i="1" s="1"/>
  <c r="BA711" i="1" s="1"/>
  <c r="AW700" i="1"/>
  <c r="AW696" i="1"/>
  <c r="AX696" i="1" s="1"/>
  <c r="AY696" i="1" s="1"/>
  <c r="AZ696" i="1" s="1"/>
  <c r="BA696" i="1" s="1"/>
  <c r="AW695" i="1"/>
  <c r="AX695" i="1" s="1"/>
  <c r="AY695" i="1" s="1"/>
  <c r="AZ695" i="1" s="1"/>
  <c r="BA695" i="1" s="1"/>
  <c r="AW693" i="1"/>
  <c r="AX693" i="1" s="1"/>
  <c r="AY693" i="1" s="1"/>
  <c r="AZ693" i="1" s="1"/>
  <c r="BA693" i="1" s="1"/>
  <c r="AW689" i="1"/>
  <c r="AW686" i="1"/>
  <c r="AX686" i="1" s="1"/>
  <c r="AY686" i="1" s="1"/>
  <c r="AZ686" i="1" s="1"/>
  <c r="BA686" i="1" s="1"/>
  <c r="AS976" i="1"/>
  <c r="AS972" i="1"/>
  <c r="AO968" i="1"/>
  <c r="AP968" i="1" s="1"/>
  <c r="AQ968" i="1" s="1"/>
  <c r="AR968" i="1" s="1"/>
  <c r="AS964" i="1"/>
  <c r="AO962" i="1"/>
  <c r="AP962" i="1" s="1"/>
  <c r="AQ962" i="1" s="1"/>
  <c r="AR962" i="1" s="1"/>
  <c r="AS962" i="1"/>
  <c r="AS960" i="1"/>
  <c r="AO960" i="1"/>
  <c r="AP960" i="1" s="1"/>
  <c r="AQ960" i="1" s="1"/>
  <c r="AR960" i="1" s="1"/>
  <c r="AS958" i="1"/>
  <c r="AO958" i="1"/>
  <c r="AP958" i="1" s="1"/>
  <c r="AQ958" i="1" s="1"/>
  <c r="AR958" i="1" s="1"/>
  <c r="AO956" i="1"/>
  <c r="AP956" i="1"/>
  <c r="AQ956" i="1" s="1"/>
  <c r="AR956" i="1" s="1"/>
  <c r="AS956" i="1"/>
  <c r="AS954" i="1"/>
  <c r="AO954" i="1"/>
  <c r="AP954" i="1"/>
  <c r="AQ954" i="1" s="1"/>
  <c r="AR954" i="1" s="1"/>
  <c r="AS952" i="1"/>
  <c r="AO952" i="1"/>
  <c r="AP952" i="1" s="1"/>
  <c r="AQ952" i="1" s="1"/>
  <c r="AR952" i="1" s="1"/>
  <c r="AO950" i="1"/>
  <c r="AP950" i="1" s="1"/>
  <c r="AQ950" i="1" s="1"/>
  <c r="AR950" i="1" s="1"/>
  <c r="AS950" i="1"/>
  <c r="AS949" i="1"/>
  <c r="AO949" i="1"/>
  <c r="AP949" i="1" s="1"/>
  <c r="AQ949" i="1" s="1"/>
  <c r="AR949" i="1" s="1"/>
  <c r="AO948" i="1"/>
  <c r="AP948" i="1" s="1"/>
  <c r="AQ948" i="1" s="1"/>
  <c r="AR948" i="1" s="1"/>
  <c r="AS948" i="1"/>
  <c r="AS947" i="1"/>
  <c r="AO947" i="1"/>
  <c r="AP947" i="1" s="1"/>
  <c r="AQ947" i="1" s="1"/>
  <c r="AR947" i="1" s="1"/>
  <c r="AO946" i="1"/>
  <c r="AP946" i="1" s="1"/>
  <c r="AQ946" i="1" s="1"/>
  <c r="AR946" i="1" s="1"/>
  <c r="AS946" i="1"/>
  <c r="AO945" i="1"/>
  <c r="AP945" i="1" s="1"/>
  <c r="AQ945" i="1" s="1"/>
  <c r="AR945" i="1" s="1"/>
  <c r="AS945" i="1"/>
  <c r="AO944" i="1"/>
  <c r="AP944" i="1" s="1"/>
  <c r="AQ944" i="1" s="1"/>
  <c r="AR944" i="1" s="1"/>
  <c r="AS944" i="1"/>
  <c r="AS943" i="1"/>
  <c r="AO942" i="1"/>
  <c r="AP942" i="1" s="1"/>
  <c r="AQ942" i="1" s="1"/>
  <c r="AR942" i="1" s="1"/>
  <c r="AS942" i="1"/>
  <c r="AO941" i="1"/>
  <c r="AP941" i="1" s="1"/>
  <c r="AQ941" i="1" s="1"/>
  <c r="AR941" i="1" s="1"/>
  <c r="AS941" i="1"/>
  <c r="AO940" i="1"/>
  <c r="AP940" i="1" s="1"/>
  <c r="AQ940" i="1" s="1"/>
  <c r="AR940" i="1" s="1"/>
  <c r="AS940" i="1"/>
  <c r="AS939" i="1"/>
  <c r="AO939" i="1"/>
  <c r="AP939" i="1" s="1"/>
  <c r="AQ939" i="1" s="1"/>
  <c r="AR939" i="1" s="1"/>
  <c r="AO836" i="1"/>
  <c r="AP836" i="1" s="1"/>
  <c r="AQ836" i="1" s="1"/>
  <c r="AR836" i="1" s="1"/>
  <c r="AO835" i="1"/>
  <c r="AP835" i="1" s="1"/>
  <c r="AQ835" i="1" s="1"/>
  <c r="AR835" i="1" s="1"/>
  <c r="AO834" i="1"/>
  <c r="AP834" i="1" s="1"/>
  <c r="AQ834" i="1" s="1"/>
  <c r="AR834" i="1" s="1"/>
  <c r="AO833" i="1"/>
  <c r="AP833" i="1" s="1"/>
  <c r="AQ833" i="1" s="1"/>
  <c r="AR833" i="1" s="1"/>
  <c r="AO832" i="1"/>
  <c r="AP832" i="1" s="1"/>
  <c r="AQ832" i="1" s="1"/>
  <c r="AR832" i="1" s="1"/>
  <c r="AO831" i="1"/>
  <c r="AP831" i="1" s="1"/>
  <c r="AQ831" i="1" s="1"/>
  <c r="AR831" i="1" s="1"/>
  <c r="AO830" i="1"/>
  <c r="AP830" i="1" s="1"/>
  <c r="AQ830" i="1" s="1"/>
  <c r="AR830" i="1" s="1"/>
  <c r="AO828" i="1"/>
  <c r="AP828" i="1" s="1"/>
  <c r="AQ828" i="1" s="1"/>
  <c r="AR828" i="1" s="1"/>
  <c r="AO827" i="1"/>
  <c r="AP827" i="1" s="1"/>
  <c r="AQ827" i="1" s="1"/>
  <c r="AR827" i="1" s="1"/>
  <c r="AO825" i="1"/>
  <c r="AP825" i="1" s="1"/>
  <c r="AQ825" i="1" s="1"/>
  <c r="AR825" i="1" s="1"/>
  <c r="AO823" i="1"/>
  <c r="AP823" i="1" s="1"/>
  <c r="AQ823" i="1" s="1"/>
  <c r="AR823" i="1" s="1"/>
  <c r="AO821" i="1"/>
  <c r="AP821" i="1" s="1"/>
  <c r="AQ821" i="1" s="1"/>
  <c r="AR821" i="1" s="1"/>
  <c r="AO819" i="1"/>
  <c r="AP819" i="1" s="1"/>
  <c r="AQ819" i="1" s="1"/>
  <c r="AR819" i="1" s="1"/>
  <c r="AS818" i="1"/>
  <c r="AO817" i="1"/>
  <c r="AP817" i="1" s="1"/>
  <c r="AQ817" i="1" s="1"/>
  <c r="AR817" i="1" s="1"/>
  <c r="AS817" i="1"/>
  <c r="AO816" i="1"/>
  <c r="AP816" i="1" s="1"/>
  <c r="AQ816" i="1" s="1"/>
  <c r="AR816" i="1" s="1"/>
  <c r="AS816" i="1"/>
  <c r="AS815" i="1"/>
  <c r="AO815" i="1"/>
  <c r="AP815" i="1" s="1"/>
  <c r="AQ815" i="1" s="1"/>
  <c r="AR815" i="1" s="1"/>
  <c r="AO814" i="1"/>
  <c r="AP814" i="1" s="1"/>
  <c r="AQ814" i="1" s="1"/>
  <c r="AR814" i="1" s="1"/>
  <c r="AS814" i="1"/>
  <c r="AO813" i="1"/>
  <c r="AP813" i="1" s="1"/>
  <c r="AQ813" i="1" s="1"/>
  <c r="AR813" i="1" s="1"/>
  <c r="AS813" i="1"/>
  <c r="AO812" i="1"/>
  <c r="AP812" i="1" s="1"/>
  <c r="AQ812" i="1" s="1"/>
  <c r="AR812" i="1" s="1"/>
  <c r="AS812" i="1"/>
  <c r="AS811" i="1"/>
  <c r="AO811" i="1"/>
  <c r="AP811" i="1" s="1"/>
  <c r="AQ811" i="1" s="1"/>
  <c r="AR811" i="1" s="1"/>
  <c r="AO810" i="1"/>
  <c r="AP810" i="1" s="1"/>
  <c r="AQ810" i="1" s="1"/>
  <c r="AR810" i="1" s="1"/>
  <c r="AS810" i="1"/>
  <c r="AO809" i="1"/>
  <c r="AP809" i="1" s="1"/>
  <c r="AQ809" i="1" s="1"/>
  <c r="AR809" i="1" s="1"/>
  <c r="AS809" i="1"/>
  <c r="AO808" i="1"/>
  <c r="AP808" i="1" s="1"/>
  <c r="AQ808" i="1" s="1"/>
  <c r="AR808" i="1" s="1"/>
  <c r="AS808" i="1"/>
  <c r="AS807" i="1"/>
  <c r="AO807" i="1"/>
  <c r="AP807" i="1" s="1"/>
  <c r="AQ807" i="1" s="1"/>
  <c r="AR807" i="1" s="1"/>
  <c r="AO806" i="1"/>
  <c r="AP806" i="1" s="1"/>
  <c r="AQ806" i="1" s="1"/>
  <c r="AR806" i="1" s="1"/>
  <c r="AS806" i="1"/>
  <c r="AO805" i="1"/>
  <c r="AP805" i="1" s="1"/>
  <c r="AQ805" i="1" s="1"/>
  <c r="AR805" i="1" s="1"/>
  <c r="AS805" i="1"/>
  <c r="AO804" i="1"/>
  <c r="AP804" i="1" s="1"/>
  <c r="AQ804" i="1" s="1"/>
  <c r="AR804" i="1" s="1"/>
  <c r="AS804" i="1"/>
  <c r="AS803" i="1"/>
  <c r="AO803" i="1"/>
  <c r="AP803" i="1" s="1"/>
  <c r="AQ803" i="1" s="1"/>
  <c r="AR803" i="1" s="1"/>
  <c r="AO802" i="1"/>
  <c r="AP802" i="1" s="1"/>
  <c r="AQ802" i="1" s="1"/>
  <c r="AR802" i="1" s="1"/>
  <c r="AS802" i="1"/>
  <c r="AO801" i="1"/>
  <c r="AP801" i="1"/>
  <c r="AQ801" i="1" s="1"/>
  <c r="AR801" i="1" s="1"/>
  <c r="AS801" i="1"/>
  <c r="AO800" i="1"/>
  <c r="AP800" i="1" s="1"/>
  <c r="AQ800" i="1" s="1"/>
  <c r="AR800" i="1" s="1"/>
  <c r="AS800" i="1"/>
  <c r="AS799" i="1"/>
  <c r="AO799" i="1"/>
  <c r="AP799" i="1" s="1"/>
  <c r="AQ799" i="1" s="1"/>
  <c r="AR799" i="1" s="1"/>
  <c r="AO797" i="1"/>
  <c r="AP797" i="1" s="1"/>
  <c r="AQ797" i="1" s="1"/>
  <c r="AR797" i="1" s="1"/>
  <c r="AS797" i="1"/>
  <c r="AS796" i="1"/>
  <c r="AO796" i="1"/>
  <c r="AP796" i="1" s="1"/>
  <c r="AQ796" i="1" s="1"/>
  <c r="AR796" i="1" s="1"/>
  <c r="AO795" i="1"/>
  <c r="AP795" i="1" s="1"/>
  <c r="AQ795" i="1" s="1"/>
  <c r="AR795" i="1" s="1"/>
  <c r="AS795" i="1"/>
  <c r="AO794" i="1"/>
  <c r="AP794" i="1" s="1"/>
  <c r="AQ794" i="1" s="1"/>
  <c r="AR794" i="1" s="1"/>
  <c r="AS794" i="1"/>
  <c r="AO792" i="1"/>
  <c r="AP792" i="1" s="1"/>
  <c r="AQ792" i="1" s="1"/>
  <c r="AR792" i="1" s="1"/>
  <c r="AS792" i="1"/>
  <c r="AS790" i="1"/>
  <c r="AO790" i="1"/>
  <c r="AP790" i="1" s="1"/>
  <c r="AQ790" i="1" s="1"/>
  <c r="AR790" i="1" s="1"/>
  <c r="AO787" i="1"/>
  <c r="AP787" i="1" s="1"/>
  <c r="AQ787" i="1" s="1"/>
  <c r="AR787" i="1" s="1"/>
  <c r="AO785" i="1"/>
  <c r="AP785" i="1" s="1"/>
  <c r="AQ785" i="1" s="1"/>
  <c r="AR785" i="1" s="1"/>
  <c r="AS785" i="1"/>
  <c r="AO783" i="1"/>
  <c r="AP783" i="1" s="1"/>
  <c r="AQ783" i="1" s="1"/>
  <c r="AR783" i="1" s="1"/>
  <c r="AS783" i="1"/>
  <c r="AO781" i="1"/>
  <c r="AP781" i="1" s="1"/>
  <c r="AQ781" i="1" s="1"/>
  <c r="AR781" i="1" s="1"/>
  <c r="AS781" i="1"/>
  <c r="AO779" i="1"/>
  <c r="AP779" i="1" s="1"/>
  <c r="AQ779" i="1" s="1"/>
  <c r="AR779" i="1" s="1"/>
  <c r="AS779" i="1"/>
  <c r="AS777" i="1"/>
  <c r="AO777" i="1"/>
  <c r="AP777" i="1" s="1"/>
  <c r="AQ777" i="1" s="1"/>
  <c r="AR777" i="1" s="1"/>
  <c r="AO775" i="1"/>
  <c r="AP775" i="1" s="1"/>
  <c r="AQ775" i="1" s="1"/>
  <c r="AR775" i="1" s="1"/>
  <c r="AS775" i="1"/>
  <c r="AO773" i="1"/>
  <c r="AP773" i="1" s="1"/>
  <c r="AQ773" i="1" s="1"/>
  <c r="AR773" i="1" s="1"/>
  <c r="AS773" i="1"/>
  <c r="AS771" i="1"/>
  <c r="AO771" i="1"/>
  <c r="AP771" i="1" s="1"/>
  <c r="AQ771" i="1" s="1"/>
  <c r="AR771" i="1" s="1"/>
  <c r="AS769" i="1"/>
  <c r="AO769" i="1"/>
  <c r="AP769" i="1" s="1"/>
  <c r="AQ769" i="1" s="1"/>
  <c r="AR769" i="1" s="1"/>
  <c r="AO767" i="1"/>
  <c r="AP767" i="1"/>
  <c r="AQ767" i="1" s="1"/>
  <c r="AR767" i="1" s="1"/>
  <c r="AS767" i="1"/>
  <c r="AS765" i="1"/>
  <c r="AO765" i="1"/>
  <c r="AP765" i="1"/>
  <c r="AQ765" i="1" s="1"/>
  <c r="AR765" i="1" s="1"/>
  <c r="AS763" i="1"/>
  <c r="AO763" i="1"/>
  <c r="AP763" i="1" s="1"/>
  <c r="AQ763" i="1" s="1"/>
  <c r="AR763" i="1" s="1"/>
  <c r="AO761" i="1"/>
  <c r="AP761" i="1" s="1"/>
  <c r="AQ761" i="1" s="1"/>
  <c r="AR761" i="1" s="1"/>
  <c r="AS761" i="1"/>
  <c r="AO759" i="1"/>
  <c r="AP759" i="1" s="1"/>
  <c r="AQ759" i="1" s="1"/>
  <c r="AR759" i="1" s="1"/>
  <c r="AS759" i="1"/>
  <c r="AS757" i="1"/>
  <c r="AO757" i="1"/>
  <c r="AP757" i="1" s="1"/>
  <c r="AQ757" i="1" s="1"/>
  <c r="AR757" i="1" s="1"/>
  <c r="AO755" i="1"/>
  <c r="AP755" i="1" s="1"/>
  <c r="AQ755" i="1" s="1"/>
  <c r="AR755" i="1" s="1"/>
  <c r="AS755" i="1"/>
  <c r="AO753" i="1"/>
  <c r="AP753" i="1" s="1"/>
  <c r="AQ753" i="1" s="1"/>
  <c r="AR753" i="1" s="1"/>
  <c r="AS753" i="1"/>
  <c r="AO751" i="1"/>
  <c r="AP751" i="1" s="1"/>
  <c r="AQ751" i="1" s="1"/>
  <c r="AR751" i="1" s="1"/>
  <c r="AS751" i="1"/>
  <c r="AS749" i="1"/>
  <c r="AO749" i="1"/>
  <c r="AP749" i="1" s="1"/>
  <c r="AQ749" i="1" s="1"/>
  <c r="AR749" i="1" s="1"/>
  <c r="AS747" i="1"/>
  <c r="AO747" i="1"/>
  <c r="AP747" i="1" s="1"/>
  <c r="AQ747" i="1" s="1"/>
  <c r="AR747" i="1" s="1"/>
  <c r="AO745" i="1"/>
  <c r="AP745" i="1" s="1"/>
  <c r="AQ745" i="1" s="1"/>
  <c r="AR745" i="1" s="1"/>
  <c r="AS745" i="1"/>
  <c r="AO743" i="1"/>
  <c r="AP743" i="1" s="1"/>
  <c r="AQ743" i="1" s="1"/>
  <c r="AR743" i="1" s="1"/>
  <c r="AS743" i="1"/>
  <c r="AO741" i="1"/>
  <c r="AP741" i="1" s="1"/>
  <c r="AQ741" i="1" s="1"/>
  <c r="AR741" i="1" s="1"/>
  <c r="AS741" i="1"/>
  <c r="AO739" i="1"/>
  <c r="AP739" i="1" s="1"/>
  <c r="AQ739" i="1" s="1"/>
  <c r="AR739" i="1" s="1"/>
  <c r="AS739" i="1"/>
  <c r="AO943" i="1"/>
  <c r="AP943" i="1" s="1"/>
  <c r="AQ943" i="1" s="1"/>
  <c r="AR943" i="1" s="1"/>
  <c r="AO714" i="1"/>
  <c r="AP714" i="1" s="1"/>
  <c r="AQ714" i="1" s="1"/>
  <c r="AR714" i="1" s="1"/>
  <c r="AS714" i="1"/>
  <c r="AS731" i="1"/>
  <c r="AO731" i="1"/>
  <c r="AP731" i="1" s="1"/>
  <c r="AQ731" i="1" s="1"/>
  <c r="AR731" i="1" s="1"/>
  <c r="AO678" i="1"/>
  <c r="AP678" i="1" s="1"/>
  <c r="AQ678" i="1" s="1"/>
  <c r="AR678" i="1" s="1"/>
  <c r="AS678" i="1"/>
  <c r="AO668" i="1"/>
  <c r="AP668" i="1" s="1"/>
  <c r="AQ668" i="1" s="1"/>
  <c r="AR668" i="1" s="1"/>
  <c r="AS668" i="1"/>
  <c r="AS719" i="1"/>
  <c r="AO703" i="1"/>
  <c r="AP703" i="1" s="1"/>
  <c r="AQ703" i="1" s="1"/>
  <c r="AR703" i="1" s="1"/>
  <c r="AO676" i="1"/>
  <c r="AP676" i="1" s="1"/>
  <c r="AQ676" i="1" s="1"/>
  <c r="AR676" i="1" s="1"/>
  <c r="AS676" i="1"/>
  <c r="AO729" i="1"/>
  <c r="AP729" i="1" s="1"/>
  <c r="AQ729" i="1" s="1"/>
  <c r="AR729" i="1" s="1"/>
  <c r="AS729" i="1"/>
  <c r="AO720" i="1"/>
  <c r="AP720" i="1"/>
  <c r="AQ720" i="1" s="1"/>
  <c r="AR720" i="1" s="1"/>
  <c r="AS711" i="1"/>
  <c r="AO711" i="1"/>
  <c r="AP711" i="1" s="1"/>
  <c r="AQ711" i="1" s="1"/>
  <c r="AR711" i="1" s="1"/>
  <c r="AO705" i="1"/>
  <c r="AP705" i="1" s="1"/>
  <c r="AQ705" i="1" s="1"/>
  <c r="AR705" i="1" s="1"/>
  <c r="AS705" i="1"/>
  <c r="AO688" i="1"/>
  <c r="AP688" i="1" s="1"/>
  <c r="AQ688" i="1" s="1"/>
  <c r="AR688" i="1" s="1"/>
  <c r="AS688" i="1"/>
  <c r="AO686" i="1"/>
  <c r="AP686" i="1" s="1"/>
  <c r="AQ686" i="1" s="1"/>
  <c r="AR686" i="1" s="1"/>
  <c r="AS686" i="1"/>
  <c r="AO684" i="1"/>
  <c r="AP684" i="1" s="1"/>
  <c r="AQ684" i="1" s="1"/>
  <c r="AR684" i="1" s="1"/>
  <c r="AS684" i="1"/>
  <c r="AO672" i="1"/>
  <c r="AP672" i="1" s="1"/>
  <c r="AQ672" i="1" s="1"/>
  <c r="AR672" i="1" s="1"/>
  <c r="AS672" i="1"/>
  <c r="AO727" i="1"/>
  <c r="AP727" i="1" s="1"/>
  <c r="AQ727" i="1" s="1"/>
  <c r="AR727" i="1" s="1"/>
  <c r="AO716" i="1"/>
  <c r="AP716" i="1" s="1"/>
  <c r="AQ716" i="1" s="1"/>
  <c r="AR716" i="1" s="1"/>
  <c r="AS716" i="1"/>
  <c r="AO702" i="1"/>
  <c r="AP702" i="1" s="1"/>
  <c r="AQ702" i="1" s="1"/>
  <c r="AR702" i="1" s="1"/>
  <c r="AO693" i="1"/>
  <c r="AP693" i="1" s="1"/>
  <c r="AQ693" i="1" s="1"/>
  <c r="AR693" i="1" s="1"/>
  <c r="AO680" i="1"/>
  <c r="AP680" i="1" s="1"/>
  <c r="AQ680" i="1" s="1"/>
  <c r="AR680" i="1" s="1"/>
  <c r="AS680" i="1"/>
  <c r="AO670" i="1"/>
  <c r="AP670" i="1" s="1"/>
  <c r="AQ670" i="1" s="1"/>
  <c r="AR670" i="1" s="1"/>
  <c r="AS670" i="1"/>
  <c r="AO737" i="1"/>
  <c r="AP737" i="1" s="1"/>
  <c r="AQ737" i="1" s="1"/>
  <c r="AR737" i="1" s="1"/>
  <c r="AS737" i="1"/>
  <c r="AO735" i="1"/>
  <c r="AP735" i="1" s="1"/>
  <c r="AQ735" i="1" s="1"/>
  <c r="AR735" i="1" s="1"/>
  <c r="AO721" i="1"/>
  <c r="AP721" i="1" s="1"/>
  <c r="AQ721" i="1" s="1"/>
  <c r="AR721" i="1" s="1"/>
  <c r="AS721" i="1"/>
  <c r="AO701" i="1"/>
  <c r="AP701" i="1" s="1"/>
  <c r="AQ701" i="1" s="1"/>
  <c r="AR701" i="1" s="1"/>
  <c r="AO700" i="1"/>
  <c r="AP700" i="1" s="1"/>
  <c r="AQ700" i="1" s="1"/>
  <c r="AR700" i="1" s="1"/>
  <c r="AO698" i="1"/>
  <c r="AP698" i="1" s="1"/>
  <c r="AQ698" i="1" s="1"/>
  <c r="AR698" i="1" s="1"/>
  <c r="AS698" i="1"/>
  <c r="AO690" i="1"/>
  <c r="AP690" i="1" s="1"/>
  <c r="AQ690" i="1" s="1"/>
  <c r="AR690" i="1" s="1"/>
  <c r="AS690" i="1"/>
  <c r="AO682" i="1"/>
  <c r="AP682" i="1" s="1"/>
  <c r="AQ682" i="1" s="1"/>
  <c r="AR682" i="1" s="1"/>
  <c r="AS682" i="1"/>
  <c r="AO674" i="1"/>
  <c r="AP674" i="1" s="1"/>
  <c r="AQ674" i="1" s="1"/>
  <c r="AR674" i="1" s="1"/>
  <c r="AS674" i="1"/>
  <c r="AS727" i="1"/>
  <c r="AS703" i="1"/>
  <c r="AS701" i="1"/>
  <c r="AS693" i="1"/>
  <c r="BB717" i="1"/>
  <c r="BB710" i="1"/>
  <c r="BB1133" i="1"/>
  <c r="AS1177" i="1"/>
  <c r="AX727" i="1"/>
  <c r="AY727" i="1"/>
  <c r="AZ727" i="1" s="1"/>
  <c r="BA727" i="1" s="1"/>
  <c r="AX736" i="1"/>
  <c r="AY736" i="1" s="1"/>
  <c r="AZ736" i="1" s="1"/>
  <c r="BA736" i="1" s="1"/>
  <c r="AX707" i="1"/>
  <c r="AY707" i="1" s="1"/>
  <c r="AZ707" i="1" s="1"/>
  <c r="BA707" i="1" s="1"/>
  <c r="AS1124" i="1"/>
  <c r="BB675" i="1"/>
  <c r="AS1113" i="1"/>
  <c r="BB738" i="1"/>
  <c r="BB716" i="1"/>
  <c r="AX724" i="1"/>
  <c r="AY724" i="1" s="1"/>
  <c r="AZ724" i="1" s="1"/>
  <c r="BA724" i="1" s="1"/>
  <c r="BB718" i="1"/>
  <c r="BB667" i="1"/>
  <c r="AS1167" i="1"/>
  <c r="AX691" i="1"/>
  <c r="AY691" i="1" s="1"/>
  <c r="AZ691" i="1" s="1"/>
  <c r="BA691" i="1" s="1"/>
  <c r="BB1155" i="1"/>
  <c r="AS1191" i="1"/>
  <c r="AX720" i="1"/>
  <c r="AY720" i="1" s="1"/>
  <c r="AZ720" i="1" s="1"/>
  <c r="BA720" i="1" s="1"/>
  <c r="BB669" i="1"/>
  <c r="AO1197" i="1"/>
  <c r="AP1197" i="1" s="1"/>
  <c r="AQ1197" i="1" s="1"/>
  <c r="AR1197" i="1" s="1"/>
  <c r="AX1157" i="1"/>
  <c r="AY1157" i="1" s="1"/>
  <c r="AZ1157" i="1" s="1"/>
  <c r="BA1157" i="1" s="1"/>
  <c r="BB1146" i="1"/>
  <c r="AO1172" i="1"/>
  <c r="AP1172" i="1" s="1"/>
  <c r="AQ1172" i="1" s="1"/>
  <c r="AR1172" i="1" s="1"/>
  <c r="AS829" i="1"/>
  <c r="AX712" i="1"/>
  <c r="AY712" i="1" s="1"/>
  <c r="AZ712" i="1" s="1"/>
  <c r="BA712" i="1" s="1"/>
  <c r="AO1105" i="1"/>
  <c r="AP1105" i="1" s="1"/>
  <c r="AQ1105" i="1" s="1"/>
  <c r="AR1105" i="1" s="1"/>
  <c r="AO1143" i="1"/>
  <c r="AP1143" i="1" s="1"/>
  <c r="AQ1143" i="1" s="1"/>
  <c r="AR1143" i="1" s="1"/>
  <c r="BB1150" i="1"/>
  <c r="BB1163" i="1"/>
  <c r="AY709" i="1"/>
  <c r="AZ709" i="1" s="1"/>
  <c r="BA709" i="1" s="1"/>
  <c r="BB1170" i="1"/>
  <c r="BB687" i="1"/>
  <c r="BB1154" i="1"/>
  <c r="AX690" i="1"/>
  <c r="AY690" i="1" s="1"/>
  <c r="AZ690" i="1" s="1"/>
  <c r="BA690" i="1" s="1"/>
  <c r="BB1138" i="1"/>
  <c r="BB1191" i="1"/>
  <c r="BB1197" i="1"/>
  <c r="AS1171" i="1"/>
  <c r="AS1129" i="1"/>
  <c r="AO1129" i="1"/>
  <c r="AP1129" i="1" s="1"/>
  <c r="AQ1129" i="1" s="1"/>
  <c r="AR1129" i="1" s="1"/>
  <c r="AX678" i="1"/>
  <c r="AY678" i="1" s="1"/>
  <c r="AZ678" i="1" s="1"/>
  <c r="BA678" i="1" s="1"/>
  <c r="BB678" i="1"/>
  <c r="AX683" i="1"/>
  <c r="AY683" i="1" s="1"/>
  <c r="AZ683" i="1" s="1"/>
  <c r="BA683" i="1" s="1"/>
  <c r="BB683" i="1"/>
  <c r="AO1188" i="1"/>
  <c r="AP1188" i="1" s="1"/>
  <c r="AQ1188" i="1" s="1"/>
  <c r="AR1188" i="1" s="1"/>
  <c r="AS1188" i="1"/>
  <c r="AS1163" i="1"/>
  <c r="AO1163" i="1"/>
  <c r="AP1163" i="1" s="1"/>
  <c r="AQ1163" i="1" s="1"/>
  <c r="AR1163" i="1" s="1"/>
  <c r="BB1108" i="1"/>
  <c r="AS1179" i="1"/>
  <c r="AS1192" i="1"/>
  <c r="AS1159" i="1"/>
  <c r="AX670" i="1"/>
  <c r="AY670" i="1" s="1"/>
  <c r="AZ670" i="1" s="1"/>
  <c r="BA670" i="1" s="1"/>
  <c r="BB1080" i="1"/>
  <c r="BB1111" i="1"/>
  <c r="BB681" i="1"/>
  <c r="AS1199" i="1"/>
  <c r="BB671" i="1"/>
  <c r="BB1072" i="1"/>
  <c r="BB1136" i="1"/>
  <c r="BB701" i="1"/>
  <c r="BB728" i="1"/>
  <c r="AS1193" i="1"/>
  <c r="AS1189" i="1"/>
  <c r="AX680" i="1"/>
  <c r="AY680" i="1" s="1"/>
  <c r="AZ680" i="1" s="1"/>
  <c r="BA680" i="1" s="1"/>
  <c r="BB676" i="1"/>
  <c r="AX732" i="1"/>
  <c r="AY732" i="1" s="1"/>
  <c r="AZ732" i="1" s="1"/>
  <c r="BA732" i="1" s="1"/>
  <c r="BB730" i="1"/>
  <c r="BB1162" i="1"/>
  <c r="BB673" i="1"/>
  <c r="BB726" i="1"/>
  <c r="BB1178" i="1"/>
  <c r="BB688" i="1"/>
  <c r="AX1147" i="1"/>
  <c r="AY1147" i="1" s="1"/>
  <c r="AZ1147" i="1" s="1"/>
  <c r="BA1147" i="1" s="1"/>
  <c r="BB1147" i="1"/>
  <c r="BB1033" i="1"/>
  <c r="BB722" i="1"/>
  <c r="AO1198" i="1"/>
  <c r="AP1198" i="1" s="1"/>
  <c r="AQ1198" i="1" s="1"/>
  <c r="AR1198" i="1" s="1"/>
  <c r="BB1041" i="1"/>
  <c r="BB1132" i="1"/>
  <c r="AO1151" i="1"/>
  <c r="AP1151" i="1" s="1"/>
  <c r="AQ1151" i="1" s="1"/>
  <c r="AR1151" i="1" s="1"/>
  <c r="AS1116" i="1"/>
  <c r="BB719" i="1"/>
  <c r="AX1021" i="1"/>
  <c r="AY1021" i="1" s="1"/>
  <c r="AZ1021" i="1" s="1"/>
  <c r="BA1021" i="1" s="1"/>
  <c r="BB1021" i="1"/>
  <c r="AX1135" i="1"/>
  <c r="AY1135" i="1" s="1"/>
  <c r="AZ1135" i="1" s="1"/>
  <c r="BA1135" i="1" s="1"/>
  <c r="BB1135" i="1"/>
  <c r="BB696" i="1"/>
  <c r="AX1102" i="1"/>
  <c r="AY1102" i="1" s="1"/>
  <c r="AZ1102" i="1" s="1"/>
  <c r="BA1102" i="1" s="1"/>
  <c r="BB1102" i="1"/>
  <c r="AO1101" i="1"/>
  <c r="AP1101" i="1" s="1"/>
  <c r="AQ1101" i="1" s="1"/>
  <c r="AR1101" i="1" s="1"/>
  <c r="AS1101" i="1"/>
  <c r="AS1183" i="1"/>
  <c r="AO1183" i="1"/>
  <c r="AP1183" i="1" s="1"/>
  <c r="AQ1183" i="1" s="1"/>
  <c r="AR1183" i="1" s="1"/>
  <c r="AO1190" i="1"/>
  <c r="AP1190" i="1" s="1"/>
  <c r="AQ1190" i="1" s="1"/>
  <c r="AR1190" i="1" s="1"/>
  <c r="AS1190" i="1"/>
  <c r="AO1121" i="1"/>
  <c r="AP1121" i="1" s="1"/>
  <c r="AQ1121" i="1"/>
  <c r="AR1121" i="1" s="1"/>
  <c r="AS1121" i="1"/>
  <c r="AX1189" i="1"/>
  <c r="AY1189" i="1" s="1"/>
  <c r="AZ1189" i="1" s="1"/>
  <c r="BA1189" i="1" s="1"/>
  <c r="BB1189" i="1"/>
  <c r="AX1179" i="1"/>
  <c r="AY1179" i="1" s="1"/>
  <c r="AZ1179" i="1" s="1"/>
  <c r="BA1179" i="1" s="1"/>
  <c r="BB1179" i="1"/>
  <c r="AX1161" i="1"/>
  <c r="AY1161" i="1" s="1"/>
  <c r="AZ1161" i="1" s="1"/>
  <c r="BA1161" i="1" s="1"/>
  <c r="BB1161" i="1"/>
  <c r="AO1155" i="1"/>
  <c r="AP1155" i="1" s="1"/>
  <c r="AQ1155" i="1" s="1"/>
  <c r="AR1155" i="1" s="1"/>
  <c r="AS1155" i="1"/>
  <c r="AX1134" i="1"/>
  <c r="AY1134" i="1" s="1"/>
  <c r="AZ1134" i="1" s="1"/>
  <c r="BA1134" i="1" s="1"/>
  <c r="BB1134" i="1"/>
  <c r="AX735" i="1"/>
  <c r="AY735" i="1" s="1"/>
  <c r="AZ735" i="1" s="1"/>
  <c r="BA735" i="1" s="1"/>
  <c r="BB735" i="1"/>
  <c r="BB677" i="1"/>
  <c r="AX1118" i="1"/>
  <c r="AY1118" i="1" s="1"/>
  <c r="AZ1118" i="1" s="1"/>
  <c r="BA1118" i="1" s="1"/>
  <c r="BB1118" i="1"/>
  <c r="AX706" i="1"/>
  <c r="AY706" i="1" s="1"/>
  <c r="AZ706" i="1" s="1"/>
  <c r="BA706" i="1" s="1"/>
  <c r="AX729" i="1"/>
  <c r="AY729" i="1" s="1"/>
  <c r="AZ729" i="1" s="1"/>
  <c r="BA729" i="1" s="1"/>
  <c r="BB729" i="1"/>
  <c r="AS1194" i="1"/>
  <c r="BB1169" i="1"/>
  <c r="BB703" i="1"/>
  <c r="BB733" i="1"/>
  <c r="AO1184" i="1"/>
  <c r="AP1184" i="1" s="1"/>
  <c r="AQ1184" i="1" s="1"/>
  <c r="AR1184" i="1" s="1"/>
  <c r="AS1184" i="1"/>
  <c r="AX682" i="1"/>
  <c r="AY682" i="1" s="1"/>
  <c r="AZ682" i="1" s="1"/>
  <c r="BA682" i="1" s="1"/>
  <c r="BB1114" i="1"/>
  <c r="BB1152" i="1"/>
  <c r="BB1116" i="1"/>
  <c r="AO1140" i="1"/>
  <c r="AP1140" i="1" s="1"/>
  <c r="AQ1140" i="1" s="1"/>
  <c r="AR1140" i="1" s="1"/>
  <c r="AS1147" i="1"/>
  <c r="AS1133" i="1"/>
  <c r="BB704" i="1"/>
  <c r="AS1152" i="1"/>
  <c r="BB889" i="1"/>
  <c r="AX684" i="1"/>
  <c r="AY684" i="1" s="1"/>
  <c r="AZ684" i="1" s="1"/>
  <c r="BA684" i="1" s="1"/>
  <c r="BB684" i="1"/>
  <c r="AO1144" i="1"/>
  <c r="AP1144" i="1" s="1"/>
  <c r="AQ1144" i="1" s="1"/>
  <c r="AR1144" i="1" s="1"/>
  <c r="BB788" i="1"/>
  <c r="BB1071" i="1"/>
  <c r="BB861" i="1"/>
  <c r="AY903" i="1"/>
  <c r="AZ903" i="1" s="1"/>
  <c r="BA903" i="1" s="1"/>
  <c r="BB919" i="1"/>
  <c r="AY919" i="1"/>
  <c r="AZ919" i="1" s="1"/>
  <c r="BA919" i="1" s="1"/>
  <c r="AX947" i="1"/>
  <c r="AY947" i="1" s="1"/>
  <c r="AZ947" i="1" s="1"/>
  <c r="BA947" i="1" s="1"/>
  <c r="BB947" i="1"/>
  <c r="AX967" i="1"/>
  <c r="AY967" i="1" s="1"/>
  <c r="AZ967" i="1" s="1"/>
  <c r="BA967" i="1" s="1"/>
  <c r="AX975" i="1"/>
  <c r="AY975" i="1" s="1"/>
  <c r="AZ975" i="1" s="1"/>
  <c r="BA975" i="1" s="1"/>
  <c r="BB975" i="1"/>
  <c r="AO991" i="1"/>
  <c r="AP991" i="1" s="1"/>
  <c r="AQ991" i="1" s="1"/>
  <c r="AR991" i="1" s="1"/>
  <c r="AO1015" i="1"/>
  <c r="AP1015" i="1" s="1"/>
  <c r="AQ1015" i="1" s="1"/>
  <c r="AR1015" i="1" s="1"/>
  <c r="AS1015" i="1"/>
  <c r="AO1023" i="1"/>
  <c r="AP1023" i="1"/>
  <c r="AQ1023" i="1" s="1"/>
  <c r="AR1023" i="1" s="1"/>
  <c r="AS1023" i="1"/>
  <c r="AS1039" i="1"/>
  <c r="AS1055" i="1"/>
  <c r="AO1071" i="1"/>
  <c r="AP1071" i="1"/>
  <c r="AQ1071" i="1" s="1"/>
  <c r="AR1071" i="1" s="1"/>
  <c r="BB798" i="1"/>
  <c r="AX989" i="1"/>
  <c r="AY989" i="1" s="1"/>
  <c r="AZ989" i="1" s="1"/>
  <c r="BA989" i="1" s="1"/>
  <c r="BB989" i="1"/>
  <c r="AX1005" i="1"/>
  <c r="AY1005" i="1" s="1"/>
  <c r="AZ1005" i="1" s="1"/>
  <c r="BA1005" i="1" s="1"/>
  <c r="BB1005" i="1"/>
  <c r="AX1053" i="1"/>
  <c r="AY1053" i="1" s="1"/>
  <c r="AZ1053" i="1" s="1"/>
  <c r="BA1053" i="1" s="1"/>
  <c r="BB1053" i="1"/>
  <c r="AX1061" i="1"/>
  <c r="AY1061" i="1" s="1"/>
  <c r="AZ1061" i="1" s="1"/>
  <c r="BA1061" i="1" s="1"/>
  <c r="BB1061" i="1"/>
  <c r="AX1025" i="1"/>
  <c r="AY1025" i="1" s="1"/>
  <c r="AZ1025" i="1" s="1"/>
  <c r="BA1025" i="1" s="1"/>
  <c r="BB1025" i="1"/>
  <c r="AS1009" i="1"/>
  <c r="AO1009" i="1"/>
  <c r="AP1009" i="1" s="1"/>
  <c r="AQ1009" i="1" s="1"/>
  <c r="AR1009" i="1" s="1"/>
  <c r="AS1065" i="1"/>
  <c r="BB1085" i="1"/>
  <c r="BB742" i="1"/>
  <c r="AS985" i="1"/>
  <c r="AO985" i="1"/>
  <c r="AP985" i="1" s="1"/>
  <c r="AQ985" i="1" s="1"/>
  <c r="AR985" i="1" s="1"/>
  <c r="AO1123" i="1"/>
  <c r="AP1123" i="1" s="1"/>
  <c r="AQ1123" i="1" s="1"/>
  <c r="AR1123" i="1" s="1"/>
  <c r="AS1123" i="1"/>
  <c r="AO1115" i="1"/>
  <c r="AP1115" i="1" s="1"/>
  <c r="AQ1115" i="1" s="1"/>
  <c r="AR1115" i="1" s="1"/>
  <c r="AS1115" i="1"/>
  <c r="AX860" i="1"/>
  <c r="AY860" i="1" s="1"/>
  <c r="AZ860" i="1" s="1"/>
  <c r="BA860" i="1" s="1"/>
  <c r="BB868" i="1"/>
  <c r="BB900" i="1"/>
  <c r="AO990" i="1"/>
  <c r="AP990" i="1" s="1"/>
  <c r="AQ990" i="1" s="1"/>
  <c r="AR990" i="1" s="1"/>
  <c r="AS1042" i="1"/>
  <c r="AS1070" i="1"/>
  <c r="AO981" i="1"/>
  <c r="AP981" i="1" s="1"/>
  <c r="AQ981" i="1" s="1"/>
  <c r="AR981" i="1" s="1"/>
  <c r="AO997" i="1"/>
  <c r="AP997" i="1" s="1"/>
  <c r="AQ997" i="1" s="1"/>
  <c r="AR997" i="1" s="1"/>
  <c r="AS997" i="1"/>
  <c r="AS1013" i="1"/>
  <c r="AS1029" i="1"/>
  <c r="AO1029" i="1"/>
  <c r="AP1029" i="1" s="1"/>
  <c r="AQ1029" i="1" s="1"/>
  <c r="AR1029" i="1" s="1"/>
  <c r="AO1037" i="1"/>
  <c r="AP1037" i="1" s="1"/>
  <c r="AQ1037" i="1" s="1"/>
  <c r="AR1037" i="1" s="1"/>
  <c r="AO1053" i="1"/>
  <c r="AP1053" i="1" s="1"/>
  <c r="AQ1053" i="1" s="1"/>
  <c r="AR1053" i="1" s="1"/>
  <c r="AS1053" i="1"/>
  <c r="AS1069" i="1"/>
  <c r="AS1085" i="1"/>
  <c r="AO1085" i="1"/>
  <c r="AP1085" i="1" s="1"/>
  <c r="AQ1085" i="1" s="1"/>
  <c r="AR1085" i="1" s="1"/>
  <c r="AO1025" i="1"/>
  <c r="AP1025" i="1" s="1"/>
  <c r="AQ1025" i="1" s="1"/>
  <c r="AR1025" i="1" s="1"/>
  <c r="AS1025" i="1"/>
  <c r="BB826" i="1"/>
  <c r="AX1081" i="1"/>
  <c r="AY1081" i="1" s="1"/>
  <c r="AZ1081" i="1" s="1"/>
  <c r="BA1081" i="1" s="1"/>
  <c r="BB1081" i="1"/>
  <c r="AO1095" i="1"/>
  <c r="AP1095" i="1" s="1"/>
  <c r="AQ1095" i="1" s="1"/>
  <c r="AR1095" i="1" s="1"/>
  <c r="AO1092" i="1"/>
  <c r="AP1092" i="1" s="1"/>
  <c r="AQ1092" i="1" s="1"/>
  <c r="AR1092" i="1" s="1"/>
  <c r="BB711" i="1"/>
  <c r="BB839" i="1"/>
  <c r="BB693" i="1"/>
  <c r="AO1057" i="1"/>
  <c r="AP1057" i="1" s="1"/>
  <c r="AQ1057" i="1" s="1"/>
  <c r="AR1057" i="1" s="1"/>
  <c r="AS1057" i="1"/>
  <c r="AO1131" i="1"/>
  <c r="AP1131" i="1"/>
  <c r="AQ1131" i="1" s="1"/>
  <c r="AR1131" i="1" s="1"/>
  <c r="AS1131" i="1"/>
  <c r="BB875" i="1"/>
  <c r="AX833" i="1"/>
  <c r="AY833" i="1" s="1"/>
  <c r="AZ833" i="1" s="1"/>
  <c r="BA833" i="1" s="1"/>
  <c r="BB833" i="1"/>
  <c r="BB845" i="1"/>
  <c r="BB873" i="1"/>
  <c r="BB877" i="1"/>
  <c r="AX881" i="1"/>
  <c r="AY881" i="1" s="1"/>
  <c r="AZ881" i="1" s="1"/>
  <c r="BA881" i="1" s="1"/>
  <c r="AX893" i="1"/>
  <c r="AY893" i="1" s="1"/>
  <c r="AZ893" i="1" s="1"/>
  <c r="BA893" i="1" s="1"/>
  <c r="BB893" i="1"/>
  <c r="AX897" i="1"/>
  <c r="AY897" i="1" s="1"/>
  <c r="AZ897" i="1" s="1"/>
  <c r="BA897" i="1" s="1"/>
  <c r="BB897" i="1"/>
  <c r="AX905" i="1"/>
  <c r="AY905" i="1" s="1"/>
  <c r="AZ905" i="1" s="1"/>
  <c r="BA905" i="1" s="1"/>
  <c r="BB905" i="1"/>
  <c r="AX909" i="1"/>
  <c r="AY909" i="1" s="1"/>
  <c r="AZ909" i="1" s="1"/>
  <c r="BA909" i="1" s="1"/>
  <c r="BB913" i="1"/>
  <c r="BB921" i="1"/>
  <c r="AX921" i="1"/>
  <c r="AY921" i="1" s="1"/>
  <c r="AZ921" i="1" s="1"/>
  <c r="BA921" i="1" s="1"/>
  <c r="AX929" i="1"/>
  <c r="AY929" i="1" s="1"/>
  <c r="AZ929" i="1" s="1"/>
  <c r="BA929" i="1" s="1"/>
  <c r="BB929" i="1"/>
  <c r="BB937" i="1"/>
  <c r="AX937" i="1"/>
  <c r="AY937" i="1" s="1"/>
  <c r="AZ937" i="1" s="1"/>
  <c r="BA937" i="1" s="1"/>
  <c r="BB949" i="1"/>
  <c r="BB953" i="1"/>
  <c r="AX957" i="1"/>
  <c r="AY957" i="1" s="1"/>
  <c r="AZ957" i="1" s="1"/>
  <c r="BA957" i="1" s="1"/>
  <c r="BB957" i="1"/>
  <c r="AX961" i="1"/>
  <c r="AY961" i="1" s="1"/>
  <c r="AZ961" i="1" s="1"/>
  <c r="BA961" i="1" s="1"/>
  <c r="BB961" i="1"/>
  <c r="AX965" i="1"/>
  <c r="AY965" i="1" s="1"/>
  <c r="AZ965" i="1" s="1"/>
  <c r="BA965" i="1" s="1"/>
  <c r="BB965" i="1"/>
  <c r="AX969" i="1"/>
  <c r="AY969" i="1" s="1"/>
  <c r="AZ969" i="1" s="1"/>
  <c r="BA969" i="1" s="1"/>
  <c r="AX977" i="1"/>
  <c r="AY977" i="1" s="1"/>
  <c r="AZ977" i="1" s="1"/>
  <c r="BA977" i="1" s="1"/>
  <c r="BB835" i="1"/>
  <c r="AS979" i="1"/>
  <c r="AO987" i="1"/>
  <c r="AP987" i="1" s="1"/>
  <c r="AQ987" i="1" s="1"/>
  <c r="AR987" i="1" s="1"/>
  <c r="AS987" i="1"/>
  <c r="AO995" i="1"/>
  <c r="AP995" i="1" s="1"/>
  <c r="AQ995" i="1" s="1"/>
  <c r="AR995" i="1" s="1"/>
  <c r="AS995" i="1"/>
  <c r="AO1003" i="1"/>
  <c r="AP1003" i="1" s="1"/>
  <c r="AQ1003" i="1" s="1"/>
  <c r="AR1003" i="1" s="1"/>
  <c r="AS1003" i="1"/>
  <c r="AO1011" i="1"/>
  <c r="AP1011" i="1" s="1"/>
  <c r="AQ1011" i="1" s="1"/>
  <c r="AR1011" i="1" s="1"/>
  <c r="AO1019" i="1"/>
  <c r="AP1019" i="1" s="1"/>
  <c r="AQ1019" i="1" s="1"/>
  <c r="AR1019" i="1" s="1"/>
  <c r="AO1035" i="1"/>
  <c r="AP1035" i="1" s="1"/>
  <c r="AQ1035" i="1" s="1"/>
  <c r="AR1035" i="1" s="1"/>
  <c r="AS1035" i="1"/>
  <c r="AO1043" i="1"/>
  <c r="AP1043" i="1" s="1"/>
  <c r="AQ1043" i="1" s="1"/>
  <c r="AR1043" i="1" s="1"/>
  <c r="AO1051" i="1"/>
  <c r="AP1051" i="1" s="1"/>
  <c r="AQ1051" i="1" s="1"/>
  <c r="AR1051" i="1" s="1"/>
  <c r="AS1051" i="1"/>
  <c r="AS1059" i="1"/>
  <c r="AO1059" i="1"/>
  <c r="AP1059" i="1" s="1"/>
  <c r="AQ1059" i="1" s="1"/>
  <c r="AR1059" i="1" s="1"/>
  <c r="AO1067" i="1"/>
  <c r="AP1067" i="1" s="1"/>
  <c r="AQ1067" i="1" s="1"/>
  <c r="AR1067" i="1" s="1"/>
  <c r="AS1067" i="1"/>
  <c r="AS1075" i="1"/>
  <c r="AO1083" i="1"/>
  <c r="AP1083" i="1" s="1"/>
  <c r="AQ1083" i="1" s="1"/>
  <c r="AR1083" i="1" s="1"/>
  <c r="AS1091" i="1"/>
  <c r="AX692" i="1"/>
  <c r="AY692" i="1" s="1"/>
  <c r="AZ692" i="1" s="1"/>
  <c r="BA692" i="1" s="1"/>
  <c r="BB734" i="1"/>
  <c r="BB748" i="1"/>
  <c r="BB760" i="1"/>
  <c r="BB780" i="1"/>
  <c r="BB792" i="1"/>
  <c r="BB800" i="1"/>
  <c r="BB828" i="1"/>
  <c r="BB1038" i="1"/>
  <c r="BB679" i="1"/>
  <c r="BB695" i="1"/>
  <c r="BB1037" i="1"/>
  <c r="BB1031" i="1"/>
  <c r="AX992" i="1"/>
  <c r="AY992" i="1" s="1"/>
  <c r="AZ992" i="1" s="1"/>
  <c r="BA992" i="1" s="1"/>
  <c r="BB1016" i="1"/>
  <c r="BB686" i="1"/>
  <c r="BB806" i="1"/>
  <c r="BB925" i="1"/>
  <c r="AS1033" i="1"/>
  <c r="AO993" i="1"/>
  <c r="AP993" i="1"/>
  <c r="AQ993" i="1" s="1"/>
  <c r="AR993" i="1" s="1"/>
  <c r="AS993" i="1"/>
  <c r="AS1049" i="1"/>
  <c r="AO1049" i="1"/>
  <c r="AP1049" i="1" s="1"/>
  <c r="AQ1049" i="1" s="1"/>
  <c r="AR1049" i="1" s="1"/>
  <c r="AS1081" i="1"/>
  <c r="AO1081" i="1"/>
  <c r="AP1081" i="1"/>
  <c r="AQ1081" i="1" s="1"/>
  <c r="AR1081" i="1" s="1"/>
  <c r="AO1111" i="1"/>
  <c r="AP1111" i="1" s="1"/>
  <c r="AQ1111" i="1" s="1"/>
  <c r="AR1111" i="1" s="1"/>
  <c r="AS1111" i="1"/>
  <c r="AS1119" i="1"/>
  <c r="AO1119" i="1"/>
  <c r="AP1119" i="1" s="1"/>
  <c r="AQ1119" i="1" s="1"/>
  <c r="AR1119" i="1" s="1"/>
  <c r="AO1127" i="1"/>
  <c r="AP1127" i="1" s="1"/>
  <c r="AQ1127" i="1" s="1"/>
  <c r="AR1127" i="1" s="1"/>
  <c r="AS1127" i="1"/>
  <c r="BB770" i="1"/>
  <c r="BB907" i="1"/>
  <c r="BB997" i="1"/>
  <c r="BB841" i="1"/>
  <c r="BB774" i="1"/>
  <c r="BB786" i="1"/>
  <c r="AO1073" i="1"/>
  <c r="AP1073" i="1" s="1"/>
  <c r="AQ1073" i="1" s="1"/>
  <c r="AR1073" i="1" s="1"/>
  <c r="AS1073" i="1"/>
  <c r="AO1128" i="1"/>
  <c r="AP1128" i="1" s="1"/>
  <c r="AQ1128" i="1" s="1"/>
  <c r="AR1128" i="1" s="1"/>
  <c r="AS1128" i="1"/>
  <c r="AO1001" i="1"/>
  <c r="AP1001" i="1" s="1"/>
  <c r="AQ1001" i="1" s="1"/>
  <c r="AR1001" i="1" s="1"/>
  <c r="AS1001" i="1"/>
  <c r="AO1120" i="1"/>
  <c r="AP1120" i="1" s="1"/>
  <c r="AQ1120" i="1" s="1"/>
  <c r="AR1120" i="1" s="1"/>
  <c r="AS1120" i="1"/>
  <c r="AX879" i="1"/>
  <c r="AY879" i="1" s="1"/>
  <c r="AZ879" i="1" s="1"/>
  <c r="BA879" i="1" s="1"/>
  <c r="BB879" i="1"/>
  <c r="AX895" i="1"/>
  <c r="AY895" i="1" s="1"/>
  <c r="AZ895" i="1" s="1"/>
  <c r="BA895" i="1" s="1"/>
  <c r="AX915" i="1"/>
  <c r="AY915" i="1" s="1"/>
  <c r="AZ915" i="1" s="1"/>
  <c r="BA915" i="1" s="1"/>
  <c r="BB915" i="1"/>
  <c r="BB923" i="1"/>
  <c r="AX923" i="1"/>
  <c r="AY923" i="1" s="1"/>
  <c r="AZ923" i="1" s="1"/>
  <c r="BA923" i="1" s="1"/>
  <c r="AX935" i="1"/>
  <c r="AY935" i="1" s="1"/>
  <c r="AZ935" i="1" s="1"/>
  <c r="BA935" i="1" s="1"/>
  <c r="AX939" i="1"/>
  <c r="AY939" i="1" s="1"/>
  <c r="AZ939" i="1" s="1"/>
  <c r="BA939" i="1" s="1"/>
  <c r="BB939" i="1"/>
  <c r="BB951" i="1"/>
  <c r="AX951" i="1"/>
  <c r="AY951" i="1" s="1"/>
  <c r="AZ951" i="1" s="1"/>
  <c r="BA951" i="1" s="1"/>
  <c r="AX971" i="1"/>
  <c r="AY971" i="1" s="1"/>
  <c r="AZ971" i="1" s="1"/>
  <c r="BA971" i="1" s="1"/>
  <c r="BB971" i="1"/>
  <c r="AO999" i="1"/>
  <c r="AP999" i="1" s="1"/>
  <c r="AQ999" i="1" s="1"/>
  <c r="AR999" i="1" s="1"/>
  <c r="AO1007" i="1"/>
  <c r="AP1007" i="1" s="1"/>
  <c r="AQ1007" i="1" s="1"/>
  <c r="AR1007" i="1" s="1"/>
  <c r="AS1007" i="1"/>
  <c r="AS1031" i="1"/>
  <c r="AO1047" i="1"/>
  <c r="AP1047" i="1" s="1"/>
  <c r="AQ1047" i="1" s="1"/>
  <c r="AR1047" i="1" s="1"/>
  <c r="AO1063" i="1"/>
  <c r="AP1063" i="1" s="1"/>
  <c r="AQ1063" i="1" s="1"/>
  <c r="AR1063" i="1" s="1"/>
  <c r="AS1079" i="1"/>
  <c r="AS1087" i="1"/>
  <c r="AO1087" i="1"/>
  <c r="AP1087" i="1" s="1"/>
  <c r="AQ1087" i="1" s="1"/>
  <c r="AR1087" i="1" s="1"/>
  <c r="BB843" i="1"/>
  <c r="BB778" i="1"/>
  <c r="AX1013" i="1"/>
  <c r="AY1013" i="1" s="1"/>
  <c r="AZ1013" i="1" s="1"/>
  <c r="BA1013" i="1" s="1"/>
  <c r="BB1013" i="1"/>
  <c r="AX1045" i="1"/>
  <c r="AY1045" i="1" s="1"/>
  <c r="AZ1045" i="1" s="1"/>
  <c r="BA1045" i="1" s="1"/>
  <c r="BB1045" i="1"/>
  <c r="BB981" i="1"/>
  <c r="AS1017" i="1"/>
  <c r="AO1052" i="1"/>
  <c r="AP1052" i="1" s="1"/>
  <c r="AQ1052" i="1" s="1"/>
  <c r="AR1052" i="1" s="1"/>
  <c r="BB891" i="1"/>
  <c r="BB1069" i="1"/>
  <c r="AO1135" i="1"/>
  <c r="AP1135" i="1" s="1"/>
  <c r="AQ1135" i="1" s="1"/>
  <c r="AR1135" i="1" s="1"/>
  <c r="AS1135" i="1"/>
  <c r="AO1139" i="1"/>
  <c r="AP1139" i="1" s="1"/>
  <c r="AQ1139" i="1" s="1"/>
  <c r="AR1139" i="1" s="1"/>
  <c r="AS1139" i="1"/>
  <c r="AS1096" i="1"/>
  <c r="AO1096" i="1"/>
  <c r="AP1096" i="1" s="1"/>
  <c r="AQ1096" i="1" s="1"/>
  <c r="AR1096" i="1" s="1"/>
  <c r="BB952" i="1"/>
  <c r="AX708" i="1"/>
  <c r="AY708" i="1" s="1"/>
  <c r="AZ708" i="1" s="1"/>
  <c r="BA708" i="1" s="1"/>
  <c r="BB708" i="1"/>
  <c r="AS982" i="1"/>
  <c r="BB763" i="1"/>
  <c r="BB831" i="1"/>
  <c r="AO989" i="1"/>
  <c r="AP989" i="1" s="1"/>
  <c r="AQ989" i="1" s="1"/>
  <c r="AR989" i="1" s="1"/>
  <c r="AS989" i="1"/>
  <c r="AO1005" i="1"/>
  <c r="AP1005" i="1" s="1"/>
  <c r="AQ1005" i="1" s="1"/>
  <c r="AR1005" i="1" s="1"/>
  <c r="AO1021" i="1"/>
  <c r="AP1021" i="1" s="1"/>
  <c r="AQ1021" i="1" s="1"/>
  <c r="AR1021" i="1" s="1"/>
  <c r="AS1021" i="1"/>
  <c r="AS1045" i="1"/>
  <c r="AO1061" i="1"/>
  <c r="AP1061" i="1" s="1"/>
  <c r="AQ1061" i="1" s="1"/>
  <c r="AR1061" i="1" s="1"/>
  <c r="AS1061" i="1"/>
  <c r="AO1077" i="1"/>
  <c r="AP1077" i="1" s="1"/>
  <c r="AQ1077" i="1" s="1"/>
  <c r="AR1077" i="1" s="1"/>
  <c r="AS1060" i="1"/>
  <c r="AO1112" i="1"/>
  <c r="AP1112" i="1" s="1"/>
  <c r="AQ1112" i="1" s="1"/>
  <c r="AR1112" i="1" s="1"/>
  <c r="AS1112" i="1"/>
  <c r="AS1099" i="1"/>
  <c r="AO1099" i="1"/>
  <c r="AP1099" i="1" s="1"/>
  <c r="AQ1099" i="1" s="1"/>
  <c r="AR1099" i="1" s="1"/>
  <c r="BB1029" i="1"/>
  <c r="AX910" i="1"/>
  <c r="AY910" i="1" s="1"/>
  <c r="AZ910" i="1" s="1"/>
  <c r="BA910" i="1" s="1"/>
  <c r="AX918" i="1"/>
  <c r="AY918" i="1"/>
  <c r="AZ918" i="1" s="1"/>
  <c r="BA918" i="1" s="1"/>
  <c r="BB934" i="1"/>
  <c r="BB672" i="1"/>
  <c r="BB779" i="1"/>
  <c r="BB795" i="1"/>
  <c r="AX983" i="1"/>
  <c r="AY983" i="1" s="1"/>
  <c r="AZ983" i="1" s="1"/>
  <c r="BA983" i="1" s="1"/>
  <c r="AX1015" i="1"/>
  <c r="AY1015" i="1" s="1"/>
  <c r="AZ1015" i="1" s="1"/>
  <c r="BA1015" i="1" s="1"/>
  <c r="BB752" i="1"/>
  <c r="BB764" i="1"/>
  <c r="BB784" i="1"/>
  <c r="AO1010" i="1"/>
  <c r="AP1010" i="1" s="1"/>
  <c r="AQ1010" i="1" s="1"/>
  <c r="AR1010" i="1" s="1"/>
  <c r="AS1082" i="1"/>
  <c r="BB754" i="1"/>
  <c r="BB766" i="1"/>
  <c r="BB746" i="1"/>
  <c r="BB782" i="1"/>
  <c r="AO1040" i="1"/>
  <c r="AP1040" i="1" s="1"/>
  <c r="AQ1040" i="1" s="1"/>
  <c r="AR1040" i="1" s="1"/>
  <c r="BB1077" i="1"/>
  <c r="BB810" i="1"/>
  <c r="AS1041" i="1"/>
  <c r="BB750" i="1"/>
  <c r="BB871" i="1"/>
  <c r="BB933" i="1"/>
  <c r="BB721" i="1"/>
  <c r="AO1107" i="1"/>
  <c r="AP1107" i="1"/>
  <c r="AQ1107" i="1" s="1"/>
  <c r="AR1107" i="1" s="1"/>
  <c r="AS1107" i="1"/>
  <c r="AS1104" i="1"/>
  <c r="AO1104" i="1"/>
  <c r="AP1104" i="1" s="1"/>
  <c r="AQ1104" i="1" s="1"/>
  <c r="AR1104" i="1" s="1"/>
  <c r="AO1136" i="1"/>
  <c r="AP1136" i="1" s="1"/>
  <c r="AQ1136" i="1" s="1"/>
  <c r="AR1136" i="1" s="1"/>
  <c r="AS1136" i="1"/>
  <c r="W359" i="1"/>
  <c r="AF359" i="1" s="1"/>
  <c r="AB424" i="1"/>
  <c r="AI387" i="1" l="1"/>
  <c r="AI330" i="1"/>
  <c r="AN174" i="1"/>
  <c r="AS174" i="1" s="1"/>
  <c r="Y504" i="1"/>
  <c r="AH504" i="1" s="1"/>
  <c r="AI264" i="1"/>
  <c r="X416" i="1"/>
  <c r="AG416" i="1" s="1"/>
  <c r="Y239" i="1"/>
  <c r="AH239" i="1" s="1"/>
  <c r="AN219" i="1"/>
  <c r="AO219" i="1" s="1"/>
  <c r="AI479" i="1"/>
  <c r="AC330" i="1"/>
  <c r="AL330" i="1" s="1"/>
  <c r="AK480" i="1"/>
  <c r="AK520" i="1"/>
  <c r="AC290" i="1"/>
  <c r="AL290" i="1" s="1"/>
  <c r="Y427" i="1"/>
  <c r="AH427" i="1" s="1"/>
  <c r="X139" i="1"/>
  <c r="AG139" i="1" s="1"/>
  <c r="X504" i="1"/>
  <c r="AG504" i="1" s="1"/>
  <c r="AN363" i="1"/>
  <c r="AO363" i="1" s="1"/>
  <c r="AP363" i="1" s="1"/>
  <c r="AQ363" i="1" s="1"/>
  <c r="AR363" i="1" s="1"/>
  <c r="AN521" i="1"/>
  <c r="AO521" i="1" s="1"/>
  <c r="AP521" i="1" s="1"/>
  <c r="AQ521" i="1" s="1"/>
  <c r="AR521" i="1" s="1"/>
  <c r="AN416" i="1"/>
  <c r="AO416" i="1" s="1"/>
  <c r="AI201" i="1"/>
  <c r="AI248" i="1"/>
  <c r="AI152" i="1"/>
  <c r="AA260" i="1"/>
  <c r="AJ260" i="1" s="1"/>
  <c r="X369" i="1"/>
  <c r="AG369" i="1" s="1"/>
  <c r="Y484" i="1"/>
  <c r="AH484" i="1" s="1"/>
  <c r="AA480" i="1"/>
  <c r="AJ480" i="1" s="1"/>
  <c r="AN500" i="1"/>
  <c r="AO500" i="1" s="1"/>
  <c r="AP500" i="1" s="1"/>
  <c r="AQ500" i="1" s="1"/>
  <c r="AR500" i="1" s="1"/>
  <c r="AK159" i="1"/>
  <c r="AK96" i="1"/>
  <c r="X209" i="1"/>
  <c r="AG209" i="1" s="1"/>
  <c r="Y644" i="1"/>
  <c r="AI365" i="1"/>
  <c r="AA396" i="1"/>
  <c r="AJ396" i="1" s="1"/>
  <c r="X477" i="1"/>
  <c r="AG477" i="1" s="1"/>
  <c r="X198" i="1"/>
  <c r="AG198" i="1" s="1"/>
  <c r="X272" i="1"/>
  <c r="AG272" i="1" s="1"/>
  <c r="AX790" i="1"/>
  <c r="AY790" i="1" s="1"/>
  <c r="AZ790" i="1" s="1"/>
  <c r="BA790" i="1" s="1"/>
  <c r="BB790" i="1"/>
  <c r="AX836" i="1"/>
  <c r="AY836" i="1" s="1"/>
  <c r="AZ836" i="1" s="1"/>
  <c r="BA836" i="1" s="1"/>
  <c r="BB836" i="1"/>
  <c r="AX931" i="1"/>
  <c r="AY931" i="1" s="1"/>
  <c r="AZ931" i="1" s="1"/>
  <c r="BA931" i="1" s="1"/>
  <c r="BB931" i="1"/>
  <c r="AO998" i="1"/>
  <c r="AP998" i="1" s="1"/>
  <c r="AQ998" i="1" s="1"/>
  <c r="AR998" i="1" s="1"/>
  <c r="AS998" i="1"/>
  <c r="AO1090" i="1"/>
  <c r="AP1090" i="1" s="1"/>
  <c r="AQ1090" i="1" s="1"/>
  <c r="AR1090" i="1" s="1"/>
  <c r="AS1090" i="1"/>
  <c r="AX723" i="1"/>
  <c r="AY723" i="1" s="1"/>
  <c r="AZ723" i="1" s="1"/>
  <c r="BA723" i="1" s="1"/>
  <c r="BB723" i="1"/>
  <c r="AX1032" i="1"/>
  <c r="AY1032" i="1" s="1"/>
  <c r="AZ1032" i="1" s="1"/>
  <c r="BA1032" i="1" s="1"/>
  <c r="BB1032" i="1"/>
  <c r="AX1159" i="1"/>
  <c r="AY1159" i="1" s="1"/>
  <c r="AZ1159" i="1" s="1"/>
  <c r="BA1159" i="1" s="1"/>
  <c r="BB1159" i="1"/>
  <c r="AS1084" i="1"/>
  <c r="AO1084" i="1"/>
  <c r="AP1084" i="1" s="1"/>
  <c r="AQ1084" i="1" s="1"/>
  <c r="AR1084" i="1" s="1"/>
  <c r="AO1072" i="1"/>
  <c r="AP1072" i="1" s="1"/>
  <c r="AQ1072" i="1" s="1"/>
  <c r="AR1072" i="1" s="1"/>
  <c r="AS1072" i="1"/>
  <c r="AO1068" i="1"/>
  <c r="AP1068" i="1" s="1"/>
  <c r="AQ1068" i="1" s="1"/>
  <c r="AR1068" i="1" s="1"/>
  <c r="AS1068" i="1"/>
  <c r="AS1058" i="1"/>
  <c r="AO1058" i="1"/>
  <c r="AP1058" i="1" s="1"/>
  <c r="AQ1058" i="1" s="1"/>
  <c r="AR1058" i="1" s="1"/>
  <c r="AS1048" i="1"/>
  <c r="AO1048" i="1"/>
  <c r="AP1048" i="1" s="1"/>
  <c r="AQ1048" i="1" s="1"/>
  <c r="AR1048" i="1" s="1"/>
  <c r="AO1038" i="1"/>
  <c r="AP1038" i="1" s="1"/>
  <c r="AQ1038" i="1" s="1"/>
  <c r="AR1038" i="1" s="1"/>
  <c r="AS1038" i="1"/>
  <c r="AO1034" i="1"/>
  <c r="AP1034" i="1" s="1"/>
  <c r="AQ1034" i="1" s="1"/>
  <c r="AR1034" i="1" s="1"/>
  <c r="AS1034" i="1"/>
  <c r="AS1032" i="1"/>
  <c r="AO1032" i="1"/>
  <c r="AP1032" i="1" s="1"/>
  <c r="AQ1032" i="1" s="1"/>
  <c r="AR1032" i="1" s="1"/>
  <c r="AO1028" i="1"/>
  <c r="AP1028" i="1" s="1"/>
  <c r="AQ1028" i="1" s="1"/>
  <c r="AR1028" i="1" s="1"/>
  <c r="AS1028" i="1"/>
  <c r="AS1026" i="1"/>
  <c r="AO1026" i="1"/>
  <c r="AP1026" i="1" s="1"/>
  <c r="AQ1026" i="1" s="1"/>
  <c r="AR1026" i="1" s="1"/>
  <c r="AO986" i="1"/>
  <c r="AP986" i="1" s="1"/>
  <c r="AQ986" i="1" s="1"/>
  <c r="AR986" i="1" s="1"/>
  <c r="AS986" i="1"/>
  <c r="AS984" i="1"/>
  <c r="AO984" i="1"/>
  <c r="AP984" i="1" s="1"/>
  <c r="AQ984" i="1" s="1"/>
  <c r="AR984" i="1" s="1"/>
  <c r="AS1080" i="1"/>
  <c r="AX993" i="1"/>
  <c r="AY993" i="1" s="1"/>
  <c r="AZ993" i="1" s="1"/>
  <c r="BA993" i="1" s="1"/>
  <c r="AS1046" i="1"/>
  <c r="AX808" i="1"/>
  <c r="AY808" i="1" s="1"/>
  <c r="AZ808" i="1" s="1"/>
  <c r="BA808" i="1" s="1"/>
  <c r="BB808" i="1"/>
  <c r="AX837" i="1"/>
  <c r="AY837" i="1" s="1"/>
  <c r="AZ837" i="1" s="1"/>
  <c r="BA837" i="1" s="1"/>
  <c r="BB837" i="1"/>
  <c r="AX876" i="1"/>
  <c r="AY876" i="1" s="1"/>
  <c r="AZ876" i="1" s="1"/>
  <c r="BA876" i="1" s="1"/>
  <c r="BB876" i="1"/>
  <c r="BB884" i="1"/>
  <c r="AX884" i="1"/>
  <c r="AY884" i="1" s="1"/>
  <c r="AZ884" i="1" s="1"/>
  <c r="BA884" i="1" s="1"/>
  <c r="AX887" i="1"/>
  <c r="AY887" i="1" s="1"/>
  <c r="AZ887" i="1" s="1"/>
  <c r="BA887" i="1" s="1"/>
  <c r="BB887" i="1"/>
  <c r="AX899" i="1"/>
  <c r="AY899" i="1" s="1"/>
  <c r="AZ899" i="1" s="1"/>
  <c r="BA899" i="1" s="1"/>
  <c r="BB899" i="1"/>
  <c r="AX917" i="1"/>
  <c r="AY917" i="1" s="1"/>
  <c r="AZ917" i="1" s="1"/>
  <c r="BA917" i="1" s="1"/>
  <c r="BB917" i="1"/>
  <c r="AX699" i="1"/>
  <c r="AY699" i="1" s="1"/>
  <c r="AZ699" i="1" s="1"/>
  <c r="BA699" i="1" s="1"/>
  <c r="BB699" i="1"/>
  <c r="AX1055" i="1"/>
  <c r="AY1055" i="1" s="1"/>
  <c r="AZ1055" i="1" s="1"/>
  <c r="BA1055" i="1" s="1"/>
  <c r="BB1055" i="1"/>
  <c r="AX1087" i="1"/>
  <c r="AY1087" i="1" s="1"/>
  <c r="AZ1087" i="1" s="1"/>
  <c r="BA1087" i="1" s="1"/>
  <c r="BB1087" i="1"/>
  <c r="AX1024" i="1"/>
  <c r="AY1024" i="1" s="1"/>
  <c r="AZ1024" i="1" s="1"/>
  <c r="BA1024" i="1" s="1"/>
  <c r="BB1024" i="1"/>
  <c r="AX1056" i="1"/>
  <c r="AY1056" i="1" s="1"/>
  <c r="AZ1056" i="1" s="1"/>
  <c r="BA1056" i="1" s="1"/>
  <c r="BB1056" i="1"/>
  <c r="AX1088" i="1"/>
  <c r="AY1088" i="1" s="1"/>
  <c r="AZ1088" i="1" s="1"/>
  <c r="BA1088" i="1" s="1"/>
  <c r="BB1088" i="1"/>
  <c r="AX1098" i="1"/>
  <c r="AY1098" i="1" s="1"/>
  <c r="AZ1098" i="1" s="1"/>
  <c r="BA1098" i="1" s="1"/>
  <c r="BB1098" i="1"/>
  <c r="AX996" i="1"/>
  <c r="AY996" i="1" s="1"/>
  <c r="AZ996" i="1" s="1"/>
  <c r="BA996" i="1" s="1"/>
  <c r="BB996" i="1"/>
  <c r="AX1182" i="1"/>
  <c r="AY1182" i="1" s="1"/>
  <c r="AZ1182" i="1" s="1"/>
  <c r="BA1182" i="1" s="1"/>
  <c r="BB1182" i="1"/>
  <c r="AX739" i="1"/>
  <c r="AY739" i="1" s="1"/>
  <c r="AZ739" i="1" s="1"/>
  <c r="BA739" i="1" s="1"/>
  <c r="BB739" i="1"/>
  <c r="AX755" i="1"/>
  <c r="AY755" i="1" s="1"/>
  <c r="AZ755" i="1" s="1"/>
  <c r="BA755" i="1" s="1"/>
  <c r="BB755" i="1"/>
  <c r="AX762" i="1"/>
  <c r="AY762" i="1" s="1"/>
  <c r="AZ762" i="1" s="1"/>
  <c r="BA762" i="1" s="1"/>
  <c r="BB762" i="1"/>
  <c r="AX811" i="1"/>
  <c r="AY811" i="1" s="1"/>
  <c r="AZ811" i="1" s="1"/>
  <c r="BA811" i="1" s="1"/>
  <c r="BB811" i="1"/>
  <c r="AX852" i="1"/>
  <c r="AY852" i="1" s="1"/>
  <c r="AZ852" i="1" s="1"/>
  <c r="BA852" i="1" s="1"/>
  <c r="BB852" i="1"/>
  <c r="AX1064" i="1"/>
  <c r="AY1064" i="1" s="1"/>
  <c r="AZ1064" i="1" s="1"/>
  <c r="BA1064" i="1" s="1"/>
  <c r="BB1064" i="1"/>
  <c r="AX1126" i="1"/>
  <c r="AY1126" i="1" s="1"/>
  <c r="AZ1126" i="1" s="1"/>
  <c r="BA1126" i="1" s="1"/>
  <c r="BB1126" i="1"/>
  <c r="AX1090" i="1"/>
  <c r="AY1090" i="1" s="1"/>
  <c r="AZ1090" i="1" s="1"/>
  <c r="BA1090" i="1" s="1"/>
  <c r="BB1090" i="1"/>
  <c r="AS1088" i="1"/>
  <c r="AO1088" i="1"/>
  <c r="AP1088" i="1" s="1"/>
  <c r="AQ1088" i="1" s="1"/>
  <c r="AR1088" i="1" s="1"/>
  <c r="AS1078" i="1"/>
  <c r="AO1078" i="1"/>
  <c r="AP1078" i="1" s="1"/>
  <c r="AQ1078" i="1" s="1"/>
  <c r="AR1078" i="1" s="1"/>
  <c r="AO1074" i="1"/>
  <c r="AP1074" i="1" s="1"/>
  <c r="AQ1074" i="1" s="1"/>
  <c r="AR1074" i="1" s="1"/>
  <c r="AS1074" i="1"/>
  <c r="AS1064" i="1"/>
  <c r="AO1064" i="1"/>
  <c r="AP1064" i="1" s="1"/>
  <c r="AQ1064" i="1" s="1"/>
  <c r="AR1064" i="1" s="1"/>
  <c r="AO1054" i="1"/>
  <c r="AP1054" i="1" s="1"/>
  <c r="AQ1054" i="1" s="1"/>
  <c r="AR1054" i="1" s="1"/>
  <c r="AS1054" i="1"/>
  <c r="AO1044" i="1"/>
  <c r="AP1044" i="1" s="1"/>
  <c r="AQ1044" i="1" s="1"/>
  <c r="AR1044" i="1" s="1"/>
  <c r="AS1044" i="1"/>
  <c r="AX1022" i="1"/>
  <c r="AY1022" i="1" s="1"/>
  <c r="AZ1022" i="1" s="1"/>
  <c r="BA1022" i="1" s="1"/>
  <c r="BB1022" i="1"/>
  <c r="AS1016" i="1"/>
  <c r="AO1016" i="1"/>
  <c r="AP1016" i="1" s="1"/>
  <c r="AQ1016" i="1" s="1"/>
  <c r="AR1016" i="1" s="1"/>
  <c r="AO1002" i="1"/>
  <c r="AP1002" i="1" s="1"/>
  <c r="AQ1002" i="1" s="1"/>
  <c r="AR1002" i="1" s="1"/>
  <c r="AS1002" i="1"/>
  <c r="AS1000" i="1"/>
  <c r="AO1000" i="1"/>
  <c r="AP1000" i="1" s="1"/>
  <c r="AQ1000" i="1" s="1"/>
  <c r="AR1000" i="1" s="1"/>
  <c r="AO980" i="1"/>
  <c r="AP980" i="1" s="1"/>
  <c r="AQ980" i="1" s="1"/>
  <c r="AR980" i="1" s="1"/>
  <c r="AS980" i="1"/>
  <c r="AS1076" i="1"/>
  <c r="AO1024" i="1"/>
  <c r="AP1024" i="1" s="1"/>
  <c r="AQ1024" i="1" s="1"/>
  <c r="AR1024" i="1" s="1"/>
  <c r="AS1066" i="1"/>
  <c r="AO994" i="1"/>
  <c r="AP994" i="1" s="1"/>
  <c r="AQ994" i="1" s="1"/>
  <c r="AR994" i="1" s="1"/>
  <c r="AS1006" i="1"/>
  <c r="AS996" i="1"/>
  <c r="AO1008" i="1"/>
  <c r="AP1008" i="1" s="1"/>
  <c r="AQ1008" i="1" s="1"/>
  <c r="AR1008" i="1" s="1"/>
  <c r="AS1050" i="1"/>
  <c r="AO978" i="1"/>
  <c r="AP978" i="1" s="1"/>
  <c r="AQ978" i="1" s="1"/>
  <c r="AR978" i="1" s="1"/>
  <c r="AO1062" i="1"/>
  <c r="AP1062" i="1" s="1"/>
  <c r="AQ1062" i="1" s="1"/>
  <c r="AR1062" i="1" s="1"/>
  <c r="AO983" i="1"/>
  <c r="AP983" i="1" s="1"/>
  <c r="AQ983" i="1" s="1"/>
  <c r="AR983" i="1" s="1"/>
  <c r="AO1012" i="1"/>
  <c r="AP1012" i="1" s="1"/>
  <c r="AQ1012" i="1" s="1"/>
  <c r="AR1012" i="1" s="1"/>
  <c r="AS1086" i="1"/>
  <c r="BB758" i="1"/>
  <c r="BB1000" i="1"/>
  <c r="AX689" i="1"/>
  <c r="AY689" i="1" s="1"/>
  <c r="AZ689" i="1" s="1"/>
  <c r="BA689" i="1" s="1"/>
  <c r="BB689" i="1"/>
  <c r="AX700" i="1"/>
  <c r="AY700" i="1" s="1"/>
  <c r="AZ700" i="1" s="1"/>
  <c r="BA700" i="1" s="1"/>
  <c r="BB700" i="1"/>
  <c r="AX771" i="1"/>
  <c r="AY771" i="1" s="1"/>
  <c r="AZ771" i="1" s="1"/>
  <c r="BA771" i="1" s="1"/>
  <c r="BB771" i="1"/>
  <c r="AX794" i="1"/>
  <c r="AY794" i="1" s="1"/>
  <c r="AZ794" i="1" s="1"/>
  <c r="BA794" i="1" s="1"/>
  <c r="BB794" i="1"/>
  <c r="AX859" i="1"/>
  <c r="AY859" i="1" s="1"/>
  <c r="AZ859" i="1" s="1"/>
  <c r="BA859" i="1" s="1"/>
  <c r="BB859" i="1"/>
  <c r="AX869" i="1"/>
  <c r="AY869" i="1" s="1"/>
  <c r="AZ869" i="1" s="1"/>
  <c r="BA869" i="1" s="1"/>
  <c r="BB869" i="1"/>
  <c r="AX956" i="1"/>
  <c r="AY956" i="1" s="1"/>
  <c r="AZ956" i="1" s="1"/>
  <c r="BA956" i="1" s="1"/>
  <c r="BB956" i="1"/>
  <c r="AX959" i="1"/>
  <c r="AY959" i="1" s="1"/>
  <c r="AZ959" i="1" s="1"/>
  <c r="BA959" i="1" s="1"/>
  <c r="BB959" i="1"/>
  <c r="AX963" i="1"/>
  <c r="AY963" i="1" s="1"/>
  <c r="AZ963" i="1" s="1"/>
  <c r="BA963" i="1" s="1"/>
  <c r="BB963" i="1"/>
  <c r="BB984" i="1"/>
  <c r="AX984" i="1"/>
  <c r="AY984" i="1" s="1"/>
  <c r="AZ984" i="1" s="1"/>
  <c r="BA984" i="1" s="1"/>
  <c r="AX1048" i="1"/>
  <c r="AY1048" i="1" s="1"/>
  <c r="AZ1048" i="1" s="1"/>
  <c r="BA1048" i="1" s="1"/>
  <c r="BB1048" i="1"/>
  <c r="AX1017" i="1"/>
  <c r="AY1017" i="1" s="1"/>
  <c r="AZ1017" i="1" s="1"/>
  <c r="BA1017" i="1" s="1"/>
  <c r="BB1017" i="1"/>
  <c r="AX1052" i="1"/>
  <c r="AY1052" i="1" s="1"/>
  <c r="AZ1052" i="1" s="1"/>
  <c r="BA1052" i="1" s="1"/>
  <c r="BB1052" i="1"/>
  <c r="AX1112" i="1"/>
  <c r="AY1112" i="1" s="1"/>
  <c r="AZ1112" i="1" s="1"/>
  <c r="BA1112" i="1" s="1"/>
  <c r="BB1112" i="1"/>
  <c r="BB1004" i="1"/>
  <c r="AS1056" i="1"/>
  <c r="AO992" i="1"/>
  <c r="AP992" i="1" s="1"/>
  <c r="AQ992" i="1" s="1"/>
  <c r="AR992" i="1" s="1"/>
  <c r="AS1030" i="1"/>
  <c r="AS1018" i="1"/>
  <c r="AO1020" i="1"/>
  <c r="AP1020" i="1" s="1"/>
  <c r="AQ1020" i="1" s="1"/>
  <c r="AR1020" i="1" s="1"/>
  <c r="AX772" i="1"/>
  <c r="AY772" i="1" s="1"/>
  <c r="AZ772" i="1" s="1"/>
  <c r="BA772" i="1" s="1"/>
  <c r="BB772" i="1"/>
  <c r="AX822" i="1"/>
  <c r="AY822" i="1" s="1"/>
  <c r="AZ822" i="1" s="1"/>
  <c r="BA822" i="1" s="1"/>
  <c r="BB822" i="1"/>
  <c r="AX855" i="1"/>
  <c r="AY855" i="1" s="1"/>
  <c r="AZ855" i="1" s="1"/>
  <c r="BA855" i="1" s="1"/>
  <c r="BB855" i="1"/>
  <c r="AX926" i="1"/>
  <c r="AY926" i="1" s="1"/>
  <c r="AZ926" i="1" s="1"/>
  <c r="BA926" i="1" s="1"/>
  <c r="BB926" i="1"/>
  <c r="AX942" i="1"/>
  <c r="AY942" i="1" s="1"/>
  <c r="AZ942" i="1" s="1"/>
  <c r="BA942" i="1" s="1"/>
  <c r="BB942" i="1"/>
  <c r="AX945" i="1"/>
  <c r="AY945" i="1" s="1"/>
  <c r="AZ945" i="1" s="1"/>
  <c r="BA945" i="1" s="1"/>
  <c r="BB945" i="1"/>
  <c r="BB999" i="1"/>
  <c r="AX999" i="1"/>
  <c r="AY999" i="1" s="1"/>
  <c r="AZ999" i="1" s="1"/>
  <c r="BA999" i="1" s="1"/>
  <c r="AO1027" i="1"/>
  <c r="AP1027" i="1" s="1"/>
  <c r="AQ1027" i="1" s="1"/>
  <c r="AR1027" i="1" s="1"/>
  <c r="AS1027" i="1"/>
  <c r="AO1022" i="1"/>
  <c r="AP1022" i="1" s="1"/>
  <c r="AQ1022" i="1" s="1"/>
  <c r="AR1022" i="1" s="1"/>
  <c r="AS1022" i="1"/>
  <c r="AX1008" i="1"/>
  <c r="AY1008" i="1" s="1"/>
  <c r="AZ1008" i="1" s="1"/>
  <c r="BA1008" i="1" s="1"/>
  <c r="BB1008" i="1"/>
  <c r="AX1040" i="1"/>
  <c r="AY1040" i="1" s="1"/>
  <c r="AZ1040" i="1" s="1"/>
  <c r="BA1040" i="1" s="1"/>
  <c r="BB1040" i="1"/>
  <c r="AX1084" i="1"/>
  <c r="AY1084" i="1" s="1"/>
  <c r="AZ1084" i="1" s="1"/>
  <c r="BA1084" i="1" s="1"/>
  <c r="BB1084" i="1"/>
  <c r="AX1057" i="1"/>
  <c r="AY1057" i="1" s="1"/>
  <c r="AZ1057" i="1" s="1"/>
  <c r="BA1057" i="1" s="1"/>
  <c r="BB1057" i="1"/>
  <c r="AX1120" i="1"/>
  <c r="AY1120" i="1" s="1"/>
  <c r="AZ1120" i="1" s="1"/>
  <c r="BA1120" i="1" s="1"/>
  <c r="BB1120" i="1"/>
  <c r="AO863" i="1"/>
  <c r="AP863" i="1" s="1"/>
  <c r="AQ863" i="1" s="1"/>
  <c r="AS863" i="1"/>
  <c r="AS1176" i="1"/>
  <c r="BB1123" i="1"/>
  <c r="BB715" i="1"/>
  <c r="AC863" i="1"/>
  <c r="AL863" i="1" s="1"/>
  <c r="AW863" i="1" s="1"/>
  <c r="AC1026" i="1"/>
  <c r="AL1026" i="1" s="1"/>
  <c r="AW1026" i="1" s="1"/>
  <c r="AC1066" i="1"/>
  <c r="AL1066" i="1" s="1"/>
  <c r="AW1066" i="1" s="1"/>
  <c r="AS857" i="1"/>
  <c r="AC1076" i="1"/>
  <c r="AL1076" i="1" s="1"/>
  <c r="AW1076" i="1" s="1"/>
  <c r="AN1036" i="1"/>
  <c r="AO865" i="1"/>
  <c r="AP865" i="1" s="1"/>
  <c r="AQ865" i="1" s="1"/>
  <c r="AR865" i="1" s="1"/>
  <c r="AS726" i="1"/>
  <c r="AS736" i="1"/>
  <c r="AS713" i="1"/>
  <c r="AS879" i="1"/>
  <c r="AS927" i="1"/>
  <c r="AN1174" i="1"/>
  <c r="AC1174" i="1"/>
  <c r="AL1174" i="1" s="1"/>
  <c r="AW1174" i="1" s="1"/>
  <c r="AX1174" i="1" s="1"/>
  <c r="AY1174" i="1" s="1"/>
  <c r="AZ1174" i="1" s="1"/>
  <c r="BA1174" i="1" s="1"/>
  <c r="AS1172" i="1"/>
  <c r="AN1168" i="1"/>
  <c r="AC1168" i="1"/>
  <c r="AL1168" i="1" s="1"/>
  <c r="AW1168" i="1" s="1"/>
  <c r="AN1149" i="1"/>
  <c r="AC1149" i="1"/>
  <c r="AL1149" i="1" s="1"/>
  <c r="AW1149" i="1" s="1"/>
  <c r="AN1145" i="1"/>
  <c r="AC1145" i="1"/>
  <c r="AL1145" i="1" s="1"/>
  <c r="AW1145" i="1" s="1"/>
  <c r="AN1141" i="1"/>
  <c r="AC1141" i="1"/>
  <c r="AL1141" i="1" s="1"/>
  <c r="AW1141" i="1" s="1"/>
  <c r="AN1137" i="1"/>
  <c r="AC1137" i="1"/>
  <c r="AL1137" i="1" s="1"/>
  <c r="AS903" i="1"/>
  <c r="AO903" i="1"/>
  <c r="AP903" i="1" s="1"/>
  <c r="AQ903" i="1" s="1"/>
  <c r="AR903" i="1" s="1"/>
  <c r="AS901" i="1"/>
  <c r="AO901" i="1"/>
  <c r="AP901" i="1" s="1"/>
  <c r="AQ901" i="1" s="1"/>
  <c r="AR901" i="1" s="1"/>
  <c r="AS839" i="1"/>
  <c r="AS837" i="1"/>
  <c r="AO837" i="1"/>
  <c r="AP837" i="1" s="1"/>
  <c r="AQ837" i="1" s="1"/>
  <c r="AR837" i="1" s="1"/>
  <c r="AS750" i="1"/>
  <c r="BB1049" i="1"/>
  <c r="BB714" i="1"/>
  <c r="AS1196" i="1"/>
  <c r="AO822" i="1"/>
  <c r="AP822" i="1" s="1"/>
  <c r="AQ822" i="1" s="1"/>
  <c r="AR822" i="1" s="1"/>
  <c r="AC787" i="1"/>
  <c r="AL787" i="1" s="1"/>
  <c r="AW787" i="1" s="1"/>
  <c r="AC791" i="1"/>
  <c r="AL791" i="1" s="1"/>
  <c r="AW791" i="1" s="1"/>
  <c r="AC867" i="1"/>
  <c r="AL867" i="1" s="1"/>
  <c r="AW867" i="1" s="1"/>
  <c r="AC974" i="1"/>
  <c r="AL974" i="1" s="1"/>
  <c r="AW974" i="1" s="1"/>
  <c r="AN1014" i="1"/>
  <c r="AC986" i="1"/>
  <c r="AL986" i="1" s="1"/>
  <c r="AW986" i="1" s="1"/>
  <c r="AC994" i="1"/>
  <c r="AL994" i="1" s="1"/>
  <c r="AW994" i="1" s="1"/>
  <c r="AC1034" i="1"/>
  <c r="AL1034" i="1" s="1"/>
  <c r="AW1034" i="1" s="1"/>
  <c r="AC1058" i="1"/>
  <c r="AL1058" i="1" s="1"/>
  <c r="AW1058" i="1" s="1"/>
  <c r="AO1094" i="1"/>
  <c r="AP1094" i="1" s="1"/>
  <c r="AQ1094" i="1" s="1"/>
  <c r="AR1094" i="1" s="1"/>
  <c r="AS1089" i="1"/>
  <c r="BB851" i="1"/>
  <c r="AS1004" i="1"/>
  <c r="BB713" i="1"/>
  <c r="BB847" i="1"/>
  <c r="BB802" i="1"/>
  <c r="BB814" i="1"/>
  <c r="BB901" i="1"/>
  <c r="AO1103" i="1"/>
  <c r="AP1103" i="1" s="1"/>
  <c r="AQ1103" i="1" s="1"/>
  <c r="AR1103" i="1" s="1"/>
  <c r="BB818" i="1"/>
  <c r="BB903" i="1"/>
  <c r="BB1151" i="1"/>
  <c r="BB737" i="1"/>
  <c r="AS1200" i="1"/>
  <c r="BB685" i="1"/>
  <c r="AO1108" i="1"/>
  <c r="AP1108" i="1" s="1"/>
  <c r="AQ1108" i="1" s="1"/>
  <c r="AR1108" i="1" s="1"/>
  <c r="AO789" i="1"/>
  <c r="AP789" i="1" s="1"/>
  <c r="AQ789" i="1" s="1"/>
  <c r="AR789" i="1" s="1"/>
  <c r="AO791" i="1"/>
  <c r="AP791" i="1" s="1"/>
  <c r="AQ791" i="1" s="1"/>
  <c r="AR791" i="1" s="1"/>
  <c r="AO793" i="1"/>
  <c r="AP793" i="1" s="1"/>
  <c r="AQ793" i="1" s="1"/>
  <c r="AR793" i="1" s="1"/>
  <c r="AS966" i="1"/>
  <c r="AS970" i="1"/>
  <c r="AS974" i="1"/>
  <c r="AC820" i="1"/>
  <c r="AL820" i="1" s="1"/>
  <c r="AW820" i="1" s="1"/>
  <c r="AC824" i="1"/>
  <c r="AL824" i="1" s="1"/>
  <c r="AW824" i="1" s="1"/>
  <c r="AC853" i="1"/>
  <c r="AL853" i="1" s="1"/>
  <c r="AW853" i="1" s="1"/>
  <c r="AC857" i="1"/>
  <c r="AL857" i="1" s="1"/>
  <c r="AW857" i="1" s="1"/>
  <c r="AC964" i="1"/>
  <c r="AL964" i="1" s="1"/>
  <c r="AW964" i="1" s="1"/>
  <c r="AC968" i="1"/>
  <c r="AL968" i="1" s="1"/>
  <c r="AW968" i="1" s="1"/>
  <c r="AC982" i="1"/>
  <c r="AL982" i="1" s="1"/>
  <c r="AW982" i="1" s="1"/>
  <c r="AC1002" i="1"/>
  <c r="AL1002" i="1" s="1"/>
  <c r="AW1002" i="1" s="1"/>
  <c r="AC1010" i="1"/>
  <c r="AL1010" i="1" s="1"/>
  <c r="AW1010" i="1" s="1"/>
  <c r="BB1010" i="1" s="1"/>
  <c r="AC1042" i="1"/>
  <c r="AL1042" i="1" s="1"/>
  <c r="AW1042" i="1" s="1"/>
  <c r="AC1054" i="1"/>
  <c r="AL1054" i="1" s="1"/>
  <c r="AW1054" i="1" s="1"/>
  <c r="AC1074" i="1"/>
  <c r="AL1074" i="1" s="1"/>
  <c r="AW1074" i="1" s="1"/>
  <c r="AC1082" i="1"/>
  <c r="AL1082" i="1" s="1"/>
  <c r="AW1082" i="1" s="1"/>
  <c r="AX1082" i="1" s="1"/>
  <c r="AY1082" i="1" s="1"/>
  <c r="AZ1082" i="1" s="1"/>
  <c r="BA1082" i="1" s="1"/>
  <c r="AC980" i="1"/>
  <c r="AL980" i="1" s="1"/>
  <c r="AW980" i="1" s="1"/>
  <c r="AC1012" i="1"/>
  <c r="AL1012" i="1" s="1"/>
  <c r="AW1012" i="1" s="1"/>
  <c r="AC1068" i="1"/>
  <c r="AL1068" i="1" s="1"/>
  <c r="AW1068" i="1" s="1"/>
  <c r="AA104" i="1"/>
  <c r="AJ104" i="1" s="1"/>
  <c r="AA519" i="1"/>
  <c r="AJ519" i="1" s="1"/>
  <c r="AA432" i="1"/>
  <c r="AJ432" i="1" s="1"/>
  <c r="AC586" i="1"/>
  <c r="AL586" i="1" s="1"/>
  <c r="AC1044" i="1"/>
  <c r="AL1044" i="1" s="1"/>
  <c r="AW1044" i="1" s="1"/>
  <c r="AS851" i="1"/>
  <c r="AN988" i="1"/>
  <c r="AO923" i="1"/>
  <c r="AP923" i="1" s="1"/>
  <c r="AQ923" i="1" s="1"/>
  <c r="AR923" i="1" s="1"/>
  <c r="AS1198" i="1"/>
  <c r="AS911" i="1"/>
  <c r="AC1172" i="1"/>
  <c r="AL1172" i="1" s="1"/>
  <c r="AW1172" i="1" s="1"/>
  <c r="AY1169" i="1"/>
  <c r="AZ1169" i="1" s="1"/>
  <c r="BA1169" i="1" s="1"/>
  <c r="E16" i="1"/>
  <c r="DY2" i="1" s="1"/>
  <c r="O82" i="1"/>
  <c r="X82" i="1" s="1"/>
  <c r="AG82" i="1" s="1"/>
  <c r="U218" i="1"/>
  <c r="AN218" i="1" s="1"/>
  <c r="AO218" i="1" s="1"/>
  <c r="AP218" i="1" s="1"/>
  <c r="T326" i="1"/>
  <c r="AB326" i="1" s="1"/>
  <c r="AK326" i="1" s="1"/>
  <c r="O208" i="1"/>
  <c r="U114" i="1"/>
  <c r="AN114" i="1" s="1"/>
  <c r="AO114" i="1" s="1"/>
  <c r="AP114" i="1" s="1"/>
  <c r="AQ114" i="1" s="1"/>
  <c r="AR114" i="1" s="1"/>
  <c r="P227" i="1"/>
  <c r="X227" i="1" s="1"/>
  <c r="AG227" i="1" s="1"/>
  <c r="P660" i="1"/>
  <c r="X660" i="1" s="1"/>
  <c r="AG660" i="1" s="1"/>
  <c r="R631" i="1"/>
  <c r="Z631" i="1" s="1"/>
  <c r="P267" i="1"/>
  <c r="AK267" i="1" s="1"/>
  <c r="S571" i="1"/>
  <c r="AN571" i="1" s="1"/>
  <c r="AO571" i="1" s="1"/>
  <c r="AP571" i="1" s="1"/>
  <c r="R444" i="1"/>
  <c r="Z444" i="1" s="1"/>
  <c r="AI444" i="1" s="1"/>
  <c r="O405" i="1"/>
  <c r="W405" i="1" s="1"/>
  <c r="AF405" i="1" s="1"/>
  <c r="P439" i="1"/>
  <c r="X439" i="1" s="1"/>
  <c r="AG439" i="1" s="1"/>
  <c r="Q279" i="1"/>
  <c r="Y279" i="1" s="1"/>
  <c r="AH279" i="1" s="1"/>
  <c r="P223" i="1"/>
  <c r="P129" i="1"/>
  <c r="X129" i="1" s="1"/>
  <c r="AG129" i="1" s="1"/>
  <c r="O588" i="1"/>
  <c r="W588" i="1" s="1"/>
  <c r="AF588" i="1" s="1"/>
  <c r="U661" i="1"/>
  <c r="P310" i="1"/>
  <c r="AK310" i="1" s="1"/>
  <c r="O539" i="1"/>
  <c r="AA539" i="1" s="1"/>
  <c r="AJ539" i="1" s="1"/>
  <c r="R350" i="1"/>
  <c r="Z350" i="1" s="1"/>
  <c r="T567" i="1"/>
  <c r="AB567" i="1" s="1"/>
  <c r="AK567" i="1" s="1"/>
  <c r="S335" i="1"/>
  <c r="AA335" i="1" s="1"/>
  <c r="AJ335" i="1" s="1"/>
  <c r="U534" i="1"/>
  <c r="AN534" i="1" s="1"/>
  <c r="AO534" i="1" s="1"/>
  <c r="AP534" i="1" s="1"/>
  <c r="U366" i="1"/>
  <c r="AC366" i="1" s="1"/>
  <c r="AL366" i="1" s="1"/>
  <c r="P93" i="1"/>
  <c r="X93" i="1" s="1"/>
  <c r="AG93" i="1" s="1"/>
  <c r="R601" i="1"/>
  <c r="Z601" i="1" s="1"/>
  <c r="AI601" i="1" s="1"/>
  <c r="R337" i="1"/>
  <c r="Z337" i="1" s="1"/>
  <c r="AI337" i="1" s="1"/>
  <c r="T597" i="1"/>
  <c r="AB597" i="1" s="1"/>
  <c r="O84" i="1"/>
  <c r="AA84" i="1" s="1"/>
  <c r="AJ84" i="1" s="1"/>
  <c r="U641" i="1"/>
  <c r="AC641" i="1" s="1"/>
  <c r="AL641" i="1" s="1"/>
  <c r="R352" i="1"/>
  <c r="Z352" i="1" s="1"/>
  <c r="AI352" i="1" s="1"/>
  <c r="R240" i="1"/>
  <c r="Z240" i="1" s="1"/>
  <c r="AI240" i="1" s="1"/>
  <c r="S658" i="1"/>
  <c r="U549" i="1"/>
  <c r="AC549" i="1" s="1"/>
  <c r="AL549" i="1" s="1"/>
  <c r="P87" i="1"/>
  <c r="R116" i="1"/>
  <c r="Z116" i="1" s="1"/>
  <c r="AI116" i="1" s="1"/>
  <c r="U326" i="1"/>
  <c r="P422" i="1"/>
  <c r="AK422" i="1" s="1"/>
  <c r="U92" i="1"/>
  <c r="AC92" i="1" s="1"/>
  <c r="AL92" i="1" s="1"/>
  <c r="O175" i="1"/>
  <c r="W175" i="1" s="1"/>
  <c r="AF175" i="1" s="1"/>
  <c r="P143" i="1"/>
  <c r="AK143" i="1" s="1"/>
  <c r="S590" i="1"/>
  <c r="AN590" i="1" s="1"/>
  <c r="AO590" i="1" s="1"/>
  <c r="AP590" i="1" s="1"/>
  <c r="S323" i="1"/>
  <c r="Q228" i="1"/>
  <c r="O625" i="1"/>
  <c r="X625" i="1" s="1"/>
  <c r="AG625" i="1" s="1"/>
  <c r="O518" i="1"/>
  <c r="W518" i="1" s="1"/>
  <c r="AF518" i="1" s="1"/>
  <c r="P371" i="1"/>
  <c r="T218" i="1"/>
  <c r="AB218" i="1" s="1"/>
  <c r="Q452" i="1"/>
  <c r="Y452" i="1" s="1"/>
  <c r="AH452" i="1" s="1"/>
  <c r="S356" i="1"/>
  <c r="AA356" i="1" s="1"/>
  <c r="AJ356" i="1" s="1"/>
  <c r="U565" i="1"/>
  <c r="AN565" i="1" s="1"/>
  <c r="AO565" i="1" s="1"/>
  <c r="AP565" i="1" s="1"/>
  <c r="O593" i="1"/>
  <c r="X593" i="1" s="1"/>
  <c r="AG593" i="1" s="1"/>
  <c r="Q555" i="1"/>
  <c r="Y555" i="1" s="1"/>
  <c r="AH555" i="1" s="1"/>
  <c r="Q284" i="1"/>
  <c r="Y284" i="1" s="1"/>
  <c r="AH284" i="1" s="1"/>
  <c r="P412" i="1"/>
  <c r="P167" i="1"/>
  <c r="R360" i="1"/>
  <c r="Z360" i="1" s="1"/>
  <c r="AI360" i="1" s="1"/>
  <c r="Q654" i="1"/>
  <c r="Y654" i="1" s="1"/>
  <c r="AH654" i="1" s="1"/>
  <c r="R267" i="1"/>
  <c r="Z267" i="1" s="1"/>
  <c r="AI267" i="1" s="1"/>
  <c r="Q90" i="1"/>
  <c r="Y90" i="1" s="1"/>
  <c r="AH90" i="1" s="1"/>
  <c r="O235" i="1"/>
  <c r="Y235" i="1" s="1"/>
  <c r="AH235" i="1" s="1"/>
  <c r="O468" i="1"/>
  <c r="X468" i="1" s="1"/>
  <c r="AG468" i="1" s="1"/>
  <c r="O250" i="1"/>
  <c r="AA250" i="1" s="1"/>
  <c r="AJ250" i="1" s="1"/>
  <c r="R176" i="1"/>
  <c r="Z176" i="1" s="1"/>
  <c r="AI176" i="1" s="1"/>
  <c r="P352" i="1"/>
  <c r="T620" i="1"/>
  <c r="AB620" i="1" s="1"/>
  <c r="AK620" i="1" s="1"/>
  <c r="U324" i="1"/>
  <c r="AC324" i="1" s="1"/>
  <c r="AL324" i="1" s="1"/>
  <c r="Q367" i="1"/>
  <c r="Y367" i="1" s="1"/>
  <c r="AH367" i="1" s="1"/>
  <c r="O141" i="1"/>
  <c r="AC141" i="1" s="1"/>
  <c r="AL141" i="1" s="1"/>
  <c r="S623" i="1"/>
  <c r="O553" i="1"/>
  <c r="U370" i="1"/>
  <c r="AN370" i="1" s="1"/>
  <c r="AO370" i="1" s="1"/>
  <c r="AP370" i="1" s="1"/>
  <c r="P131" i="1"/>
  <c r="AK131" i="1" s="1"/>
  <c r="T571" i="1"/>
  <c r="AB571" i="1" s="1"/>
  <c r="AK571" i="1" s="1"/>
  <c r="T135" i="1"/>
  <c r="AB135" i="1" s="1"/>
  <c r="AK135" i="1" s="1"/>
  <c r="Q267" i="1"/>
  <c r="T222" i="1"/>
  <c r="AB222" i="1" s="1"/>
  <c r="AK222" i="1" s="1"/>
  <c r="S87" i="1"/>
  <c r="AN87" i="1" s="1"/>
  <c r="AO87" i="1" s="1"/>
  <c r="S342" i="1"/>
  <c r="AN342" i="1" s="1"/>
  <c r="AO342" i="1" s="1"/>
  <c r="AP342" i="1" s="1"/>
  <c r="AQ342" i="1" s="1"/>
  <c r="AR342" i="1" s="1"/>
  <c r="Q355" i="1"/>
  <c r="U541" i="1"/>
  <c r="AN541" i="1" s="1"/>
  <c r="AO541" i="1" s="1"/>
  <c r="T229" i="1"/>
  <c r="AB229" i="1" s="1"/>
  <c r="AK229" i="1" s="1"/>
  <c r="T280" i="1"/>
  <c r="AB280" i="1" s="1"/>
  <c r="AK280" i="1" s="1"/>
  <c r="U204" i="1"/>
  <c r="AN204" i="1" s="1"/>
  <c r="AO204" i="1" s="1"/>
  <c r="AP204" i="1" s="1"/>
  <c r="U451" i="1"/>
  <c r="S262" i="1"/>
  <c r="AA262" i="1" s="1"/>
  <c r="AJ262" i="1" s="1"/>
  <c r="R355" i="1"/>
  <c r="Z355" i="1" s="1"/>
  <c r="O599" i="1"/>
  <c r="Y599" i="1" s="1"/>
  <c r="AH599" i="1" s="1"/>
  <c r="T636" i="1"/>
  <c r="AB636" i="1" s="1"/>
  <c r="AK636" i="1" s="1"/>
  <c r="Q124" i="1"/>
  <c r="P206" i="1"/>
  <c r="X206" i="1" s="1"/>
  <c r="AG206" i="1" s="1"/>
  <c r="T213" i="1"/>
  <c r="AB213" i="1" s="1"/>
  <c r="AK213" i="1" s="1"/>
  <c r="R115" i="1"/>
  <c r="Z115" i="1" s="1"/>
  <c r="AI115" i="1" s="1"/>
  <c r="Q227" i="1"/>
  <c r="Y227" i="1" s="1"/>
  <c r="AH227" i="1" s="1"/>
  <c r="O567" i="1"/>
  <c r="AA567" i="1" s="1"/>
  <c r="AJ567" i="1" s="1"/>
  <c r="R400" i="1"/>
  <c r="Z400" i="1" s="1"/>
  <c r="AI400" i="1" s="1"/>
  <c r="T413" i="1"/>
  <c r="AB413" i="1" s="1"/>
  <c r="O332" i="1"/>
  <c r="AA332" i="1" s="1"/>
  <c r="AJ332" i="1" s="1"/>
  <c r="P173" i="1"/>
  <c r="X173" i="1" s="1"/>
  <c r="AG173" i="1" s="1"/>
  <c r="S212" i="1"/>
  <c r="R275" i="1"/>
  <c r="Z275" i="1" s="1"/>
  <c r="AI275" i="1" s="1"/>
  <c r="Q626" i="1"/>
  <c r="Y626" i="1" s="1"/>
  <c r="AH626" i="1" s="1"/>
  <c r="S94" i="1"/>
  <c r="AN94" i="1" s="1"/>
  <c r="AS94" i="1" s="1"/>
  <c r="Q97" i="1"/>
  <c r="Y97" i="1" s="1"/>
  <c r="AH97" i="1" s="1"/>
  <c r="Q242" i="1"/>
  <c r="Y242" i="1" s="1"/>
  <c r="AH242" i="1" s="1"/>
  <c r="Q412" i="1"/>
  <c r="Y412" i="1" s="1"/>
  <c r="AH412" i="1" s="1"/>
  <c r="S288" i="1"/>
  <c r="AN288" i="1" s="1"/>
  <c r="AS288" i="1" s="1"/>
  <c r="R90" i="1"/>
  <c r="P526" i="1"/>
  <c r="AK526" i="1" s="1"/>
  <c r="R263" i="1"/>
  <c r="Z263" i="1" s="1"/>
  <c r="AI263" i="1" s="1"/>
  <c r="S165" i="1"/>
  <c r="AN165" i="1" s="1"/>
  <c r="AO165" i="1" s="1"/>
  <c r="AP165" i="1" s="1"/>
  <c r="AQ165" i="1" s="1"/>
  <c r="AR165" i="1" s="1"/>
  <c r="R177" i="1"/>
  <c r="Z177" i="1" s="1"/>
  <c r="U101" i="1"/>
  <c r="AC101" i="1" s="1"/>
  <c r="AL101" i="1" s="1"/>
  <c r="O397" i="1"/>
  <c r="X397" i="1" s="1"/>
  <c r="AG397" i="1" s="1"/>
  <c r="R210" i="1"/>
  <c r="Z210" i="1" s="1"/>
  <c r="AI210" i="1" s="1"/>
  <c r="O307" i="1"/>
  <c r="W307" i="1" s="1"/>
  <c r="AF307" i="1" s="1"/>
  <c r="U275" i="1"/>
  <c r="AC275" i="1" s="1"/>
  <c r="AL275" i="1" s="1"/>
  <c r="O381" i="1"/>
  <c r="X381" i="1" s="1"/>
  <c r="AG381" i="1" s="1"/>
  <c r="T347" i="1"/>
  <c r="AB347" i="1" s="1"/>
  <c r="AK347" i="1" s="1"/>
  <c r="T291" i="1"/>
  <c r="AB291" i="1" s="1"/>
  <c r="R644" i="1"/>
  <c r="Z644" i="1" s="1"/>
  <c r="AI644" i="1" s="1"/>
  <c r="S328" i="1"/>
  <c r="AN328" i="1" s="1"/>
  <c r="AO328" i="1" s="1"/>
  <c r="AP328" i="1" s="1"/>
  <c r="AQ328" i="1" s="1"/>
  <c r="AR328" i="1" s="1"/>
  <c r="R156" i="1"/>
  <c r="Z156" i="1" s="1"/>
  <c r="AI156" i="1" s="1"/>
  <c r="O216" i="1"/>
  <c r="Y216" i="1" s="1"/>
  <c r="AH216" i="1" s="1"/>
  <c r="S605" i="1"/>
  <c r="AA605" i="1" s="1"/>
  <c r="AJ605" i="1" s="1"/>
  <c r="Q95" i="1"/>
  <c r="Y95" i="1" s="1"/>
  <c r="AH95" i="1" s="1"/>
  <c r="U429" i="1"/>
  <c r="AN429" i="1" s="1"/>
  <c r="Q556" i="1"/>
  <c r="Y556" i="1" s="1"/>
  <c r="AH556" i="1" s="1"/>
  <c r="U318" i="1"/>
  <c r="Q105" i="1"/>
  <c r="Y105" i="1" s="1"/>
  <c r="AH105" i="1" s="1"/>
  <c r="Q462" i="1"/>
  <c r="Y462" i="1" s="1"/>
  <c r="AH462" i="1" s="1"/>
  <c r="U403" i="1"/>
  <c r="AN403" i="1" s="1"/>
  <c r="AS403" i="1" s="1"/>
  <c r="R235" i="1"/>
  <c r="Z235" i="1" s="1"/>
  <c r="S183" i="1"/>
  <c r="AA183" i="1" s="1"/>
  <c r="AJ183" i="1" s="1"/>
  <c r="R564" i="1"/>
  <c r="Z564" i="1" s="1"/>
  <c r="AI564" i="1" s="1"/>
  <c r="O318" i="1"/>
  <c r="W318" i="1" s="1"/>
  <c r="AF318" i="1" s="1"/>
  <c r="U615" i="1"/>
  <c r="AN615" i="1" s="1"/>
  <c r="U420" i="1"/>
  <c r="AN420" i="1" s="1"/>
  <c r="P301" i="1"/>
  <c r="AK301" i="1" s="1"/>
  <c r="T400" i="1"/>
  <c r="AB400" i="1" s="1"/>
  <c r="AK400" i="1" s="1"/>
  <c r="P339" i="1"/>
  <c r="AK339" i="1" s="1"/>
  <c r="P372" i="1"/>
  <c r="X372" i="1" s="1"/>
  <c r="AG372" i="1" s="1"/>
  <c r="O251" i="1"/>
  <c r="AC251" i="1" s="1"/>
  <c r="AL251" i="1" s="1"/>
  <c r="Q414" i="1"/>
  <c r="Y414" i="1" s="1"/>
  <c r="AH414" i="1" s="1"/>
  <c r="R487" i="1"/>
  <c r="Z487" i="1" s="1"/>
  <c r="AI487" i="1" s="1"/>
  <c r="U208" i="1"/>
  <c r="AN208" i="1" s="1"/>
  <c r="AO208" i="1" s="1"/>
  <c r="AP208" i="1" s="1"/>
  <c r="P264" i="1"/>
  <c r="X264" i="1" s="1"/>
  <c r="AG264" i="1" s="1"/>
  <c r="O431" i="1"/>
  <c r="T124" i="1"/>
  <c r="AB124" i="1" s="1"/>
  <c r="S410" i="1"/>
  <c r="AA410" i="1" s="1"/>
  <c r="AJ410" i="1" s="1"/>
  <c r="P189" i="1"/>
  <c r="S311" i="1"/>
  <c r="AN311" i="1" s="1"/>
  <c r="AO311" i="1" s="1"/>
  <c r="Q547" i="1"/>
  <c r="Y547" i="1" s="1"/>
  <c r="AH547" i="1" s="1"/>
  <c r="T160" i="1"/>
  <c r="AB160" i="1" s="1"/>
  <c r="Q325" i="1"/>
  <c r="Y325" i="1" s="1"/>
  <c r="AH325" i="1" s="1"/>
  <c r="P396" i="1"/>
  <c r="X396" i="1" s="1"/>
  <c r="AG396" i="1" s="1"/>
  <c r="O151" i="1"/>
  <c r="Q316" i="1"/>
  <c r="Y316" i="1" s="1"/>
  <c r="AH316" i="1" s="1"/>
  <c r="R510" i="1"/>
  <c r="Z510" i="1" s="1"/>
  <c r="AI510" i="1" s="1"/>
  <c r="T622" i="1"/>
  <c r="AB622" i="1" s="1"/>
  <c r="AK622" i="1" s="1"/>
  <c r="P581" i="1"/>
  <c r="X581" i="1" s="1"/>
  <c r="AG581" i="1" s="1"/>
  <c r="O220" i="1"/>
  <c r="W220" i="1" s="1"/>
  <c r="AF220" i="1" s="1"/>
  <c r="Q585" i="1"/>
  <c r="Y585" i="1" s="1"/>
  <c r="AH585" i="1" s="1"/>
  <c r="U583" i="1"/>
  <c r="AC583" i="1" s="1"/>
  <c r="AL583" i="1" s="1"/>
  <c r="P494" i="1"/>
  <c r="P531" i="1"/>
  <c r="AK531" i="1" s="1"/>
  <c r="S455" i="1"/>
  <c r="AA455" i="1" s="1"/>
  <c r="AJ455" i="1" s="1"/>
  <c r="T108" i="1"/>
  <c r="AB108" i="1" s="1"/>
  <c r="U341" i="1"/>
  <c r="AN341" i="1" s="1"/>
  <c r="AO341" i="1" s="1"/>
  <c r="AP341" i="1" s="1"/>
  <c r="AQ341" i="1" s="1"/>
  <c r="AR341" i="1" s="1"/>
  <c r="S503" i="1"/>
  <c r="AN503" i="1" s="1"/>
  <c r="T632" i="1"/>
  <c r="AB632" i="1" s="1"/>
  <c r="P498" i="1"/>
  <c r="X498" i="1" s="1"/>
  <c r="AG498" i="1" s="1"/>
  <c r="R588" i="1"/>
  <c r="Z588" i="1" s="1"/>
  <c r="U587" i="1"/>
  <c r="AC587" i="1" s="1"/>
  <c r="AL587" i="1" s="1"/>
  <c r="T450" i="1"/>
  <c r="AB450" i="1" s="1"/>
  <c r="S175" i="1"/>
  <c r="T442" i="1"/>
  <c r="AB442" i="1" s="1"/>
  <c r="T496" i="1"/>
  <c r="AB496" i="1" s="1"/>
  <c r="AK496" i="1" s="1"/>
  <c r="S471" i="1"/>
  <c r="AA471" i="1" s="1"/>
  <c r="AJ471" i="1" s="1"/>
  <c r="T639" i="1"/>
  <c r="AB639" i="1" s="1"/>
  <c r="S351" i="1"/>
  <c r="AN351" i="1" s="1"/>
  <c r="AO351" i="1" s="1"/>
  <c r="AP351" i="1" s="1"/>
  <c r="T395" i="1"/>
  <c r="AB395" i="1" s="1"/>
  <c r="O615" i="1"/>
  <c r="X615" i="1" s="1"/>
  <c r="AG615" i="1" s="1"/>
  <c r="T476" i="1"/>
  <c r="AB476" i="1" s="1"/>
  <c r="AK476" i="1" s="1"/>
  <c r="P233" i="1"/>
  <c r="T568" i="1"/>
  <c r="AB568" i="1" s="1"/>
  <c r="AK568" i="1" s="1"/>
  <c r="R87" i="1"/>
  <c r="Z87" i="1" s="1"/>
  <c r="AI87" i="1" s="1"/>
  <c r="T268" i="1"/>
  <c r="AB268" i="1" s="1"/>
  <c r="AK268" i="1" s="1"/>
  <c r="R541" i="1"/>
  <c r="Z541" i="1" s="1"/>
  <c r="AI541" i="1" s="1"/>
  <c r="R649" i="1"/>
  <c r="Z649" i="1" s="1"/>
  <c r="AI649" i="1" s="1"/>
  <c r="R136" i="1"/>
  <c r="Z136" i="1" s="1"/>
  <c r="AI136" i="1" s="1"/>
  <c r="S141" i="1"/>
  <c r="R609" i="1"/>
  <c r="Z609" i="1" s="1"/>
  <c r="AI609" i="1" s="1"/>
  <c r="U305" i="1"/>
  <c r="AN305" i="1" s="1"/>
  <c r="AO305" i="1" s="1"/>
  <c r="AP305" i="1" s="1"/>
  <c r="AQ305" i="1" s="1"/>
  <c r="AR305" i="1" s="1"/>
  <c r="Q400" i="1"/>
  <c r="Y400" i="1" s="1"/>
  <c r="AH400" i="1" s="1"/>
  <c r="Q417" i="1"/>
  <c r="Y417" i="1" s="1"/>
  <c r="AH417" i="1" s="1"/>
  <c r="T113" i="1"/>
  <c r="AB113" i="1" s="1"/>
  <c r="AK113" i="1" s="1"/>
  <c r="P376" i="1"/>
  <c r="X376" i="1" s="1"/>
  <c r="AG376" i="1" s="1"/>
  <c r="O182" i="1"/>
  <c r="W182" i="1" s="1"/>
  <c r="AF182" i="1" s="1"/>
  <c r="O329" i="1"/>
  <c r="AI329" i="1" s="1"/>
  <c r="R594" i="1"/>
  <c r="Z594" i="1" s="1"/>
  <c r="AI594" i="1" s="1"/>
  <c r="S255" i="1"/>
  <c r="Q363" i="1"/>
  <c r="AS363" i="1" s="1"/>
  <c r="T649" i="1"/>
  <c r="AB649" i="1" s="1"/>
  <c r="AK649" i="1" s="1"/>
  <c r="U651" i="1"/>
  <c r="R180" i="1"/>
  <c r="Z180" i="1" s="1"/>
  <c r="S330" i="1"/>
  <c r="AN330" i="1" s="1"/>
  <c r="AO330" i="1" s="1"/>
  <c r="AP330" i="1" s="1"/>
  <c r="AQ330" i="1" s="1"/>
  <c r="AR330" i="1" s="1"/>
  <c r="U389" i="1"/>
  <c r="T263" i="1"/>
  <c r="AB263" i="1" s="1"/>
  <c r="Q258" i="1"/>
  <c r="U664" i="1"/>
  <c r="AC664" i="1" s="1"/>
  <c r="AL664" i="1" s="1"/>
  <c r="Q364" i="1"/>
  <c r="Y364" i="1" s="1"/>
  <c r="AH364" i="1" s="1"/>
  <c r="O630" i="1"/>
  <c r="AA630" i="1" s="1"/>
  <c r="AJ630" i="1" s="1"/>
  <c r="T566" i="1"/>
  <c r="AB566" i="1" s="1"/>
  <c r="AK566" i="1" s="1"/>
  <c r="Q238" i="1"/>
  <c r="Y238" i="1" s="1"/>
  <c r="AH238" i="1" s="1"/>
  <c r="S309" i="1"/>
  <c r="R412" i="1"/>
  <c r="Z412" i="1" s="1"/>
  <c r="T370" i="1"/>
  <c r="AB370" i="1" s="1"/>
  <c r="AK370" i="1" s="1"/>
  <c r="Q375" i="1"/>
  <c r="Y375" i="1" s="1"/>
  <c r="AH375" i="1" s="1"/>
  <c r="T637" i="1"/>
  <c r="AB637" i="1" s="1"/>
  <c r="AK637" i="1" s="1"/>
  <c r="T253" i="1"/>
  <c r="AB253" i="1" s="1"/>
  <c r="AK253" i="1" s="1"/>
  <c r="T261" i="1"/>
  <c r="AB261" i="1" s="1"/>
  <c r="AK261" i="1" s="1"/>
  <c r="P270" i="1"/>
  <c r="AK270" i="1" s="1"/>
  <c r="T240" i="1"/>
  <c r="AB240" i="1" s="1"/>
  <c r="AK240" i="1" s="1"/>
  <c r="U270" i="1"/>
  <c r="U150" i="1"/>
  <c r="AN150" i="1" s="1"/>
  <c r="Q359" i="1"/>
  <c r="Y359" i="1" s="1"/>
  <c r="AH359" i="1" s="1"/>
  <c r="P538" i="1"/>
  <c r="AK538" i="1" s="1"/>
  <c r="S220" i="1"/>
  <c r="AN220" i="1" s="1"/>
  <c r="AS220" i="1" s="1"/>
  <c r="O500" i="1"/>
  <c r="AI500" i="1" s="1"/>
  <c r="T518" i="1"/>
  <c r="AB518" i="1" s="1"/>
  <c r="T561" i="1"/>
  <c r="AB561" i="1" s="1"/>
  <c r="S507" i="1"/>
  <c r="AN507" i="1" s="1"/>
  <c r="AO507" i="1" s="1"/>
  <c r="AP507" i="1" s="1"/>
  <c r="AQ507" i="1" s="1"/>
  <c r="AR507" i="1" s="1"/>
  <c r="U650" i="1"/>
  <c r="AC650" i="1" s="1"/>
  <c r="AL650" i="1" s="1"/>
  <c r="R478" i="1"/>
  <c r="Z478" i="1" s="1"/>
  <c r="AI478" i="1" s="1"/>
  <c r="T529" i="1"/>
  <c r="AB529" i="1" s="1"/>
  <c r="R85" i="1"/>
  <c r="Z85" i="1" s="1"/>
  <c r="T170" i="1"/>
  <c r="AB170" i="1" s="1"/>
  <c r="R625" i="1"/>
  <c r="Z625" i="1" s="1"/>
  <c r="U445" i="1"/>
  <c r="AN445" i="1" s="1"/>
  <c r="S616" i="1"/>
  <c r="AN616" i="1" s="1"/>
  <c r="AO616" i="1" s="1"/>
  <c r="AP616" i="1" s="1"/>
  <c r="AQ616" i="1" s="1"/>
  <c r="AR616" i="1" s="1"/>
  <c r="O255" i="1"/>
  <c r="AA255" i="1" s="1"/>
  <c r="AJ255" i="1" s="1"/>
  <c r="Q438" i="1"/>
  <c r="Y438" i="1" s="1"/>
  <c r="AH438" i="1" s="1"/>
  <c r="Q594" i="1"/>
  <c r="Y594" i="1" s="1"/>
  <c r="AH594" i="1" s="1"/>
  <c r="P390" i="1"/>
  <c r="AK390" i="1" s="1"/>
  <c r="U99" i="1"/>
  <c r="AN99" i="1" s="1"/>
  <c r="AO99" i="1" s="1"/>
  <c r="AP99" i="1" s="1"/>
  <c r="AQ99" i="1" s="1"/>
  <c r="AR99" i="1" s="1"/>
  <c r="Q154" i="1"/>
  <c r="Y154" i="1" s="1"/>
  <c r="AH154" i="1" s="1"/>
  <c r="O406" i="1"/>
  <c r="W406" i="1" s="1"/>
  <c r="AF406" i="1" s="1"/>
  <c r="O651" i="1"/>
  <c r="AI651" i="1" s="1"/>
  <c r="Q299" i="1"/>
  <c r="Y299" i="1" s="1"/>
  <c r="AH299" i="1" s="1"/>
  <c r="T607" i="1"/>
  <c r="AB607" i="1" s="1"/>
  <c r="AK607" i="1" s="1"/>
  <c r="O205" i="1"/>
  <c r="Y205" i="1" s="1"/>
  <c r="AH205" i="1" s="1"/>
  <c r="U136" i="1"/>
  <c r="AN136" i="1" s="1"/>
  <c r="AO136" i="1" s="1"/>
  <c r="S222" i="1"/>
  <c r="AA222" i="1" s="1"/>
  <c r="AJ222" i="1" s="1"/>
  <c r="U229" i="1"/>
  <c r="P508" i="1"/>
  <c r="AK508" i="1" s="1"/>
  <c r="O339" i="1"/>
  <c r="W339" i="1" s="1"/>
  <c r="AF339" i="1" s="1"/>
  <c r="U302" i="1"/>
  <c r="AC302" i="1" s="1"/>
  <c r="AL302" i="1" s="1"/>
  <c r="Q135" i="1"/>
  <c r="Y135" i="1" s="1"/>
  <c r="AH135" i="1" s="1"/>
  <c r="S442" i="1"/>
  <c r="AN442" i="1" s="1"/>
  <c r="S459" i="1"/>
  <c r="S180" i="1"/>
  <c r="AN180" i="1" s="1"/>
  <c r="AO180" i="1" s="1"/>
  <c r="AP180" i="1" s="1"/>
  <c r="AQ180" i="1" s="1"/>
  <c r="AR180" i="1" s="1"/>
  <c r="S621" i="1"/>
  <c r="AA621" i="1" s="1"/>
  <c r="AJ621" i="1" s="1"/>
  <c r="S237" i="1"/>
  <c r="AA237" i="1" s="1"/>
  <c r="AJ237" i="1" s="1"/>
  <c r="R206" i="1"/>
  <c r="Z206" i="1" s="1"/>
  <c r="AI206" i="1" s="1"/>
  <c r="O374" i="1"/>
  <c r="AC374" i="1" s="1"/>
  <c r="AL374" i="1" s="1"/>
  <c r="S664" i="1"/>
  <c r="T195" i="1"/>
  <c r="AB195" i="1" s="1"/>
  <c r="AK195" i="1" s="1"/>
  <c r="S233" i="1"/>
  <c r="AN233" i="1" s="1"/>
  <c r="AO233" i="1" s="1"/>
  <c r="AP233" i="1" s="1"/>
  <c r="AQ233" i="1" s="1"/>
  <c r="AR233" i="1" s="1"/>
  <c r="Q353" i="1"/>
  <c r="Y353" i="1" s="1"/>
  <c r="AH353" i="1" s="1"/>
  <c r="R488" i="1"/>
  <c r="Z488" i="1" s="1"/>
  <c r="AI488" i="1" s="1"/>
  <c r="P455" i="1"/>
  <c r="X455" i="1" s="1"/>
  <c r="AG455" i="1" s="1"/>
  <c r="S548" i="1"/>
  <c r="AN548" i="1" s="1"/>
  <c r="AO548" i="1" s="1"/>
  <c r="AP548" i="1" s="1"/>
  <c r="AQ548" i="1" s="1"/>
  <c r="AR548" i="1" s="1"/>
  <c r="O190" i="1"/>
  <c r="W190" i="1" s="1"/>
  <c r="AF190" i="1" s="1"/>
  <c r="Q157" i="1"/>
  <c r="Y157" i="1" s="1"/>
  <c r="AH157" i="1" s="1"/>
  <c r="T504" i="1"/>
  <c r="AB504" i="1" s="1"/>
  <c r="AK504" i="1" s="1"/>
  <c r="Q518" i="1"/>
  <c r="Q566" i="1"/>
  <c r="Y566" i="1" s="1"/>
  <c r="AH566" i="1" s="1"/>
  <c r="P220" i="1"/>
  <c r="AK220" i="1" s="1"/>
  <c r="R666" i="1"/>
  <c r="Z666" i="1" s="1"/>
  <c r="AI666" i="1" s="1"/>
  <c r="R486" i="1"/>
  <c r="Z486" i="1" s="1"/>
  <c r="AI486" i="1" s="1"/>
  <c r="Q595" i="1"/>
  <c r="Y595" i="1" s="1"/>
  <c r="AH595" i="1" s="1"/>
  <c r="P317" i="1"/>
  <c r="X317" i="1" s="1"/>
  <c r="AG317" i="1" s="1"/>
  <c r="R171" i="1"/>
  <c r="Z171" i="1" s="1"/>
  <c r="AI171" i="1" s="1"/>
  <c r="T314" i="1"/>
  <c r="AB314" i="1" s="1"/>
  <c r="AK314" i="1" s="1"/>
  <c r="R120" i="1"/>
  <c r="Z120" i="1" s="1"/>
  <c r="AI120" i="1" s="1"/>
  <c r="Q589" i="1"/>
  <c r="O571" i="1"/>
  <c r="W571" i="1" s="1"/>
  <c r="AF571" i="1" s="1"/>
  <c r="T110" i="1"/>
  <c r="AB110" i="1" s="1"/>
  <c r="Q561" i="1"/>
  <c r="Y561" i="1" s="1"/>
  <c r="AH561" i="1" s="1"/>
  <c r="Q340" i="1"/>
  <c r="Y340" i="1" s="1"/>
  <c r="AH340" i="1" s="1"/>
  <c r="P263" i="1"/>
  <c r="S603" i="1"/>
  <c r="AN603" i="1" s="1"/>
  <c r="AO603" i="1" s="1"/>
  <c r="AP603" i="1" s="1"/>
  <c r="AQ603" i="1" s="1"/>
  <c r="AR603" i="1" s="1"/>
  <c r="Q401" i="1"/>
  <c r="U423" i="1"/>
  <c r="AC423" i="1" s="1"/>
  <c r="AL423" i="1" s="1"/>
  <c r="R558" i="1"/>
  <c r="Z558" i="1" s="1"/>
  <c r="AI558" i="1" s="1"/>
  <c r="O230" i="1"/>
  <c r="U309" i="1"/>
  <c r="AC309" i="1" s="1"/>
  <c r="AL309" i="1" s="1"/>
  <c r="T530" i="1"/>
  <c r="AB530" i="1" s="1"/>
  <c r="AK530" i="1" s="1"/>
  <c r="P226" i="1"/>
  <c r="AK226" i="1" s="1"/>
  <c r="Q425" i="1"/>
  <c r="Q428" i="1"/>
  <c r="Y428" i="1" s="1"/>
  <c r="AH428" i="1" s="1"/>
  <c r="O505" i="1"/>
  <c r="AC505" i="1" s="1"/>
  <c r="AL505" i="1" s="1"/>
  <c r="P250" i="1"/>
  <c r="R157" i="1"/>
  <c r="Z157" i="1" s="1"/>
  <c r="AI157" i="1" s="1"/>
  <c r="U266" i="1"/>
  <c r="AN266" i="1" s="1"/>
  <c r="P499" i="1"/>
  <c r="S157" i="1"/>
  <c r="AA157" i="1" s="1"/>
  <c r="AJ157" i="1" s="1"/>
  <c r="S111" i="1"/>
  <c r="AN111" i="1" s="1"/>
  <c r="T97" i="1"/>
  <c r="AB97" i="1" s="1"/>
  <c r="AK97" i="1" s="1"/>
  <c r="S405" i="1"/>
  <c r="AN405" i="1" s="1"/>
  <c r="AO405" i="1" s="1"/>
  <c r="AP405" i="1" s="1"/>
  <c r="S452" i="1"/>
  <c r="AA452" i="1" s="1"/>
  <c r="AJ452" i="1" s="1"/>
  <c r="P110" i="1"/>
  <c r="AK110" i="1" s="1"/>
  <c r="R110" i="1"/>
  <c r="Z110" i="1" s="1"/>
  <c r="U308" i="1"/>
  <c r="AC308" i="1" s="1"/>
  <c r="AL308" i="1" s="1"/>
  <c r="R368" i="1"/>
  <c r="Z368" i="1" s="1"/>
  <c r="AI368" i="1" s="1"/>
  <c r="U519" i="1"/>
  <c r="U563" i="1"/>
  <c r="R392" i="1"/>
  <c r="Z392" i="1" s="1"/>
  <c r="T664" i="1"/>
  <c r="AB664" i="1" s="1"/>
  <c r="Q117" i="1"/>
  <c r="Y117" i="1" s="1"/>
  <c r="AH117" i="1" s="1"/>
  <c r="U137" i="1"/>
  <c r="AN137" i="1" s="1"/>
  <c r="AO137" i="1" s="1"/>
  <c r="AP137" i="1" s="1"/>
  <c r="AQ137" i="1" s="1"/>
  <c r="AR137" i="1" s="1"/>
  <c r="Q434" i="1"/>
  <c r="R424" i="1"/>
  <c r="Z424" i="1" s="1"/>
  <c r="AI424" i="1" s="1"/>
  <c r="P160" i="1"/>
  <c r="R274" i="1"/>
  <c r="Z274" i="1" s="1"/>
  <c r="R636" i="1"/>
  <c r="Z636" i="1" s="1"/>
  <c r="R648" i="1"/>
  <c r="Z648" i="1" s="1"/>
  <c r="AI648" i="1" s="1"/>
  <c r="U468" i="1"/>
  <c r="AN468" i="1" s="1"/>
  <c r="AO468" i="1" s="1"/>
  <c r="AP468" i="1" s="1"/>
  <c r="AQ468" i="1" s="1"/>
  <c r="AR468" i="1" s="1"/>
  <c r="S570" i="1"/>
  <c r="U121" i="1"/>
  <c r="AN121" i="1" s="1"/>
  <c r="AO121" i="1" s="1"/>
  <c r="AP121" i="1" s="1"/>
  <c r="AQ121" i="1" s="1"/>
  <c r="AR121" i="1" s="1"/>
  <c r="T255" i="1"/>
  <c r="AB255" i="1" s="1"/>
  <c r="AK255" i="1" s="1"/>
  <c r="U85" i="1"/>
  <c r="AN85" i="1" s="1"/>
  <c r="AO85" i="1" s="1"/>
  <c r="AP85" i="1" s="1"/>
  <c r="AQ85" i="1" s="1"/>
  <c r="AR85" i="1" s="1"/>
  <c r="P602" i="1"/>
  <c r="X602" i="1" s="1"/>
  <c r="AG602" i="1" s="1"/>
  <c r="P99" i="1"/>
  <c r="AK99" i="1" s="1"/>
  <c r="U504" i="1"/>
  <c r="AC504" i="1" s="1"/>
  <c r="AL504" i="1" s="1"/>
  <c r="U645" i="1"/>
  <c r="U568" i="1"/>
  <c r="AC568" i="1" s="1"/>
  <c r="AL568" i="1" s="1"/>
  <c r="S409" i="1"/>
  <c r="O287" i="1"/>
  <c r="W287" i="1" s="1"/>
  <c r="AF287" i="1" s="1"/>
  <c r="T227" i="1"/>
  <c r="AB227" i="1" s="1"/>
  <c r="O584" i="1"/>
  <c r="U469" i="1"/>
  <c r="S431" i="1"/>
  <c r="U159" i="1"/>
  <c r="S598" i="1"/>
  <c r="AN598" i="1" s="1"/>
  <c r="AS598" i="1" s="1"/>
  <c r="T176" i="1"/>
  <c r="AB176" i="1" s="1"/>
  <c r="AK176" i="1" s="1"/>
  <c r="S344" i="1"/>
  <c r="AN344" i="1" s="1"/>
  <c r="AO344" i="1" s="1"/>
  <c r="AP344" i="1" s="1"/>
  <c r="AQ344" i="1" s="1"/>
  <c r="AR344" i="1" s="1"/>
  <c r="O436" i="1"/>
  <c r="X436" i="1" s="1"/>
  <c r="AG436" i="1" s="1"/>
  <c r="O341" i="1"/>
  <c r="S505" i="1"/>
  <c r="AN505" i="1" s="1"/>
  <c r="AO505" i="1" s="1"/>
  <c r="AP505" i="1" s="1"/>
  <c r="AQ505" i="1" s="1"/>
  <c r="AR505" i="1" s="1"/>
  <c r="R219" i="1"/>
  <c r="Z219" i="1" s="1"/>
  <c r="U376" i="1"/>
  <c r="Q273" i="1"/>
  <c r="U431" i="1"/>
  <c r="P561" i="1"/>
  <c r="T250" i="1"/>
  <c r="AB250" i="1" s="1"/>
  <c r="U253" i="1"/>
  <c r="AN253" i="1" s="1"/>
  <c r="AO253" i="1" s="1"/>
  <c r="AP253" i="1" s="1"/>
  <c r="Q83" i="1"/>
  <c r="Y83" i="1" s="1"/>
  <c r="AH83" i="1" s="1"/>
  <c r="T447" i="1"/>
  <c r="AB447" i="1" s="1"/>
  <c r="AK447" i="1" s="1"/>
  <c r="Q433" i="1"/>
  <c r="O333" i="1"/>
  <c r="X333" i="1" s="1"/>
  <c r="AG333" i="1" s="1"/>
  <c r="Q473" i="1"/>
  <c r="U517" i="1"/>
  <c r="AC517" i="1" s="1"/>
  <c r="AL517" i="1" s="1"/>
  <c r="Q296" i="1"/>
  <c r="U414" i="1"/>
  <c r="AN414" i="1" s="1"/>
  <c r="AO414" i="1" s="1"/>
  <c r="AP414" i="1" s="1"/>
  <c r="AQ414" i="1" s="1"/>
  <c r="AR414" i="1" s="1"/>
  <c r="S362" i="1"/>
  <c r="Q457" i="1"/>
  <c r="Q356" i="1"/>
  <c r="Y356" i="1" s="1"/>
  <c r="AH356" i="1" s="1"/>
  <c r="U574" i="1"/>
  <c r="AN574" i="1" s="1"/>
  <c r="AO574" i="1" s="1"/>
  <c r="S537" i="1"/>
  <c r="S437" i="1"/>
  <c r="AN437" i="1" s="1"/>
  <c r="AO437" i="1" s="1"/>
  <c r="Q386" i="1"/>
  <c r="Y386" i="1" s="1"/>
  <c r="AH386" i="1" s="1"/>
  <c r="R582" i="1"/>
  <c r="Z582" i="1" s="1"/>
  <c r="AI582" i="1" s="1"/>
  <c r="U418" i="1"/>
  <c r="U550" i="1"/>
  <c r="T204" i="1"/>
  <c r="AB204" i="1" s="1"/>
  <c r="AK204" i="1" s="1"/>
  <c r="P218" i="1"/>
  <c r="X218" i="1" s="1"/>
  <c r="AG218" i="1" s="1"/>
  <c r="T537" i="1"/>
  <c r="AB537" i="1" s="1"/>
  <c r="AK537" i="1" s="1"/>
  <c r="T223" i="1"/>
  <c r="AB223" i="1" s="1"/>
  <c r="R465" i="1"/>
  <c r="Z465" i="1" s="1"/>
  <c r="AI465" i="1" s="1"/>
  <c r="P449" i="1"/>
  <c r="S235" i="1"/>
  <c r="AN235" i="1" s="1"/>
  <c r="AO235" i="1" s="1"/>
  <c r="Q558" i="1"/>
  <c r="Y558" i="1" s="1"/>
  <c r="AH558" i="1" s="1"/>
  <c r="P94" i="1"/>
  <c r="T323" i="1"/>
  <c r="AB323" i="1" s="1"/>
  <c r="AK323" i="1" s="1"/>
  <c r="O314" i="1"/>
  <c r="X314" i="1" s="1"/>
  <c r="AG314" i="1" s="1"/>
  <c r="R665" i="1"/>
  <c r="Z665" i="1" s="1"/>
  <c r="AI665" i="1" s="1"/>
  <c r="R270" i="1"/>
  <c r="Z270" i="1" s="1"/>
  <c r="Q144" i="1"/>
  <c r="O203" i="1"/>
  <c r="W203" i="1" s="1"/>
  <c r="AF203" i="1" s="1"/>
  <c r="U627" i="1"/>
  <c r="AC627" i="1" s="1"/>
  <c r="AL627" i="1" s="1"/>
  <c r="O523" i="1"/>
  <c r="W523" i="1" s="1"/>
  <c r="AF523" i="1" s="1"/>
  <c r="O506" i="1"/>
  <c r="AC506" i="1" s="1"/>
  <c r="AL506" i="1" s="1"/>
  <c r="O241" i="1"/>
  <c r="P662" i="1"/>
  <c r="AK662" i="1" s="1"/>
  <c r="R460" i="1"/>
  <c r="Z460" i="1" s="1"/>
  <c r="S206" i="1"/>
  <c r="AA206" i="1" s="1"/>
  <c r="AJ206" i="1" s="1"/>
  <c r="R96" i="1"/>
  <c r="Z96" i="1" s="1"/>
  <c r="AI96" i="1" s="1"/>
  <c r="P401" i="1"/>
  <c r="S105" i="1"/>
  <c r="S125" i="1"/>
  <c r="AN125" i="1" s="1"/>
  <c r="AO125" i="1" s="1"/>
  <c r="AP125" i="1" s="1"/>
  <c r="AQ125" i="1" s="1"/>
  <c r="AR125" i="1" s="1"/>
  <c r="U454" i="1"/>
  <c r="T618" i="1"/>
  <c r="AB618" i="1" s="1"/>
  <c r="S523" i="1"/>
  <c r="P450" i="1"/>
  <c r="X450" i="1" s="1"/>
  <c r="AG450" i="1" s="1"/>
  <c r="O451" i="1"/>
  <c r="AA451" i="1" s="1"/>
  <c r="AJ451" i="1" s="1"/>
  <c r="S593" i="1"/>
  <c r="AN593" i="1" s="1"/>
  <c r="S279" i="1"/>
  <c r="AN279" i="1" s="1"/>
  <c r="T345" i="1"/>
  <c r="AB345" i="1" s="1"/>
  <c r="AK345" i="1" s="1"/>
  <c r="Q429" i="1"/>
  <c r="T655" i="1"/>
  <c r="AB655" i="1" s="1"/>
  <c r="AK655" i="1" s="1"/>
  <c r="U396" i="1"/>
  <c r="AC396" i="1" s="1"/>
  <c r="AL396" i="1" s="1"/>
  <c r="R406" i="1"/>
  <c r="Z406" i="1" s="1"/>
  <c r="S366" i="1"/>
  <c r="AA366" i="1" s="1"/>
  <c r="AJ366" i="1" s="1"/>
  <c r="Q213" i="1"/>
  <c r="O536" i="1"/>
  <c r="AC536" i="1" s="1"/>
  <c r="AL536" i="1" s="1"/>
  <c r="R650" i="1"/>
  <c r="Z650" i="1" s="1"/>
  <c r="AI650" i="1" s="1"/>
  <c r="U338" i="1"/>
  <c r="Q269" i="1"/>
  <c r="Y269" i="1" s="1"/>
  <c r="AH269" i="1" s="1"/>
  <c r="O529" i="1"/>
  <c r="Y529" i="1" s="1"/>
  <c r="AH529" i="1" s="1"/>
  <c r="U379" i="1"/>
  <c r="AC379" i="1" s="1"/>
  <c r="AL379" i="1" s="1"/>
  <c r="R484" i="1"/>
  <c r="Z484" i="1" s="1"/>
  <c r="AI484" i="1" s="1"/>
  <c r="Q658" i="1"/>
  <c r="Y658" i="1" s="1"/>
  <c r="AH658" i="1" s="1"/>
  <c r="S477" i="1"/>
  <c r="AN477" i="1" s="1"/>
  <c r="Q584" i="1"/>
  <c r="Y584" i="1" s="1"/>
  <c r="AH584" i="1" s="1"/>
  <c r="P239" i="1"/>
  <c r="X239" i="1" s="1"/>
  <c r="AG239" i="1" s="1"/>
  <c r="U295" i="1"/>
  <c r="AC295" i="1" s="1"/>
  <c r="AL295" i="1" s="1"/>
  <c r="T663" i="1"/>
  <c r="AB663" i="1" s="1"/>
  <c r="AK663" i="1" s="1"/>
  <c r="R183" i="1"/>
  <c r="Z183" i="1" s="1"/>
  <c r="AI183" i="1" s="1"/>
  <c r="O162" i="1"/>
  <c r="X162" i="1" s="1"/>
  <c r="AG162" i="1" s="1"/>
  <c r="P471" i="1"/>
  <c r="X471" i="1" s="1"/>
  <c r="AG471" i="1" s="1"/>
  <c r="T173" i="1"/>
  <c r="AB173" i="1" s="1"/>
  <c r="Q661" i="1"/>
  <c r="Y661" i="1" s="1"/>
  <c r="AH661" i="1" s="1"/>
  <c r="U185" i="1"/>
  <c r="O655" i="1"/>
  <c r="AI655" i="1" s="1"/>
  <c r="P550" i="1"/>
  <c r="AK550" i="1" s="1"/>
  <c r="S196" i="1"/>
  <c r="AN196" i="1" s="1"/>
  <c r="AS196" i="1" s="1"/>
  <c r="T621" i="1"/>
  <c r="AB621" i="1" s="1"/>
  <c r="AK621" i="1" s="1"/>
  <c r="P632" i="1"/>
  <c r="X632" i="1" s="1"/>
  <c r="AG632" i="1" s="1"/>
  <c r="P474" i="1"/>
  <c r="Q295" i="1"/>
  <c r="Y295" i="1" s="1"/>
  <c r="AH295" i="1" s="1"/>
  <c r="O550" i="1"/>
  <c r="O177" i="1"/>
  <c r="AA177" i="1" s="1"/>
  <c r="AJ177" i="1" s="1"/>
  <c r="S425" i="1"/>
  <c r="AN425" i="1" s="1"/>
  <c r="AS425" i="1" s="1"/>
  <c r="O138" i="1"/>
  <c r="AA138" i="1" s="1"/>
  <c r="AJ138" i="1" s="1"/>
  <c r="Q329" i="1"/>
  <c r="O338" i="1"/>
  <c r="W338" i="1" s="1"/>
  <c r="AF338" i="1" s="1"/>
  <c r="O390" i="1"/>
  <c r="S377" i="1"/>
  <c r="AN377" i="1" s="1"/>
  <c r="AO377" i="1" s="1"/>
  <c r="AP377" i="1" s="1"/>
  <c r="AQ377" i="1" s="1"/>
  <c r="AR377" i="1" s="1"/>
  <c r="R483" i="1"/>
  <c r="Z483" i="1" s="1"/>
  <c r="AI483" i="1" s="1"/>
  <c r="P246" i="1"/>
  <c r="U371" i="1"/>
  <c r="O657" i="1"/>
  <c r="W657" i="1" s="1"/>
  <c r="AF657" i="1" s="1"/>
  <c r="R196" i="1"/>
  <c r="Z196" i="1" s="1"/>
  <c r="AI196" i="1" s="1"/>
  <c r="T95" i="1"/>
  <c r="AB95" i="1" s="1"/>
  <c r="AK95" i="1" s="1"/>
  <c r="S133" i="1"/>
  <c r="AN133" i="1" s="1"/>
  <c r="Q153" i="1"/>
  <c r="Y153" i="1" s="1"/>
  <c r="AH153" i="1" s="1"/>
  <c r="T452" i="1"/>
  <c r="AB452" i="1" s="1"/>
  <c r="AK452" i="1" s="1"/>
  <c r="T544" i="1"/>
  <c r="AB544" i="1" s="1"/>
  <c r="AK544" i="1" s="1"/>
  <c r="T147" i="1"/>
  <c r="AB147" i="1" s="1"/>
  <c r="U494" i="1"/>
  <c r="U222" i="1"/>
  <c r="S441" i="1"/>
  <c r="AA441" i="1" s="1"/>
  <c r="AJ441" i="1" s="1"/>
  <c r="Q636" i="1"/>
  <c r="O165" i="1"/>
  <c r="X165" i="1" s="1"/>
  <c r="AG165" i="1" s="1"/>
  <c r="T433" i="1"/>
  <c r="AB433" i="1" s="1"/>
  <c r="AK433" i="1" s="1"/>
  <c r="Q250" i="1"/>
  <c r="R660" i="1"/>
  <c r="Z660" i="1" s="1"/>
  <c r="O590" i="1"/>
  <c r="AA590" i="1" s="1"/>
  <c r="AJ590" i="1" s="1"/>
  <c r="O401" i="1"/>
  <c r="T481" i="1"/>
  <c r="AB481" i="1" s="1"/>
  <c r="AK481" i="1" s="1"/>
  <c r="P170" i="1"/>
  <c r="O522" i="1"/>
  <c r="AI522" i="1" s="1"/>
  <c r="T187" i="1"/>
  <c r="AB187" i="1" s="1"/>
  <c r="AK187" i="1" s="1"/>
  <c r="U123" i="1"/>
  <c r="AN123" i="1" s="1"/>
  <c r="AO123" i="1" s="1"/>
  <c r="AP123" i="1" s="1"/>
  <c r="AQ123" i="1" s="1"/>
  <c r="AR123" i="1" s="1"/>
  <c r="O296" i="1"/>
  <c r="AI296" i="1" s="1"/>
  <c r="O429" i="1"/>
  <c r="W429" i="1" s="1"/>
  <c r="AF429" i="1" s="1"/>
  <c r="S434" i="1"/>
  <c r="AN434" i="1" s="1"/>
  <c r="AS434" i="1" s="1"/>
  <c r="T104" i="1"/>
  <c r="AB104" i="1" s="1"/>
  <c r="AK104" i="1" s="1"/>
  <c r="U202" i="1"/>
  <c r="AC202" i="1" s="1"/>
  <c r="AL202" i="1" s="1"/>
  <c r="U217" i="1"/>
  <c r="AC217" i="1" s="1"/>
  <c r="AL217" i="1" s="1"/>
  <c r="Q415" i="1"/>
  <c r="Y415" i="1" s="1"/>
  <c r="AH415" i="1" s="1"/>
  <c r="R503" i="1"/>
  <c r="Z503" i="1" s="1"/>
  <c r="AI503" i="1" s="1"/>
  <c r="S359" i="1"/>
  <c r="AN359" i="1" s="1"/>
  <c r="Q298" i="1"/>
  <c r="Y298" i="1" s="1"/>
  <c r="AH298" i="1" s="1"/>
  <c r="R593" i="1"/>
  <c r="Z593" i="1" s="1"/>
  <c r="P603" i="1"/>
  <c r="X603" i="1" s="1"/>
  <c r="AG603" i="1" s="1"/>
  <c r="T602" i="1"/>
  <c r="AB602" i="1" s="1"/>
  <c r="U98" i="1"/>
  <c r="AN98" i="1" s="1"/>
  <c r="AO98" i="1" s="1"/>
  <c r="AP98" i="1" s="1"/>
  <c r="AQ98" i="1" s="1"/>
  <c r="AR98" i="1" s="1"/>
  <c r="P308" i="1"/>
  <c r="U272" i="1"/>
  <c r="AC272" i="1" s="1"/>
  <c r="AL272" i="1" s="1"/>
  <c r="U428" i="1"/>
  <c r="AC428" i="1" s="1"/>
  <c r="AL428" i="1" s="1"/>
  <c r="Q560" i="1"/>
  <c r="Y560" i="1" s="1"/>
  <c r="AH560" i="1" s="1"/>
  <c r="U387" i="1"/>
  <c r="AN387" i="1" s="1"/>
  <c r="S185" i="1"/>
  <c r="S618" i="1"/>
  <c r="AA618" i="1" s="1"/>
  <c r="AJ618" i="1" s="1"/>
  <c r="S474" i="1"/>
  <c r="AA474" i="1" s="1"/>
  <c r="AJ474" i="1" s="1"/>
  <c r="R523" i="1"/>
  <c r="Z523" i="1" s="1"/>
  <c r="AI523" i="1" s="1"/>
  <c r="S655" i="1"/>
  <c r="AN655" i="1" s="1"/>
  <c r="AO655" i="1" s="1"/>
  <c r="AP655" i="1" s="1"/>
  <c r="AQ655" i="1" s="1"/>
  <c r="AR655" i="1" s="1"/>
  <c r="P573" i="1"/>
  <c r="X573" i="1" s="1"/>
  <c r="AG573" i="1" s="1"/>
  <c r="U297" i="1"/>
  <c r="AN297" i="1" s="1"/>
  <c r="AS297" i="1" s="1"/>
  <c r="S641" i="1"/>
  <c r="R657" i="1"/>
  <c r="Z657" i="1" s="1"/>
  <c r="R308" i="1"/>
  <c r="S411" i="1"/>
  <c r="AA411" i="1" s="1"/>
  <c r="AJ411" i="1" s="1"/>
  <c r="S275" i="1"/>
  <c r="AA275" i="1" s="1"/>
  <c r="AJ275" i="1" s="1"/>
  <c r="Q272" i="1"/>
  <c r="Y272" i="1" s="1"/>
  <c r="AH272" i="1" s="1"/>
  <c r="S101" i="1"/>
  <c r="AN101" i="1" s="1"/>
  <c r="AO101" i="1" s="1"/>
  <c r="AP101" i="1" s="1"/>
  <c r="AQ101" i="1" s="1"/>
  <c r="AR101" i="1" s="1"/>
  <c r="T556" i="1"/>
  <c r="AB556" i="1" s="1"/>
  <c r="AK556" i="1" s="1"/>
  <c r="R140" i="1"/>
  <c r="Z140" i="1" s="1"/>
  <c r="AI140" i="1" s="1"/>
  <c r="R107" i="1"/>
  <c r="Z107" i="1" s="1"/>
  <c r="P144" i="1"/>
  <c r="AK144" i="1" s="1"/>
  <c r="Q647" i="1"/>
  <c r="Y647" i="1" s="1"/>
  <c r="AH647" i="1" s="1"/>
  <c r="O99" i="1"/>
  <c r="AA99" i="1" s="1"/>
  <c r="AJ99" i="1" s="1"/>
  <c r="U190" i="1"/>
  <c r="AN190" i="1" s="1"/>
  <c r="O575" i="1"/>
  <c r="T590" i="1"/>
  <c r="AB590" i="1" s="1"/>
  <c r="AK590" i="1" s="1"/>
  <c r="R437" i="1"/>
  <c r="Z437" i="1" s="1"/>
  <c r="R522" i="1"/>
  <c r="Z522" i="1" s="1"/>
  <c r="Q218" i="1"/>
  <c r="Y218" i="1" s="1"/>
  <c r="AH218" i="1" s="1"/>
  <c r="Q131" i="1"/>
  <c r="Y131" i="1" s="1"/>
  <c r="AH131" i="1" s="1"/>
  <c r="T565" i="1"/>
  <c r="AB565" i="1" s="1"/>
  <c r="U260" i="1"/>
  <c r="AN260" i="1" s="1"/>
  <c r="AO260" i="1" s="1"/>
  <c r="AP260" i="1" s="1"/>
  <c r="AQ260" i="1" s="1"/>
  <c r="AR260" i="1" s="1"/>
  <c r="R663" i="1"/>
  <c r="Z663" i="1" s="1"/>
  <c r="AI663" i="1" s="1"/>
  <c r="O638" i="1"/>
  <c r="X638" i="1" s="1"/>
  <c r="AG638" i="1" s="1"/>
  <c r="U96" i="1"/>
  <c r="Q225" i="1"/>
  <c r="Y225" i="1" s="1"/>
  <c r="AH225" i="1" s="1"/>
  <c r="Q494" i="1"/>
  <c r="Y494" i="1" s="1"/>
  <c r="AH494" i="1" s="1"/>
  <c r="S199" i="1"/>
  <c r="AN199" i="1" s="1"/>
  <c r="AO199" i="1" s="1"/>
  <c r="R615" i="1"/>
  <c r="Z615" i="1" s="1"/>
  <c r="P394" i="1"/>
  <c r="AK394" i="1" s="1"/>
  <c r="Q200" i="1"/>
  <c r="Y200" i="1" s="1"/>
  <c r="AH200" i="1" s="1"/>
  <c r="P169" i="1"/>
  <c r="X169" i="1" s="1"/>
  <c r="AG169" i="1" s="1"/>
  <c r="O631" i="1"/>
  <c r="Y631" i="1" s="1"/>
  <c r="AH631" i="1" s="1"/>
  <c r="S422" i="1"/>
  <c r="AA422" i="1" s="1"/>
  <c r="AJ422" i="1" s="1"/>
  <c r="S580" i="1"/>
  <c r="AN580" i="1" s="1"/>
  <c r="AO580" i="1" s="1"/>
  <c r="AP580" i="1" s="1"/>
  <c r="AQ580" i="1" s="1"/>
  <c r="AR580" i="1" s="1"/>
  <c r="T665" i="1"/>
  <c r="AB665" i="1" s="1"/>
  <c r="AK665" i="1" s="1"/>
  <c r="S665" i="1"/>
  <c r="AA665" i="1" s="1"/>
  <c r="AJ665" i="1" s="1"/>
  <c r="O274" i="1"/>
  <c r="W274" i="1" s="1"/>
  <c r="AF274" i="1" s="1"/>
  <c r="R518" i="1"/>
  <c r="Z518" i="1" s="1"/>
  <c r="R432" i="1"/>
  <c r="Z432" i="1" s="1"/>
  <c r="AI432" i="1" s="1"/>
  <c r="S427" i="1"/>
  <c r="AA427" i="1" s="1"/>
  <c r="AJ427" i="1" s="1"/>
  <c r="Q140" i="1"/>
  <c r="Y140" i="1" s="1"/>
  <c r="AH140" i="1" s="1"/>
  <c r="P614" i="1"/>
  <c r="X614" i="1" s="1"/>
  <c r="AG614" i="1" s="1"/>
  <c r="R646" i="1"/>
  <c r="Z646" i="1" s="1"/>
  <c r="AI646" i="1" s="1"/>
  <c r="S296" i="1"/>
  <c r="AN296" i="1" s="1"/>
  <c r="AO296" i="1" s="1"/>
  <c r="AP296" i="1" s="1"/>
  <c r="AQ296" i="1" s="1"/>
  <c r="AR296" i="1" s="1"/>
  <c r="R109" i="1"/>
  <c r="Z109" i="1" s="1"/>
  <c r="AI109" i="1" s="1"/>
  <c r="T83" i="1"/>
  <c r="AB83" i="1" s="1"/>
  <c r="AK83" i="1" s="1"/>
  <c r="AW1199" i="1"/>
  <c r="AN1195" i="1"/>
  <c r="AC1195" i="1"/>
  <c r="AL1195" i="1" s="1"/>
  <c r="AW1195" i="1" s="1"/>
  <c r="AR1189" i="1"/>
  <c r="AN1185" i="1"/>
  <c r="AC1185" i="1"/>
  <c r="AL1185" i="1" s="1"/>
  <c r="AW1185" i="1" s="1"/>
  <c r="AW1183" i="1"/>
  <c r="AN1160" i="1"/>
  <c r="AC1160" i="1"/>
  <c r="AL1160" i="1" s="1"/>
  <c r="AW1160" i="1" s="1"/>
  <c r="AN1158" i="1"/>
  <c r="AC1158" i="1"/>
  <c r="AL1158" i="1" s="1"/>
  <c r="AW1158" i="1" s="1"/>
  <c r="BA1133" i="1"/>
  <c r="AN1109" i="1"/>
  <c r="AC1109" i="1"/>
  <c r="AL1109" i="1" s="1"/>
  <c r="AW1109" i="1" s="1"/>
  <c r="AN1097" i="1"/>
  <c r="AC1097" i="1"/>
  <c r="AL1097" i="1" s="1"/>
  <c r="AW1097" i="1" s="1"/>
  <c r="AO963" i="1"/>
  <c r="AP963" i="1" s="1"/>
  <c r="AQ963" i="1" s="1"/>
  <c r="AR963" i="1" s="1"/>
  <c r="AS963" i="1"/>
  <c r="AR951" i="1"/>
  <c r="AS895" i="1"/>
  <c r="AO895" i="1"/>
  <c r="AP895" i="1" s="1"/>
  <c r="AQ895" i="1" s="1"/>
  <c r="AR895" i="1" s="1"/>
  <c r="AR878" i="1"/>
  <c r="AR874" i="1"/>
  <c r="AR872" i="1"/>
  <c r="AX1193" i="1"/>
  <c r="AY1193" i="1" s="1"/>
  <c r="AZ1193" i="1" s="1"/>
  <c r="BA1193" i="1" s="1"/>
  <c r="BB1164" i="1"/>
  <c r="BB725" i="1"/>
  <c r="AO1175" i="1"/>
  <c r="AP1175" i="1" s="1"/>
  <c r="AQ1175" i="1" s="1"/>
  <c r="AR1175" i="1" s="1"/>
  <c r="BB731" i="1"/>
  <c r="AX674" i="1"/>
  <c r="AY674" i="1" s="1"/>
  <c r="AZ674" i="1" s="1"/>
  <c r="BA674" i="1" s="1"/>
  <c r="AO1187" i="1"/>
  <c r="AP1187" i="1" s="1"/>
  <c r="AQ1187" i="1" s="1"/>
  <c r="AR1187" i="1" s="1"/>
  <c r="AC789" i="1"/>
  <c r="AL789" i="1" s="1"/>
  <c r="AW789" i="1" s="1"/>
  <c r="AC793" i="1"/>
  <c r="AL793" i="1" s="1"/>
  <c r="AW793" i="1" s="1"/>
  <c r="AC865" i="1"/>
  <c r="AL865" i="1" s="1"/>
  <c r="AW865" i="1" s="1"/>
  <c r="AC972" i="1"/>
  <c r="AL972" i="1" s="1"/>
  <c r="AW972" i="1" s="1"/>
  <c r="AC976" i="1"/>
  <c r="AL976" i="1" s="1"/>
  <c r="AW976" i="1" s="1"/>
  <c r="AI168" i="1"/>
  <c r="AC283" i="1"/>
  <c r="AL283" i="1" s="1"/>
  <c r="AC1092" i="1"/>
  <c r="AL1092" i="1" s="1"/>
  <c r="AW1092" i="1" s="1"/>
  <c r="AX1092" i="1" s="1"/>
  <c r="AY1092" i="1" s="1"/>
  <c r="AZ1092" i="1" s="1"/>
  <c r="BA1092" i="1" s="1"/>
  <c r="AS1197" i="1"/>
  <c r="AR854" i="1"/>
  <c r="AR772" i="1"/>
  <c r="U417" i="1"/>
  <c r="R186" i="1"/>
  <c r="Z186" i="1" s="1"/>
  <c r="AI186" i="1" s="1"/>
  <c r="T142" i="1"/>
  <c r="AB142" i="1" s="1"/>
  <c r="T191" i="1"/>
  <c r="AB191" i="1" s="1"/>
  <c r="P304" i="1"/>
  <c r="R178" i="1"/>
  <c r="Z178" i="1" s="1"/>
  <c r="AI178" i="1" s="1"/>
  <c r="O579" i="1"/>
  <c r="AI579" i="1" s="1"/>
  <c r="S91" i="1"/>
  <c r="AN91" i="1" s="1"/>
  <c r="R511" i="1"/>
  <c r="Z511" i="1" s="1"/>
  <c r="AI511" i="1" s="1"/>
  <c r="AY1155" i="1"/>
  <c r="AZ1155" i="1" s="1"/>
  <c r="BA1155" i="1" s="1"/>
  <c r="AS919" i="1"/>
  <c r="AC1180" i="1"/>
  <c r="AL1180" i="1" s="1"/>
  <c r="AW1180" i="1" s="1"/>
  <c r="S316" i="1"/>
  <c r="O127" i="1"/>
  <c r="W127" i="1" s="1"/>
  <c r="AF127" i="1" s="1"/>
  <c r="O204" i="1"/>
  <c r="O640" i="1"/>
  <c r="O144" i="1"/>
  <c r="R584" i="1"/>
  <c r="Z584" i="1" s="1"/>
  <c r="R311" i="1"/>
  <c r="Z311" i="1" s="1"/>
  <c r="AI311" i="1" s="1"/>
  <c r="AW1105" i="1"/>
  <c r="AO839" i="1"/>
  <c r="AP839" i="1" s="1"/>
  <c r="AQ839" i="1" s="1"/>
  <c r="AR839" i="1" s="1"/>
  <c r="AR1177" i="1"/>
  <c r="O228" i="1"/>
  <c r="AI228" i="1" s="1"/>
  <c r="U169" i="1"/>
  <c r="U480" i="1"/>
  <c r="AC480" i="1" s="1"/>
  <c r="AL480" i="1" s="1"/>
  <c r="Q539" i="1"/>
  <c r="S549" i="1"/>
  <c r="AA549" i="1" s="1"/>
  <c r="AJ549" i="1" s="1"/>
  <c r="R143" i="1"/>
  <c r="Z143" i="1" s="1"/>
  <c r="R443" i="1"/>
  <c r="Z443" i="1" s="1"/>
  <c r="AI443" i="1" s="1"/>
  <c r="S509" i="1"/>
  <c r="AN509" i="1" s="1"/>
  <c r="AO509" i="1" s="1"/>
  <c r="AP509" i="1" s="1"/>
  <c r="AQ509" i="1" s="1"/>
  <c r="AR509" i="1" s="1"/>
  <c r="O354" i="1"/>
  <c r="AC354" i="1" s="1"/>
  <c r="AL354" i="1" s="1"/>
  <c r="R595" i="1"/>
  <c r="Z595" i="1" s="1"/>
  <c r="BB1157" i="1"/>
  <c r="BB720" i="1"/>
  <c r="T203" i="1"/>
  <c r="AB203" i="1" s="1"/>
  <c r="AK203" i="1" s="1"/>
  <c r="AS935" i="1"/>
  <c r="AO935" i="1"/>
  <c r="AP935" i="1" s="1"/>
  <c r="AQ935" i="1" s="1"/>
  <c r="AR935" i="1" s="1"/>
  <c r="AR931" i="1"/>
  <c r="AW1073" i="1"/>
  <c r="BB1073" i="1" s="1"/>
  <c r="BA677" i="1"/>
  <c r="BB706" i="1"/>
  <c r="BA719" i="1"/>
  <c r="AR829" i="1"/>
  <c r="AY1146" i="1"/>
  <c r="AZ1146" i="1" s="1"/>
  <c r="BA1146" i="1" s="1"/>
  <c r="AW1186" i="1"/>
  <c r="AR883" i="1"/>
  <c r="AR915" i="1"/>
  <c r="AS1151" i="1"/>
  <c r="AW1190" i="1"/>
  <c r="AX1190" i="1" s="1"/>
  <c r="AY1190" i="1" s="1"/>
  <c r="AZ1190" i="1" s="1"/>
  <c r="BA1190" i="1" s="1"/>
  <c r="AW1196" i="1"/>
  <c r="AW1200" i="1"/>
  <c r="AR1171" i="1"/>
  <c r="AW1140" i="1"/>
  <c r="AY1163" i="1"/>
  <c r="AZ1163" i="1" s="1"/>
  <c r="BA1163" i="1" s="1"/>
  <c r="AR758" i="1"/>
  <c r="AR869" i="1"/>
  <c r="AR778" i="1"/>
  <c r="AR936" i="1"/>
  <c r="AR748" i="1"/>
  <c r="AR707" i="1"/>
  <c r="BB691" i="1"/>
  <c r="BA728" i="1"/>
  <c r="BB724" i="1"/>
  <c r="AC1100" i="1"/>
  <c r="AL1100" i="1" s="1"/>
  <c r="AW1100" i="1" s="1"/>
  <c r="AO699" i="1"/>
  <c r="AP699" i="1" s="1"/>
  <c r="AQ699" i="1" s="1"/>
  <c r="AR699" i="1" s="1"/>
  <c r="AO724" i="1"/>
  <c r="AP724" i="1" s="1"/>
  <c r="AQ724" i="1" s="1"/>
  <c r="AR724" i="1" s="1"/>
  <c r="AO722" i="1"/>
  <c r="AP722" i="1" s="1"/>
  <c r="AQ722" i="1" s="1"/>
  <c r="AO704" i="1"/>
  <c r="AP704" i="1" s="1"/>
  <c r="AQ704" i="1" s="1"/>
  <c r="AR704" i="1" s="1"/>
  <c r="AO726" i="1"/>
  <c r="AP726" i="1" s="1"/>
  <c r="AQ726" i="1" s="1"/>
  <c r="AR726" i="1" s="1"/>
  <c r="AN1173" i="1"/>
  <c r="AC1173" i="1"/>
  <c r="AL1173" i="1" s="1"/>
  <c r="AW1173" i="1" s="1"/>
  <c r="AN1165" i="1"/>
  <c r="AC1165" i="1"/>
  <c r="AL1165" i="1" s="1"/>
  <c r="AW1165" i="1" s="1"/>
  <c r="AN1148" i="1"/>
  <c r="AC1148" i="1"/>
  <c r="AL1148" i="1" s="1"/>
  <c r="AW1148" i="1" s="1"/>
  <c r="AS1140" i="1"/>
  <c r="AO927" i="1"/>
  <c r="AP927" i="1" s="1"/>
  <c r="AQ927" i="1" s="1"/>
  <c r="AR927" i="1" s="1"/>
  <c r="AS885" i="1"/>
  <c r="AO885" i="1"/>
  <c r="AP885" i="1" s="1"/>
  <c r="AQ885" i="1" s="1"/>
  <c r="AR885" i="1" s="1"/>
  <c r="AS831" i="1"/>
  <c r="AO788" i="1"/>
  <c r="AP788" i="1" s="1"/>
  <c r="AQ788" i="1" s="1"/>
  <c r="AR788" i="1" s="1"/>
  <c r="AO786" i="1"/>
  <c r="AP786" i="1" s="1"/>
  <c r="AQ786" i="1" s="1"/>
  <c r="AR908" i="1"/>
  <c r="AR850" i="1"/>
  <c r="AR912" i="1"/>
  <c r="AR764" i="1"/>
  <c r="BA673" i="1"/>
  <c r="BA701" i="1"/>
  <c r="BB732" i="1"/>
  <c r="AR718" i="1"/>
  <c r="AR709" i="1"/>
  <c r="AW1181" i="1"/>
  <c r="AR959" i="1"/>
  <c r="AO934" i="1"/>
  <c r="AP934" i="1" s="1"/>
  <c r="AQ934" i="1" s="1"/>
  <c r="AO919" i="1"/>
  <c r="AP919" i="1" s="1"/>
  <c r="AQ919" i="1" s="1"/>
  <c r="AR919" i="1" s="1"/>
  <c r="AO917" i="1"/>
  <c r="AP917" i="1" s="1"/>
  <c r="AQ917" i="1" s="1"/>
  <c r="AS871" i="1"/>
  <c r="AS869" i="1"/>
  <c r="AO848" i="1"/>
  <c r="AP848" i="1" s="1"/>
  <c r="AQ848" i="1" s="1"/>
  <c r="AR848" i="1" s="1"/>
  <c r="AS774" i="1"/>
  <c r="AX726" i="1"/>
  <c r="AY726" i="1" s="1"/>
  <c r="AZ726" i="1" s="1"/>
  <c r="BA726" i="1" s="1"/>
  <c r="BB727" i="1"/>
  <c r="AO1124" i="1"/>
  <c r="AP1124" i="1" s="1"/>
  <c r="AQ1124" i="1" s="1"/>
  <c r="AR1124" i="1" s="1"/>
  <c r="AW1093" i="1"/>
  <c r="AW1184" i="1"/>
  <c r="AW1153" i="1"/>
  <c r="BB1153" i="1" s="1"/>
  <c r="AW1124" i="1"/>
  <c r="AO975" i="1"/>
  <c r="AP975" i="1" s="1"/>
  <c r="AQ975" i="1" s="1"/>
  <c r="AO973" i="1"/>
  <c r="AP973" i="1" s="1"/>
  <c r="AQ973" i="1" s="1"/>
  <c r="AR973" i="1" s="1"/>
  <c r="AO926" i="1"/>
  <c r="AP926" i="1" s="1"/>
  <c r="AQ926" i="1" s="1"/>
  <c r="AO924" i="1"/>
  <c r="AP924" i="1" s="1"/>
  <c r="AQ924" i="1" s="1"/>
  <c r="AS909" i="1"/>
  <c r="AO879" i="1"/>
  <c r="AP879" i="1" s="1"/>
  <c r="AQ879" i="1" s="1"/>
  <c r="AR879" i="1" s="1"/>
  <c r="AS877" i="1"/>
  <c r="AS766" i="1"/>
  <c r="AO861" i="1"/>
  <c r="AP861" i="1" s="1"/>
  <c r="AQ861" i="1" s="1"/>
  <c r="AO782" i="1"/>
  <c r="AP782" i="1" s="1"/>
  <c r="AQ782" i="1" s="1"/>
  <c r="AR782" i="1" s="1"/>
  <c r="AO750" i="1"/>
  <c r="AP750" i="1" s="1"/>
  <c r="AQ750" i="1" s="1"/>
  <c r="AC513" i="1"/>
  <c r="AL513" i="1" s="1"/>
  <c r="Y513" i="1"/>
  <c r="AH513" i="1" s="1"/>
  <c r="Y583" i="1"/>
  <c r="AH583" i="1" s="1"/>
  <c r="AN514" i="1"/>
  <c r="AO514" i="1" s="1"/>
  <c r="AN633" i="1"/>
  <c r="AS633" i="1" s="1"/>
  <c r="AK540" i="1"/>
  <c r="AA211" i="1"/>
  <c r="AJ211" i="1" s="1"/>
  <c r="BB769" i="1"/>
  <c r="AX769" i="1"/>
  <c r="AY769" i="1" s="1"/>
  <c r="AZ769" i="1" s="1"/>
  <c r="BA769" i="1" s="1"/>
  <c r="BB801" i="1"/>
  <c r="AX801" i="1"/>
  <c r="AY801" i="1" s="1"/>
  <c r="AZ801" i="1" s="1"/>
  <c r="BA801" i="1" s="1"/>
  <c r="AX834" i="1"/>
  <c r="AY834" i="1" s="1"/>
  <c r="AZ834" i="1" s="1"/>
  <c r="BA834" i="1" s="1"/>
  <c r="BB834" i="1"/>
  <c r="BB866" i="1"/>
  <c r="AX866" i="1"/>
  <c r="AY866" i="1" s="1"/>
  <c r="AZ866" i="1" s="1"/>
  <c r="BA866" i="1" s="1"/>
  <c r="BB902" i="1"/>
  <c r="AX902" i="1"/>
  <c r="AY902" i="1" s="1"/>
  <c r="AZ902" i="1" s="1"/>
  <c r="BA902" i="1" s="1"/>
  <c r="BB920" i="1"/>
  <c r="AX920" i="1"/>
  <c r="AY920" i="1" s="1"/>
  <c r="AZ920" i="1" s="1"/>
  <c r="BA920" i="1" s="1"/>
  <c r="AX970" i="1"/>
  <c r="AY970" i="1" s="1"/>
  <c r="AZ970" i="1" s="1"/>
  <c r="BA970" i="1" s="1"/>
  <c r="BB970" i="1"/>
  <c r="BB979" i="1"/>
  <c r="AX979" i="1"/>
  <c r="AY979" i="1" s="1"/>
  <c r="AZ979" i="1" s="1"/>
  <c r="BA979" i="1" s="1"/>
  <c r="AX1035" i="1"/>
  <c r="AY1035" i="1" s="1"/>
  <c r="AZ1035" i="1" s="1"/>
  <c r="BA1035" i="1" s="1"/>
  <c r="BB1035" i="1"/>
  <c r="BB1018" i="1"/>
  <c r="AX1018" i="1"/>
  <c r="AY1018" i="1" s="1"/>
  <c r="AZ1018" i="1" s="1"/>
  <c r="BA1018" i="1" s="1"/>
  <c r="AX1086" i="1"/>
  <c r="AY1086" i="1" s="1"/>
  <c r="AZ1086" i="1" s="1"/>
  <c r="BA1086" i="1" s="1"/>
  <c r="BB1086" i="1"/>
  <c r="AX1028" i="1"/>
  <c r="AY1028" i="1" s="1"/>
  <c r="AZ1028" i="1" s="1"/>
  <c r="BA1028" i="1" s="1"/>
  <c r="BB1028" i="1"/>
  <c r="BB1089" i="1"/>
  <c r="AX1089" i="1"/>
  <c r="AY1089" i="1" s="1"/>
  <c r="AZ1089" i="1" s="1"/>
  <c r="BA1089" i="1" s="1"/>
  <c r="AX1166" i="1"/>
  <c r="AY1166" i="1" s="1"/>
  <c r="AZ1166" i="1" s="1"/>
  <c r="BA1166" i="1" s="1"/>
  <c r="BB1166" i="1"/>
  <c r="AX1175" i="1"/>
  <c r="AY1175" i="1" s="1"/>
  <c r="AZ1175" i="1" s="1"/>
  <c r="BA1175" i="1" s="1"/>
  <c r="BB1175" i="1"/>
  <c r="AX825" i="1"/>
  <c r="AY825" i="1" s="1"/>
  <c r="AZ825" i="1" s="1"/>
  <c r="BA825" i="1" s="1"/>
  <c r="BB825" i="1"/>
  <c r="AX886" i="1"/>
  <c r="AY886" i="1" s="1"/>
  <c r="AZ886" i="1" s="1"/>
  <c r="BA886" i="1" s="1"/>
  <c r="BB886" i="1"/>
  <c r="AX912" i="1"/>
  <c r="AY912" i="1" s="1"/>
  <c r="AZ912" i="1" s="1"/>
  <c r="BA912" i="1" s="1"/>
  <c r="BB912" i="1"/>
  <c r="BB944" i="1"/>
  <c r="AX944" i="1"/>
  <c r="AY944" i="1" s="1"/>
  <c r="AZ944" i="1" s="1"/>
  <c r="BA944" i="1" s="1"/>
  <c r="AX962" i="1"/>
  <c r="AY962" i="1" s="1"/>
  <c r="AZ962" i="1" s="1"/>
  <c r="BA962" i="1" s="1"/>
  <c r="BB962" i="1"/>
  <c r="AX1027" i="1"/>
  <c r="AY1027" i="1" s="1"/>
  <c r="AZ1027" i="1" s="1"/>
  <c r="BA1027" i="1" s="1"/>
  <c r="BB1027" i="1"/>
  <c r="AX1091" i="1"/>
  <c r="AY1091" i="1" s="1"/>
  <c r="AZ1091" i="1" s="1"/>
  <c r="BA1091" i="1" s="1"/>
  <c r="BB1091" i="1"/>
  <c r="AX998" i="1"/>
  <c r="AY998" i="1" s="1"/>
  <c r="AZ998" i="1" s="1"/>
  <c r="BA998" i="1" s="1"/>
  <c r="BB998" i="1"/>
  <c r="AX1070" i="1"/>
  <c r="AY1070" i="1" s="1"/>
  <c r="AZ1070" i="1" s="1"/>
  <c r="BA1070" i="1" s="1"/>
  <c r="BB1070" i="1"/>
  <c r="AX1122" i="1"/>
  <c r="AY1122" i="1" s="1"/>
  <c r="AZ1122" i="1" s="1"/>
  <c r="BA1122" i="1" s="1"/>
  <c r="BB1122" i="1"/>
  <c r="AX1095" i="1"/>
  <c r="AY1095" i="1" s="1"/>
  <c r="AZ1095" i="1" s="1"/>
  <c r="BA1095" i="1" s="1"/>
  <c r="BB1095" i="1"/>
  <c r="AX1103" i="1"/>
  <c r="AY1103" i="1" s="1"/>
  <c r="AZ1103" i="1" s="1"/>
  <c r="BA1103" i="1" s="1"/>
  <c r="BB1103" i="1"/>
  <c r="AX1020" i="1"/>
  <c r="AY1020" i="1" s="1"/>
  <c r="AZ1020" i="1" s="1"/>
  <c r="BA1020" i="1" s="1"/>
  <c r="BB1020" i="1"/>
  <c r="AX1001" i="1"/>
  <c r="AY1001" i="1" s="1"/>
  <c r="AZ1001" i="1" s="1"/>
  <c r="BA1001" i="1" s="1"/>
  <c r="BB1001" i="1"/>
  <c r="BB1113" i="1"/>
  <c r="AX1113" i="1"/>
  <c r="AY1113" i="1" s="1"/>
  <c r="AZ1113" i="1" s="1"/>
  <c r="BA1113" i="1" s="1"/>
  <c r="AX785" i="1"/>
  <c r="AY785" i="1" s="1"/>
  <c r="AZ785" i="1" s="1"/>
  <c r="BA785" i="1" s="1"/>
  <c r="BB785" i="1"/>
  <c r="AX817" i="1"/>
  <c r="AY817" i="1" s="1"/>
  <c r="AZ817" i="1" s="1"/>
  <c r="BA817" i="1" s="1"/>
  <c r="BB817" i="1"/>
  <c r="AX850" i="1"/>
  <c r="AY850" i="1" s="1"/>
  <c r="AZ850" i="1" s="1"/>
  <c r="BA850" i="1" s="1"/>
  <c r="BB850" i="1"/>
  <c r="AX882" i="1"/>
  <c r="AY882" i="1" s="1"/>
  <c r="AZ882" i="1" s="1"/>
  <c r="BA882" i="1" s="1"/>
  <c r="BB882" i="1"/>
  <c r="AX936" i="1"/>
  <c r="AY936" i="1" s="1"/>
  <c r="AZ936" i="1" s="1"/>
  <c r="BA936" i="1" s="1"/>
  <c r="BB936" i="1"/>
  <c r="AX954" i="1"/>
  <c r="AY954" i="1" s="1"/>
  <c r="AZ954" i="1" s="1"/>
  <c r="BA954" i="1" s="1"/>
  <c r="BB954" i="1"/>
  <c r="BB1011" i="1"/>
  <c r="AX1011" i="1"/>
  <c r="AY1011" i="1" s="1"/>
  <c r="AZ1011" i="1" s="1"/>
  <c r="BA1011" i="1" s="1"/>
  <c r="AX1075" i="1"/>
  <c r="AY1075" i="1" s="1"/>
  <c r="AZ1075" i="1" s="1"/>
  <c r="BA1075" i="1" s="1"/>
  <c r="BB1075" i="1"/>
  <c r="BB982" i="1"/>
  <c r="AX982" i="1"/>
  <c r="AY982" i="1" s="1"/>
  <c r="AZ982" i="1" s="1"/>
  <c r="BA982" i="1" s="1"/>
  <c r="AX1054" i="1"/>
  <c r="AY1054" i="1" s="1"/>
  <c r="AZ1054" i="1" s="1"/>
  <c r="BA1054" i="1" s="1"/>
  <c r="BB1054" i="1"/>
  <c r="AX988" i="1"/>
  <c r="AY988" i="1" s="1"/>
  <c r="AZ988" i="1" s="1"/>
  <c r="BA988" i="1" s="1"/>
  <c r="BB988" i="1"/>
  <c r="AX1073" i="1"/>
  <c r="AY1073" i="1" s="1"/>
  <c r="AZ1073" i="1" s="1"/>
  <c r="BA1073" i="1" s="1"/>
  <c r="AX1109" i="1"/>
  <c r="AY1109" i="1" s="1"/>
  <c r="AZ1109" i="1" s="1"/>
  <c r="BA1109" i="1" s="1"/>
  <c r="BB1109" i="1"/>
  <c r="AX745" i="1"/>
  <c r="AY745" i="1" s="1"/>
  <c r="AZ745" i="1" s="1"/>
  <c r="BA745" i="1" s="1"/>
  <c r="BB745" i="1"/>
  <c r="AX777" i="1"/>
  <c r="AY777" i="1" s="1"/>
  <c r="AZ777" i="1" s="1"/>
  <c r="BA777" i="1" s="1"/>
  <c r="BB777" i="1"/>
  <c r="AX809" i="1"/>
  <c r="AY809" i="1" s="1"/>
  <c r="AZ809" i="1" s="1"/>
  <c r="BA809" i="1" s="1"/>
  <c r="BB809" i="1"/>
  <c r="AX874" i="1"/>
  <c r="AY874" i="1" s="1"/>
  <c r="AZ874" i="1" s="1"/>
  <c r="BA874" i="1" s="1"/>
  <c r="BB874" i="1"/>
  <c r="BB928" i="1"/>
  <c r="AX928" i="1"/>
  <c r="AY928" i="1" s="1"/>
  <c r="AZ928" i="1" s="1"/>
  <c r="BA928" i="1" s="1"/>
  <c r="AX974" i="1"/>
  <c r="AY974" i="1" s="1"/>
  <c r="AZ974" i="1" s="1"/>
  <c r="BA974" i="1" s="1"/>
  <c r="BB974" i="1"/>
  <c r="BB995" i="1"/>
  <c r="AX995" i="1"/>
  <c r="AY995" i="1" s="1"/>
  <c r="AZ995" i="1" s="1"/>
  <c r="BA995" i="1" s="1"/>
  <c r="AX1059" i="1"/>
  <c r="AY1059" i="1" s="1"/>
  <c r="AZ1059" i="1" s="1"/>
  <c r="BA1059" i="1" s="1"/>
  <c r="BB1059" i="1"/>
  <c r="AX1034" i="1"/>
  <c r="AY1034" i="1" s="1"/>
  <c r="AZ1034" i="1" s="1"/>
  <c r="BA1034" i="1" s="1"/>
  <c r="BB1034" i="1"/>
  <c r="AX1130" i="1"/>
  <c r="AY1130" i="1" s="1"/>
  <c r="AZ1130" i="1" s="1"/>
  <c r="BA1130" i="1" s="1"/>
  <c r="BB1130" i="1"/>
  <c r="AX1104" i="1"/>
  <c r="AY1104" i="1" s="1"/>
  <c r="AZ1104" i="1" s="1"/>
  <c r="BA1104" i="1" s="1"/>
  <c r="BB1104" i="1"/>
  <c r="AX1046" i="1"/>
  <c r="AY1046" i="1" s="1"/>
  <c r="AZ1046" i="1" s="1"/>
  <c r="BA1046" i="1" s="1"/>
  <c r="BB1046" i="1"/>
  <c r="AS887" i="1"/>
  <c r="AO887" i="1"/>
  <c r="AP887" i="1" s="1"/>
  <c r="AQ887" i="1" s="1"/>
  <c r="AR887" i="1" s="1"/>
  <c r="AO855" i="1"/>
  <c r="AP855" i="1" s="1"/>
  <c r="AQ855" i="1" s="1"/>
  <c r="AR855" i="1" s="1"/>
  <c r="AS855" i="1"/>
  <c r="AR934" i="1"/>
  <c r="AR917" i="1"/>
  <c r="AR868" i="1"/>
  <c r="R67" i="1"/>
  <c r="Z67" i="1" s="1"/>
  <c r="S612" i="1"/>
  <c r="AN612" i="1" s="1"/>
  <c r="AO612" i="1" s="1"/>
  <c r="AP612" i="1" s="1"/>
  <c r="AQ612" i="1" s="1"/>
  <c r="AR612" i="1" s="1"/>
  <c r="T288" i="1"/>
  <c r="AB288" i="1" s="1"/>
  <c r="AK288" i="1" s="1"/>
  <c r="R317" i="1"/>
  <c r="Z317" i="1" s="1"/>
  <c r="AI317" i="1" s="1"/>
  <c r="U472" i="1"/>
  <c r="AC472" i="1" s="1"/>
  <c r="AL472" i="1" s="1"/>
  <c r="Q413" i="1"/>
  <c r="Y413" i="1" s="1"/>
  <c r="AH413" i="1" s="1"/>
  <c r="O616" i="1"/>
  <c r="W616" i="1" s="1"/>
  <c r="AF616" i="1" s="1"/>
  <c r="Q564" i="1"/>
  <c r="U89" i="1"/>
  <c r="AC89" i="1" s="1"/>
  <c r="AL89" i="1" s="1"/>
  <c r="P384" i="1"/>
  <c r="O382" i="1"/>
  <c r="AA382" i="1" s="1"/>
  <c r="AJ382" i="1" s="1"/>
  <c r="U138" i="1"/>
  <c r="AN138" i="1" s="1"/>
  <c r="AO138" i="1" s="1"/>
  <c r="AP138" i="1" s="1"/>
  <c r="AQ138" i="1" s="1"/>
  <c r="AR138" i="1" s="1"/>
  <c r="T574" i="1"/>
  <c r="AB574" i="1" s="1"/>
  <c r="AK574" i="1" s="1"/>
  <c r="T396" i="1"/>
  <c r="AB396" i="1" s="1"/>
  <c r="P521" i="1"/>
  <c r="T155" i="1"/>
  <c r="AB155" i="1" s="1"/>
  <c r="S599" i="1"/>
  <c r="T265" i="1"/>
  <c r="AB265" i="1" s="1"/>
  <c r="AK265" i="1" s="1"/>
  <c r="T511" i="1"/>
  <c r="AB511" i="1" s="1"/>
  <c r="AK511" i="1" s="1"/>
  <c r="Q260" i="1"/>
  <c r="Y260" i="1" s="1"/>
  <c r="AH260" i="1" s="1"/>
  <c r="Q591" i="1"/>
  <c r="P388" i="1"/>
  <c r="X388" i="1" s="1"/>
  <c r="AG388" i="1" s="1"/>
  <c r="P356" i="1"/>
  <c r="X356" i="1" s="1"/>
  <c r="AG356" i="1" s="1"/>
  <c r="R640" i="1"/>
  <c r="Z640" i="1" s="1"/>
  <c r="U106" i="1"/>
  <c r="R190" i="1"/>
  <c r="Z190" i="1" s="1"/>
  <c r="T557" i="1"/>
  <c r="AB557" i="1" s="1"/>
  <c r="AK557" i="1" s="1"/>
  <c r="P600" i="1"/>
  <c r="AK600" i="1" s="1"/>
  <c r="Q630" i="1"/>
  <c r="R463" i="1"/>
  <c r="Z463" i="1" s="1"/>
  <c r="AI463" i="1" s="1"/>
  <c r="R420" i="1"/>
  <c r="Z420" i="1" s="1"/>
  <c r="AI420" i="1" s="1"/>
  <c r="P327" i="1"/>
  <c r="X327" i="1" s="1"/>
  <c r="AG327" i="1" s="1"/>
  <c r="S591" i="1"/>
  <c r="AN591" i="1" s="1"/>
  <c r="AO591" i="1" s="1"/>
  <c r="AP591" i="1" s="1"/>
  <c r="AQ591" i="1" s="1"/>
  <c r="AR591" i="1" s="1"/>
  <c r="R587" i="1"/>
  <c r="Z587" i="1" s="1"/>
  <c r="AI587" i="1" s="1"/>
  <c r="Q491" i="1"/>
  <c r="Y491" i="1" s="1"/>
  <c r="AH491" i="1" s="1"/>
  <c r="R282" i="1"/>
  <c r="Z282" i="1" s="1"/>
  <c r="AI282" i="1" s="1"/>
  <c r="U653" i="1"/>
  <c r="AN653" i="1" s="1"/>
  <c r="AS653" i="1" s="1"/>
  <c r="R192" i="1"/>
  <c r="Z192" i="1" s="1"/>
  <c r="AI192" i="1" s="1"/>
  <c r="U557" i="1"/>
  <c r="AN557" i="1" s="1"/>
  <c r="AO557" i="1" s="1"/>
  <c r="AP557" i="1" s="1"/>
  <c r="AQ557" i="1" s="1"/>
  <c r="AR557" i="1" s="1"/>
  <c r="R93" i="1"/>
  <c r="Z93" i="1" s="1"/>
  <c r="S620" i="1"/>
  <c r="AN620" i="1" s="1"/>
  <c r="AO620" i="1" s="1"/>
  <c r="S540" i="1"/>
  <c r="AA540" i="1" s="1"/>
  <c r="AJ540" i="1" s="1"/>
  <c r="U83" i="1"/>
  <c r="P155" i="1"/>
  <c r="AK155" i="1" s="1"/>
  <c r="Q632" i="1"/>
  <c r="Y632" i="1" s="1"/>
  <c r="AH632" i="1" s="1"/>
  <c r="U364" i="1"/>
  <c r="AN364" i="1" s="1"/>
  <c r="U373" i="1"/>
  <c r="AC373" i="1" s="1"/>
  <c r="AL373" i="1" s="1"/>
  <c r="Q579" i="1"/>
  <c r="T575" i="1"/>
  <c r="AB575" i="1" s="1"/>
  <c r="T605" i="1"/>
  <c r="AB605" i="1" s="1"/>
  <c r="AK605" i="1" s="1"/>
  <c r="R187" i="1"/>
  <c r="Z187" i="1" s="1"/>
  <c r="AI187" i="1" s="1"/>
  <c r="U148" i="1"/>
  <c r="AN148" i="1" s="1"/>
  <c r="T614" i="1"/>
  <c r="AB614" i="1" s="1"/>
  <c r="P234" i="1"/>
  <c r="O589" i="1"/>
  <c r="S561" i="1"/>
  <c r="AA561" i="1" s="1"/>
  <c r="AJ561" i="1" s="1"/>
  <c r="P217" i="1"/>
  <c r="AK217" i="1" s="1"/>
  <c r="S108" i="1"/>
  <c r="AN108" i="1" s="1"/>
  <c r="AO108" i="1" s="1"/>
  <c r="AP108" i="1" s="1"/>
  <c r="T248" i="1"/>
  <c r="AB248" i="1" s="1"/>
  <c r="AK248" i="1" s="1"/>
  <c r="P410" i="1"/>
  <c r="AK410" i="1" s="1"/>
  <c r="P448" i="1"/>
  <c r="X448" i="1" s="1"/>
  <c r="AG448" i="1" s="1"/>
  <c r="U153" i="1"/>
  <c r="U162" i="1"/>
  <c r="AN162" i="1" s="1"/>
  <c r="AO162" i="1" s="1"/>
  <c r="AP162" i="1" s="1"/>
  <c r="AQ162" i="1" s="1"/>
  <c r="AR162" i="1" s="1"/>
  <c r="P565" i="1"/>
  <c r="X565" i="1" s="1"/>
  <c r="AG565" i="1" s="1"/>
  <c r="R575" i="1"/>
  <c r="Z575" i="1" s="1"/>
  <c r="AI575" i="1" s="1"/>
  <c r="S207" i="1"/>
  <c r="AN207" i="1" s="1"/>
  <c r="AO207" i="1" s="1"/>
  <c r="AP207" i="1" s="1"/>
  <c r="AQ207" i="1" s="1"/>
  <c r="AR207" i="1" s="1"/>
  <c r="P453" i="1"/>
  <c r="S631" i="1"/>
  <c r="AN631" i="1" s="1"/>
  <c r="AS631" i="1" s="1"/>
  <c r="Q328" i="1"/>
  <c r="Y328" i="1" s="1"/>
  <c r="AH328" i="1" s="1"/>
  <c r="S498" i="1"/>
  <c r="AA498" i="1" s="1"/>
  <c r="AJ498" i="1" s="1"/>
  <c r="R286" i="1"/>
  <c r="Z286" i="1" s="1"/>
  <c r="AI286" i="1" s="1"/>
  <c r="O256" i="1"/>
  <c r="W256" i="1" s="1"/>
  <c r="AF256" i="1" s="1"/>
  <c r="P445" i="1"/>
  <c r="P269" i="1"/>
  <c r="P315" i="1"/>
  <c r="AK315" i="1" s="1"/>
  <c r="T126" i="1"/>
  <c r="AB126" i="1" s="1"/>
  <c r="P290" i="1"/>
  <c r="X290" i="1" s="1"/>
  <c r="AG290" i="1" s="1"/>
  <c r="R464" i="1"/>
  <c r="Z464" i="1" s="1"/>
  <c r="AI464" i="1" s="1"/>
  <c r="R403" i="1"/>
  <c r="Z403" i="1" s="1"/>
  <c r="AI403" i="1" s="1"/>
  <c r="Q419" i="1"/>
  <c r="T106" i="1"/>
  <c r="AB106" i="1" s="1"/>
  <c r="AK106" i="1" s="1"/>
  <c r="P348" i="1"/>
  <c r="R124" i="1"/>
  <c r="Z124" i="1" s="1"/>
  <c r="Q264" i="1"/>
  <c r="Y264" i="1" s="1"/>
  <c r="AH264" i="1" s="1"/>
  <c r="R230" i="1"/>
  <c r="Z230" i="1" s="1"/>
  <c r="Q588" i="1"/>
  <c r="S490" i="1"/>
  <c r="P283" i="1"/>
  <c r="X283" i="1" s="1"/>
  <c r="AG283" i="1" s="1"/>
  <c r="O389" i="1"/>
  <c r="U205" i="1"/>
  <c r="S259" i="1"/>
  <c r="AN259" i="1" s="1"/>
  <c r="T338" i="1"/>
  <c r="AB338" i="1" s="1"/>
  <c r="AK338" i="1" s="1"/>
  <c r="S575" i="1"/>
  <c r="S379" i="1"/>
  <c r="R457" i="1"/>
  <c r="Z457" i="1" s="1"/>
  <c r="O530" i="1"/>
  <c r="AI530" i="1" s="1"/>
  <c r="P251" i="1"/>
  <c r="AK251" i="1" s="1"/>
  <c r="P529" i="1"/>
  <c r="O112" i="1"/>
  <c r="Y112" i="1" s="1"/>
  <c r="AH112" i="1" s="1"/>
  <c r="U203" i="1"/>
  <c r="AN203" i="1" s="1"/>
  <c r="Q378" i="1"/>
  <c r="Y378" i="1" s="1"/>
  <c r="AH378" i="1" s="1"/>
  <c r="P115" i="1"/>
  <c r="U523" i="1"/>
  <c r="AC523" i="1" s="1"/>
  <c r="AL523" i="1" s="1"/>
  <c r="T469" i="1"/>
  <c r="AB469" i="1" s="1"/>
  <c r="P601" i="1"/>
  <c r="AK601" i="1" s="1"/>
  <c r="P175" i="1"/>
  <c r="T386" i="1"/>
  <c r="AB386" i="1" s="1"/>
  <c r="AK386" i="1" s="1"/>
  <c r="S267" i="1"/>
  <c r="AA267" i="1" s="1"/>
  <c r="AJ267" i="1" s="1"/>
  <c r="T372" i="1"/>
  <c r="AB372" i="1" s="1"/>
  <c r="S139" i="1"/>
  <c r="S392" i="1"/>
  <c r="S535" i="1"/>
  <c r="AN535" i="1" s="1"/>
  <c r="S475" i="1"/>
  <c r="AA475" i="1" s="1"/>
  <c r="AJ475" i="1" s="1"/>
  <c r="P116" i="1"/>
  <c r="X116" i="1" s="1"/>
  <c r="AG116" i="1" s="1"/>
  <c r="T239" i="1"/>
  <c r="AB239" i="1" s="1"/>
  <c r="U499" i="1"/>
  <c r="AN499" i="1" s="1"/>
  <c r="AO499" i="1" s="1"/>
  <c r="AP499" i="1" s="1"/>
  <c r="AQ499" i="1" s="1"/>
  <c r="AR499" i="1" s="1"/>
  <c r="O280" i="1"/>
  <c r="W280" i="1" s="1"/>
  <c r="AF280" i="1" s="1"/>
  <c r="T439" i="1"/>
  <c r="AB439" i="1" s="1"/>
  <c r="T554" i="1"/>
  <c r="AB554" i="1" s="1"/>
  <c r="O473" i="1"/>
  <c r="W473" i="1" s="1"/>
  <c r="AF473" i="1" s="1"/>
  <c r="U408" i="1"/>
  <c r="AN408" i="1" s="1"/>
  <c r="AO408" i="1" s="1"/>
  <c r="AP408" i="1" s="1"/>
  <c r="AQ408" i="1" s="1"/>
  <c r="AR408" i="1" s="1"/>
  <c r="T409" i="1"/>
  <c r="AB409" i="1" s="1"/>
  <c r="AK409" i="1" s="1"/>
  <c r="Q261" i="1"/>
  <c r="Y261" i="1" s="1"/>
  <c r="AH261" i="1" s="1"/>
  <c r="P575" i="1"/>
  <c r="Q442" i="1"/>
  <c r="Y442" i="1" s="1"/>
  <c r="AH442" i="1" s="1"/>
  <c r="R348" i="1"/>
  <c r="Z348" i="1" s="1"/>
  <c r="AI348" i="1" s="1"/>
  <c r="O252" i="1"/>
  <c r="AC252" i="1" s="1"/>
  <c r="AL252" i="1" s="1"/>
  <c r="U144" i="1"/>
  <c r="AN144" i="1" s="1"/>
  <c r="R388" i="1"/>
  <c r="O258" i="1"/>
  <c r="AC258" i="1" s="1"/>
  <c r="AL258" i="1" s="1"/>
  <c r="P554" i="1"/>
  <c r="X554" i="1" s="1"/>
  <c r="AG554" i="1" s="1"/>
  <c r="Q192" i="1"/>
  <c r="R144" i="1"/>
  <c r="Z144" i="1" s="1"/>
  <c r="O392" i="1"/>
  <c r="T477" i="1"/>
  <c r="AB477" i="1" s="1"/>
  <c r="AK477" i="1" s="1"/>
  <c r="Q185" i="1"/>
  <c r="Q443" i="1"/>
  <c r="Y443" i="1" s="1"/>
  <c r="AH443" i="1" s="1"/>
  <c r="S205" i="1"/>
  <c r="R378" i="1"/>
  <c r="Z378" i="1" s="1"/>
  <c r="AI378" i="1" s="1"/>
  <c r="T570" i="1"/>
  <c r="AB570" i="1" s="1"/>
  <c r="P108" i="1"/>
  <c r="Q369" i="1"/>
  <c r="Y369" i="1" s="1"/>
  <c r="AH369" i="1" s="1"/>
  <c r="T510" i="1"/>
  <c r="AB510" i="1" s="1"/>
  <c r="AK510" i="1" s="1"/>
  <c r="R627" i="1"/>
  <c r="Z627" i="1" s="1"/>
  <c r="AI627" i="1" s="1"/>
  <c r="O538" i="1"/>
  <c r="W538" i="1" s="1"/>
  <c r="AF538" i="1" s="1"/>
  <c r="R216" i="1"/>
  <c r="Z216" i="1" s="1"/>
  <c r="S389" i="1"/>
  <c r="O266" i="1"/>
  <c r="W266" i="1" s="1"/>
  <c r="AF266" i="1" s="1"/>
  <c r="S283" i="1"/>
  <c r="Q627" i="1"/>
  <c r="Y627" i="1" s="1"/>
  <c r="AH627" i="1" s="1"/>
  <c r="P618" i="1"/>
  <c r="X618" i="1" s="1"/>
  <c r="AG618" i="1" s="1"/>
  <c r="Q532" i="1"/>
  <c r="Y532" i="1" s="1"/>
  <c r="AH532" i="1" s="1"/>
  <c r="R134" i="1"/>
  <c r="Z134" i="1" s="1"/>
  <c r="S349" i="1"/>
  <c r="AA349" i="1" s="1"/>
  <c r="AJ349" i="1" s="1"/>
  <c r="Q448" i="1"/>
  <c r="Y448" i="1" s="1"/>
  <c r="AH448" i="1" s="1"/>
  <c r="Q173" i="1"/>
  <c r="T634" i="1"/>
  <c r="AB634" i="1" s="1"/>
  <c r="AK634" i="1" s="1"/>
  <c r="Q388" i="1"/>
  <c r="AS388" i="1" s="1"/>
  <c r="Q104" i="1"/>
  <c r="Y104" i="1" s="1"/>
  <c r="AH104" i="1" s="1"/>
  <c r="R604" i="1"/>
  <c r="Z604" i="1" s="1"/>
  <c r="P136" i="1"/>
  <c r="AK136" i="1" s="1"/>
  <c r="O134" i="1"/>
  <c r="AC134" i="1" s="1"/>
  <c r="AL134" i="1" s="1"/>
  <c r="P343" i="1"/>
  <c r="X343" i="1" s="1"/>
  <c r="AG343" i="1" s="1"/>
  <c r="P202" i="1"/>
  <c r="AK202" i="1" s="1"/>
  <c r="S638" i="1"/>
  <c r="AN638" i="1" s="1"/>
  <c r="P610" i="1"/>
  <c r="T299" i="1"/>
  <c r="AB299" i="1" s="1"/>
  <c r="AK299" i="1" s="1"/>
  <c r="R347" i="1"/>
  <c r="Z347" i="1" s="1"/>
  <c r="R470" i="1"/>
  <c r="Z470" i="1" s="1"/>
  <c r="AI470" i="1" s="1"/>
  <c r="U343" i="1"/>
  <c r="AC343" i="1" s="1"/>
  <c r="AL343" i="1" s="1"/>
  <c r="S419" i="1"/>
  <c r="AN419" i="1" s="1"/>
  <c r="AO419" i="1" s="1"/>
  <c r="AP419" i="1" s="1"/>
  <c r="AQ419" i="1" s="1"/>
  <c r="AR419" i="1" s="1"/>
  <c r="T274" i="1"/>
  <c r="AB274" i="1" s="1"/>
  <c r="AK274" i="1" s="1"/>
  <c r="T443" i="1"/>
  <c r="AB443" i="1" s="1"/>
  <c r="AK443" i="1" s="1"/>
  <c r="O110" i="1"/>
  <c r="U487" i="1"/>
  <c r="AN487" i="1" s="1"/>
  <c r="AS487" i="1" s="1"/>
  <c r="P594" i="1"/>
  <c r="AK594" i="1" s="1"/>
  <c r="R141" i="1"/>
  <c r="Z141" i="1" s="1"/>
  <c r="Q262" i="1"/>
  <c r="Y262" i="1" s="1"/>
  <c r="AH262" i="1" s="1"/>
  <c r="T285" i="1"/>
  <c r="AB285" i="1" s="1"/>
  <c r="AK285" i="1" s="1"/>
  <c r="Q93" i="1"/>
  <c r="P368" i="1"/>
  <c r="AK368" i="1" s="1"/>
  <c r="R232" i="1"/>
  <c r="Z232" i="1" s="1"/>
  <c r="AI232" i="1" s="1"/>
  <c r="O384" i="1"/>
  <c r="AI384" i="1" s="1"/>
  <c r="O597" i="1"/>
  <c r="AC597" i="1" s="1"/>
  <c r="AL597" i="1" s="1"/>
  <c r="U660" i="1"/>
  <c r="AC660" i="1" s="1"/>
  <c r="AL660" i="1" s="1"/>
  <c r="S303" i="1"/>
  <c r="AN303" i="1" s="1"/>
  <c r="AO303" i="1" s="1"/>
  <c r="AP303" i="1" s="1"/>
  <c r="AQ303" i="1" s="1"/>
  <c r="AR303" i="1" s="1"/>
  <c r="P392" i="1"/>
  <c r="T307" i="1"/>
  <c r="AB307" i="1" s="1"/>
  <c r="AK307" i="1" s="1"/>
  <c r="R577" i="1"/>
  <c r="Z577" i="1" s="1"/>
  <c r="AI577" i="1" s="1"/>
  <c r="S632" i="1"/>
  <c r="AA632" i="1" s="1"/>
  <c r="AJ632" i="1" s="1"/>
  <c r="S92" i="1"/>
  <c r="AA92" i="1" s="1"/>
  <c r="AJ92" i="1" s="1"/>
  <c r="U501" i="1"/>
  <c r="AN501" i="1" s="1"/>
  <c r="AO501" i="1" s="1"/>
  <c r="AP501" i="1" s="1"/>
  <c r="AQ501" i="1" s="1"/>
  <c r="AR501" i="1" s="1"/>
  <c r="O591" i="1"/>
  <c r="AC591" i="1" s="1"/>
  <c r="AL591" i="1" s="1"/>
  <c r="P105" i="1"/>
  <c r="X105" i="1" s="1"/>
  <c r="AG105" i="1" s="1"/>
  <c r="R135" i="1"/>
  <c r="Z135" i="1" s="1"/>
  <c r="AI135" i="1" s="1"/>
  <c r="S560" i="1"/>
  <c r="AN560" i="1" s="1"/>
  <c r="S413" i="1"/>
  <c r="T534" i="1"/>
  <c r="AB534" i="1" s="1"/>
  <c r="AK534" i="1" s="1"/>
  <c r="T551" i="1"/>
  <c r="AB551" i="1" s="1"/>
  <c r="AK551" i="1" s="1"/>
  <c r="S106" i="1"/>
  <c r="P142" i="1"/>
  <c r="X142" i="1" s="1"/>
  <c r="AG142" i="1" s="1"/>
  <c r="S304" i="1"/>
  <c r="Q222" i="1"/>
  <c r="Y222" i="1" s="1"/>
  <c r="AH222" i="1" s="1"/>
  <c r="U421" i="1"/>
  <c r="AC421" i="1" s="1"/>
  <c r="AL421" i="1" s="1"/>
  <c r="U412" i="1"/>
  <c r="AN412" i="1" s="1"/>
  <c r="AO412" i="1" s="1"/>
  <c r="S436" i="1"/>
  <c r="U329" i="1"/>
  <c r="O610" i="1"/>
  <c r="W610" i="1" s="1"/>
  <c r="AF610" i="1" s="1"/>
  <c r="P243" i="1"/>
  <c r="X243" i="1" s="1"/>
  <c r="AG243" i="1" s="1"/>
  <c r="T527" i="1"/>
  <c r="AB527" i="1" s="1"/>
  <c r="AK527" i="1" s="1"/>
  <c r="T154" i="1"/>
  <c r="AB154" i="1" s="1"/>
  <c r="T661" i="1"/>
  <c r="AB661" i="1" s="1"/>
  <c r="U230" i="1"/>
  <c r="AN230" i="1" s="1"/>
  <c r="U436" i="1"/>
  <c r="O125" i="1"/>
  <c r="X125" i="1" s="1"/>
  <c r="AG125" i="1" s="1"/>
  <c r="O170" i="1"/>
  <c r="AC170" i="1" s="1"/>
  <c r="AL170" i="1" s="1"/>
  <c r="R354" i="1"/>
  <c r="Z354" i="1" s="1"/>
  <c r="R222" i="1"/>
  <c r="Z222" i="1" s="1"/>
  <c r="AI222" i="1" s="1"/>
  <c r="U184" i="1"/>
  <c r="AC184" i="1" s="1"/>
  <c r="AL184" i="1" s="1"/>
  <c r="R455" i="1"/>
  <c r="Z455" i="1" s="1"/>
  <c r="AI455" i="1" s="1"/>
  <c r="O270" i="1"/>
  <c r="AA270" i="1" s="1"/>
  <c r="AJ270" i="1" s="1"/>
  <c r="T164" i="1"/>
  <c r="AB164" i="1" s="1"/>
  <c r="AK164" i="1" s="1"/>
  <c r="Q536" i="1"/>
  <c r="AS536" i="1" s="1"/>
  <c r="T236" i="1"/>
  <c r="AB236" i="1" s="1"/>
  <c r="AK236" i="1" s="1"/>
  <c r="T221" i="1"/>
  <c r="AB221" i="1" s="1"/>
  <c r="AK221" i="1" s="1"/>
  <c r="R367" i="1"/>
  <c r="Z367" i="1" s="1"/>
  <c r="AI367" i="1" s="1"/>
  <c r="S217" i="1"/>
  <c r="AA217" i="1" s="1"/>
  <c r="AJ217" i="1" s="1"/>
  <c r="P140" i="1"/>
  <c r="X140" i="1" s="1"/>
  <c r="AG140" i="1" s="1"/>
  <c r="T485" i="1"/>
  <c r="AB485" i="1" s="1"/>
  <c r="AK485" i="1" s="1"/>
  <c r="P295" i="1"/>
  <c r="S182" i="1"/>
  <c r="AN182" i="1" s="1"/>
  <c r="Q649" i="1"/>
  <c r="O434" i="1"/>
  <c r="W434" i="1" s="1"/>
  <c r="AF434" i="1" s="1"/>
  <c r="T208" i="1"/>
  <c r="AB208" i="1" s="1"/>
  <c r="AK208" i="1" s="1"/>
  <c r="P365" i="1"/>
  <c r="AK365" i="1" s="1"/>
  <c r="U632" i="1"/>
  <c r="U458" i="1"/>
  <c r="P483" i="1"/>
  <c r="AK483" i="1" s="1"/>
  <c r="Q593" i="1"/>
  <c r="Q453" i="1"/>
  <c r="T482" i="1"/>
  <c r="AB482" i="1" s="1"/>
  <c r="AK482" i="1" s="1"/>
  <c r="O185" i="1"/>
  <c r="W185" i="1" s="1"/>
  <c r="AF185" i="1" s="1"/>
  <c r="T405" i="1"/>
  <c r="AB405" i="1" s="1"/>
  <c r="AK405" i="1" s="1"/>
  <c r="S282" i="1"/>
  <c r="AN282" i="1" s="1"/>
  <c r="R466" i="1"/>
  <c r="Z466" i="1" s="1"/>
  <c r="AI466" i="1" s="1"/>
  <c r="P329" i="1"/>
  <c r="Q335" i="1"/>
  <c r="Y335" i="1" s="1"/>
  <c r="AH335" i="1" s="1"/>
  <c r="R475" i="1"/>
  <c r="Z475" i="1" s="1"/>
  <c r="S132" i="1"/>
  <c r="AN132" i="1" s="1"/>
  <c r="AO132" i="1" s="1"/>
  <c r="AP132" i="1" s="1"/>
  <c r="AQ132" i="1" s="1"/>
  <c r="AR132" i="1" s="1"/>
  <c r="Q569" i="1"/>
  <c r="Y569" i="1" s="1"/>
  <c r="AH569" i="1" s="1"/>
  <c r="Q371" i="1"/>
  <c r="Y371" i="1" s="1"/>
  <c r="AH371" i="1" s="1"/>
  <c r="P459" i="1"/>
  <c r="AK459" i="1" s="1"/>
  <c r="Q411" i="1"/>
  <c r="Y411" i="1" s="1"/>
  <c r="AH411" i="1" s="1"/>
  <c r="S659" i="1"/>
  <c r="AN659" i="1" s="1"/>
  <c r="AS659" i="1" s="1"/>
  <c r="Q472" i="1"/>
  <c r="Y472" i="1" s="1"/>
  <c r="AH472" i="1" s="1"/>
  <c r="U278" i="1"/>
  <c r="O380" i="1"/>
  <c r="X380" i="1" s="1"/>
  <c r="AG380" i="1" s="1"/>
  <c r="S300" i="1"/>
  <c r="AN300" i="1" s="1"/>
  <c r="AO300" i="1" s="1"/>
  <c r="AP300" i="1" s="1"/>
  <c r="AQ300" i="1" s="1"/>
  <c r="AR300" i="1" s="1"/>
  <c r="P639" i="1"/>
  <c r="R119" i="1"/>
  <c r="Z119" i="1" s="1"/>
  <c r="T349" i="1"/>
  <c r="AB349" i="1" s="1"/>
  <c r="AK349" i="1" s="1"/>
  <c r="T648" i="1"/>
  <c r="AB648" i="1" s="1"/>
  <c r="AK648" i="1" s="1"/>
  <c r="Q477" i="1"/>
  <c r="Y477" i="1" s="1"/>
  <c r="AH477" i="1" s="1"/>
  <c r="U340" i="1"/>
  <c r="AN340" i="1" s="1"/>
  <c r="AO340" i="1" s="1"/>
  <c r="AP340" i="1" s="1"/>
  <c r="AQ340" i="1" s="1"/>
  <c r="AR340" i="1" s="1"/>
  <c r="R299" i="1"/>
  <c r="Z299" i="1" s="1"/>
  <c r="AI299" i="1" s="1"/>
  <c r="O124" i="1"/>
  <c r="X124" i="1" s="1"/>
  <c r="AG124" i="1" s="1"/>
  <c r="R440" i="1"/>
  <c r="Z440" i="1" s="1"/>
  <c r="AI440" i="1" s="1"/>
  <c r="O358" i="1"/>
  <c r="X358" i="1" s="1"/>
  <c r="AG358" i="1" s="1"/>
  <c r="S504" i="1"/>
  <c r="U381" i="1"/>
  <c r="AN381" i="1" s="1"/>
  <c r="AO381" i="1" s="1"/>
  <c r="AP381" i="1" s="1"/>
  <c r="AQ381" i="1" s="1"/>
  <c r="AR381" i="1" s="1"/>
  <c r="R181" i="1"/>
  <c r="Q139" i="1"/>
  <c r="Y139" i="1" s="1"/>
  <c r="AH139" i="1" s="1"/>
  <c r="U176" i="1"/>
  <c r="AC176" i="1" s="1"/>
  <c r="AL176" i="1" s="1"/>
  <c r="U319" i="1"/>
  <c r="T514" i="1"/>
  <c r="AB514" i="1" s="1"/>
  <c r="AK514" i="1" s="1"/>
  <c r="Q236" i="1"/>
  <c r="P651" i="1"/>
  <c r="S361" i="1"/>
  <c r="AA361" i="1" s="1"/>
  <c r="AJ361" i="1" s="1"/>
  <c r="S663" i="1"/>
  <c r="AA663" i="1" s="1"/>
  <c r="AJ663" i="1" s="1"/>
  <c r="P395" i="1"/>
  <c r="O433" i="1"/>
  <c r="W433" i="1" s="1"/>
  <c r="AF433" i="1" s="1"/>
  <c r="T498" i="1"/>
  <c r="AB498" i="1" s="1"/>
  <c r="Q635" i="1"/>
  <c r="Y635" i="1" s="1"/>
  <c r="AH635" i="1" s="1"/>
  <c r="S399" i="1"/>
  <c r="AA399" i="1" s="1"/>
  <c r="AJ399" i="1" s="1"/>
  <c r="O598" i="1"/>
  <c r="Y598" i="1" s="1"/>
  <c r="AH598" i="1" s="1"/>
  <c r="S559" i="1"/>
  <c r="S272" i="1"/>
  <c r="AA272" i="1" s="1"/>
  <c r="AJ272" i="1" s="1"/>
  <c r="U605" i="1"/>
  <c r="AC605" i="1" s="1"/>
  <c r="AL605" i="1" s="1"/>
  <c r="P154" i="1"/>
  <c r="X154" i="1" s="1"/>
  <c r="AG154" i="1" s="1"/>
  <c r="R620" i="1"/>
  <c r="Z620" i="1" s="1"/>
  <c r="AI620" i="1" s="1"/>
  <c r="S107" i="1"/>
  <c r="AN107" i="1" s="1"/>
  <c r="AO107" i="1" s="1"/>
  <c r="Q586" i="1"/>
  <c r="Y586" i="1" s="1"/>
  <c r="AH586" i="1" s="1"/>
  <c r="U395" i="1"/>
  <c r="AC395" i="1" s="1"/>
  <c r="AL395" i="1" s="1"/>
  <c r="P201" i="1"/>
  <c r="AK201" i="1" s="1"/>
  <c r="R285" i="1"/>
  <c r="Z285" i="1" s="1"/>
  <c r="AI285" i="1" s="1"/>
  <c r="S329" i="1"/>
  <c r="P278" i="1"/>
  <c r="X278" i="1" s="1"/>
  <c r="AG278" i="1" s="1"/>
  <c r="T206" i="1"/>
  <c r="AB206" i="1" s="1"/>
  <c r="P85" i="1"/>
  <c r="X85" i="1" s="1"/>
  <c r="AG85" i="1" s="1"/>
  <c r="O180" i="1"/>
  <c r="AC180" i="1" s="1"/>
  <c r="AL180" i="1" s="1"/>
  <c r="R332" i="1"/>
  <c r="Z332" i="1" s="1"/>
  <c r="Q121" i="1"/>
  <c r="Y121" i="1" s="1"/>
  <c r="AH121" i="1" s="1"/>
  <c r="U432" i="1"/>
  <c r="AN432" i="1" s="1"/>
  <c r="AO432" i="1" s="1"/>
  <c r="R213" i="1"/>
  <c r="Z213" i="1" s="1"/>
  <c r="AI213" i="1" s="1"/>
  <c r="T351" i="1"/>
  <c r="AB351" i="1" s="1"/>
  <c r="AK351" i="1" s="1"/>
  <c r="Q98" i="1"/>
  <c r="Y98" i="1" s="1"/>
  <c r="AH98" i="1" s="1"/>
  <c r="P493" i="1"/>
  <c r="X493" i="1" s="1"/>
  <c r="AG493" i="1" s="1"/>
  <c r="S265" i="1"/>
  <c r="AA265" i="1" s="1"/>
  <c r="AJ265" i="1" s="1"/>
  <c r="R395" i="1"/>
  <c r="Z395" i="1" s="1"/>
  <c r="AI395" i="1" s="1"/>
  <c r="T276" i="1"/>
  <c r="AB276" i="1" s="1"/>
  <c r="AK276" i="1" s="1"/>
  <c r="S191" i="1"/>
  <c r="AA191" i="1" s="1"/>
  <c r="AJ191" i="1" s="1"/>
  <c r="S100" i="1"/>
  <c r="AA100" i="1" s="1"/>
  <c r="AJ100" i="1" s="1"/>
  <c r="S202" i="1"/>
  <c r="AA202" i="1" s="1"/>
  <c r="AJ202" i="1" s="1"/>
  <c r="O355" i="1"/>
  <c r="U255" i="1"/>
  <c r="O118" i="1"/>
  <c r="X118" i="1" s="1"/>
  <c r="AG118" i="1" s="1"/>
  <c r="Q152" i="1"/>
  <c r="Y152" i="1" s="1"/>
  <c r="AH152" i="1" s="1"/>
  <c r="R543" i="1"/>
  <c r="Z543" i="1" s="1"/>
  <c r="AI543" i="1" s="1"/>
  <c r="O273" i="1"/>
  <c r="AI273" i="1" s="1"/>
  <c r="Q283" i="1"/>
  <c r="S393" i="1"/>
  <c r="AA393" i="1" s="1"/>
  <c r="AJ393" i="1" s="1"/>
  <c r="Q281" i="1"/>
  <c r="Y281" i="1" s="1"/>
  <c r="AH281" i="1" s="1"/>
  <c r="P393" i="1"/>
  <c r="X393" i="1" s="1"/>
  <c r="AG393" i="1" s="1"/>
  <c r="S97" i="1"/>
  <c r="O531" i="1"/>
  <c r="Y531" i="1" s="1"/>
  <c r="AH531" i="1" s="1"/>
  <c r="Q374" i="1"/>
  <c r="O425" i="1"/>
  <c r="W425" i="1" s="1"/>
  <c r="AF425" i="1" s="1"/>
  <c r="P316" i="1"/>
  <c r="AK316" i="1" s="1"/>
  <c r="P205" i="1"/>
  <c r="AK205" i="1" s="1"/>
  <c r="P157" i="1"/>
  <c r="AK157" i="1" s="1"/>
  <c r="S421" i="1"/>
  <c r="AA421" i="1" s="1"/>
  <c r="AJ421" i="1" s="1"/>
  <c r="S608" i="1"/>
  <c r="AN608" i="1" s="1"/>
  <c r="AO608" i="1" s="1"/>
  <c r="AP608" i="1" s="1"/>
  <c r="AQ608" i="1" s="1"/>
  <c r="AR608" i="1" s="1"/>
  <c r="U463" i="1"/>
  <c r="AC463" i="1" s="1"/>
  <c r="AL463" i="1" s="1"/>
  <c r="R148" i="1"/>
  <c r="Z148" i="1" s="1"/>
  <c r="AI148" i="1" s="1"/>
  <c r="O301" i="1"/>
  <c r="AI301" i="1" s="1"/>
  <c r="Q246" i="1"/>
  <c r="Q342" i="1"/>
  <c r="Y342" i="1" s="1"/>
  <c r="AH342" i="1" s="1"/>
  <c r="O106" i="1"/>
  <c r="S158" i="1"/>
  <c r="AN158" i="1" s="1"/>
  <c r="AO158" i="1" s="1"/>
  <c r="AP158" i="1" s="1"/>
  <c r="AQ158" i="1" s="1"/>
  <c r="AR158" i="1" s="1"/>
  <c r="S109" i="1"/>
  <c r="AN109" i="1" s="1"/>
  <c r="AO109" i="1" s="1"/>
  <c r="AP109" i="1" s="1"/>
  <c r="AQ109" i="1" s="1"/>
  <c r="AR109" i="1" s="1"/>
  <c r="R214" i="1"/>
  <c r="Z214" i="1" s="1"/>
  <c r="AI214" i="1" s="1"/>
  <c r="Q259" i="1"/>
  <c r="Y259" i="1" s="1"/>
  <c r="AH259" i="1" s="1"/>
  <c r="R586" i="1"/>
  <c r="R645" i="1"/>
  <c r="Z645" i="1" s="1"/>
  <c r="AI645" i="1" s="1"/>
  <c r="Q307" i="1"/>
  <c r="R429" i="1"/>
  <c r="Z429" i="1" s="1"/>
  <c r="Q590" i="1"/>
  <c r="O437" i="1"/>
  <c r="W437" i="1" s="1"/>
  <c r="AF437" i="1" s="1"/>
  <c r="P440" i="1"/>
  <c r="P518" i="1"/>
  <c r="S130" i="1"/>
  <c r="AA130" i="1" s="1"/>
  <c r="AJ130" i="1" s="1"/>
  <c r="U380" i="1"/>
  <c r="AN380" i="1" s="1"/>
  <c r="O613" i="1"/>
  <c r="AC613" i="1" s="1"/>
  <c r="AL613" i="1" s="1"/>
  <c r="S435" i="1"/>
  <c r="S550" i="1"/>
  <c r="R574" i="1"/>
  <c r="Z574" i="1" s="1"/>
  <c r="AI574" i="1" s="1"/>
  <c r="O636" i="1"/>
  <c r="R452" i="1"/>
  <c r="Z452" i="1" s="1"/>
  <c r="AI452" i="1" s="1"/>
  <c r="S647" i="1"/>
  <c r="R199" i="1"/>
  <c r="Z199" i="1" s="1"/>
  <c r="S518" i="1"/>
  <c r="AN518" i="1" s="1"/>
  <c r="AO518" i="1" s="1"/>
  <c r="T659" i="1"/>
  <c r="AB659" i="1" s="1"/>
  <c r="AK659" i="1" s="1"/>
  <c r="P435" i="1"/>
  <c r="AK435" i="1" s="1"/>
  <c r="T356" i="1"/>
  <c r="AB356" i="1" s="1"/>
  <c r="O119" i="1"/>
  <c r="Q207" i="1"/>
  <c r="O457" i="1"/>
  <c r="R497" i="1"/>
  <c r="Z497" i="1" s="1"/>
  <c r="U369" i="1"/>
  <c r="AC369" i="1" s="1"/>
  <c r="AL369" i="1" s="1"/>
  <c r="U527" i="1"/>
  <c r="AC527" i="1" s="1"/>
  <c r="AL527" i="1" s="1"/>
  <c r="R573" i="1"/>
  <c r="Z573" i="1" s="1"/>
  <c r="AI573" i="1" s="1"/>
  <c r="AN1156" i="1"/>
  <c r="AC1156" i="1"/>
  <c r="AL1156" i="1" s="1"/>
  <c r="AW1156" i="1" s="1"/>
  <c r="AN1125" i="1"/>
  <c r="AO1125" i="1" s="1"/>
  <c r="AP1125" i="1" s="1"/>
  <c r="AQ1125" i="1" s="1"/>
  <c r="AR1125" i="1" s="1"/>
  <c r="AC1125" i="1"/>
  <c r="AL1125" i="1" s="1"/>
  <c r="AW1125" i="1" s="1"/>
  <c r="AS925" i="1"/>
  <c r="AO925" i="1"/>
  <c r="AP925" i="1" s="1"/>
  <c r="AQ925" i="1" s="1"/>
  <c r="AR925" i="1" s="1"/>
  <c r="AR957" i="1"/>
  <c r="AR893" i="1"/>
  <c r="AR876" i="1"/>
  <c r="AR863" i="1"/>
  <c r="AR861" i="1"/>
  <c r="AR750" i="1"/>
  <c r="AS965" i="1"/>
  <c r="AO965" i="1"/>
  <c r="AP965" i="1" s="1"/>
  <c r="AQ965" i="1" s="1"/>
  <c r="AR965" i="1" s="1"/>
  <c r="AK126" i="1"/>
  <c r="AR918" i="1"/>
  <c r="AR916" i="1"/>
  <c r="AR975" i="1"/>
  <c r="AR926" i="1"/>
  <c r="AR924" i="1"/>
  <c r="AR1179" i="1"/>
  <c r="AR844" i="1"/>
  <c r="AR776" i="1"/>
  <c r="AR906" i="1"/>
  <c r="AR738" i="1"/>
  <c r="AR770" i="1"/>
  <c r="AR882" i="1"/>
  <c r="AR880" i="1"/>
  <c r="AR696" i="1"/>
  <c r="BA671" i="1"/>
  <c r="BB709" i="1"/>
  <c r="AR961" i="1"/>
  <c r="AR734" i="1"/>
  <c r="AR708" i="1"/>
  <c r="AW1177" i="1"/>
  <c r="AR692" i="1"/>
  <c r="AO969" i="1"/>
  <c r="AP969" i="1" s="1"/>
  <c r="AQ969" i="1" s="1"/>
  <c r="AR969" i="1" s="1"/>
  <c r="AS953" i="1"/>
  <c r="AO752" i="1"/>
  <c r="AP752" i="1" s="1"/>
  <c r="AQ752" i="1" s="1"/>
  <c r="AR752" i="1" s="1"/>
  <c r="BB707" i="1"/>
  <c r="AW702" i="1"/>
  <c r="AW698" i="1"/>
  <c r="AX698" i="1" s="1"/>
  <c r="AY698" i="1" s="1"/>
  <c r="AZ698" i="1" s="1"/>
  <c r="BA698" i="1" s="1"/>
  <c r="AW694" i="1"/>
  <c r="AR1147" i="1"/>
  <c r="AR852" i="1"/>
  <c r="AR691" i="1"/>
  <c r="AR744" i="1"/>
  <c r="AR845" i="1"/>
  <c r="AO877" i="1"/>
  <c r="AP877" i="1" s="1"/>
  <c r="AQ877" i="1" s="1"/>
  <c r="AR877" i="1" s="1"/>
  <c r="AO909" i="1"/>
  <c r="AP909" i="1" s="1"/>
  <c r="AQ909" i="1" s="1"/>
  <c r="AR909" i="1" s="1"/>
  <c r="AR904" i="1"/>
  <c r="AR722" i="1"/>
  <c r="AR754" i="1"/>
  <c r="AR786" i="1"/>
  <c r="AR732" i="1"/>
  <c r="AR756" i="1"/>
  <c r="BA731" i="1"/>
  <c r="BA1132" i="1"/>
  <c r="AR728" i="1"/>
  <c r="AR694" i="1"/>
  <c r="BA714" i="1"/>
  <c r="BA738" i="1"/>
  <c r="AO977" i="1"/>
  <c r="AP977" i="1" s="1"/>
  <c r="AQ977" i="1" s="1"/>
  <c r="AR977" i="1" s="1"/>
  <c r="AS824" i="1"/>
  <c r="AS776" i="1"/>
  <c r="AW668" i="1"/>
  <c r="AN611" i="1"/>
  <c r="AO611" i="1" s="1"/>
  <c r="AP611" i="1" s="1"/>
  <c r="AQ611" i="1" s="1"/>
  <c r="AR611" i="1" s="1"/>
  <c r="X265" i="1"/>
  <c r="AG265" i="1" s="1"/>
  <c r="AN666" i="1"/>
  <c r="AO666" i="1" s="1"/>
  <c r="AP666" i="1" s="1"/>
  <c r="AQ666" i="1" s="1"/>
  <c r="AR666" i="1" s="1"/>
  <c r="AK627" i="1"/>
  <c r="Y318" i="1"/>
  <c r="AH318" i="1" s="1"/>
  <c r="AN145" i="1"/>
  <c r="AA89" i="1"/>
  <c r="AJ89" i="1" s="1"/>
  <c r="Y171" i="1"/>
  <c r="AH171" i="1" s="1"/>
  <c r="AN441" i="1"/>
  <c r="AO441" i="1" s="1"/>
  <c r="AP441" i="1" s="1"/>
  <c r="AQ441" i="1" s="1"/>
  <c r="AR441" i="1" s="1"/>
  <c r="AC630" i="1"/>
  <c r="AL630" i="1" s="1"/>
  <c r="AA446" i="1"/>
  <c r="AJ446" i="1" s="1"/>
  <c r="Y319" i="1"/>
  <c r="AH319" i="1" s="1"/>
  <c r="X373" i="1"/>
  <c r="AG373" i="1" s="1"/>
  <c r="AC520" i="1"/>
  <c r="AL520" i="1" s="1"/>
  <c r="X187" i="1"/>
  <c r="AG187" i="1" s="1"/>
  <c r="AK327" i="1"/>
  <c r="Y628" i="1"/>
  <c r="AH628" i="1" s="1"/>
  <c r="W171" i="1"/>
  <c r="AF171" i="1" s="1"/>
  <c r="W116" i="1"/>
  <c r="AF116" i="1" s="1"/>
  <c r="AA633" i="1"/>
  <c r="AJ633" i="1" s="1"/>
  <c r="X511" i="1"/>
  <c r="AG511" i="1" s="1"/>
  <c r="AA187" i="1"/>
  <c r="AJ187" i="1" s="1"/>
  <c r="AW187" i="1" s="1"/>
  <c r="AI318" i="1"/>
  <c r="AA140" i="1"/>
  <c r="AJ140" i="1" s="1"/>
  <c r="X88" i="1"/>
  <c r="AG88" i="1" s="1"/>
  <c r="AI265" i="1"/>
  <c r="Y265" i="1"/>
  <c r="AH265" i="1" s="1"/>
  <c r="AA357" i="1"/>
  <c r="AJ357" i="1" s="1"/>
  <c r="AN446" i="1"/>
  <c r="AC293" i="1"/>
  <c r="AL293" i="1" s="1"/>
  <c r="AA171" i="1"/>
  <c r="AJ171" i="1" s="1"/>
  <c r="AN464" i="1"/>
  <c r="AO464" i="1" s="1"/>
  <c r="AC356" i="1"/>
  <c r="AL356" i="1" s="1"/>
  <c r="AI622" i="1"/>
  <c r="AC242" i="1"/>
  <c r="AL242" i="1" s="1"/>
  <c r="AI177" i="1"/>
  <c r="AC576" i="1"/>
  <c r="AL576" i="1" s="1"/>
  <c r="AA145" i="1"/>
  <c r="AJ145" i="1" s="1"/>
  <c r="AK383" i="1"/>
  <c r="AK117" i="1"/>
  <c r="X229" i="1"/>
  <c r="AG229" i="1" s="1"/>
  <c r="AK262" i="1"/>
  <c r="AN294" i="1"/>
  <c r="AO294" i="1" s="1"/>
  <c r="AP294" i="1" s="1"/>
  <c r="AQ294" i="1" s="1"/>
  <c r="AR294" i="1" s="1"/>
  <c r="W211" i="1"/>
  <c r="AF211" i="1" s="1"/>
  <c r="AC149" i="1"/>
  <c r="AL149" i="1" s="1"/>
  <c r="AA240" i="1"/>
  <c r="AJ240" i="1" s="1"/>
  <c r="AI211" i="1"/>
  <c r="AC635" i="1"/>
  <c r="AL635" i="1" s="1"/>
  <c r="X292" i="1"/>
  <c r="AG292" i="1" s="1"/>
  <c r="X609" i="1"/>
  <c r="AG609" i="1" s="1"/>
  <c r="AI88" i="1"/>
  <c r="AN140" i="1"/>
  <c r="AI372" i="1"/>
  <c r="AI229" i="1"/>
  <c r="Y209" i="1"/>
  <c r="AH209" i="1" s="1"/>
  <c r="X640" i="1"/>
  <c r="AG640" i="1" s="1"/>
  <c r="AK366" i="1"/>
  <c r="AK380" i="1"/>
  <c r="AN567" i="1"/>
  <c r="AO567" i="1" s="1"/>
  <c r="AP567" i="1" s="1"/>
  <c r="AC236" i="1"/>
  <c r="AL236" i="1" s="1"/>
  <c r="AK522" i="1"/>
  <c r="AN506" i="1"/>
  <c r="AS506" i="1" s="1"/>
  <c r="Y88" i="1"/>
  <c r="AH88" i="1" s="1"/>
  <c r="Y571" i="1"/>
  <c r="AH571" i="1" s="1"/>
  <c r="W403" i="1"/>
  <c r="AF403" i="1" s="1"/>
  <c r="AI272" i="1"/>
  <c r="AK572" i="1"/>
  <c r="AN479" i="1"/>
  <c r="AS479" i="1" s="1"/>
  <c r="AI513" i="1"/>
  <c r="AA437" i="1"/>
  <c r="AJ437" i="1" s="1"/>
  <c r="Y528" i="1"/>
  <c r="AH528" i="1" s="1"/>
  <c r="X586" i="1"/>
  <c r="AG586" i="1" s="1"/>
  <c r="AC357" i="1"/>
  <c r="AL357" i="1" s="1"/>
  <c r="AK291" i="1"/>
  <c r="AN320" i="1"/>
  <c r="AO320" i="1" s="1"/>
  <c r="AP320" i="1" s="1"/>
  <c r="AQ320" i="1" s="1"/>
  <c r="AR320" i="1" s="1"/>
  <c r="AI491" i="1"/>
  <c r="X300" i="1"/>
  <c r="AG300" i="1" s="1"/>
  <c r="AC601" i="1"/>
  <c r="AL601" i="1" s="1"/>
  <c r="AA565" i="1"/>
  <c r="AJ565" i="1" s="1"/>
  <c r="AI121" i="1"/>
  <c r="AK156" i="1"/>
  <c r="AK414" i="1"/>
  <c r="Y126" i="1"/>
  <c r="AH126" i="1" s="1"/>
  <c r="AI300" i="1"/>
  <c r="AC126" i="1"/>
  <c r="AL126" i="1" s="1"/>
  <c r="AC533" i="1"/>
  <c r="AL533" i="1" s="1"/>
  <c r="AI291" i="1"/>
  <c r="AC347" i="1"/>
  <c r="AL347" i="1" s="1"/>
  <c r="Y482" i="1"/>
  <c r="AH482" i="1" s="1"/>
  <c r="AA291" i="1"/>
  <c r="AJ291" i="1" s="1"/>
  <c r="AW291" i="1" s="1"/>
  <c r="AX291" i="1" s="1"/>
  <c r="AK441" i="1"/>
  <c r="AN594" i="1"/>
  <c r="AO594" i="1" s="1"/>
  <c r="AA596" i="1"/>
  <c r="AJ596" i="1" s="1"/>
  <c r="AC239" i="1"/>
  <c r="AL239" i="1" s="1"/>
  <c r="X164" i="1"/>
  <c r="AG164" i="1" s="1"/>
  <c r="X528" i="1"/>
  <c r="AG528" i="1" s="1"/>
  <c r="AC334" i="1"/>
  <c r="AL334" i="1" s="1"/>
  <c r="Y186" i="1"/>
  <c r="AH186" i="1" s="1"/>
  <c r="AK232" i="1"/>
  <c r="X485" i="1"/>
  <c r="AG485" i="1" s="1"/>
  <c r="AI449" i="1"/>
  <c r="Y449" i="1"/>
  <c r="AH449" i="1" s="1"/>
  <c r="AN237" i="1"/>
  <c r="AO237" i="1" s="1"/>
  <c r="AP237" i="1" s="1"/>
  <c r="AQ237" i="1" s="1"/>
  <c r="AR237" i="1" s="1"/>
  <c r="AC391" i="1"/>
  <c r="AL391" i="1" s="1"/>
  <c r="AK140" i="1"/>
  <c r="AN532" i="1"/>
  <c r="AO532" i="1" s="1"/>
  <c r="AP532" i="1" s="1"/>
  <c r="AQ532" i="1" s="1"/>
  <c r="AR532" i="1" s="1"/>
  <c r="AC285" i="1"/>
  <c r="AL285" i="1" s="1"/>
  <c r="Y519" i="1"/>
  <c r="AH519" i="1" s="1"/>
  <c r="AC311" i="1"/>
  <c r="AL311" i="1" s="1"/>
  <c r="AK344" i="1"/>
  <c r="AN352" i="1"/>
  <c r="AS352" i="1" s="1"/>
  <c r="W414" i="1"/>
  <c r="AF414" i="1" s="1"/>
  <c r="W586" i="1"/>
  <c r="AF586" i="1" s="1"/>
  <c r="AI623" i="1"/>
  <c r="W583" i="1"/>
  <c r="AF583" i="1" s="1"/>
  <c r="AK547" i="1"/>
  <c r="W242" i="1"/>
  <c r="AF242" i="1" s="1"/>
  <c r="W264" i="1"/>
  <c r="AF264" i="1" s="1"/>
  <c r="W198" i="1"/>
  <c r="AF198" i="1" s="1"/>
  <c r="W94" i="1"/>
  <c r="AF94" i="1" s="1"/>
  <c r="AI242" i="1"/>
  <c r="Y350" i="1"/>
  <c r="AH350" i="1" s="1"/>
  <c r="Y546" i="1"/>
  <c r="AH546" i="1" s="1"/>
  <c r="AI497" i="1"/>
  <c r="W311" i="1"/>
  <c r="AF311" i="1" s="1"/>
  <c r="AN327" i="1"/>
  <c r="AO327" i="1" s="1"/>
  <c r="AP327" i="1" s="1"/>
  <c r="AQ327" i="1" s="1"/>
  <c r="AR327" i="1" s="1"/>
  <c r="X656" i="1"/>
  <c r="AG656" i="1" s="1"/>
  <c r="X238" i="1"/>
  <c r="AG238" i="1" s="1"/>
  <c r="AN161" i="1"/>
  <c r="AO161" i="1" s="1"/>
  <c r="AP161" i="1" s="1"/>
  <c r="AQ161" i="1" s="1"/>
  <c r="AR161" i="1" s="1"/>
  <c r="AA117" i="1"/>
  <c r="AJ117" i="1" s="1"/>
  <c r="X197" i="1"/>
  <c r="AG197" i="1" s="1"/>
  <c r="AK312" i="1"/>
  <c r="Y490" i="1"/>
  <c r="AH490" i="1" s="1"/>
  <c r="AK180" i="1"/>
  <c r="Y471" i="1"/>
  <c r="AH471" i="1" s="1"/>
  <c r="AI289" i="1"/>
  <c r="AA174" i="1"/>
  <c r="AJ174" i="1" s="1"/>
  <c r="AK517" i="1"/>
  <c r="AI499" i="1"/>
  <c r="AI398" i="1"/>
  <c r="AI519" i="1"/>
  <c r="AA284" i="1"/>
  <c r="AJ284" i="1" s="1"/>
  <c r="AN486" i="1"/>
  <c r="AO486" i="1" s="1"/>
  <c r="X350" i="1"/>
  <c r="AG350" i="1" s="1"/>
  <c r="Y288" i="1"/>
  <c r="AH288" i="1" s="1"/>
  <c r="AA373" i="1"/>
  <c r="AJ373" i="1" s="1"/>
  <c r="AN289" i="1"/>
  <c r="AO289" i="1" s="1"/>
  <c r="AP289" i="1" s="1"/>
  <c r="AQ289" i="1" s="1"/>
  <c r="AR289" i="1" s="1"/>
  <c r="Y274" i="1"/>
  <c r="AH274" i="1" s="1"/>
  <c r="AK328" i="1"/>
  <c r="AK591" i="1"/>
  <c r="Y520" i="1"/>
  <c r="AH520" i="1" s="1"/>
  <c r="Y574" i="1"/>
  <c r="AH574" i="1" s="1"/>
  <c r="AK585" i="1"/>
  <c r="X578" i="1"/>
  <c r="AG578" i="1" s="1"/>
  <c r="Y622" i="1"/>
  <c r="AH622" i="1" s="1"/>
  <c r="AI458" i="1"/>
  <c r="AK631" i="1"/>
  <c r="X101" i="1"/>
  <c r="AG101" i="1" s="1"/>
  <c r="X128" i="1"/>
  <c r="AG128" i="1" s="1"/>
  <c r="AA128" i="1"/>
  <c r="AJ128" i="1" s="1"/>
  <c r="AN508" i="1"/>
  <c r="AO508" i="1" s="1"/>
  <c r="AP508" i="1" s="1"/>
  <c r="AQ508" i="1" s="1"/>
  <c r="AR508" i="1" s="1"/>
  <c r="AI552" i="1"/>
  <c r="AI490" i="1"/>
  <c r="AC306" i="1"/>
  <c r="AL306" i="1" s="1"/>
  <c r="AC264" i="1"/>
  <c r="AL264" i="1" s="1"/>
  <c r="AN529" i="1"/>
  <c r="AO529" i="1" s="1"/>
  <c r="AP529" i="1" s="1"/>
  <c r="AQ529" i="1" s="1"/>
  <c r="AR529" i="1" s="1"/>
  <c r="AN520" i="1"/>
  <c r="AO520" i="1" s="1"/>
  <c r="AP520" i="1" s="1"/>
  <c r="AQ520" i="1" s="1"/>
  <c r="AR520" i="1" s="1"/>
  <c r="AK635" i="1"/>
  <c r="AI150" i="1"/>
  <c r="X286" i="1"/>
  <c r="AG286" i="1" s="1"/>
  <c r="AN398" i="1"/>
  <c r="AO398" i="1" s="1"/>
  <c r="AP398" i="1" s="1"/>
  <c r="AQ398" i="1" s="1"/>
  <c r="AR398" i="1" s="1"/>
  <c r="X193" i="1"/>
  <c r="AG193" i="1" s="1"/>
  <c r="AK275" i="1"/>
  <c r="AC483" i="1"/>
  <c r="AL483" i="1" s="1"/>
  <c r="AC546" i="1"/>
  <c r="AL546" i="1" s="1"/>
  <c r="AK224" i="1"/>
  <c r="AC662" i="1"/>
  <c r="AL662" i="1" s="1"/>
  <c r="AN310" i="1"/>
  <c r="AO310" i="1" s="1"/>
  <c r="AP310" i="1" s="1"/>
  <c r="AQ310" i="1" s="1"/>
  <c r="AR310" i="1" s="1"/>
  <c r="Y244" i="1"/>
  <c r="AH244" i="1" s="1"/>
  <c r="AA223" i="1"/>
  <c r="AJ223" i="1" s="1"/>
  <c r="Y602" i="1"/>
  <c r="AH602" i="1" s="1"/>
  <c r="AN634" i="1"/>
  <c r="AO634" i="1" s="1"/>
  <c r="AP634" i="1" s="1"/>
  <c r="AN542" i="1"/>
  <c r="AO542" i="1" s="1"/>
  <c r="AP542" i="1" s="1"/>
  <c r="AQ542" i="1" s="1"/>
  <c r="AR542" i="1" s="1"/>
  <c r="AN577" i="1"/>
  <c r="AO577" i="1" s="1"/>
  <c r="AK297" i="1"/>
  <c r="Y376" i="1"/>
  <c r="AH376" i="1" s="1"/>
  <c r="AC470" i="1"/>
  <c r="AL470" i="1" s="1"/>
  <c r="Y480" i="1"/>
  <c r="AH480" i="1" s="1"/>
  <c r="Y348" i="1"/>
  <c r="AH348" i="1" s="1"/>
  <c r="AI103" i="1"/>
  <c r="AI104" i="1"/>
  <c r="AI520" i="1"/>
  <c r="AA372" i="1"/>
  <c r="AJ372" i="1" s="1"/>
  <c r="AK179" i="1"/>
  <c r="Y294" i="1"/>
  <c r="AH294" i="1" s="1"/>
  <c r="AN595" i="1"/>
  <c r="AO595" i="1" s="1"/>
  <c r="AP595" i="1" s="1"/>
  <c r="AQ595" i="1" s="1"/>
  <c r="AR595" i="1" s="1"/>
  <c r="AN492" i="1"/>
  <c r="AO492" i="1" s="1"/>
  <c r="AP492" i="1" s="1"/>
  <c r="AQ492" i="1" s="1"/>
  <c r="AR492" i="1" s="1"/>
  <c r="AK98" i="1"/>
  <c r="X244" i="1"/>
  <c r="AG244" i="1" s="1"/>
  <c r="Y357" i="1"/>
  <c r="AH357" i="1" s="1"/>
  <c r="AK198" i="1"/>
  <c r="AK587" i="1"/>
  <c r="AK364" i="1"/>
  <c r="AC86" i="1"/>
  <c r="AL86" i="1" s="1"/>
  <c r="AW86" i="1" s="1"/>
  <c r="AX86" i="1" s="1"/>
  <c r="Y499" i="1"/>
  <c r="AH499" i="1" s="1"/>
  <c r="AA236" i="1"/>
  <c r="AJ236" i="1" s="1"/>
  <c r="X520" i="1"/>
  <c r="AG520" i="1" s="1"/>
  <c r="AC265" i="1"/>
  <c r="AL265" i="1" s="1"/>
  <c r="AK192" i="1"/>
  <c r="AN281" i="1"/>
  <c r="AO281" i="1" s="1"/>
  <c r="AP281" i="1" s="1"/>
  <c r="AQ281" i="1" s="1"/>
  <c r="AR281" i="1" s="1"/>
  <c r="AC499" i="1"/>
  <c r="AL499" i="1" s="1"/>
  <c r="AA264" i="1"/>
  <c r="AJ264" i="1" s="1"/>
  <c r="AN135" i="1"/>
  <c r="AO135" i="1" s="1"/>
  <c r="X574" i="1"/>
  <c r="AG574" i="1" s="1"/>
  <c r="Y418" i="1"/>
  <c r="AH418" i="1" s="1"/>
  <c r="AK125" i="1"/>
  <c r="Y420" i="1"/>
  <c r="AH420" i="1" s="1"/>
  <c r="AI359" i="1"/>
  <c r="AC331" i="1"/>
  <c r="AL331" i="1" s="1"/>
  <c r="AN146" i="1"/>
  <c r="AO146" i="1" s="1"/>
  <c r="AP146" i="1" s="1"/>
  <c r="AQ146" i="1" s="1"/>
  <c r="AR146" i="1" s="1"/>
  <c r="AN224" i="1"/>
  <c r="AS224" i="1" s="1"/>
  <c r="AN365" i="1"/>
  <c r="AO365" i="1" s="1"/>
  <c r="AP365" i="1" s="1"/>
  <c r="AQ365" i="1" s="1"/>
  <c r="AR365" i="1" s="1"/>
  <c r="AI410" i="1"/>
  <c r="Y623" i="1"/>
  <c r="AH623" i="1" s="1"/>
  <c r="AK488" i="1"/>
  <c r="AA574" i="1"/>
  <c r="AJ574" i="1" s="1"/>
  <c r="Y601" i="1"/>
  <c r="AH601" i="1" s="1"/>
  <c r="AK495" i="1"/>
  <c r="AI385" i="1"/>
  <c r="AK219" i="1"/>
  <c r="W369" i="1"/>
  <c r="AF369" i="1" s="1"/>
  <c r="AC473" i="1"/>
  <c r="AL473" i="1" s="1"/>
  <c r="AN152" i="1"/>
  <c r="AO152" i="1" s="1"/>
  <c r="AP152" i="1" s="1"/>
  <c r="AQ152" i="1" s="1"/>
  <c r="AR152" i="1" s="1"/>
  <c r="AI294" i="1"/>
  <c r="AK363" i="1"/>
  <c r="AN267" i="1"/>
  <c r="AI283" i="1"/>
  <c r="Y256" i="1"/>
  <c r="AH256" i="1" s="1"/>
  <c r="X600" i="1"/>
  <c r="AG600" i="1" s="1"/>
  <c r="AA266" i="1"/>
  <c r="AJ266" i="1" s="1"/>
  <c r="AK88" i="1"/>
  <c r="AK379" i="1"/>
  <c r="AC484" i="1"/>
  <c r="AL484" i="1" s="1"/>
  <c r="AI266" i="1"/>
  <c r="AN637" i="1"/>
  <c r="AO637" i="1" s="1"/>
  <c r="AP637" i="1" s="1"/>
  <c r="AA530" i="1"/>
  <c r="AJ530" i="1" s="1"/>
  <c r="AN384" i="1"/>
  <c r="AO384" i="1" s="1"/>
  <c r="AP384" i="1" s="1"/>
  <c r="AQ384" i="1" s="1"/>
  <c r="AR384" i="1" s="1"/>
  <c r="X266" i="1"/>
  <c r="AG266" i="1" s="1"/>
  <c r="AK417" i="1"/>
  <c r="AN391" i="1"/>
  <c r="AO391" i="1" s="1"/>
  <c r="AP391" i="1" s="1"/>
  <c r="AQ391" i="1" s="1"/>
  <c r="AR391" i="1" s="1"/>
  <c r="AK133" i="1"/>
  <c r="AN545" i="1"/>
  <c r="AO545" i="1" s="1"/>
  <c r="AP545" i="1" s="1"/>
  <c r="AQ545" i="1" s="1"/>
  <c r="AR545" i="1" s="1"/>
  <c r="AX749" i="1"/>
  <c r="AY749" i="1" s="1"/>
  <c r="AZ749" i="1" s="1"/>
  <c r="BA749" i="1" s="1"/>
  <c r="BB749" i="1"/>
  <c r="AX765" i="1"/>
  <c r="AY765" i="1" s="1"/>
  <c r="AZ765" i="1" s="1"/>
  <c r="BA765" i="1" s="1"/>
  <c r="BB765" i="1"/>
  <c r="AX775" i="1"/>
  <c r="AY775" i="1" s="1"/>
  <c r="AZ775" i="1" s="1"/>
  <c r="BA775" i="1" s="1"/>
  <c r="BB775" i="1"/>
  <c r="AX797" i="1"/>
  <c r="AY797" i="1" s="1"/>
  <c r="AZ797" i="1" s="1"/>
  <c r="BA797" i="1" s="1"/>
  <c r="BB797" i="1"/>
  <c r="AX813" i="1"/>
  <c r="AY813" i="1" s="1"/>
  <c r="AZ813" i="1" s="1"/>
  <c r="BA813" i="1" s="1"/>
  <c r="BB813" i="1"/>
  <c r="AX830" i="1"/>
  <c r="AY830" i="1" s="1"/>
  <c r="AZ830" i="1" s="1"/>
  <c r="BA830" i="1" s="1"/>
  <c r="BB830" i="1"/>
  <c r="AX840" i="1"/>
  <c r="AY840" i="1" s="1"/>
  <c r="AZ840" i="1" s="1"/>
  <c r="BA840" i="1" s="1"/>
  <c r="BB840" i="1"/>
  <c r="BB872" i="1"/>
  <c r="AX872" i="1"/>
  <c r="AY872" i="1" s="1"/>
  <c r="AZ872" i="1" s="1"/>
  <c r="BA872" i="1" s="1"/>
  <c r="AX878" i="1"/>
  <c r="AY878" i="1" s="1"/>
  <c r="AZ878" i="1" s="1"/>
  <c r="BA878" i="1" s="1"/>
  <c r="BB878" i="1"/>
  <c r="BB960" i="1"/>
  <c r="AX960" i="1"/>
  <c r="AY960" i="1" s="1"/>
  <c r="AZ960" i="1" s="1"/>
  <c r="BA960" i="1" s="1"/>
  <c r="AX966" i="1"/>
  <c r="AY966" i="1" s="1"/>
  <c r="AZ966" i="1" s="1"/>
  <c r="BA966" i="1" s="1"/>
  <c r="BB966" i="1"/>
  <c r="AX987" i="1"/>
  <c r="AY987" i="1" s="1"/>
  <c r="AZ987" i="1" s="1"/>
  <c r="BA987" i="1" s="1"/>
  <c r="BB987" i="1"/>
  <c r="BB1007" i="1"/>
  <c r="AX1007" i="1"/>
  <c r="AY1007" i="1" s="1"/>
  <c r="AZ1007" i="1" s="1"/>
  <c r="BA1007" i="1" s="1"/>
  <c r="AX1019" i="1"/>
  <c r="AY1019" i="1" s="1"/>
  <c r="AZ1019" i="1" s="1"/>
  <c r="BA1019" i="1" s="1"/>
  <c r="BB1019" i="1"/>
  <c r="AX994" i="1"/>
  <c r="AY994" i="1" s="1"/>
  <c r="AZ994" i="1" s="1"/>
  <c r="BA994" i="1" s="1"/>
  <c r="BB994" i="1"/>
  <c r="AX1006" i="1"/>
  <c r="AY1006" i="1" s="1"/>
  <c r="AZ1006" i="1" s="1"/>
  <c r="BA1006" i="1" s="1"/>
  <c r="BB1006" i="1"/>
  <c r="AX1030" i="1"/>
  <c r="AY1030" i="1" s="1"/>
  <c r="AZ1030" i="1" s="1"/>
  <c r="BA1030" i="1" s="1"/>
  <c r="BB1030" i="1"/>
  <c r="AX1042" i="1"/>
  <c r="AY1042" i="1" s="1"/>
  <c r="AZ1042" i="1" s="1"/>
  <c r="BA1042" i="1" s="1"/>
  <c r="BB1042" i="1"/>
  <c r="AX1078" i="1"/>
  <c r="AY1078" i="1" s="1"/>
  <c r="AZ1078" i="1" s="1"/>
  <c r="BA1078" i="1" s="1"/>
  <c r="BB1078" i="1"/>
  <c r="BB1065" i="1"/>
  <c r="AX1065" i="1"/>
  <c r="AY1065" i="1" s="1"/>
  <c r="AZ1065" i="1" s="1"/>
  <c r="BA1065" i="1" s="1"/>
  <c r="AX1119" i="1"/>
  <c r="AY1119" i="1" s="1"/>
  <c r="AZ1119" i="1" s="1"/>
  <c r="BA1119" i="1" s="1"/>
  <c r="BB1119" i="1"/>
  <c r="AX1139" i="1"/>
  <c r="AY1139" i="1" s="1"/>
  <c r="AZ1139" i="1" s="1"/>
  <c r="BA1139" i="1" s="1"/>
  <c r="BB1139" i="1"/>
  <c r="BB985" i="1"/>
  <c r="AX985" i="1"/>
  <c r="AY985" i="1" s="1"/>
  <c r="AZ985" i="1" s="1"/>
  <c r="BA985" i="1" s="1"/>
  <c r="AX829" i="1"/>
  <c r="AY829" i="1" s="1"/>
  <c r="AZ829" i="1" s="1"/>
  <c r="BA829" i="1" s="1"/>
  <c r="BB829" i="1"/>
  <c r="AX1167" i="1"/>
  <c r="AY1167" i="1" s="1"/>
  <c r="AZ1167" i="1" s="1"/>
  <c r="BA1167" i="1" s="1"/>
  <c r="BB1167" i="1"/>
  <c r="BB1171" i="1"/>
  <c r="AX1171" i="1"/>
  <c r="AY1171" i="1" s="1"/>
  <c r="AZ1171" i="1" s="1"/>
  <c r="BA1171" i="1" s="1"/>
  <c r="BB890" i="1"/>
  <c r="AX890" i="1"/>
  <c r="AY890" i="1" s="1"/>
  <c r="AZ890" i="1" s="1"/>
  <c r="BA890" i="1" s="1"/>
  <c r="AX894" i="1"/>
  <c r="AY894" i="1" s="1"/>
  <c r="AZ894" i="1" s="1"/>
  <c r="BA894" i="1" s="1"/>
  <c r="BB894" i="1"/>
  <c r="AX898" i="1"/>
  <c r="AY898" i="1" s="1"/>
  <c r="AZ898" i="1" s="1"/>
  <c r="BA898" i="1" s="1"/>
  <c r="BB898" i="1"/>
  <c r="AX904" i="1"/>
  <c r="AY904" i="1" s="1"/>
  <c r="AZ904" i="1" s="1"/>
  <c r="BA904" i="1" s="1"/>
  <c r="BB904" i="1"/>
  <c r="AX908" i="1"/>
  <c r="AY908" i="1" s="1"/>
  <c r="AZ908" i="1" s="1"/>
  <c r="BA908" i="1" s="1"/>
  <c r="BB908" i="1"/>
  <c r="AX914" i="1"/>
  <c r="AY914" i="1" s="1"/>
  <c r="AZ914" i="1" s="1"/>
  <c r="BA914" i="1" s="1"/>
  <c r="BB914" i="1"/>
  <c r="AX924" i="1"/>
  <c r="AY924" i="1" s="1"/>
  <c r="AZ924" i="1" s="1"/>
  <c r="BA924" i="1" s="1"/>
  <c r="BB924" i="1"/>
  <c r="AX930" i="1"/>
  <c r="AY930" i="1" s="1"/>
  <c r="AZ930" i="1" s="1"/>
  <c r="BA930" i="1" s="1"/>
  <c r="BB930" i="1"/>
  <c r="BB940" i="1"/>
  <c r="AX940" i="1"/>
  <c r="AY940" i="1" s="1"/>
  <c r="AZ940" i="1" s="1"/>
  <c r="BA940" i="1" s="1"/>
  <c r="AX946" i="1"/>
  <c r="AY946" i="1" s="1"/>
  <c r="AZ946" i="1" s="1"/>
  <c r="BA946" i="1" s="1"/>
  <c r="BB946" i="1"/>
  <c r="BB950" i="1"/>
  <c r="AX950" i="1"/>
  <c r="AY950" i="1" s="1"/>
  <c r="AZ950" i="1" s="1"/>
  <c r="BA950" i="1" s="1"/>
  <c r="AX1043" i="1"/>
  <c r="AY1043" i="1" s="1"/>
  <c r="AZ1043" i="1" s="1"/>
  <c r="BA1043" i="1" s="1"/>
  <c r="BB1043" i="1"/>
  <c r="AX1051" i="1"/>
  <c r="AY1051" i="1" s="1"/>
  <c r="AZ1051" i="1" s="1"/>
  <c r="BA1051" i="1" s="1"/>
  <c r="BB1051" i="1"/>
  <c r="AX1063" i="1"/>
  <c r="AY1063" i="1" s="1"/>
  <c r="AZ1063" i="1" s="1"/>
  <c r="BA1063" i="1" s="1"/>
  <c r="BB1063" i="1"/>
  <c r="AX1083" i="1"/>
  <c r="AY1083" i="1" s="1"/>
  <c r="AZ1083" i="1" s="1"/>
  <c r="BA1083" i="1" s="1"/>
  <c r="BB1083" i="1"/>
  <c r="AX1094" i="1"/>
  <c r="AY1094" i="1" s="1"/>
  <c r="AZ1094" i="1" s="1"/>
  <c r="BA1094" i="1" s="1"/>
  <c r="BB1094" i="1"/>
  <c r="AX1044" i="1"/>
  <c r="AY1044" i="1" s="1"/>
  <c r="AZ1044" i="1" s="1"/>
  <c r="BA1044" i="1" s="1"/>
  <c r="BB1044" i="1"/>
  <c r="AX1107" i="1"/>
  <c r="AY1107" i="1" s="1"/>
  <c r="AZ1107" i="1" s="1"/>
  <c r="BA1107" i="1" s="1"/>
  <c r="BB1107" i="1"/>
  <c r="AX1131" i="1"/>
  <c r="AY1131" i="1" s="1"/>
  <c r="AZ1131" i="1" s="1"/>
  <c r="BA1131" i="1" s="1"/>
  <c r="BB1131" i="1"/>
  <c r="AX1115" i="1"/>
  <c r="AY1115" i="1" s="1"/>
  <c r="AZ1115" i="1" s="1"/>
  <c r="BA1115" i="1" s="1"/>
  <c r="BB1115" i="1"/>
  <c r="BB1174" i="1"/>
  <c r="BB1188" i="1"/>
  <c r="AX1188" i="1"/>
  <c r="AY1188" i="1" s="1"/>
  <c r="AZ1188" i="1" s="1"/>
  <c r="BA1188" i="1" s="1"/>
  <c r="AX1192" i="1"/>
  <c r="AY1192" i="1" s="1"/>
  <c r="AZ1192" i="1" s="1"/>
  <c r="BA1192" i="1" s="1"/>
  <c r="BB1192" i="1"/>
  <c r="AX1198" i="1"/>
  <c r="AY1198" i="1" s="1"/>
  <c r="AZ1198" i="1" s="1"/>
  <c r="BA1198" i="1" s="1"/>
  <c r="BB1198" i="1"/>
  <c r="AX1121" i="1"/>
  <c r="AY1121" i="1" s="1"/>
  <c r="AZ1121" i="1" s="1"/>
  <c r="BA1121" i="1" s="1"/>
  <c r="BB1121" i="1"/>
  <c r="AX741" i="1"/>
  <c r="AY741" i="1" s="1"/>
  <c r="AZ741" i="1" s="1"/>
  <c r="BA741" i="1" s="1"/>
  <c r="BB741" i="1"/>
  <c r="AX751" i="1"/>
  <c r="AY751" i="1" s="1"/>
  <c r="AZ751" i="1" s="1"/>
  <c r="BA751" i="1" s="1"/>
  <c r="BB751" i="1"/>
  <c r="AX757" i="1"/>
  <c r="AY757" i="1" s="1"/>
  <c r="AZ757" i="1" s="1"/>
  <c r="BA757" i="1" s="1"/>
  <c r="BB757" i="1"/>
  <c r="AX767" i="1"/>
  <c r="AY767" i="1" s="1"/>
  <c r="AZ767" i="1" s="1"/>
  <c r="BA767" i="1" s="1"/>
  <c r="BB767" i="1"/>
  <c r="AX773" i="1"/>
  <c r="AY773" i="1" s="1"/>
  <c r="AZ773" i="1" s="1"/>
  <c r="BA773" i="1" s="1"/>
  <c r="BB773" i="1"/>
  <c r="AX783" i="1"/>
  <c r="AY783" i="1" s="1"/>
  <c r="AZ783" i="1" s="1"/>
  <c r="BA783" i="1" s="1"/>
  <c r="BB783" i="1"/>
  <c r="AX799" i="1"/>
  <c r="AY799" i="1" s="1"/>
  <c r="AZ799" i="1" s="1"/>
  <c r="BA799" i="1" s="1"/>
  <c r="BB799" i="1"/>
  <c r="BB805" i="1"/>
  <c r="AX805" i="1"/>
  <c r="AY805" i="1" s="1"/>
  <c r="AZ805" i="1" s="1"/>
  <c r="BA805" i="1" s="1"/>
  <c r="AX815" i="1"/>
  <c r="AY815" i="1" s="1"/>
  <c r="AZ815" i="1" s="1"/>
  <c r="BA815" i="1" s="1"/>
  <c r="BB815" i="1"/>
  <c r="AX821" i="1"/>
  <c r="AY821" i="1" s="1"/>
  <c r="AZ821" i="1" s="1"/>
  <c r="BA821" i="1" s="1"/>
  <c r="BB821" i="1"/>
  <c r="AX832" i="1"/>
  <c r="AY832" i="1" s="1"/>
  <c r="AZ832" i="1" s="1"/>
  <c r="BA832" i="1" s="1"/>
  <c r="BB832" i="1"/>
  <c r="AX848" i="1"/>
  <c r="AY848" i="1" s="1"/>
  <c r="AZ848" i="1" s="1"/>
  <c r="BA848" i="1" s="1"/>
  <c r="BB848" i="1"/>
  <c r="AX854" i="1"/>
  <c r="AY854" i="1" s="1"/>
  <c r="AZ854" i="1" s="1"/>
  <c r="BA854" i="1" s="1"/>
  <c r="BB854" i="1"/>
  <c r="BB864" i="1"/>
  <c r="AX864" i="1"/>
  <c r="AY864" i="1" s="1"/>
  <c r="AZ864" i="1" s="1"/>
  <c r="BA864" i="1" s="1"/>
  <c r="BB870" i="1"/>
  <c r="AX870" i="1"/>
  <c r="AY870" i="1" s="1"/>
  <c r="AZ870" i="1" s="1"/>
  <c r="BA870" i="1" s="1"/>
  <c r="AX880" i="1"/>
  <c r="AY880" i="1" s="1"/>
  <c r="AZ880" i="1" s="1"/>
  <c r="BA880" i="1" s="1"/>
  <c r="BB880" i="1"/>
  <c r="BB958" i="1"/>
  <c r="AX958" i="1"/>
  <c r="AY958" i="1" s="1"/>
  <c r="AZ958" i="1" s="1"/>
  <c r="BA958" i="1" s="1"/>
  <c r="BB968" i="1"/>
  <c r="AX968" i="1"/>
  <c r="AY968" i="1" s="1"/>
  <c r="AZ968" i="1" s="1"/>
  <c r="BA968" i="1" s="1"/>
  <c r="AX991" i="1"/>
  <c r="AY991" i="1" s="1"/>
  <c r="AZ991" i="1" s="1"/>
  <c r="BA991" i="1" s="1"/>
  <c r="BB991" i="1"/>
  <c r="BB1003" i="1"/>
  <c r="AX1003" i="1"/>
  <c r="AY1003" i="1" s="1"/>
  <c r="AZ1003" i="1" s="1"/>
  <c r="BA1003" i="1" s="1"/>
  <c r="AX1023" i="1"/>
  <c r="AY1023" i="1" s="1"/>
  <c r="AZ1023" i="1" s="1"/>
  <c r="BA1023" i="1" s="1"/>
  <c r="BB1023" i="1"/>
  <c r="BB978" i="1"/>
  <c r="AX978" i="1"/>
  <c r="AY978" i="1" s="1"/>
  <c r="AZ978" i="1" s="1"/>
  <c r="BA978" i="1" s="1"/>
  <c r="BB990" i="1"/>
  <c r="AX990" i="1"/>
  <c r="AY990" i="1" s="1"/>
  <c r="AZ990" i="1" s="1"/>
  <c r="BA990" i="1" s="1"/>
  <c r="AX1010" i="1"/>
  <c r="AY1010" i="1" s="1"/>
  <c r="AZ1010" i="1" s="1"/>
  <c r="BA1010" i="1" s="1"/>
  <c r="AX1026" i="1"/>
  <c r="AY1026" i="1" s="1"/>
  <c r="AZ1026" i="1" s="1"/>
  <c r="BA1026" i="1" s="1"/>
  <c r="BB1026" i="1"/>
  <c r="AX1050" i="1"/>
  <c r="AY1050" i="1" s="1"/>
  <c r="AZ1050" i="1" s="1"/>
  <c r="BA1050" i="1" s="1"/>
  <c r="BB1050" i="1"/>
  <c r="AX1062" i="1"/>
  <c r="AY1062" i="1" s="1"/>
  <c r="AZ1062" i="1" s="1"/>
  <c r="BA1062" i="1" s="1"/>
  <c r="BB1062" i="1"/>
  <c r="BB1082" i="1"/>
  <c r="AX1106" i="1"/>
  <c r="AY1106" i="1" s="1"/>
  <c r="AZ1106" i="1" s="1"/>
  <c r="BA1106" i="1" s="1"/>
  <c r="BB1106" i="1"/>
  <c r="AX1009" i="1"/>
  <c r="AY1009" i="1" s="1"/>
  <c r="AZ1009" i="1" s="1"/>
  <c r="BA1009" i="1" s="1"/>
  <c r="BB1009" i="1"/>
  <c r="AX1127" i="1"/>
  <c r="AY1127" i="1" s="1"/>
  <c r="AZ1127" i="1" s="1"/>
  <c r="BA1127" i="1" s="1"/>
  <c r="BB1127" i="1"/>
  <c r="BB1092" i="1"/>
  <c r="AX1099" i="1"/>
  <c r="AY1099" i="1" s="1"/>
  <c r="AZ1099" i="1" s="1"/>
  <c r="BA1099" i="1" s="1"/>
  <c r="BB1099" i="1"/>
  <c r="AX1128" i="1"/>
  <c r="AY1128" i="1" s="1"/>
  <c r="AZ1128" i="1" s="1"/>
  <c r="BA1128" i="1" s="1"/>
  <c r="BB1128" i="1"/>
  <c r="AX1158" i="1"/>
  <c r="AY1158" i="1" s="1"/>
  <c r="AZ1158" i="1" s="1"/>
  <c r="BA1158" i="1" s="1"/>
  <c r="BB1158" i="1"/>
  <c r="BB1101" i="1"/>
  <c r="AX1101" i="1"/>
  <c r="AY1101" i="1" s="1"/>
  <c r="AZ1101" i="1" s="1"/>
  <c r="BA1101" i="1" s="1"/>
  <c r="AX1144" i="1"/>
  <c r="AY1144" i="1" s="1"/>
  <c r="AZ1144" i="1" s="1"/>
  <c r="BA1144" i="1" s="1"/>
  <c r="BB1144" i="1"/>
  <c r="AX1176" i="1"/>
  <c r="AY1176" i="1" s="1"/>
  <c r="AZ1176" i="1" s="1"/>
  <c r="BA1176" i="1" s="1"/>
  <c r="BB1176" i="1"/>
  <c r="AX743" i="1"/>
  <c r="AY743" i="1" s="1"/>
  <c r="AZ743" i="1" s="1"/>
  <c r="BA743" i="1" s="1"/>
  <c r="BB743" i="1"/>
  <c r="AX759" i="1"/>
  <c r="AY759" i="1" s="1"/>
  <c r="AZ759" i="1" s="1"/>
  <c r="BA759" i="1" s="1"/>
  <c r="BB759" i="1"/>
  <c r="BB781" i="1"/>
  <c r="AX781" i="1"/>
  <c r="AY781" i="1" s="1"/>
  <c r="AZ781" i="1" s="1"/>
  <c r="BA781" i="1" s="1"/>
  <c r="AX791" i="1"/>
  <c r="AY791" i="1" s="1"/>
  <c r="AZ791" i="1" s="1"/>
  <c r="BA791" i="1" s="1"/>
  <c r="BB791" i="1"/>
  <c r="AX807" i="1"/>
  <c r="AY807" i="1" s="1"/>
  <c r="AZ807" i="1" s="1"/>
  <c r="BA807" i="1" s="1"/>
  <c r="BB807" i="1"/>
  <c r="AX823" i="1"/>
  <c r="AY823" i="1" s="1"/>
  <c r="AZ823" i="1" s="1"/>
  <c r="BA823" i="1" s="1"/>
  <c r="BB823" i="1"/>
  <c r="AX846" i="1"/>
  <c r="AY846" i="1" s="1"/>
  <c r="AZ846" i="1" s="1"/>
  <c r="BA846" i="1" s="1"/>
  <c r="BB846" i="1"/>
  <c r="BB888" i="1"/>
  <c r="AX888" i="1"/>
  <c r="AY888" i="1" s="1"/>
  <c r="AZ888" i="1" s="1"/>
  <c r="BA888" i="1" s="1"/>
  <c r="AX892" i="1"/>
  <c r="AY892" i="1" s="1"/>
  <c r="AZ892" i="1" s="1"/>
  <c r="BA892" i="1" s="1"/>
  <c r="BB892" i="1"/>
  <c r="BB896" i="1"/>
  <c r="AX896" i="1"/>
  <c r="AY896" i="1" s="1"/>
  <c r="AZ896" i="1" s="1"/>
  <c r="BA896" i="1" s="1"/>
  <c r="BB906" i="1"/>
  <c r="AX906" i="1"/>
  <c r="AY906" i="1" s="1"/>
  <c r="AZ906" i="1" s="1"/>
  <c r="BA906" i="1" s="1"/>
  <c r="BB916" i="1"/>
  <c r="AX916" i="1"/>
  <c r="AY916" i="1" s="1"/>
  <c r="AZ916" i="1" s="1"/>
  <c r="BA916" i="1" s="1"/>
  <c r="BB922" i="1"/>
  <c r="AX922" i="1"/>
  <c r="AY922" i="1" s="1"/>
  <c r="AZ922" i="1" s="1"/>
  <c r="BA922" i="1" s="1"/>
  <c r="AX932" i="1"/>
  <c r="AY932" i="1" s="1"/>
  <c r="AZ932" i="1" s="1"/>
  <c r="BA932" i="1" s="1"/>
  <c r="BB932" i="1"/>
  <c r="BB938" i="1"/>
  <c r="AX938" i="1"/>
  <c r="AY938" i="1" s="1"/>
  <c r="AZ938" i="1" s="1"/>
  <c r="BA938" i="1" s="1"/>
  <c r="BB948" i="1"/>
  <c r="AX948" i="1"/>
  <c r="AY948" i="1" s="1"/>
  <c r="AZ948" i="1" s="1"/>
  <c r="BA948" i="1" s="1"/>
  <c r="BB976" i="1"/>
  <c r="AX976" i="1"/>
  <c r="AY976" i="1" s="1"/>
  <c r="AZ976" i="1" s="1"/>
  <c r="BA976" i="1" s="1"/>
  <c r="AX1039" i="1"/>
  <c r="AY1039" i="1" s="1"/>
  <c r="AZ1039" i="1" s="1"/>
  <c r="BA1039" i="1" s="1"/>
  <c r="BB1039" i="1"/>
  <c r="AX1047" i="1"/>
  <c r="AY1047" i="1" s="1"/>
  <c r="AZ1047" i="1" s="1"/>
  <c r="BA1047" i="1" s="1"/>
  <c r="BB1047" i="1"/>
  <c r="AX1067" i="1"/>
  <c r="AY1067" i="1" s="1"/>
  <c r="AZ1067" i="1" s="1"/>
  <c r="BA1067" i="1" s="1"/>
  <c r="BB1067" i="1"/>
  <c r="AX1079" i="1"/>
  <c r="AY1079" i="1" s="1"/>
  <c r="AZ1079" i="1" s="1"/>
  <c r="BA1079" i="1" s="1"/>
  <c r="BB1079" i="1"/>
  <c r="AX1110" i="1"/>
  <c r="AY1110" i="1" s="1"/>
  <c r="AZ1110" i="1" s="1"/>
  <c r="BA1110" i="1" s="1"/>
  <c r="BB1110" i="1"/>
  <c r="AX1060" i="1"/>
  <c r="AY1060" i="1" s="1"/>
  <c r="AZ1060" i="1" s="1"/>
  <c r="BA1060" i="1" s="1"/>
  <c r="BB1060" i="1"/>
  <c r="AX1036" i="1"/>
  <c r="AY1036" i="1" s="1"/>
  <c r="AZ1036" i="1" s="1"/>
  <c r="BA1036" i="1" s="1"/>
  <c r="BB1036" i="1"/>
  <c r="AX1096" i="1"/>
  <c r="AY1096" i="1" s="1"/>
  <c r="AZ1096" i="1" s="1"/>
  <c r="BA1096" i="1" s="1"/>
  <c r="BB1096" i="1"/>
  <c r="AX1142" i="1"/>
  <c r="AY1142" i="1" s="1"/>
  <c r="AZ1142" i="1" s="1"/>
  <c r="BA1142" i="1" s="1"/>
  <c r="BB1142" i="1"/>
  <c r="AX1143" i="1"/>
  <c r="AY1143" i="1" s="1"/>
  <c r="AZ1143" i="1" s="1"/>
  <c r="BA1143" i="1" s="1"/>
  <c r="BB1143" i="1"/>
  <c r="AX1183" i="1"/>
  <c r="AY1183" i="1" s="1"/>
  <c r="AZ1183" i="1" s="1"/>
  <c r="BA1183" i="1" s="1"/>
  <c r="BB1183" i="1"/>
  <c r="BB1190" i="1"/>
  <c r="AX1194" i="1"/>
  <c r="AY1194" i="1" s="1"/>
  <c r="AZ1194" i="1" s="1"/>
  <c r="BA1194" i="1" s="1"/>
  <c r="BB1194" i="1"/>
  <c r="AX1196" i="1"/>
  <c r="AY1196" i="1" s="1"/>
  <c r="AZ1196" i="1" s="1"/>
  <c r="BA1196" i="1" s="1"/>
  <c r="BB1196" i="1"/>
  <c r="AX1200" i="1"/>
  <c r="AY1200" i="1" s="1"/>
  <c r="AZ1200" i="1" s="1"/>
  <c r="BA1200" i="1" s="1"/>
  <c r="BB1200" i="1"/>
  <c r="AX1187" i="1"/>
  <c r="AY1187" i="1" s="1"/>
  <c r="AZ1187" i="1" s="1"/>
  <c r="BA1187" i="1" s="1"/>
  <c r="BB1187" i="1"/>
  <c r="AX1199" i="1"/>
  <c r="AY1199" i="1" s="1"/>
  <c r="AZ1199" i="1" s="1"/>
  <c r="BA1199" i="1" s="1"/>
  <c r="BB1199" i="1"/>
  <c r="AS933" i="1"/>
  <c r="AO933" i="1"/>
  <c r="AP933" i="1" s="1"/>
  <c r="AQ933" i="1" s="1"/>
  <c r="AR933" i="1" s="1"/>
  <c r="AS784" i="1"/>
  <c r="AO784" i="1"/>
  <c r="AP784" i="1" s="1"/>
  <c r="AQ784" i="1" s="1"/>
  <c r="AR784" i="1" s="1"/>
  <c r="BB842" i="1"/>
  <c r="AO760" i="1"/>
  <c r="AP760" i="1" s="1"/>
  <c r="AQ760" i="1" s="1"/>
  <c r="AR760" i="1" s="1"/>
  <c r="AS760" i="1"/>
  <c r="AW705" i="1"/>
  <c r="AX705" i="1" s="1"/>
  <c r="AY705" i="1" s="1"/>
  <c r="AZ705" i="1" s="1"/>
  <c r="BA705" i="1" s="1"/>
  <c r="AW697" i="1"/>
  <c r="AW1129" i="1"/>
  <c r="AS758" i="1"/>
  <c r="AS734" i="1"/>
  <c r="AS926" i="1"/>
  <c r="AS902" i="1"/>
  <c r="AO894" i="1"/>
  <c r="AP894" i="1" s="1"/>
  <c r="AQ894" i="1" s="1"/>
  <c r="AR894" i="1" s="1"/>
  <c r="AS878" i="1"/>
  <c r="AO870" i="1"/>
  <c r="AP870" i="1" s="1"/>
  <c r="AQ870" i="1" s="1"/>
  <c r="AR870" i="1" s="1"/>
  <c r="AO846" i="1"/>
  <c r="AP846" i="1" s="1"/>
  <c r="AQ846" i="1" s="1"/>
  <c r="AR846" i="1" s="1"/>
  <c r="AX1153" i="1"/>
  <c r="AY1153" i="1" s="1"/>
  <c r="AZ1153" i="1" s="1"/>
  <c r="BA1153" i="1" s="1"/>
  <c r="AS971" i="1"/>
  <c r="AO920" i="1"/>
  <c r="AP920" i="1" s="1"/>
  <c r="AQ920" i="1" s="1"/>
  <c r="AR920" i="1" s="1"/>
  <c r="AS904" i="1"/>
  <c r="AO888" i="1"/>
  <c r="AP888" i="1" s="1"/>
  <c r="AQ888" i="1" s="1"/>
  <c r="AR888" i="1" s="1"/>
  <c r="AS872" i="1"/>
  <c r="AO856" i="1"/>
  <c r="AP856" i="1" s="1"/>
  <c r="AQ856" i="1" s="1"/>
  <c r="AR856" i="1" s="1"/>
  <c r="AS832" i="1"/>
  <c r="AS827" i="1"/>
  <c r="AS819" i="1"/>
  <c r="AS704" i="1"/>
  <c r="AS742" i="1"/>
  <c r="AC1117" i="1"/>
  <c r="AL1117" i="1" s="1"/>
  <c r="AW1117" i="1" s="1"/>
  <c r="AX710" i="1"/>
  <c r="AY710" i="1" s="1"/>
  <c r="AZ710" i="1" s="1"/>
  <c r="BA710" i="1" s="1"/>
  <c r="AS710" i="1"/>
  <c r="BB1014" i="1"/>
  <c r="AO938" i="1"/>
  <c r="AP938" i="1" s="1"/>
  <c r="AQ938" i="1" s="1"/>
  <c r="AR938" i="1" s="1"/>
  <c r="AO922" i="1"/>
  <c r="AP922" i="1" s="1"/>
  <c r="AQ922" i="1" s="1"/>
  <c r="AR922" i="1" s="1"/>
  <c r="AS906" i="1"/>
  <c r="AO890" i="1"/>
  <c r="AP890" i="1" s="1"/>
  <c r="AQ890" i="1" s="1"/>
  <c r="AR890" i="1" s="1"/>
  <c r="AS874" i="1"/>
  <c r="AO858" i="1"/>
  <c r="AP858" i="1" s="1"/>
  <c r="AQ858" i="1" s="1"/>
  <c r="AR858" i="1" s="1"/>
  <c r="AW1137" i="1"/>
  <c r="AS1125" i="1"/>
  <c r="AS916" i="1"/>
  <c r="AS908" i="1"/>
  <c r="AO900" i="1"/>
  <c r="AP900" i="1" s="1"/>
  <c r="AQ900" i="1" s="1"/>
  <c r="AR900" i="1" s="1"/>
  <c r="AO892" i="1"/>
  <c r="AP892" i="1" s="1"/>
  <c r="AQ892" i="1" s="1"/>
  <c r="AR892" i="1" s="1"/>
  <c r="AS852" i="1"/>
  <c r="AS844" i="1"/>
  <c r="AS836" i="1"/>
  <c r="AS823" i="1"/>
  <c r="Y624" i="1"/>
  <c r="AH624" i="1" s="1"/>
  <c r="AN367" i="1"/>
  <c r="AO367" i="1" s="1"/>
  <c r="Y416" i="1"/>
  <c r="AH416" i="1" s="1"/>
  <c r="AI643" i="1"/>
  <c r="AI189" i="1"/>
  <c r="AI105" i="1"/>
  <c r="X427" i="1"/>
  <c r="AG427" i="1" s="1"/>
  <c r="AI607" i="1"/>
  <c r="AA617" i="1"/>
  <c r="AJ617" i="1" s="1"/>
  <c r="AN337" i="1"/>
  <c r="AS337" i="1" s="1"/>
  <c r="AN317" i="1"/>
  <c r="AO317" i="1" s="1"/>
  <c r="AP317" i="1" s="1"/>
  <c r="AQ317" i="1" s="1"/>
  <c r="AR317" i="1" s="1"/>
  <c r="AA172" i="1"/>
  <c r="AJ172" i="1" s="1"/>
  <c r="AK357" i="1"/>
  <c r="AK513" i="1"/>
  <c r="AK145" i="1"/>
  <c r="AA614" i="1"/>
  <c r="AJ614" i="1" s="1"/>
  <c r="AA176" i="1"/>
  <c r="AJ176" i="1" s="1"/>
  <c r="AC271" i="1"/>
  <c r="AL271" i="1" s="1"/>
  <c r="AI629" i="1"/>
  <c r="AN404" i="1"/>
  <c r="AO404" i="1" s="1"/>
  <c r="AP404" i="1" s="1"/>
  <c r="AQ404" i="1" s="1"/>
  <c r="AR404" i="1" s="1"/>
  <c r="AK470" i="1"/>
  <c r="AC105" i="1"/>
  <c r="AL105" i="1" s="1"/>
  <c r="X279" i="1"/>
  <c r="AG279" i="1" s="1"/>
  <c r="Y133" i="1"/>
  <c r="AH133" i="1" s="1"/>
  <c r="Y313" i="1"/>
  <c r="AH313" i="1" s="1"/>
  <c r="Y306" i="1"/>
  <c r="AH306" i="1" s="1"/>
  <c r="Y643" i="1"/>
  <c r="AH643" i="1" s="1"/>
  <c r="AA400" i="1"/>
  <c r="AJ400" i="1" s="1"/>
  <c r="AN213" i="1"/>
  <c r="AO213" i="1" s="1"/>
  <c r="AN424" i="1"/>
  <c r="AS424" i="1" s="1"/>
  <c r="AK257" i="1"/>
  <c r="AN558" i="1"/>
  <c r="X516" i="1"/>
  <c r="AG516" i="1" s="1"/>
  <c r="AC263" i="1"/>
  <c r="AL263" i="1" s="1"/>
  <c r="AA263" i="1"/>
  <c r="AJ263" i="1" s="1"/>
  <c r="AA587" i="1"/>
  <c r="AJ587" i="1" s="1"/>
  <c r="AI549" i="1"/>
  <c r="AC422" i="1"/>
  <c r="AL422" i="1" s="1"/>
  <c r="AA465" i="1"/>
  <c r="AJ465" i="1" s="1"/>
  <c r="AK489" i="1"/>
  <c r="AA290" i="1"/>
  <c r="AJ290" i="1" s="1"/>
  <c r="Y297" i="1"/>
  <c r="AH297" i="1" s="1"/>
  <c r="AN439" i="1"/>
  <c r="AO439" i="1" s="1"/>
  <c r="AP439" i="1" s="1"/>
  <c r="AA116" i="1"/>
  <c r="AJ116" i="1" s="1"/>
  <c r="AI402" i="1"/>
  <c r="AN166" i="1"/>
  <c r="AS166" i="1" s="1"/>
  <c r="AK419" i="1"/>
  <c r="AC552" i="1"/>
  <c r="AL552" i="1" s="1"/>
  <c r="AK245" i="1"/>
  <c r="AC455" i="1"/>
  <c r="AL455" i="1" s="1"/>
  <c r="X408" i="1"/>
  <c r="AG408" i="1" s="1"/>
  <c r="AN332" i="1"/>
  <c r="AO332" i="1" s="1"/>
  <c r="AI347" i="1"/>
  <c r="Y283" i="1"/>
  <c r="AH283" i="1" s="1"/>
  <c r="Y236" i="1"/>
  <c r="AH236" i="1" s="1"/>
  <c r="X263" i="1"/>
  <c r="AG263" i="1" s="1"/>
  <c r="Y662" i="1"/>
  <c r="AH662" i="1" s="1"/>
  <c r="AI306" i="1"/>
  <c r="AI93" i="1"/>
  <c r="AC410" i="1"/>
  <c r="AL410" i="1" s="1"/>
  <c r="W510" i="1"/>
  <c r="AF510" i="1" s="1"/>
  <c r="AA153" i="1"/>
  <c r="AJ153" i="1" s="1"/>
  <c r="AK516" i="1"/>
  <c r="X122" i="1"/>
  <c r="AG122" i="1" s="1"/>
  <c r="X156" i="1"/>
  <c r="AG156" i="1" s="1"/>
  <c r="AK340" i="1"/>
  <c r="W563" i="1"/>
  <c r="AF563" i="1" s="1"/>
  <c r="X403" i="1"/>
  <c r="AG403" i="1" s="1"/>
  <c r="AK580" i="1"/>
  <c r="X665" i="1"/>
  <c r="AG665" i="1" s="1"/>
  <c r="AN285" i="1"/>
  <c r="AO285" i="1" s="1"/>
  <c r="AC449" i="1"/>
  <c r="AL449" i="1" s="1"/>
  <c r="Y665" i="1"/>
  <c r="AH665" i="1" s="1"/>
  <c r="AC477" i="1"/>
  <c r="AL477" i="1" s="1"/>
  <c r="AA278" i="1"/>
  <c r="AJ278" i="1" s="1"/>
  <c r="AC360" i="1"/>
  <c r="AL360" i="1" s="1"/>
  <c r="AK120" i="1"/>
  <c r="AK403" i="1"/>
  <c r="AC336" i="1"/>
  <c r="AL336" i="1" s="1"/>
  <c r="AK118" i="1"/>
  <c r="AI237" i="1"/>
  <c r="AN336" i="1"/>
  <c r="AO336" i="1" s="1"/>
  <c r="AP336" i="1" s="1"/>
  <c r="AQ336" i="1" s="1"/>
  <c r="AR336" i="1" s="1"/>
  <c r="AC257" i="1"/>
  <c r="AL257" i="1" s="1"/>
  <c r="AA649" i="1"/>
  <c r="AJ649" i="1" s="1"/>
  <c r="AI423" i="1"/>
  <c r="Y385" i="1"/>
  <c r="AH385" i="1" s="1"/>
  <c r="Y93" i="1"/>
  <c r="AH93" i="1" s="1"/>
  <c r="AA497" i="1"/>
  <c r="AJ497" i="1" s="1"/>
  <c r="W376" i="1"/>
  <c r="AF376" i="1" s="1"/>
  <c r="AI246" i="1"/>
  <c r="Z472" i="1"/>
  <c r="AI472" i="1" s="1"/>
  <c r="X91" i="1"/>
  <c r="AG91" i="1" s="1"/>
  <c r="X619" i="1"/>
  <c r="AG619" i="1" s="1"/>
  <c r="AN221" i="1"/>
  <c r="AO221" i="1" s="1"/>
  <c r="AP221" i="1" s="1"/>
  <c r="AI556" i="1"/>
  <c r="AN466" i="1"/>
  <c r="AS466" i="1" s="1"/>
  <c r="AN188" i="1"/>
  <c r="AO188" i="1" s="1"/>
  <c r="AP188" i="1" s="1"/>
  <c r="AQ188" i="1" s="1"/>
  <c r="AR188" i="1" s="1"/>
  <c r="Y521" i="1"/>
  <c r="AH521" i="1" s="1"/>
  <c r="AC315" i="1"/>
  <c r="AL315" i="1" s="1"/>
  <c r="AN440" i="1"/>
  <c r="AO440" i="1" s="1"/>
  <c r="AN444" i="1"/>
  <c r="AO444" i="1" s="1"/>
  <c r="X532" i="1"/>
  <c r="AG532" i="1" s="1"/>
  <c r="Y373" i="1"/>
  <c r="AH373" i="1" s="1"/>
  <c r="Y497" i="1"/>
  <c r="AH497" i="1" s="1"/>
  <c r="AC512" i="1"/>
  <c r="AL512" i="1" s="1"/>
  <c r="AA257" i="1"/>
  <c r="AJ257" i="1" s="1"/>
  <c r="AI153" i="1"/>
  <c r="X419" i="1"/>
  <c r="AG419" i="1" s="1"/>
  <c r="Y578" i="1"/>
  <c r="AH578" i="1" s="1"/>
  <c r="AN170" i="1"/>
  <c r="AS170" i="1" s="1"/>
  <c r="X423" i="1"/>
  <c r="AG423" i="1" s="1"/>
  <c r="Y145" i="1"/>
  <c r="AH145" i="1" s="1"/>
  <c r="Y286" i="1"/>
  <c r="AH286" i="1" s="1"/>
  <c r="X623" i="1"/>
  <c r="AG623" i="1" s="1"/>
  <c r="W665" i="1"/>
  <c r="AF665" i="1" s="1"/>
  <c r="AA385" i="1"/>
  <c r="AJ385" i="1" s="1"/>
  <c r="AN198" i="1"/>
  <c r="AS198" i="1" s="1"/>
  <c r="AI656" i="1"/>
  <c r="AN227" i="1"/>
  <c r="AO227" i="1" s="1"/>
  <c r="AP227" i="1" s="1"/>
  <c r="Y345" i="1"/>
  <c r="AH345" i="1" s="1"/>
  <c r="AC497" i="1"/>
  <c r="AL497" i="1" s="1"/>
  <c r="AC385" i="1"/>
  <c r="AL385" i="1" s="1"/>
  <c r="AN478" i="1"/>
  <c r="AO478" i="1" s="1"/>
  <c r="AK657" i="1"/>
  <c r="AN484" i="1"/>
  <c r="AO484" i="1" s="1"/>
  <c r="X467" i="1"/>
  <c r="AG467" i="1" s="1"/>
  <c r="W89" i="1"/>
  <c r="AF89" i="1" s="1"/>
  <c r="X306" i="1"/>
  <c r="AG306" i="1" s="1"/>
  <c r="AC145" i="1"/>
  <c r="AL145" i="1" s="1"/>
  <c r="W452" i="1"/>
  <c r="AF452" i="1" s="1"/>
  <c r="W661" i="1"/>
  <c r="AF661" i="1" s="1"/>
  <c r="X641" i="1"/>
  <c r="AG641" i="1" s="1"/>
  <c r="Y424" i="1"/>
  <c r="AH424" i="1" s="1"/>
  <c r="Y268" i="1"/>
  <c r="AH268" i="1" s="1"/>
  <c r="Y656" i="1"/>
  <c r="AH656" i="1" s="1"/>
  <c r="X402" i="1"/>
  <c r="AG402" i="1" s="1"/>
  <c r="Y612" i="1"/>
  <c r="AH612" i="1" s="1"/>
  <c r="AN457" i="1"/>
  <c r="AO457" i="1" s="1"/>
  <c r="AC578" i="1"/>
  <c r="AL578" i="1" s="1"/>
  <c r="AK604" i="1"/>
  <c r="AI102" i="1"/>
  <c r="AA286" i="1"/>
  <c r="AJ286" i="1" s="1"/>
  <c r="AI521" i="1"/>
  <c r="AC102" i="1"/>
  <c r="AL102" i="1" s="1"/>
  <c r="AN110" i="1"/>
  <c r="AS110" i="1" s="1"/>
  <c r="Y398" i="1"/>
  <c r="AH398" i="1" s="1"/>
  <c r="AN450" i="1"/>
  <c r="AO450" i="1" s="1"/>
  <c r="AP450" i="1" s="1"/>
  <c r="AK354" i="1"/>
  <c r="AI377" i="1"/>
  <c r="AN433" i="1"/>
  <c r="AO433" i="1" s="1"/>
  <c r="AP433" i="1" s="1"/>
  <c r="AC629" i="1"/>
  <c r="AL629" i="1" s="1"/>
  <c r="AC274" i="1"/>
  <c r="AL274" i="1" s="1"/>
  <c r="AA98" i="1"/>
  <c r="AJ98" i="1" s="1"/>
  <c r="AN489" i="1"/>
  <c r="AO489" i="1" s="1"/>
  <c r="AP489" i="1" s="1"/>
  <c r="AQ489" i="1" s="1"/>
  <c r="AR489" i="1" s="1"/>
  <c r="AC617" i="1"/>
  <c r="AL617" i="1" s="1"/>
  <c r="AI254" i="1"/>
  <c r="X414" i="1"/>
  <c r="AG414" i="1" s="1"/>
  <c r="Y629" i="1"/>
  <c r="AH629" i="1" s="1"/>
  <c r="AA443" i="1"/>
  <c r="AJ443" i="1" s="1"/>
  <c r="Y94" i="1"/>
  <c r="AH94" i="1" s="1"/>
  <c r="AC90" i="1"/>
  <c r="AL90" i="1" s="1"/>
  <c r="AI409" i="1"/>
  <c r="AI542" i="1"/>
  <c r="AN562" i="1"/>
  <c r="AO562" i="1" s="1"/>
  <c r="AP562" i="1" s="1"/>
  <c r="AQ562" i="1" s="1"/>
  <c r="AR562" i="1" s="1"/>
  <c r="Y128" i="1"/>
  <c r="AH128" i="1" s="1"/>
  <c r="AK381" i="1"/>
  <c r="AI195" i="1"/>
  <c r="AI362" i="1"/>
  <c r="AN195" i="1"/>
  <c r="AO195" i="1" s="1"/>
  <c r="AP195" i="1" s="1"/>
  <c r="X260" i="1"/>
  <c r="AG260" i="1" s="1"/>
  <c r="AN93" i="1"/>
  <c r="AO93" i="1" s="1"/>
  <c r="AI641" i="1"/>
  <c r="AK242" i="1"/>
  <c r="AA643" i="1"/>
  <c r="AJ643" i="1" s="1"/>
  <c r="AC103" i="1"/>
  <c r="AL103" i="1" s="1"/>
  <c r="AA348" i="1"/>
  <c r="AJ348" i="1" s="1"/>
  <c r="AW348" i="1" s="1"/>
  <c r="AX348" i="1" s="1"/>
  <c r="AA521" i="1"/>
  <c r="AJ521" i="1" s="1"/>
  <c r="AN249" i="1"/>
  <c r="AO249" i="1" s="1"/>
  <c r="AP249" i="1" s="1"/>
  <c r="AQ249" i="1" s="1"/>
  <c r="AR249" i="1" s="1"/>
  <c r="AA552" i="1"/>
  <c r="AJ552" i="1" s="1"/>
  <c r="AC441" i="1"/>
  <c r="AL441" i="1" s="1"/>
  <c r="AN333" i="1"/>
  <c r="AO333" i="1" s="1"/>
  <c r="AP333" i="1" s="1"/>
  <c r="AQ333" i="1" s="1"/>
  <c r="AR333" i="1" s="1"/>
  <c r="AA473" i="1"/>
  <c r="AJ473" i="1" s="1"/>
  <c r="Y609" i="1"/>
  <c r="AH609" i="1" s="1"/>
  <c r="X291" i="1"/>
  <c r="AG291" i="1" s="1"/>
  <c r="AA528" i="1"/>
  <c r="AJ528" i="1" s="1"/>
  <c r="AK401" i="1"/>
  <c r="AN357" i="1"/>
  <c r="AO357" i="1" s="1"/>
  <c r="AP357" i="1" s="1"/>
  <c r="AQ357" i="1" s="1"/>
  <c r="AR357" i="1" s="1"/>
  <c r="AK608" i="1"/>
  <c r="AC507" i="1"/>
  <c r="AL507" i="1" s="1"/>
  <c r="AI209" i="1"/>
  <c r="X302" i="1"/>
  <c r="AG302" i="1" s="1"/>
  <c r="AA302" i="1"/>
  <c r="AJ302" i="1" s="1"/>
  <c r="W552" i="1"/>
  <c r="AF552" i="1" s="1"/>
  <c r="AC139" i="1"/>
  <c r="AL139" i="1" s="1"/>
  <c r="AA364" i="1"/>
  <c r="AJ364" i="1" s="1"/>
  <c r="W103" i="1"/>
  <c r="AF103" i="1" s="1"/>
  <c r="W609" i="1"/>
  <c r="AF609" i="1" s="1"/>
  <c r="W600" i="1"/>
  <c r="AF600" i="1" s="1"/>
  <c r="W455" i="1"/>
  <c r="AF455" i="1" s="1"/>
  <c r="AA209" i="1"/>
  <c r="AJ209" i="1" s="1"/>
  <c r="X240" i="1"/>
  <c r="AG240" i="1" s="1"/>
  <c r="X357" i="1"/>
  <c r="AG357" i="1" s="1"/>
  <c r="Y202" i="1"/>
  <c r="AH202" i="1" s="1"/>
  <c r="AK231" i="1"/>
  <c r="X634" i="1"/>
  <c r="AG634" i="1" s="1"/>
  <c r="AI498" i="1"/>
  <c r="AN169" i="1"/>
  <c r="AO169" i="1" s="1"/>
  <c r="AP169" i="1" s="1"/>
  <c r="AQ169" i="1" s="1"/>
  <c r="AR169" i="1" s="1"/>
  <c r="AI504" i="1"/>
  <c r="AK555" i="1"/>
  <c r="X100" i="1"/>
  <c r="AG100" i="1" s="1"/>
  <c r="AK588" i="1"/>
  <c r="AC235" i="1"/>
  <c r="AL235" i="1" s="1"/>
  <c r="Y642" i="1"/>
  <c r="AH642" i="1" s="1"/>
  <c r="X259" i="1"/>
  <c r="AG259" i="1" s="1"/>
  <c r="AK512" i="1"/>
  <c r="AK623" i="1"/>
  <c r="AI281" i="1"/>
  <c r="AI626" i="1"/>
  <c r="Y240" i="1"/>
  <c r="AH240" i="1" s="1"/>
  <c r="AI356" i="1"/>
  <c r="Y229" i="1"/>
  <c r="AH229" i="1" s="1"/>
  <c r="AA527" i="1"/>
  <c r="AJ527" i="1" s="1"/>
  <c r="AC524" i="1"/>
  <c r="AL524" i="1" s="1"/>
  <c r="AI357" i="1"/>
  <c r="AN211" i="1"/>
  <c r="AO211" i="1" s="1"/>
  <c r="AP211" i="1" s="1"/>
  <c r="AQ211" i="1" s="1"/>
  <c r="AR211" i="1" s="1"/>
  <c r="AI545" i="1"/>
  <c r="Y187" i="1"/>
  <c r="AH187" i="1" s="1"/>
  <c r="Y311" i="1"/>
  <c r="AH311" i="1" s="1"/>
  <c r="Y637" i="1"/>
  <c r="AH637" i="1" s="1"/>
  <c r="AK406" i="1"/>
  <c r="AI122" i="1"/>
  <c r="AA249" i="1"/>
  <c r="AJ249" i="1" s="1"/>
  <c r="AI628" i="1"/>
  <c r="AK82" i="1"/>
  <c r="AN576" i="1"/>
  <c r="AO576" i="1" s="1"/>
  <c r="AP576" i="1" s="1"/>
  <c r="AQ576" i="1" s="1"/>
  <c r="AR576" i="1" s="1"/>
  <c r="AN181" i="1"/>
  <c r="AO181" i="1" s="1"/>
  <c r="AC292" i="1"/>
  <c r="AL292" i="1" s="1"/>
  <c r="AC122" i="1"/>
  <c r="AL122" i="1" s="1"/>
  <c r="AA609" i="1"/>
  <c r="AJ609" i="1" s="1"/>
  <c r="AN149" i="1"/>
  <c r="AO149" i="1" s="1"/>
  <c r="AP149" i="1" s="1"/>
  <c r="AQ149" i="1" s="1"/>
  <c r="AR149" i="1" s="1"/>
  <c r="AC658" i="1"/>
  <c r="AL658" i="1" s="1"/>
  <c r="AC628" i="1"/>
  <c r="AL628" i="1" s="1"/>
  <c r="AW628" i="1" s="1"/>
  <c r="AX628" i="1" s="1"/>
  <c r="AK539" i="1"/>
  <c r="AK100" i="1"/>
  <c r="AN582" i="1"/>
  <c r="AO582" i="1" s="1"/>
  <c r="Y455" i="1"/>
  <c r="AH455" i="1" s="1"/>
  <c r="Y302" i="1"/>
  <c r="AH302" i="1" s="1"/>
  <c r="X527" i="1"/>
  <c r="AG527" i="1" s="1"/>
  <c r="AN164" i="1"/>
  <c r="AO164" i="1" s="1"/>
  <c r="AP164" i="1" s="1"/>
  <c r="Y189" i="1"/>
  <c r="AH189" i="1" s="1"/>
  <c r="AA535" i="1"/>
  <c r="AJ535" i="1" s="1"/>
  <c r="Y410" i="1"/>
  <c r="AH410" i="1" s="1"/>
  <c r="AC160" i="1"/>
  <c r="AL160" i="1" s="1"/>
  <c r="AN378" i="1"/>
  <c r="AO378" i="1" s="1"/>
  <c r="AK303" i="1"/>
  <c r="W463" i="1"/>
  <c r="AF463" i="1" s="1"/>
  <c r="W486" i="1"/>
  <c r="AF486" i="1" s="1"/>
  <c r="Y326" i="1"/>
  <c r="AH326" i="1" s="1"/>
  <c r="AC532" i="1"/>
  <c r="AL532" i="1" s="1"/>
  <c r="X353" i="1"/>
  <c r="AG353" i="1" s="1"/>
  <c r="X465" i="1"/>
  <c r="AG465" i="1" s="1"/>
  <c r="AC448" i="1"/>
  <c r="AL448" i="1" s="1"/>
  <c r="AA486" i="1"/>
  <c r="AJ486" i="1" s="1"/>
  <c r="AI568" i="1"/>
  <c r="AC352" i="1"/>
  <c r="AL352" i="1" s="1"/>
  <c r="AC514" i="1"/>
  <c r="AL514" i="1" s="1"/>
  <c r="W315" i="1"/>
  <c r="AF315" i="1" s="1"/>
  <c r="Y360" i="1"/>
  <c r="AH360" i="1" s="1"/>
  <c r="AC521" i="1"/>
  <c r="AL521" i="1" s="1"/>
  <c r="AA489" i="1"/>
  <c r="AJ489" i="1" s="1"/>
  <c r="AI428" i="1"/>
  <c r="AA428" i="1"/>
  <c r="AJ428" i="1" s="1"/>
  <c r="AC231" i="1"/>
  <c r="AL231" i="1" s="1"/>
  <c r="W352" i="1"/>
  <c r="AF352" i="1" s="1"/>
  <c r="AC294" i="1"/>
  <c r="AL294" i="1" s="1"/>
  <c r="AN473" i="1"/>
  <c r="AO473" i="1" s="1"/>
  <c r="AP473" i="1" s="1"/>
  <c r="AQ473" i="1" s="1"/>
  <c r="AR473" i="1" s="1"/>
  <c r="AN155" i="1"/>
  <c r="AS155" i="1" s="1"/>
  <c r="AN495" i="1"/>
  <c r="AO495" i="1" s="1"/>
  <c r="AP495" i="1" s="1"/>
  <c r="AQ495" i="1" s="1"/>
  <c r="AR495" i="1" s="1"/>
  <c r="AA214" i="1"/>
  <c r="AJ214" i="1" s="1"/>
  <c r="AK92" i="1"/>
  <c r="AN215" i="1"/>
  <c r="AS215" i="1" s="1"/>
  <c r="AN628" i="1"/>
  <c r="AO628" i="1" s="1"/>
  <c r="AP628" i="1" s="1"/>
  <c r="AQ628" i="1" s="1"/>
  <c r="AR628" i="1" s="1"/>
  <c r="AC201" i="1"/>
  <c r="AL201" i="1" s="1"/>
  <c r="AI89" i="1"/>
  <c r="AI364" i="1"/>
  <c r="AN322" i="1"/>
  <c r="AO322" i="1" s="1"/>
  <c r="AP322" i="1" s="1"/>
  <c r="AQ322" i="1" s="1"/>
  <c r="AR322" i="1" s="1"/>
  <c r="AC207" i="1"/>
  <c r="AL207" i="1" s="1"/>
  <c r="AK430" i="1"/>
  <c r="Y596" i="1"/>
  <c r="AH596" i="1" s="1"/>
  <c r="AC161" i="1"/>
  <c r="AL161" i="1" s="1"/>
  <c r="Y100" i="1"/>
  <c r="AH100" i="1" s="1"/>
  <c r="X637" i="1"/>
  <c r="AG637" i="1" s="1"/>
  <c r="W294" i="1"/>
  <c r="AF294" i="1" s="1"/>
  <c r="AA352" i="1"/>
  <c r="AJ352" i="1" s="1"/>
  <c r="AA276" i="1"/>
  <c r="AJ276" i="1" s="1"/>
  <c r="AC623" i="1"/>
  <c r="AL623" i="1" s="1"/>
  <c r="W96" i="1"/>
  <c r="AF96" i="1" s="1"/>
  <c r="X133" i="1"/>
  <c r="AG133" i="1" s="1"/>
  <c r="AI540" i="1"/>
  <c r="AC639" i="1"/>
  <c r="AL639" i="1" s="1"/>
  <c r="AC535" i="1"/>
  <c r="AL535" i="1" s="1"/>
  <c r="AI310" i="1"/>
  <c r="AA369" i="1"/>
  <c r="AJ369" i="1" s="1"/>
  <c r="AI147" i="1"/>
  <c r="AN386" i="1"/>
  <c r="Y324" i="1"/>
  <c r="AH324" i="1" s="1"/>
  <c r="Y219" i="1"/>
  <c r="AH219" i="1" s="1"/>
  <c r="AK407" i="1"/>
  <c r="AI471" i="1"/>
  <c r="X311" i="1"/>
  <c r="AG311" i="1" s="1"/>
  <c r="AN564" i="1"/>
  <c r="AK497" i="1"/>
  <c r="AI600" i="1"/>
  <c r="X514" i="1"/>
  <c r="AG514" i="1" s="1"/>
  <c r="AK525" i="1"/>
  <c r="X330" i="1"/>
  <c r="AG330" i="1" s="1"/>
  <c r="AI642" i="1"/>
  <c r="AK260" i="1"/>
  <c r="X194" i="1"/>
  <c r="AG194" i="1" s="1"/>
  <c r="AI139" i="1"/>
  <c r="AC173" i="1"/>
  <c r="AL173" i="1" s="1"/>
  <c r="Y292" i="1"/>
  <c r="AH292" i="1" s="1"/>
  <c r="Y600" i="1"/>
  <c r="AH600" i="1" s="1"/>
  <c r="X659" i="1"/>
  <c r="AG659" i="1" s="1"/>
  <c r="AA622" i="1"/>
  <c r="AJ622" i="1" s="1"/>
  <c r="Y535" i="1"/>
  <c r="AH535" i="1" s="1"/>
  <c r="AK322" i="1"/>
  <c r="AI546" i="1"/>
  <c r="AA160" i="1"/>
  <c r="AJ160" i="1" s="1"/>
  <c r="AA225" i="1"/>
  <c r="AJ225" i="1" s="1"/>
  <c r="AA122" i="1"/>
  <c r="AJ122" i="1" s="1"/>
  <c r="AK532" i="1"/>
  <c r="AN226" i="1"/>
  <c r="AS226" i="1" s="1"/>
  <c r="AI86" i="1"/>
  <c r="X470" i="1"/>
  <c r="AG470" i="1" s="1"/>
  <c r="X326" i="1"/>
  <c r="AG326" i="1" s="1"/>
  <c r="Y502" i="1"/>
  <c r="AH502" i="1" s="1"/>
  <c r="Y253" i="1"/>
  <c r="AH253" i="1" s="1"/>
  <c r="AK212" i="1"/>
  <c r="X642" i="1"/>
  <c r="AG642" i="1" s="1"/>
  <c r="AK456" i="1"/>
  <c r="X535" i="1"/>
  <c r="AG535" i="1" s="1"/>
  <c r="AK332" i="1"/>
  <c r="Y568" i="1"/>
  <c r="AH568" i="1" s="1"/>
  <c r="AC268" i="1"/>
  <c r="AL268" i="1" s="1"/>
  <c r="AN646" i="1"/>
  <c r="AO646" i="1" s="1"/>
  <c r="AC372" i="1"/>
  <c r="AL372" i="1" s="1"/>
  <c r="AI326" i="1"/>
  <c r="X507" i="1"/>
  <c r="AG507" i="1" s="1"/>
  <c r="AI528" i="1"/>
  <c r="AN247" i="1"/>
  <c r="AO247" i="1" s="1"/>
  <c r="AP247" i="1" s="1"/>
  <c r="AQ247" i="1" s="1"/>
  <c r="AR247" i="1" s="1"/>
  <c r="AI199" i="1"/>
  <c r="AC328" i="1"/>
  <c r="AL328" i="1" s="1"/>
  <c r="X428" i="1"/>
  <c r="AG428" i="1" s="1"/>
  <c r="AI396" i="1"/>
  <c r="AI108" i="1"/>
  <c r="AA96" i="1"/>
  <c r="AJ96" i="1" s="1"/>
  <c r="X179" i="1"/>
  <c r="AG179" i="1" s="1"/>
  <c r="AC304" i="1"/>
  <c r="AL304" i="1" s="1"/>
  <c r="AC310" i="1"/>
  <c r="AL310" i="1" s="1"/>
  <c r="AA179" i="1"/>
  <c r="AJ179" i="1" s="1"/>
  <c r="AC189" i="1"/>
  <c r="AL189" i="1" s="1"/>
  <c r="AN648" i="1"/>
  <c r="AO648" i="1" s="1"/>
  <c r="AI238" i="1"/>
  <c r="Y310" i="1"/>
  <c r="AH310" i="1" s="1"/>
  <c r="Y163" i="1"/>
  <c r="AH163" i="1" s="1"/>
  <c r="AK302" i="1"/>
  <c r="Y362" i="1"/>
  <c r="AH362" i="1" s="1"/>
  <c r="AA353" i="1"/>
  <c r="AJ353" i="1" s="1"/>
  <c r="AN234" i="1"/>
  <c r="AO234" i="1" s="1"/>
  <c r="AP234" i="1" s="1"/>
  <c r="AQ234" i="1" s="1"/>
  <c r="AR234" i="1" s="1"/>
  <c r="AK119" i="1"/>
  <c r="Y103" i="1"/>
  <c r="AH103" i="1" s="1"/>
  <c r="Y352" i="1"/>
  <c r="AH352" i="1" s="1"/>
  <c r="AC642" i="1"/>
  <c r="AL642" i="1" s="1"/>
  <c r="AK425" i="1"/>
  <c r="AC637" i="1"/>
  <c r="AL637" i="1" s="1"/>
  <c r="Y116" i="1"/>
  <c r="AH116" i="1" s="1"/>
  <c r="AC240" i="1"/>
  <c r="AL240" i="1" s="1"/>
  <c r="AK457" i="1"/>
  <c r="Y409" i="1"/>
  <c r="AH409" i="1" s="1"/>
  <c r="AC476" i="1"/>
  <c r="AL476" i="1" s="1"/>
  <c r="W378" i="1"/>
  <c r="AF378" i="1" s="1"/>
  <c r="W633" i="1"/>
  <c r="AF633" i="1" s="1"/>
  <c r="X475" i="1"/>
  <c r="AG475" i="1" s="1"/>
  <c r="W542" i="1"/>
  <c r="AF542" i="1" s="1"/>
  <c r="AK464" i="1"/>
  <c r="Y195" i="1"/>
  <c r="AH195" i="1" s="1"/>
  <c r="AN372" i="1"/>
  <c r="AO372" i="1" s="1"/>
  <c r="AP372" i="1" s="1"/>
  <c r="Y537" i="1"/>
  <c r="AH537" i="1" s="1"/>
  <c r="W290" i="1"/>
  <c r="AF290" i="1" s="1"/>
  <c r="W491" i="1"/>
  <c r="AF491" i="1" s="1"/>
  <c r="Y347" i="1"/>
  <c r="AH347" i="1" s="1"/>
  <c r="AC659" i="1"/>
  <c r="AL659" i="1" s="1"/>
  <c r="W443" i="1"/>
  <c r="AF443" i="1" s="1"/>
  <c r="AC269" i="1"/>
  <c r="AL269" i="1" s="1"/>
  <c r="W196" i="1"/>
  <c r="AF196" i="1" s="1"/>
  <c r="W421" i="1"/>
  <c r="AF421" i="1" s="1"/>
  <c r="W147" i="1"/>
  <c r="AF147" i="1" s="1"/>
  <c r="W100" i="1"/>
  <c r="AF100" i="1" s="1"/>
  <c r="X488" i="1"/>
  <c r="AG488" i="1" s="1"/>
  <c r="AI146" i="1"/>
  <c r="Y577" i="1"/>
  <c r="AH577" i="1" s="1"/>
  <c r="W295" i="1"/>
  <c r="AF295" i="1" s="1"/>
  <c r="W617" i="1"/>
  <c r="AF617" i="1" s="1"/>
  <c r="W440" i="1"/>
  <c r="AF440" i="1" s="1"/>
  <c r="AI634" i="1"/>
  <c r="Y147" i="1"/>
  <c r="AH147" i="1" s="1"/>
  <c r="W362" i="1"/>
  <c r="AF362" i="1" s="1"/>
  <c r="W427" i="1"/>
  <c r="AF427" i="1" s="1"/>
  <c r="AN104" i="1"/>
  <c r="AO104" i="1" s="1"/>
  <c r="AP104" i="1" s="1"/>
  <c r="W416" i="1"/>
  <c r="AF416" i="1" s="1"/>
  <c r="AA297" i="1"/>
  <c r="AJ297" i="1" s="1"/>
  <c r="AI477" i="1"/>
  <c r="W554" i="1"/>
  <c r="AF554" i="1" s="1"/>
  <c r="AC267" i="1"/>
  <c r="AL267" i="1" s="1"/>
  <c r="AA253" i="1"/>
  <c r="AJ253" i="1" s="1"/>
  <c r="AN604" i="1"/>
  <c r="AO604" i="1" s="1"/>
  <c r="AI129" i="1"/>
  <c r="AI335" i="1"/>
  <c r="AN488" i="1"/>
  <c r="AO488" i="1" s="1"/>
  <c r="X181" i="1"/>
  <c r="AG181" i="1" s="1"/>
  <c r="AS193" i="1"/>
  <c r="W174" i="1"/>
  <c r="AF174" i="1" s="1"/>
  <c r="AK609" i="1"/>
  <c r="AC299" i="1"/>
  <c r="AL299" i="1" s="1"/>
  <c r="AC157" i="1"/>
  <c r="AL157" i="1" s="1"/>
  <c r="Y300" i="1"/>
  <c r="AH300" i="1" s="1"/>
  <c r="Y198" i="1"/>
  <c r="AH198" i="1" s="1"/>
  <c r="AA496" i="1"/>
  <c r="AJ496" i="1" s="1"/>
  <c r="AC243" i="1"/>
  <c r="AL243" i="1" s="1"/>
  <c r="X624" i="1"/>
  <c r="AG624" i="1" s="1"/>
  <c r="AI284" i="1"/>
  <c r="X647" i="1"/>
  <c r="AG647" i="1" s="1"/>
  <c r="AC200" i="1"/>
  <c r="AL200" i="1" s="1"/>
  <c r="Y563" i="1"/>
  <c r="AH563" i="1" s="1"/>
  <c r="AK589" i="1"/>
  <c r="AI496" i="1"/>
  <c r="AN657" i="1"/>
  <c r="AO657" i="1" s="1"/>
  <c r="AA635" i="1"/>
  <c r="AJ635" i="1" s="1"/>
  <c r="AA147" i="1"/>
  <c r="AJ147" i="1" s="1"/>
  <c r="W420" i="1"/>
  <c r="AF420" i="1" s="1"/>
  <c r="AO120" i="1"/>
  <c r="AC404" i="1"/>
  <c r="AL404" i="1" s="1"/>
  <c r="W635" i="1"/>
  <c r="AF635" i="1" s="1"/>
  <c r="AC214" i="1"/>
  <c r="AL214" i="1" s="1"/>
  <c r="X537" i="1"/>
  <c r="AG537" i="1" s="1"/>
  <c r="AI316" i="1"/>
  <c r="W664" i="1"/>
  <c r="AF664" i="1" s="1"/>
  <c r="AI467" i="1"/>
  <c r="W570" i="1"/>
  <c r="AF570" i="1" s="1"/>
  <c r="W601" i="1"/>
  <c r="AF601" i="1" s="1"/>
  <c r="X282" i="1"/>
  <c r="AG282" i="1" s="1"/>
  <c r="AK451" i="1"/>
  <c r="AI128" i="1"/>
  <c r="X596" i="1"/>
  <c r="AG596" i="1" s="1"/>
  <c r="W156" i="1"/>
  <c r="AF156" i="1" s="1"/>
  <c r="Y440" i="1"/>
  <c r="AH440" i="1" s="1"/>
  <c r="AK211" i="1"/>
  <c r="AP416" i="1"/>
  <c r="AQ416" i="1" s="1"/>
  <c r="AR416" i="1" s="1"/>
  <c r="AK633" i="1"/>
  <c r="AN555" i="1"/>
  <c r="AI123" i="1"/>
  <c r="AK647" i="1"/>
  <c r="AN167" i="1"/>
  <c r="AS167" i="1" s="1"/>
  <c r="AI336" i="1"/>
  <c r="AC316" i="1"/>
  <c r="AL316" i="1" s="1"/>
  <c r="X643" i="1"/>
  <c r="AG643" i="1" s="1"/>
  <c r="X319" i="1"/>
  <c r="AG319" i="1" s="1"/>
  <c r="AK130" i="1"/>
  <c r="AP276" i="1"/>
  <c r="AK84" i="1"/>
  <c r="AA378" i="1"/>
  <c r="AJ378" i="1" s="1"/>
  <c r="AK562" i="1"/>
  <c r="AC528" i="1"/>
  <c r="AL528" i="1" s="1"/>
  <c r="AK228" i="1"/>
  <c r="X496" i="1"/>
  <c r="AG496" i="1" s="1"/>
  <c r="W624" i="1"/>
  <c r="AF624" i="1" s="1"/>
  <c r="Y458" i="1"/>
  <c r="AH458" i="1" s="1"/>
  <c r="AK564" i="1"/>
  <c r="AI624" i="1"/>
  <c r="AA491" i="1"/>
  <c r="AJ491" i="1" s="1"/>
  <c r="X491" i="1"/>
  <c r="AG491" i="1" s="1"/>
  <c r="AC496" i="1"/>
  <c r="AL496" i="1" s="1"/>
  <c r="Y221" i="1"/>
  <c r="AH221" i="1" s="1"/>
  <c r="AI111" i="1"/>
  <c r="AN346" i="1"/>
  <c r="AO346" i="1" s="1"/>
  <c r="AP346" i="1" s="1"/>
  <c r="AQ346" i="1" s="1"/>
  <c r="AR346" i="1" s="1"/>
  <c r="AI340" i="1"/>
  <c r="AA525" i="1"/>
  <c r="AJ525" i="1" s="1"/>
  <c r="X126" i="1"/>
  <c r="AG126" i="1" s="1"/>
  <c r="AK563" i="1"/>
  <c r="AI562" i="1"/>
  <c r="X123" i="1"/>
  <c r="AG123" i="1" s="1"/>
  <c r="AN274" i="1"/>
  <c r="AO274" i="1" s="1"/>
  <c r="AS485" i="1"/>
  <c r="AC146" i="1"/>
  <c r="AL146" i="1" s="1"/>
  <c r="Y467" i="1"/>
  <c r="AH467" i="1" s="1"/>
  <c r="AA173" i="1"/>
  <c r="AJ173" i="1" s="1"/>
  <c r="X383" i="1"/>
  <c r="AG383" i="1" s="1"/>
  <c r="X476" i="1"/>
  <c r="AG476" i="1" s="1"/>
  <c r="X114" i="1"/>
  <c r="AG114" i="1" s="1"/>
  <c r="AA416" i="1"/>
  <c r="AJ416" i="1" s="1"/>
  <c r="AI313" i="1"/>
  <c r="W194" i="1"/>
  <c r="AF194" i="1" s="1"/>
  <c r="AC537" i="1"/>
  <c r="AL537" i="1" s="1"/>
  <c r="AI126" i="1"/>
  <c r="AC643" i="1"/>
  <c r="AL643" i="1" s="1"/>
  <c r="AC378" i="1"/>
  <c r="AL378" i="1" s="1"/>
  <c r="AC346" i="1"/>
  <c r="AL346" i="1" s="1"/>
  <c r="AA542" i="1"/>
  <c r="AJ542" i="1" s="1"/>
  <c r="AA313" i="1"/>
  <c r="AJ313" i="1" s="1"/>
  <c r="AA239" i="1"/>
  <c r="AJ239" i="1" s="1"/>
  <c r="AK292" i="1"/>
  <c r="Y164" i="1"/>
  <c r="AH164" i="1" s="1"/>
  <c r="Y399" i="1"/>
  <c r="AH399" i="1" s="1"/>
  <c r="AI379" i="1"/>
  <c r="AK652" i="1"/>
  <c r="Y308" i="1"/>
  <c r="AH308" i="1" s="1"/>
  <c r="X213" i="1"/>
  <c r="AG213" i="1" s="1"/>
  <c r="Y247" i="1"/>
  <c r="AH247" i="1" s="1"/>
  <c r="AC438" i="1"/>
  <c r="AL438" i="1" s="1"/>
  <c r="X370" i="1"/>
  <c r="AG370" i="1" s="1"/>
  <c r="AS514" i="1"/>
  <c r="Y226" i="1"/>
  <c r="AH226" i="1" s="1"/>
  <c r="AK593" i="1"/>
  <c r="X424" i="1"/>
  <c r="AG424" i="1" s="1"/>
  <c r="X152" i="1"/>
  <c r="AG152" i="1" s="1"/>
  <c r="Y493" i="1"/>
  <c r="AH493" i="1" s="1"/>
  <c r="AI475" i="1"/>
  <c r="AI98" i="1"/>
  <c r="Y111" i="1"/>
  <c r="AH111" i="1" s="1"/>
  <c r="W173" i="1"/>
  <c r="AF173" i="1" s="1"/>
  <c r="W328" i="1"/>
  <c r="AF328" i="1" s="1"/>
  <c r="X420" i="1"/>
  <c r="AG420" i="1" s="1"/>
  <c r="Y476" i="1"/>
  <c r="AH476" i="1" s="1"/>
  <c r="X563" i="1"/>
  <c r="AG563" i="1" s="1"/>
  <c r="AC596" i="1"/>
  <c r="AL596" i="1" s="1"/>
  <c r="W98" i="1"/>
  <c r="AF98" i="1" s="1"/>
  <c r="Y114" i="1"/>
  <c r="AH114" i="1" s="1"/>
  <c r="X219" i="1"/>
  <c r="AG219" i="1" s="1"/>
  <c r="X513" i="1"/>
  <c r="AG513" i="1" s="1"/>
  <c r="Y446" i="1"/>
  <c r="AH446" i="1" s="1"/>
  <c r="AN525" i="1"/>
  <c r="AO525" i="1" s="1"/>
  <c r="AP525" i="1" s="1"/>
  <c r="AQ525" i="1" s="1"/>
  <c r="AR525" i="1" s="1"/>
  <c r="X268" i="1"/>
  <c r="AG268" i="1" s="1"/>
  <c r="W477" i="1"/>
  <c r="AF477" i="1" s="1"/>
  <c r="AC475" i="1"/>
  <c r="AL475" i="1" s="1"/>
  <c r="AA602" i="1"/>
  <c r="AJ602" i="1" s="1"/>
  <c r="AC186" i="1"/>
  <c r="AL186" i="1" s="1"/>
  <c r="Y196" i="1"/>
  <c r="AH196" i="1" s="1"/>
  <c r="X248" i="1"/>
  <c r="AG248" i="1" s="1"/>
  <c r="AC128" i="1"/>
  <c r="AL128" i="1" s="1"/>
  <c r="AI570" i="1"/>
  <c r="X417" i="1"/>
  <c r="AG417" i="1" s="1"/>
  <c r="X452" i="1"/>
  <c r="AG452" i="1" s="1"/>
  <c r="W458" i="1"/>
  <c r="AF458" i="1" s="1"/>
  <c r="X411" i="1"/>
  <c r="AG411" i="1" s="1"/>
  <c r="AA219" i="1"/>
  <c r="AJ219" i="1" s="1"/>
  <c r="X346" i="1"/>
  <c r="AG346" i="1" s="1"/>
  <c r="W276" i="1"/>
  <c r="AF276" i="1" s="1"/>
  <c r="AN552" i="1"/>
  <c r="AS552" i="1" s="1"/>
  <c r="AI198" i="1"/>
  <c r="Y87" i="1"/>
  <c r="AH87" i="1" s="1"/>
  <c r="Y421" i="1"/>
  <c r="AH421" i="1" s="1"/>
  <c r="W152" i="1"/>
  <c r="AF152" i="1" s="1"/>
  <c r="W128" i="1"/>
  <c r="AF128" i="1" s="1"/>
  <c r="Y541" i="1"/>
  <c r="AH541" i="1" s="1"/>
  <c r="X249" i="1"/>
  <c r="AG249" i="1" s="1"/>
  <c r="W126" i="1"/>
  <c r="AF126" i="1" s="1"/>
  <c r="AK237" i="1"/>
  <c r="AN461" i="1"/>
  <c r="AO461" i="1" s="1"/>
  <c r="AP461" i="1" s="1"/>
  <c r="AQ461" i="1" s="1"/>
  <c r="AR461" i="1" s="1"/>
  <c r="AK367" i="1"/>
  <c r="AK454" i="1"/>
  <c r="AI295" i="1"/>
  <c r="Y486" i="1"/>
  <c r="AH486" i="1" s="1"/>
  <c r="AN256" i="1"/>
  <c r="X617" i="1"/>
  <c r="AG617" i="1" s="1"/>
  <c r="AN589" i="1"/>
  <c r="AO589" i="1" s="1"/>
  <c r="AP589" i="1" s="1"/>
  <c r="AQ589" i="1" s="1"/>
  <c r="AR589" i="1" s="1"/>
  <c r="AN113" i="1"/>
  <c r="AS113" i="1" s="1"/>
  <c r="AK541" i="1"/>
  <c r="AI351" i="1"/>
  <c r="AK346" i="1"/>
  <c r="AN415" i="1"/>
  <c r="AO415" i="1" s="1"/>
  <c r="AP415" i="1" s="1"/>
  <c r="AQ415" i="1" s="1"/>
  <c r="AR415" i="1" s="1"/>
  <c r="AA347" i="1"/>
  <c r="AJ347" i="1" s="1"/>
  <c r="AN547" i="1"/>
  <c r="AC282" i="1"/>
  <c r="AL282" i="1" s="1"/>
  <c r="AK642" i="1"/>
  <c r="AA564" i="1"/>
  <c r="AJ564" i="1" s="1"/>
  <c r="Y379" i="1"/>
  <c r="AH379" i="1" s="1"/>
  <c r="Y478" i="1"/>
  <c r="AH478" i="1" s="1"/>
  <c r="AC602" i="1"/>
  <c r="AL602" i="1" s="1"/>
  <c r="AC569" i="1"/>
  <c r="AL569" i="1" s="1"/>
  <c r="X207" i="1"/>
  <c r="AG207" i="1" s="1"/>
  <c r="AI422" i="1"/>
  <c r="AC459" i="1"/>
  <c r="AL459" i="1" s="1"/>
  <c r="AK90" i="1"/>
  <c r="Y606" i="1"/>
  <c r="AH606" i="1" s="1"/>
  <c r="X328" i="1"/>
  <c r="AG328" i="1" s="1"/>
  <c r="W479" i="1"/>
  <c r="AF479" i="1" s="1"/>
  <c r="AI438" i="1"/>
  <c r="AK640" i="1"/>
  <c r="X481" i="1"/>
  <c r="AG481" i="1" s="1"/>
  <c r="AN246" i="1"/>
  <c r="AO246" i="1" s="1"/>
  <c r="AP246" i="1" s="1"/>
  <c r="AQ246" i="1" s="1"/>
  <c r="AR246" i="1" s="1"/>
  <c r="X627" i="1"/>
  <c r="AG627" i="1" s="1"/>
  <c r="AK330" i="1"/>
  <c r="X489" i="1"/>
  <c r="AG489" i="1" s="1"/>
  <c r="AA415" i="1"/>
  <c r="AJ415" i="1" s="1"/>
  <c r="AA90" i="1"/>
  <c r="AJ90" i="1" s="1"/>
  <c r="AI393" i="1"/>
  <c r="AC633" i="1"/>
  <c r="AL633" i="1" s="1"/>
  <c r="Y123" i="1"/>
  <c r="AH123" i="1" s="1"/>
  <c r="X443" i="1"/>
  <c r="AG443" i="1" s="1"/>
  <c r="AN126" i="1"/>
  <c r="AS126" i="1" s="1"/>
  <c r="Y211" i="1"/>
  <c r="AH211" i="1" s="1"/>
  <c r="AA634" i="1"/>
  <c r="AJ634" i="1" s="1"/>
  <c r="W195" i="1"/>
  <c r="AF195" i="1" s="1"/>
  <c r="AK385" i="1"/>
  <c r="AA248" i="1"/>
  <c r="AJ248" i="1" s="1"/>
  <c r="W541" i="1"/>
  <c r="AF541" i="1" s="1"/>
  <c r="X331" i="1"/>
  <c r="AG331" i="1" s="1"/>
  <c r="AK123" i="1"/>
  <c r="AC198" i="1"/>
  <c r="AL198" i="1" s="1"/>
  <c r="Y254" i="1"/>
  <c r="AH254" i="1" s="1"/>
  <c r="AA458" i="1"/>
  <c r="AJ458" i="1" s="1"/>
  <c r="AN177" i="1"/>
  <c r="AO177" i="1" s="1"/>
  <c r="AK619" i="1"/>
  <c r="AA269" i="1"/>
  <c r="AJ269" i="1" s="1"/>
  <c r="AA346" i="1"/>
  <c r="AJ346" i="1" s="1"/>
  <c r="AA562" i="1"/>
  <c r="AJ562" i="1" s="1"/>
  <c r="X549" i="1"/>
  <c r="AG549" i="1" s="1"/>
  <c r="Y146" i="1"/>
  <c r="AH146" i="1" s="1"/>
  <c r="X635" i="1"/>
  <c r="AG635" i="1" s="1"/>
  <c r="AK415" i="1"/>
  <c r="AN225" i="1"/>
  <c r="AC386" i="1"/>
  <c r="AL386" i="1" s="1"/>
  <c r="AN476" i="1"/>
  <c r="Y587" i="1"/>
  <c r="AH587" i="1" s="1"/>
  <c r="AK411" i="1"/>
  <c r="AN151" i="1"/>
  <c r="AS151" i="1" s="1"/>
  <c r="AN553" i="1"/>
  <c r="AO553" i="1" s="1"/>
  <c r="AP553" i="1" s="1"/>
  <c r="AQ553" i="1" s="1"/>
  <c r="AR553" i="1" s="1"/>
  <c r="AK318" i="1"/>
  <c r="AK181" i="1"/>
  <c r="AI164" i="1"/>
  <c r="AS580" i="1"/>
  <c r="AN154" i="1"/>
  <c r="AO154" i="1" s="1"/>
  <c r="AP154" i="1" s="1"/>
  <c r="AN334" i="1"/>
  <c r="AO334" i="1" s="1"/>
  <c r="AP334" i="1" s="1"/>
  <c r="AQ334" i="1" s="1"/>
  <c r="AR334" i="1" s="1"/>
  <c r="AI602" i="1"/>
  <c r="AS354" i="1"/>
  <c r="AK149" i="1"/>
  <c r="Y426" i="1"/>
  <c r="AH426" i="1" s="1"/>
  <c r="Y617" i="1"/>
  <c r="AH617" i="1" s="1"/>
  <c r="AK112" i="1"/>
  <c r="AA198" i="1"/>
  <c r="AJ198" i="1" s="1"/>
  <c r="AK465" i="1"/>
  <c r="AK331" i="1"/>
  <c r="AI554" i="1"/>
  <c r="AC554" i="1"/>
  <c r="AL554" i="1" s="1"/>
  <c r="X224" i="1"/>
  <c r="AG224" i="1" s="1"/>
  <c r="Y646" i="1"/>
  <c r="AH646" i="1" s="1"/>
  <c r="AN597" i="1"/>
  <c r="AO597" i="1" s="1"/>
  <c r="AP597" i="1" s="1"/>
  <c r="AN299" i="1"/>
  <c r="AO299" i="1" s="1"/>
  <c r="X298" i="1"/>
  <c r="AG298" i="1" s="1"/>
  <c r="AK166" i="1"/>
  <c r="AK528" i="1"/>
  <c r="AI154" i="1"/>
  <c r="AA109" i="1"/>
  <c r="AJ109" i="1" s="1"/>
  <c r="X556" i="1"/>
  <c r="AG556" i="1" s="1"/>
  <c r="AA423" i="1"/>
  <c r="AJ423" i="1" s="1"/>
  <c r="AC545" i="1"/>
  <c r="AL545" i="1" s="1"/>
  <c r="AI233" i="1"/>
  <c r="AI547" i="1"/>
  <c r="AI290" i="1"/>
  <c r="AA478" i="1"/>
  <c r="AJ478" i="1" s="1"/>
  <c r="W111" i="1"/>
  <c r="AF111" i="1" s="1"/>
  <c r="W604" i="1"/>
  <c r="AF604" i="1" s="1"/>
  <c r="X349" i="1"/>
  <c r="AG349" i="1" s="1"/>
  <c r="W634" i="1"/>
  <c r="AF634" i="1" s="1"/>
  <c r="AI555" i="1"/>
  <c r="AK573" i="1"/>
  <c r="AK624" i="1"/>
  <c r="AA646" i="1"/>
  <c r="AJ646" i="1" s="1"/>
  <c r="X297" i="1"/>
  <c r="AG297" i="1" s="1"/>
  <c r="AC634" i="1"/>
  <c r="AL634" i="1" s="1"/>
  <c r="X648" i="1"/>
  <c r="AG648" i="1" s="1"/>
  <c r="Y450" i="1"/>
  <c r="AH450" i="1" s="1"/>
  <c r="AN578" i="1"/>
  <c r="AO578" i="1" s="1"/>
  <c r="AP578" i="1" s="1"/>
  <c r="AQ578" i="1" s="1"/>
  <c r="AR578" i="1" s="1"/>
  <c r="AI415" i="1"/>
  <c r="X664" i="1"/>
  <c r="AG664" i="1" s="1"/>
  <c r="AC415" i="1"/>
  <c r="AL415" i="1" s="1"/>
  <c r="Y109" i="1"/>
  <c r="AH109" i="1" s="1"/>
  <c r="Y233" i="1"/>
  <c r="AH233" i="1" s="1"/>
  <c r="AA398" i="1"/>
  <c r="AJ398" i="1" s="1"/>
  <c r="AA326" i="1"/>
  <c r="AJ326" i="1" s="1"/>
  <c r="W632" i="1"/>
  <c r="AF632" i="1" s="1"/>
  <c r="W343" i="1"/>
  <c r="AF343" i="1" s="1"/>
  <c r="Y197" i="1"/>
  <c r="AH197" i="1" s="1"/>
  <c r="AN360" i="1"/>
  <c r="AA152" i="1"/>
  <c r="AJ152" i="1" s="1"/>
  <c r="AW152" i="1" s="1"/>
  <c r="AX152" i="1" s="1"/>
  <c r="AA370" i="1"/>
  <c r="AJ370" i="1" s="1"/>
  <c r="AA375" i="1"/>
  <c r="AJ375" i="1" s="1"/>
  <c r="X276" i="1"/>
  <c r="AG276" i="1" s="1"/>
  <c r="Y276" i="1"/>
  <c r="AH276" i="1" s="1"/>
  <c r="AC211" i="1"/>
  <c r="AL211" i="1" s="1"/>
  <c r="AW211" i="1" s="1"/>
  <c r="X375" i="1"/>
  <c r="AG375" i="1" s="1"/>
  <c r="W653" i="1"/>
  <c r="AF653" i="1" s="1"/>
  <c r="AN240" i="1"/>
  <c r="AS240" i="1" s="1"/>
  <c r="AA479" i="1"/>
  <c r="AJ479" i="1" s="1"/>
  <c r="W222" i="1"/>
  <c r="AF222" i="1" s="1"/>
  <c r="Y96" i="1"/>
  <c r="AH96" i="1" s="1"/>
  <c r="AK353" i="1"/>
  <c r="Y634" i="1"/>
  <c r="AH634" i="1" s="1"/>
  <c r="AK139" i="1"/>
  <c r="X533" i="1"/>
  <c r="AG533" i="1" s="1"/>
  <c r="AC117" i="1"/>
  <c r="AL117" i="1" s="1"/>
  <c r="AN232" i="1"/>
  <c r="AO232" i="1" s="1"/>
  <c r="X653" i="1"/>
  <c r="AG653" i="1" s="1"/>
  <c r="AA150" i="1"/>
  <c r="AJ150" i="1" s="1"/>
  <c r="AA526" i="1"/>
  <c r="AJ526" i="1" s="1"/>
  <c r="AA233" i="1"/>
  <c r="AJ233" i="1" s="1"/>
  <c r="AA653" i="1"/>
  <c r="AJ653" i="1" s="1"/>
  <c r="AA376" i="1"/>
  <c r="AJ376" i="1" s="1"/>
  <c r="AK271" i="1"/>
  <c r="AN243" i="1"/>
  <c r="AS243" i="1" s="1"/>
  <c r="AI100" i="1"/>
  <c r="W412" i="1"/>
  <c r="AF412" i="1" s="1"/>
  <c r="Y334" i="1"/>
  <c r="AH334" i="1" s="1"/>
  <c r="AN117" i="1"/>
  <c r="AO117" i="1" s="1"/>
  <c r="AP117" i="1" s="1"/>
  <c r="AQ117" i="1" s="1"/>
  <c r="AR117" i="1" s="1"/>
  <c r="AC416" i="1"/>
  <c r="AL416" i="1" s="1"/>
  <c r="W297" i="1"/>
  <c r="AF297" i="1" s="1"/>
  <c r="AI447" i="1"/>
  <c r="AN353" i="1"/>
  <c r="AO353" i="1" s="1"/>
  <c r="AP353" i="1" s="1"/>
  <c r="AQ353" i="1" s="1"/>
  <c r="AR353" i="1" s="1"/>
  <c r="AI664" i="1"/>
  <c r="AC516" i="1"/>
  <c r="AL516" i="1" s="1"/>
  <c r="W109" i="1"/>
  <c r="AF109" i="1" s="1"/>
  <c r="X441" i="1"/>
  <c r="AG441" i="1" s="1"/>
  <c r="AK293" i="1"/>
  <c r="X479" i="1"/>
  <c r="AG479" i="1" s="1"/>
  <c r="Y290" i="1"/>
  <c r="AH290" i="1" s="1"/>
  <c r="AI323" i="1"/>
  <c r="AL276" i="1"/>
  <c r="X633" i="1"/>
  <c r="AG633" i="1" s="1"/>
  <c r="X188" i="1"/>
  <c r="AG188" i="1" s="1"/>
  <c r="X109" i="1"/>
  <c r="AG109" i="1" s="1"/>
  <c r="AN481" i="1"/>
  <c r="AO481" i="1" s="1"/>
  <c r="AP481" i="1" s="1"/>
  <c r="AQ481" i="1" s="1"/>
  <c r="AR481" i="1" s="1"/>
  <c r="AI191" i="1"/>
  <c r="X415" i="1"/>
  <c r="AG415" i="1" s="1"/>
  <c r="Y456" i="1"/>
  <c r="AH456" i="1" s="1"/>
  <c r="AK185" i="1"/>
  <c r="AN448" i="1"/>
  <c r="AO448" i="1" s="1"/>
  <c r="AP448" i="1" s="1"/>
  <c r="AQ448" i="1" s="1"/>
  <c r="AR448" i="1" s="1"/>
  <c r="AA181" i="1"/>
  <c r="AJ181" i="1" s="1"/>
  <c r="Y179" i="1"/>
  <c r="AH179" i="1" s="1"/>
  <c r="AN200" i="1"/>
  <c r="AO200" i="1" s="1"/>
  <c r="AP200" i="1" s="1"/>
  <c r="AQ200" i="1" s="1"/>
  <c r="AR200" i="1" s="1"/>
  <c r="AI277" i="1"/>
  <c r="AC367" i="1"/>
  <c r="AL367" i="1" s="1"/>
  <c r="AA508" i="1"/>
  <c r="AJ508" i="1" s="1"/>
  <c r="AI535" i="1"/>
  <c r="AA137" i="1"/>
  <c r="AJ137" i="1" s="1"/>
  <c r="AI408" i="1"/>
  <c r="AI654" i="1"/>
  <c r="AI113" i="1"/>
  <c r="AK506" i="1"/>
  <c r="AA254" i="1"/>
  <c r="AJ254" i="1" s="1"/>
  <c r="AP485" i="1"/>
  <c r="AA218" i="1"/>
  <c r="AJ218" i="1" s="1"/>
  <c r="AI375" i="1"/>
  <c r="AK475" i="1"/>
  <c r="AN173" i="1"/>
  <c r="AO173" i="1" s="1"/>
  <c r="AP173" i="1" s="1"/>
  <c r="AA460" i="1"/>
  <c r="AJ460" i="1" s="1"/>
  <c r="AI169" i="1"/>
  <c r="AN512" i="1"/>
  <c r="AO512" i="1" s="1"/>
  <c r="AP512" i="1" s="1"/>
  <c r="AQ512" i="1" s="1"/>
  <c r="AR512" i="1" s="1"/>
  <c r="AC132" i="1"/>
  <c r="AL132" i="1" s="1"/>
  <c r="AN345" i="1"/>
  <c r="AO345" i="1" s="1"/>
  <c r="AP345" i="1" s="1"/>
  <c r="Y194" i="1"/>
  <c r="AH194" i="1" s="1"/>
  <c r="AK437" i="1"/>
  <c r="X560" i="1"/>
  <c r="AG560" i="1" s="1"/>
  <c r="Y542" i="1"/>
  <c r="AH542" i="1" s="1"/>
  <c r="AC419" i="1"/>
  <c r="AL419" i="1" s="1"/>
  <c r="AA576" i="1"/>
  <c r="AJ576" i="1" s="1"/>
  <c r="Y608" i="1"/>
  <c r="AH608" i="1" s="1"/>
  <c r="AN339" i="1"/>
  <c r="AS339" i="1" s="1"/>
  <c r="AC665" i="1"/>
  <c r="AL665" i="1" s="1"/>
  <c r="AK298" i="1"/>
  <c r="AA243" i="1"/>
  <c r="AJ243" i="1" s="1"/>
  <c r="AN629" i="1"/>
  <c r="AO629" i="1" s="1"/>
  <c r="AP629" i="1" s="1"/>
  <c r="AQ629" i="1" s="1"/>
  <c r="AR629" i="1" s="1"/>
  <c r="AI596" i="1"/>
  <c r="AI617" i="1"/>
  <c r="AI215" i="1"/>
  <c r="AI569" i="1"/>
  <c r="AN268" i="1"/>
  <c r="AO268" i="1" s="1"/>
  <c r="AP268" i="1" s="1"/>
  <c r="AK420" i="1"/>
  <c r="AK596" i="1"/>
  <c r="X178" i="1"/>
  <c r="AG178" i="1" s="1"/>
  <c r="AI269" i="1"/>
  <c r="AI194" i="1"/>
  <c r="X542" i="1"/>
  <c r="AG542" i="1" s="1"/>
  <c r="AN551" i="1"/>
  <c r="AO551" i="1" s="1"/>
  <c r="AP551" i="1" s="1"/>
  <c r="AN127" i="1"/>
  <c r="X146" i="1"/>
  <c r="AG146" i="1" s="1"/>
  <c r="AI331" i="1"/>
  <c r="X458" i="1"/>
  <c r="AG458" i="1" s="1"/>
  <c r="AN449" i="1"/>
  <c r="AO449" i="1" s="1"/>
  <c r="AP449" i="1" s="1"/>
  <c r="AQ449" i="1" s="1"/>
  <c r="AR449" i="1" s="1"/>
  <c r="AA186" i="1"/>
  <c r="AJ186" i="1" s="1"/>
  <c r="X98" i="1"/>
  <c r="AG98" i="1" s="1"/>
  <c r="AA470" i="1"/>
  <c r="AJ470" i="1" s="1"/>
  <c r="X410" i="1"/>
  <c r="AG410" i="1" s="1"/>
  <c r="AS543" i="1"/>
  <c r="AA156" i="1"/>
  <c r="AJ156" i="1" s="1"/>
  <c r="AN156" i="1"/>
  <c r="AO156" i="1" s="1"/>
  <c r="AC622" i="1"/>
  <c r="AL622" i="1" s="1"/>
  <c r="AN622" i="1"/>
  <c r="AO622" i="1" s="1"/>
  <c r="AP622" i="1" s="1"/>
  <c r="W487" i="1"/>
  <c r="AF487" i="1" s="1"/>
  <c r="X183" i="1"/>
  <c r="AG183" i="1" s="1"/>
  <c r="AC183" i="1"/>
  <c r="AL183" i="1" s="1"/>
  <c r="W495" i="1"/>
  <c r="AF495" i="1" s="1"/>
  <c r="AC495" i="1"/>
  <c r="AL495" i="1" s="1"/>
  <c r="W595" i="1"/>
  <c r="AF595" i="1" s="1"/>
  <c r="AA595" i="1"/>
  <c r="AJ595" i="1" s="1"/>
  <c r="W581" i="1"/>
  <c r="AF581" i="1" s="1"/>
  <c r="AA581" i="1"/>
  <c r="AJ581" i="1" s="1"/>
  <c r="W193" i="1"/>
  <c r="AF193" i="1" s="1"/>
  <c r="AI193" i="1"/>
  <c r="AN293" i="1"/>
  <c r="AO293" i="1" s="1"/>
  <c r="AP293" i="1" s="1"/>
  <c r="AQ293" i="1" s="1"/>
  <c r="AR293" i="1" s="1"/>
  <c r="AC322" i="1"/>
  <c r="AL322" i="1" s="1"/>
  <c r="AI322" i="1"/>
  <c r="AA322" i="1"/>
  <c r="AJ322" i="1" s="1"/>
  <c r="W262" i="1"/>
  <c r="AF262" i="1" s="1"/>
  <c r="X262" i="1"/>
  <c r="AG262" i="1" s="1"/>
  <c r="W585" i="1"/>
  <c r="AF585" i="1" s="1"/>
  <c r="X585" i="1"/>
  <c r="AG585" i="1" s="1"/>
  <c r="X503" i="1"/>
  <c r="AG503" i="1" s="1"/>
  <c r="Y461" i="1"/>
  <c r="AH461" i="1" s="1"/>
  <c r="X461" i="1"/>
  <c r="AG461" i="1" s="1"/>
  <c r="W312" i="1"/>
  <c r="AF312" i="1" s="1"/>
  <c r="AC312" i="1"/>
  <c r="AL312" i="1" s="1"/>
  <c r="Y483" i="1"/>
  <c r="AH483" i="1" s="1"/>
  <c r="Y275" i="1"/>
  <c r="AH275" i="1" s="1"/>
  <c r="W275" i="1"/>
  <c r="AF275" i="1" s="1"/>
  <c r="X275" i="1"/>
  <c r="AG275" i="1" s="1"/>
  <c r="Y652" i="1"/>
  <c r="AH652" i="1" s="1"/>
  <c r="AI652" i="1"/>
  <c r="X378" i="1"/>
  <c r="AG378" i="1" s="1"/>
  <c r="AK378" i="1"/>
  <c r="AC464" i="1"/>
  <c r="AL464" i="1" s="1"/>
  <c r="X464" i="1"/>
  <c r="AG464" i="1" s="1"/>
  <c r="W226" i="1"/>
  <c r="AF226" i="1" s="1"/>
  <c r="AC226" i="1"/>
  <c r="AL226" i="1" s="1"/>
  <c r="AA226" i="1"/>
  <c r="AJ226" i="1" s="1"/>
  <c r="W445" i="1"/>
  <c r="AF445" i="1" s="1"/>
  <c r="Y445" i="1"/>
  <c r="AH445" i="1" s="1"/>
  <c r="AA142" i="1"/>
  <c r="AJ142" i="1" s="1"/>
  <c r="X644" i="1"/>
  <c r="AG644" i="1" s="1"/>
  <c r="AK644" i="1"/>
  <c r="AI417" i="1"/>
  <c r="W417" i="1"/>
  <c r="AF417" i="1" s="1"/>
  <c r="AA417" i="1"/>
  <c r="AJ417" i="1" s="1"/>
  <c r="AC335" i="1"/>
  <c r="AL335" i="1" s="1"/>
  <c r="AC278" i="1"/>
  <c r="AL278" i="1" s="1"/>
  <c r="Y581" i="1"/>
  <c r="AH581" i="1" s="1"/>
  <c r="AN250" i="1"/>
  <c r="W259" i="1"/>
  <c r="AF259" i="1" s="1"/>
  <c r="W658" i="1"/>
  <c r="AF658" i="1" s="1"/>
  <c r="W467" i="1"/>
  <c r="AF467" i="1" s="1"/>
  <c r="AA604" i="1"/>
  <c r="AJ604" i="1" s="1"/>
  <c r="AC349" i="1"/>
  <c r="AL349" i="1" s="1"/>
  <c r="AI349" i="1"/>
  <c r="AA439" i="1"/>
  <c r="AJ439" i="1" s="1"/>
  <c r="Y150" i="1"/>
  <c r="AH150" i="1" s="1"/>
  <c r="Y289" i="1"/>
  <c r="AH289" i="1" s="1"/>
  <c r="AI174" i="1"/>
  <c r="X646" i="1"/>
  <c r="AG646" i="1" s="1"/>
  <c r="AC188" i="1"/>
  <c r="AL188" i="1" s="1"/>
  <c r="W478" i="1"/>
  <c r="AF478" i="1" s="1"/>
  <c r="AN496" i="1"/>
  <c r="AO496" i="1" s="1"/>
  <c r="AP496" i="1" s="1"/>
  <c r="Y365" i="1"/>
  <c r="AH365" i="1" s="1"/>
  <c r="AA277" i="1"/>
  <c r="AJ277" i="1" s="1"/>
  <c r="AA334" i="1"/>
  <c r="AJ334" i="1" s="1"/>
  <c r="X562" i="1"/>
  <c r="AG562" i="1" s="1"/>
  <c r="X492" i="1"/>
  <c r="AG492" i="1" s="1"/>
  <c r="X456" i="1"/>
  <c r="AG456" i="1" s="1"/>
  <c r="AA447" i="1"/>
  <c r="AJ447" i="1" s="1"/>
  <c r="AA404" i="1"/>
  <c r="AJ404" i="1" s="1"/>
  <c r="Y507" i="1"/>
  <c r="AH507" i="1" s="1"/>
  <c r="AA629" i="1"/>
  <c r="AJ629" i="1" s="1"/>
  <c r="AI197" i="1"/>
  <c r="AC377" i="1"/>
  <c r="AL377" i="1" s="1"/>
  <c r="AA268" i="1"/>
  <c r="AJ268" i="1" s="1"/>
  <c r="AK402" i="1"/>
  <c r="X172" i="1"/>
  <c r="AG172" i="1" s="1"/>
  <c r="AC233" i="1"/>
  <c r="AL233" i="1" s="1"/>
  <c r="AA154" i="1"/>
  <c r="AJ154" i="1" s="1"/>
  <c r="X90" i="1"/>
  <c r="AG90" i="1" s="1"/>
  <c r="AA343" i="1"/>
  <c r="AJ343" i="1" s="1"/>
  <c r="AC604" i="1"/>
  <c r="AL604" i="1" s="1"/>
  <c r="AC197" i="1"/>
  <c r="AL197" i="1" s="1"/>
  <c r="Y169" i="1"/>
  <c r="AH169" i="1" s="1"/>
  <c r="AA113" i="1"/>
  <c r="AJ113" i="1" s="1"/>
  <c r="AA114" i="1"/>
  <c r="AJ114" i="1" s="1"/>
  <c r="AN264" i="1"/>
  <c r="AI262" i="1"/>
  <c r="AA308" i="1"/>
  <c r="AJ308" i="1" s="1"/>
  <c r="AI445" i="1"/>
  <c r="Y526" i="1"/>
  <c r="AH526" i="1" s="1"/>
  <c r="AA652" i="1"/>
  <c r="AJ652" i="1" s="1"/>
  <c r="AN263" i="1"/>
  <c r="AO263" i="1" s="1"/>
  <c r="W461" i="1"/>
  <c r="AF461" i="1" s="1"/>
  <c r="W308" i="1"/>
  <c r="AF308" i="1" s="1"/>
  <c r="AK319" i="1"/>
  <c r="AN236" i="1"/>
  <c r="AO236" i="1" s="1"/>
  <c r="AP236" i="1" s="1"/>
  <c r="AQ236" i="1" s="1"/>
  <c r="AR236" i="1" s="1"/>
  <c r="AC542" i="1"/>
  <c r="AL542" i="1" s="1"/>
  <c r="AN617" i="1"/>
  <c r="X605" i="1"/>
  <c r="AG605" i="1" s="1"/>
  <c r="AI516" i="1"/>
  <c r="W605" i="1"/>
  <c r="AF605" i="1" s="1"/>
  <c r="Y89" i="1"/>
  <c r="AH89" i="1" s="1"/>
  <c r="AA637" i="1"/>
  <c r="AJ637" i="1" s="1"/>
  <c r="W418" i="1"/>
  <c r="AF418" i="1" s="1"/>
  <c r="AA492" i="1"/>
  <c r="AJ492" i="1" s="1"/>
  <c r="AI606" i="1"/>
  <c r="AN385" i="1"/>
  <c r="AO385" i="1" s="1"/>
  <c r="AP385" i="1" s="1"/>
  <c r="AQ385" i="1" s="1"/>
  <c r="AR385" i="1" s="1"/>
  <c r="AN579" i="1"/>
  <c r="AO579" i="1" s="1"/>
  <c r="AP579" i="1" s="1"/>
  <c r="AQ579" i="1" s="1"/>
  <c r="AR579" i="1" s="1"/>
  <c r="AA345" i="1"/>
  <c r="AJ345" i="1" s="1"/>
  <c r="Y315" i="1"/>
  <c r="AH315" i="1" s="1"/>
  <c r="AC559" i="1"/>
  <c r="AL559" i="1" s="1"/>
  <c r="W650" i="1"/>
  <c r="AF650" i="1" s="1"/>
  <c r="Y650" i="1"/>
  <c r="AH650" i="1" s="1"/>
  <c r="AN613" i="1"/>
  <c r="AO613" i="1" s="1"/>
  <c r="AP613" i="1" s="1"/>
  <c r="AQ613" i="1" s="1"/>
  <c r="AR613" i="1" s="1"/>
  <c r="AC342" i="1"/>
  <c r="AL342" i="1" s="1"/>
  <c r="W342" i="1"/>
  <c r="AF342" i="1" s="1"/>
  <c r="W407" i="1"/>
  <c r="AF407" i="1" s="1"/>
  <c r="Y407" i="1"/>
  <c r="AH407" i="1" s="1"/>
  <c r="W370" i="1"/>
  <c r="AF370" i="1" s="1"/>
  <c r="Y370" i="1"/>
  <c r="AH370" i="1" s="1"/>
  <c r="Z137" i="1"/>
  <c r="AI137" i="1" s="1"/>
  <c r="W298" i="1"/>
  <c r="AF298" i="1" s="1"/>
  <c r="AC298" i="1"/>
  <c r="AL298" i="1" s="1"/>
  <c r="W368" i="1"/>
  <c r="AF368" i="1" s="1"/>
  <c r="AA368" i="1"/>
  <c r="AJ368" i="1" s="1"/>
  <c r="AN258" i="1"/>
  <c r="AN400" i="1"/>
  <c r="AO400" i="1" s="1"/>
  <c r="AC400" i="1"/>
  <c r="AL400" i="1" s="1"/>
  <c r="AC566" i="1"/>
  <c r="AL566" i="1" s="1"/>
  <c r="AA487" i="1"/>
  <c r="AJ487" i="1" s="1"/>
  <c r="AK413" i="1"/>
  <c r="AN97" i="1"/>
  <c r="AS602" i="1"/>
  <c r="AA188" i="1"/>
  <c r="AJ188" i="1" s="1"/>
  <c r="AK296" i="1"/>
  <c r="Y604" i="1"/>
  <c r="AH604" i="1" s="1"/>
  <c r="Y349" i="1"/>
  <c r="AH349" i="1" s="1"/>
  <c r="AC481" i="1"/>
  <c r="AL481" i="1" s="1"/>
  <c r="X407" i="1"/>
  <c r="AG407" i="1" s="1"/>
  <c r="Y137" i="1"/>
  <c r="AH137" i="1" s="1"/>
  <c r="W183" i="1"/>
  <c r="AF183" i="1" s="1"/>
  <c r="X400" i="1"/>
  <c r="AG400" i="1" s="1"/>
  <c r="AC478" i="1"/>
  <c r="AL478" i="1" s="1"/>
  <c r="Y193" i="1"/>
  <c r="AH193" i="1" s="1"/>
  <c r="AI297" i="1"/>
  <c r="W365" i="1"/>
  <c r="AF365" i="1" s="1"/>
  <c r="W334" i="1"/>
  <c r="AF334" i="1" s="1"/>
  <c r="AA224" i="1"/>
  <c r="AJ224" i="1" s="1"/>
  <c r="AI635" i="1"/>
  <c r="AI492" i="1"/>
  <c r="Y447" i="1"/>
  <c r="AH447" i="1" s="1"/>
  <c r="AA281" i="1"/>
  <c r="AJ281" i="1" s="1"/>
  <c r="AK152" i="1"/>
  <c r="AI342" i="1"/>
  <c r="AI585" i="1"/>
  <c r="AI172" i="1"/>
  <c r="AA488" i="1"/>
  <c r="AJ488" i="1" s="1"/>
  <c r="AW488" i="1" s="1"/>
  <c r="AX488" i="1" s="1"/>
  <c r="AN287" i="1"/>
  <c r="AO287" i="1" s="1"/>
  <c r="AP287" i="1" s="1"/>
  <c r="AQ287" i="1" s="1"/>
  <c r="AR287" i="1" s="1"/>
  <c r="AI343" i="1"/>
  <c r="AN348" i="1"/>
  <c r="AO348" i="1" s="1"/>
  <c r="W197" i="1"/>
  <c r="AF197" i="1" s="1"/>
  <c r="AA586" i="1"/>
  <c r="AJ586" i="1" s="1"/>
  <c r="AP602" i="1"/>
  <c r="W516" i="1"/>
  <c r="AF516" i="1" s="1"/>
  <c r="AC526" i="1"/>
  <c r="AL526" i="1" s="1"/>
  <c r="AI298" i="1"/>
  <c r="AA371" i="1"/>
  <c r="AJ371" i="1" s="1"/>
  <c r="AA448" i="1"/>
  <c r="AJ448" i="1" s="1"/>
  <c r="AC453" i="1"/>
  <c r="AL453" i="1" s="1"/>
  <c r="AC543" i="1"/>
  <c r="AL543" i="1" s="1"/>
  <c r="Y464" i="1"/>
  <c r="AH464" i="1" s="1"/>
  <c r="AI461" i="1"/>
  <c r="AK424" i="1"/>
  <c r="Y148" i="1"/>
  <c r="AH148" i="1" s="1"/>
  <c r="W652" i="1"/>
  <c r="AF652" i="1" s="1"/>
  <c r="Y312" i="1"/>
  <c r="AH312" i="1" s="1"/>
  <c r="X191" i="1"/>
  <c r="AG191" i="1" s="1"/>
  <c r="W336" i="1"/>
  <c r="AF336" i="1" s="1"/>
  <c r="AA336" i="1"/>
  <c r="AJ336" i="1" s="1"/>
  <c r="AC508" i="1"/>
  <c r="AL508" i="1" s="1"/>
  <c r="Y605" i="1"/>
  <c r="AH605" i="1" s="1"/>
  <c r="AA464" i="1"/>
  <c r="AJ464" i="1" s="1"/>
  <c r="AA312" i="1"/>
  <c r="AJ312" i="1" s="1"/>
  <c r="AN122" i="1"/>
  <c r="AO122" i="1" s="1"/>
  <c r="AP122" i="1" s="1"/>
  <c r="AQ122" i="1" s="1"/>
  <c r="AR122" i="1" s="1"/>
  <c r="AN588" i="1"/>
  <c r="W322" i="1"/>
  <c r="AF322" i="1" s="1"/>
  <c r="AK490" i="1"/>
  <c r="AK626" i="1"/>
  <c r="AC215" i="1"/>
  <c r="AL215" i="1" s="1"/>
  <c r="AI321" i="1"/>
  <c r="X321" i="1"/>
  <c r="AG321" i="1" s="1"/>
  <c r="AK461" i="1"/>
  <c r="AC368" i="1"/>
  <c r="AL368" i="1" s="1"/>
  <c r="AA238" i="1"/>
  <c r="AJ238" i="1" s="1"/>
  <c r="AN238" i="1"/>
  <c r="AO238" i="1" s="1"/>
  <c r="AP238" i="1" s="1"/>
  <c r="AQ238" i="1" s="1"/>
  <c r="AR238" i="1" s="1"/>
  <c r="X645" i="1"/>
  <c r="AG645" i="1" s="1"/>
  <c r="Y645" i="1"/>
  <c r="AH645" i="1" s="1"/>
  <c r="W129" i="1"/>
  <c r="AF129" i="1" s="1"/>
  <c r="AC129" i="1"/>
  <c r="AL129" i="1" s="1"/>
  <c r="X313" i="1"/>
  <c r="AG313" i="1" s="1"/>
  <c r="AK313" i="1"/>
  <c r="X658" i="1"/>
  <c r="AG658" i="1" s="1"/>
  <c r="AC323" i="1"/>
  <c r="AL323" i="1" s="1"/>
  <c r="X409" i="1"/>
  <c r="AG409" i="1" s="1"/>
  <c r="AN141" i="1"/>
  <c r="AN171" i="1"/>
  <c r="AO171" i="1" s="1"/>
  <c r="AC171" i="1"/>
  <c r="AL171" i="1" s="1"/>
  <c r="AA383" i="1"/>
  <c r="AJ383" i="1" s="1"/>
  <c r="AC383" i="1"/>
  <c r="AL383" i="1" s="1"/>
  <c r="W562" i="1"/>
  <c r="AF562" i="1" s="1"/>
  <c r="Y562" i="1"/>
  <c r="AH562" i="1" s="1"/>
  <c r="AC562" i="1"/>
  <c r="AL562" i="1" s="1"/>
  <c r="AI647" i="1"/>
  <c r="W647" i="1"/>
  <c r="AF647" i="1" s="1"/>
  <c r="AC647" i="1"/>
  <c r="AL647" i="1" s="1"/>
  <c r="AN601" i="1"/>
  <c r="AO601" i="1" s="1"/>
  <c r="AA601" i="1"/>
  <c r="AJ601" i="1" s="1"/>
  <c r="AN569" i="1"/>
  <c r="AO569" i="1" s="1"/>
  <c r="AP569" i="1" s="1"/>
  <c r="AQ569" i="1" s="1"/>
  <c r="AR569" i="1" s="1"/>
  <c r="AA569" i="1"/>
  <c r="AJ569" i="1" s="1"/>
  <c r="X277" i="1"/>
  <c r="AG277" i="1" s="1"/>
  <c r="AC277" i="1"/>
  <c r="AL277" i="1" s="1"/>
  <c r="AI469" i="1"/>
  <c r="X469" i="1"/>
  <c r="AG469" i="1" s="1"/>
  <c r="X561" i="1"/>
  <c r="AG561" i="1" s="1"/>
  <c r="AA103" i="1"/>
  <c r="AJ103" i="1" s="1"/>
  <c r="AN103" i="1"/>
  <c r="X235" i="1"/>
  <c r="AG235" i="1" s="1"/>
  <c r="AK235" i="1"/>
  <c r="AI612" i="1"/>
  <c r="W612" i="1"/>
  <c r="AF612" i="1" s="1"/>
  <c r="Y257" i="1"/>
  <c r="AH257" i="1" s="1"/>
  <c r="AK210" i="1"/>
  <c r="X210" i="1"/>
  <c r="AG210" i="1" s="1"/>
  <c r="W641" i="1"/>
  <c r="AF641" i="1" s="1"/>
  <c r="AC498" i="1"/>
  <c r="AL498" i="1" s="1"/>
  <c r="AC375" i="1"/>
  <c r="AL375" i="1" s="1"/>
  <c r="AN375" i="1"/>
  <c r="X512" i="1"/>
  <c r="AG512" i="1" s="1"/>
  <c r="AA512" i="1"/>
  <c r="AJ512" i="1" s="1"/>
  <c r="AK258" i="1"/>
  <c r="W325" i="1"/>
  <c r="AF325" i="1" s="1"/>
  <c r="AA325" i="1"/>
  <c r="AJ325" i="1" s="1"/>
  <c r="AC398" i="1"/>
  <c r="AL398" i="1" s="1"/>
  <c r="W398" i="1"/>
  <c r="AF398" i="1" s="1"/>
  <c r="X135" i="1"/>
  <c r="AG135" i="1" s="1"/>
  <c r="W656" i="1"/>
  <c r="AF656" i="1" s="1"/>
  <c r="AA656" i="1"/>
  <c r="AJ656" i="1" s="1"/>
  <c r="X432" i="1"/>
  <c r="AG432" i="1" s="1"/>
  <c r="AK432" i="1"/>
  <c r="AC321" i="1"/>
  <c r="AL321" i="1" s="1"/>
  <c r="W321" i="1"/>
  <c r="AF321" i="1" s="1"/>
  <c r="Y649" i="1"/>
  <c r="AH649" i="1" s="1"/>
  <c r="W649" i="1"/>
  <c r="AF649" i="1" s="1"/>
  <c r="W619" i="1"/>
  <c r="AF619" i="1" s="1"/>
  <c r="Y619" i="1"/>
  <c r="AH619" i="1" s="1"/>
  <c r="AA484" i="1"/>
  <c r="AJ484" i="1" s="1"/>
  <c r="W484" i="1"/>
  <c r="AF484" i="1" s="1"/>
  <c r="Y423" i="1"/>
  <c r="AH423" i="1" s="1"/>
  <c r="W423" i="1"/>
  <c r="AF423" i="1" s="1"/>
  <c r="AI565" i="1"/>
  <c r="AC350" i="1"/>
  <c r="AL350" i="1" s="1"/>
  <c r="AW350" i="1" s="1"/>
  <c r="AX350" i="1" s="1"/>
  <c r="AN350" i="1"/>
  <c r="AS350" i="1" s="1"/>
  <c r="W140" i="1"/>
  <c r="AF140" i="1" s="1"/>
  <c r="AA91" i="1"/>
  <c r="AJ91" i="1" s="1"/>
  <c r="W91" i="1"/>
  <c r="AF91" i="1" s="1"/>
  <c r="W556" i="1"/>
  <c r="AF556" i="1" s="1"/>
  <c r="Y487" i="1"/>
  <c r="AH487" i="1" s="1"/>
  <c r="X334" i="1"/>
  <c r="AG334" i="1" s="1"/>
  <c r="AK209" i="1"/>
  <c r="AC503" i="1"/>
  <c r="AL503" i="1" s="1"/>
  <c r="AC560" i="1"/>
  <c r="AL560" i="1" s="1"/>
  <c r="AN596" i="1"/>
  <c r="AO596" i="1" s="1"/>
  <c r="AP596" i="1" s="1"/>
  <c r="AQ596" i="1" s="1"/>
  <c r="AR596" i="1" s="1"/>
  <c r="W526" i="1"/>
  <c r="AF526" i="1" s="1"/>
  <c r="AC492" i="1"/>
  <c r="AL492" i="1" s="1"/>
  <c r="AC447" i="1"/>
  <c r="AL447" i="1" s="1"/>
  <c r="AC547" i="1"/>
  <c r="AL547" i="1" s="1"/>
  <c r="X386" i="1"/>
  <c r="AG386" i="1" s="1"/>
  <c r="AN239" i="1"/>
  <c r="AS239" i="1" s="1"/>
  <c r="W172" i="1"/>
  <c r="AF172" i="1" s="1"/>
  <c r="AC632" i="1"/>
  <c r="AL632" i="1" s="1"/>
  <c r="AA645" i="1"/>
  <c r="AJ645" i="1" s="1"/>
  <c r="AA594" i="1"/>
  <c r="AJ594" i="1" s="1"/>
  <c r="Y453" i="1"/>
  <c r="AH453" i="1" s="1"/>
  <c r="W464" i="1"/>
  <c r="AF464" i="1" s="1"/>
  <c r="AC193" i="1"/>
  <c r="AL193" i="1" s="1"/>
  <c r="AI632" i="1"/>
  <c r="AC461" i="1"/>
  <c r="AL461" i="1" s="1"/>
  <c r="AA445" i="1"/>
  <c r="AJ445" i="1" s="1"/>
  <c r="AC570" i="1"/>
  <c r="AL570" i="1" s="1"/>
  <c r="AC652" i="1"/>
  <c r="AL652" i="1" s="1"/>
  <c r="Y543" i="1"/>
  <c r="AH543" i="1" s="1"/>
  <c r="AA495" i="1"/>
  <c r="AJ495" i="1" s="1"/>
  <c r="AC213" i="1"/>
  <c r="AL213" i="1" s="1"/>
  <c r="AI605" i="1"/>
  <c r="Y368" i="1"/>
  <c r="AH368" i="1" s="1"/>
  <c r="X622" i="1"/>
  <c r="AG622" i="1" s="1"/>
  <c r="AI371" i="1"/>
  <c r="X379" i="1"/>
  <c r="AG379" i="1" s="1"/>
  <c r="AN530" i="1"/>
  <c r="AO530" i="1" s="1"/>
  <c r="AP530" i="1" s="1"/>
  <c r="AN290" i="1"/>
  <c r="AK266" i="1"/>
  <c r="Y488" i="1"/>
  <c r="AH488" i="1" s="1"/>
  <c r="AK654" i="1"/>
  <c r="AK289" i="1"/>
  <c r="AC581" i="1"/>
  <c r="AL581" i="1" s="1"/>
  <c r="Y142" i="1"/>
  <c r="AH142" i="1" s="1"/>
  <c r="AN325" i="1"/>
  <c r="AA453" i="1"/>
  <c r="AJ453" i="1" s="1"/>
  <c r="X391" i="1"/>
  <c r="AG391" i="1" s="1"/>
  <c r="AN662" i="1"/>
  <c r="AO662" i="1" s="1"/>
  <c r="AP662" i="1" s="1"/>
  <c r="AQ662" i="1" s="1"/>
  <c r="AR662" i="1" s="1"/>
  <c r="X351" i="1"/>
  <c r="AG351" i="1" s="1"/>
  <c r="AK502" i="1"/>
  <c r="X487" i="1"/>
  <c r="AG487" i="1" s="1"/>
  <c r="AA543" i="1"/>
  <c r="AJ543" i="1" s="1"/>
  <c r="AI453" i="1"/>
  <c r="AC345" i="1"/>
  <c r="AL345" i="1" s="1"/>
  <c r="AN607" i="1"/>
  <c r="Y102" i="1"/>
  <c r="AH102" i="1" s="1"/>
  <c r="AI145" i="1"/>
  <c r="X337" i="1"/>
  <c r="AG337" i="1" s="1"/>
  <c r="AN649" i="1"/>
  <c r="AS649" i="1" s="1"/>
  <c r="AN618" i="1"/>
  <c r="AO618" i="1" s="1"/>
  <c r="AP618" i="1" s="1"/>
  <c r="Y404" i="1"/>
  <c r="AH404" i="1" s="1"/>
  <c r="AK122" i="1"/>
  <c r="AS301" i="1"/>
  <c r="AC544" i="1"/>
  <c r="AL544" i="1" s="1"/>
  <c r="AN216" i="1"/>
  <c r="AO216" i="1" s="1"/>
  <c r="AC130" i="1"/>
  <c r="AL130" i="1" s="1"/>
  <c r="AK653" i="1"/>
  <c r="AK641" i="1"/>
  <c r="AC427" i="1"/>
  <c r="AL427" i="1" s="1"/>
  <c r="AK184" i="1"/>
  <c r="AN374" i="1"/>
  <c r="AO374" i="1" s="1"/>
  <c r="AP374" i="1" s="1"/>
  <c r="AQ374" i="1" s="1"/>
  <c r="AR374" i="1" s="1"/>
  <c r="AI658" i="1"/>
  <c r="Y666" i="1"/>
  <c r="AH666" i="1" s="1"/>
  <c r="AN189" i="1"/>
  <c r="AO189" i="1" s="1"/>
  <c r="AP189" i="1" s="1"/>
  <c r="AQ189" i="1" s="1"/>
  <c r="AR189" i="1" s="1"/>
  <c r="Y395" i="1"/>
  <c r="AH395" i="1" s="1"/>
  <c r="X661" i="1"/>
  <c r="AG661" i="1" s="1"/>
  <c r="AN533" i="1"/>
  <c r="AK617" i="1"/>
  <c r="X462" i="1"/>
  <c r="AG462" i="1" s="1"/>
  <c r="Y129" i="1"/>
  <c r="AH129" i="1" s="1"/>
  <c r="AI411" i="1"/>
  <c r="AN652" i="1"/>
  <c r="AO652" i="1" s="1"/>
  <c r="AP652" i="1" s="1"/>
  <c r="AQ652" i="1" s="1"/>
  <c r="AR652" i="1" s="1"/>
  <c r="AK426" i="1"/>
  <c r="AK629" i="1"/>
  <c r="AN118" i="1"/>
  <c r="AO118" i="1" s="1"/>
  <c r="AP118" i="1" s="1"/>
  <c r="AQ118" i="1" s="1"/>
  <c r="AR118" i="1" s="1"/>
  <c r="Y323" i="1"/>
  <c r="AH323" i="1" s="1"/>
  <c r="Y481" i="1"/>
  <c r="AH481" i="1" s="1"/>
  <c r="Y291" i="1"/>
  <c r="AH291" i="1" s="1"/>
  <c r="Y489" i="1"/>
  <c r="AH489" i="1" s="1"/>
  <c r="Y224" i="1"/>
  <c r="AH224" i="1" s="1"/>
  <c r="AC440" i="1"/>
  <c r="AL440" i="1" s="1"/>
  <c r="X222" i="1"/>
  <c r="AG222" i="1" s="1"/>
  <c r="AC474" i="1"/>
  <c r="AL474" i="1" s="1"/>
  <c r="AC525" i="1"/>
  <c r="AL525" i="1" s="1"/>
  <c r="AK355" i="1"/>
  <c r="AN257" i="1"/>
  <c r="AO257" i="1" s="1"/>
  <c r="AP257" i="1" s="1"/>
  <c r="AQ257" i="1" s="1"/>
  <c r="AR257" i="1" s="1"/>
  <c r="AC179" i="1"/>
  <c r="AL179" i="1" s="1"/>
  <c r="Y155" i="1"/>
  <c r="AH155" i="1" s="1"/>
  <c r="X569" i="1"/>
  <c r="AG569" i="1" s="1"/>
  <c r="AK613" i="1"/>
  <c r="AC556" i="1"/>
  <c r="AL556" i="1" s="1"/>
  <c r="AI578" i="1"/>
  <c r="AC491" i="1"/>
  <c r="AL491" i="1" s="1"/>
  <c r="AA573" i="1"/>
  <c r="AJ573" i="1" s="1"/>
  <c r="AS276" i="1"/>
  <c r="AK309" i="1"/>
  <c r="AK148" i="1"/>
  <c r="AC493" i="1"/>
  <c r="AL493" i="1" s="1"/>
  <c r="AK656" i="1"/>
  <c r="AK423" i="1"/>
  <c r="AI525" i="1"/>
  <c r="AN355" i="1"/>
  <c r="AO355" i="1" s="1"/>
  <c r="AK579" i="1"/>
  <c r="AK503" i="1"/>
  <c r="AA467" i="1"/>
  <c r="AJ467" i="1" s="1"/>
  <c r="AA408" i="1"/>
  <c r="AJ408" i="1" s="1"/>
  <c r="AK542" i="1"/>
  <c r="Y516" i="1"/>
  <c r="AH516" i="1" s="1"/>
  <c r="AN526" i="1"/>
  <c r="AO526" i="1" s="1"/>
  <c r="AP526" i="1" s="1"/>
  <c r="AQ526" i="1" s="1"/>
  <c r="AR526" i="1" s="1"/>
  <c r="AC93" i="1"/>
  <c r="AL93" i="1" s="1"/>
  <c r="AW93" i="1" s="1"/>
  <c r="AX93" i="1" s="1"/>
  <c r="AK230" i="1"/>
  <c r="Y514" i="1"/>
  <c r="AH514" i="1" s="1"/>
  <c r="Y108" i="1"/>
  <c r="AH108" i="1" s="1"/>
  <c r="X242" i="1"/>
  <c r="AG242" i="1" s="1"/>
  <c r="AK134" i="1"/>
  <c r="AK436" i="1"/>
  <c r="AN142" i="1"/>
  <c r="AO142" i="1" s="1"/>
  <c r="AP142" i="1" s="1"/>
  <c r="AA407" i="1"/>
  <c r="AJ407" i="1" s="1"/>
  <c r="AI404" i="1"/>
  <c r="AI142" i="1"/>
  <c r="Y544" i="1"/>
  <c r="AH544" i="1" s="1"/>
  <c r="Y512" i="1"/>
  <c r="AH512" i="1" s="1"/>
  <c r="AK582" i="1"/>
  <c r="AI566" i="1"/>
  <c r="AI226" i="1"/>
  <c r="AN510" i="1"/>
  <c r="AO510" i="1" s="1"/>
  <c r="AK598" i="1"/>
  <c r="AI243" i="1"/>
  <c r="AI407" i="1"/>
  <c r="AI476" i="1"/>
  <c r="AA648" i="1"/>
  <c r="AJ648" i="1" s="1"/>
  <c r="AN248" i="1"/>
  <c r="AO248" i="1" s="1"/>
  <c r="AP248" i="1" s="1"/>
  <c r="X649" i="1"/>
  <c r="AG649" i="1" s="1"/>
  <c r="AK553" i="1"/>
  <c r="AI512" i="1"/>
  <c r="Y496" i="1"/>
  <c r="AH496" i="1" s="1"/>
  <c r="X398" i="1"/>
  <c r="AG398" i="1" s="1"/>
  <c r="AA298" i="1"/>
  <c r="AJ298" i="1" s="1"/>
  <c r="AA215" i="1"/>
  <c r="AJ215" i="1" s="1"/>
  <c r="AC142" i="1"/>
  <c r="AL142" i="1" s="1"/>
  <c r="AP313" i="1"/>
  <c r="AQ313" i="1" s="1"/>
  <c r="AR313" i="1" s="1"/>
  <c r="AA661" i="1"/>
  <c r="AJ661" i="1" s="1"/>
  <c r="AK358" i="1"/>
  <c r="X345" i="1"/>
  <c r="AG345" i="1" s="1"/>
  <c r="AK666" i="1"/>
  <c r="AC196" i="1"/>
  <c r="AL196" i="1" s="1"/>
  <c r="AC104" i="1"/>
  <c r="AL104" i="1" s="1"/>
  <c r="AA213" i="1"/>
  <c r="AJ213" i="1" s="1"/>
  <c r="X196" i="1"/>
  <c r="AG196" i="1" s="1"/>
  <c r="AK507" i="1"/>
  <c r="AN585" i="1"/>
  <c r="AN516" i="1"/>
  <c r="AA499" i="1"/>
  <c r="AJ499" i="1" s="1"/>
  <c r="AK335" i="1"/>
  <c r="AK153" i="1"/>
  <c r="AK408" i="1"/>
  <c r="AC479" i="1"/>
  <c r="AL479" i="1" s="1"/>
  <c r="AI373" i="1"/>
  <c r="AK466" i="1"/>
  <c r="AI474" i="1"/>
  <c r="Y278" i="1"/>
  <c r="AH278" i="1" s="1"/>
  <c r="AN606" i="1"/>
  <c r="AO606" i="1" s="1"/>
  <c r="AP606" i="1" s="1"/>
  <c r="AQ606" i="1" s="1"/>
  <c r="AR606" i="1" s="1"/>
  <c r="AK284" i="1"/>
  <c r="X171" i="1"/>
  <c r="AG171" i="1" s="1"/>
  <c r="X655" i="1"/>
  <c r="AG655" i="1" s="1"/>
  <c r="AK186" i="1"/>
  <c r="AK214" i="1"/>
  <c r="AA319" i="1"/>
  <c r="AJ319" i="1" s="1"/>
  <c r="AI334" i="1"/>
  <c r="Y396" i="1"/>
  <c r="AH396" i="1" s="1"/>
  <c r="AK151" i="1"/>
  <c r="AN630" i="1"/>
  <c r="AO630" i="1" s="1"/>
  <c r="AP630" i="1" s="1"/>
  <c r="AQ630" i="1" s="1"/>
  <c r="AR630" i="1" s="1"/>
  <c r="AA449" i="1"/>
  <c r="AJ449" i="1" s="1"/>
  <c r="AK584" i="1"/>
  <c r="AA194" i="1"/>
  <c r="AJ194" i="1" s="1"/>
  <c r="AN194" i="1"/>
  <c r="AO194" i="1" s="1"/>
  <c r="AP194" i="1" s="1"/>
  <c r="AQ194" i="1" s="1"/>
  <c r="AR194" i="1" s="1"/>
  <c r="W361" i="1"/>
  <c r="AF361" i="1" s="1"/>
  <c r="AC361" i="1"/>
  <c r="AL361" i="1" s="1"/>
  <c r="X361" i="1"/>
  <c r="AG361" i="1" s="1"/>
  <c r="Y361" i="1"/>
  <c r="AH361" i="1" s="1"/>
  <c r="AN524" i="1"/>
  <c r="AO524" i="1" s="1"/>
  <c r="AP524" i="1" s="1"/>
  <c r="AQ524" i="1" s="1"/>
  <c r="AR524" i="1" s="1"/>
  <c r="AA524" i="1"/>
  <c r="AJ524" i="1" s="1"/>
  <c r="AC564" i="1"/>
  <c r="AL564" i="1" s="1"/>
  <c r="W564" i="1"/>
  <c r="AF564" i="1" s="1"/>
  <c r="AC624" i="1"/>
  <c r="AL624" i="1" s="1"/>
  <c r="AN624" i="1"/>
  <c r="AO624" i="1" s="1"/>
  <c r="AP624" i="1" s="1"/>
  <c r="AQ624" i="1" s="1"/>
  <c r="AR624" i="1" s="1"/>
  <c r="AN640" i="1"/>
  <c r="AO640" i="1" s="1"/>
  <c r="Y538" i="1"/>
  <c r="AH538" i="1" s="1"/>
  <c r="AO460" i="1"/>
  <c r="AS460" i="1"/>
  <c r="AN242" i="1"/>
  <c r="AO242" i="1" s="1"/>
  <c r="AP242" i="1" s="1"/>
  <c r="AQ242" i="1" s="1"/>
  <c r="AR242" i="1" s="1"/>
  <c r="AA123" i="1"/>
  <c r="AJ123" i="1" s="1"/>
  <c r="X572" i="1"/>
  <c r="AG572" i="1" s="1"/>
  <c r="AA572" i="1"/>
  <c r="AJ572" i="1" s="1"/>
  <c r="Y173" i="1"/>
  <c r="AH173" i="1" s="1"/>
  <c r="W180" i="1"/>
  <c r="AF180" i="1" s="1"/>
  <c r="X444" i="1"/>
  <c r="AG444" i="1" s="1"/>
  <c r="Y444" i="1"/>
  <c r="AH444" i="1" s="1"/>
  <c r="AA444" i="1"/>
  <c r="AJ444" i="1" s="1"/>
  <c r="AK147" i="1"/>
  <c r="X147" i="1"/>
  <c r="AG147" i="1" s="1"/>
  <c r="AK404" i="1"/>
  <c r="X404" i="1"/>
  <c r="AG404" i="1" s="1"/>
  <c r="AO143" i="1"/>
  <c r="AP143" i="1" s="1"/>
  <c r="AQ143" i="1" s="1"/>
  <c r="AR143" i="1" s="1"/>
  <c r="AS143" i="1"/>
  <c r="AI581" i="1"/>
  <c r="AA169" i="1"/>
  <c r="AJ169" i="1" s="1"/>
  <c r="AN566" i="1"/>
  <c r="Y564" i="1"/>
  <c r="AH564" i="1" s="1"/>
  <c r="AN605" i="1"/>
  <c r="AC460" i="1"/>
  <c r="AL460" i="1" s="1"/>
  <c r="W572" i="1"/>
  <c r="AF572" i="1" s="1"/>
  <c r="AK93" i="1"/>
  <c r="Y422" i="1"/>
  <c r="AH422" i="1" s="1"/>
  <c r="AN228" i="1"/>
  <c r="AO228" i="1" s="1"/>
  <c r="AP228" i="1" s="1"/>
  <c r="AQ228" i="1" s="1"/>
  <c r="AR228" i="1" s="1"/>
  <c r="AA544" i="1"/>
  <c r="AJ544" i="1" s="1"/>
  <c r="AN544" i="1"/>
  <c r="AO544" i="1" s="1"/>
  <c r="AP544" i="1" s="1"/>
  <c r="X359" i="1"/>
  <c r="AG359" i="1" s="1"/>
  <c r="AK359" i="1"/>
  <c r="AI320" i="1"/>
  <c r="X320" i="1"/>
  <c r="AG320" i="1" s="1"/>
  <c r="AA320" i="1"/>
  <c r="AJ320" i="1" s="1"/>
  <c r="AC320" i="1"/>
  <c r="AL320" i="1" s="1"/>
  <c r="Y320" i="1"/>
  <c r="AH320" i="1" s="1"/>
  <c r="W320" i="1"/>
  <c r="AF320" i="1" s="1"/>
  <c r="X347" i="1"/>
  <c r="AG347" i="1" s="1"/>
  <c r="Y597" i="1"/>
  <c r="AH597" i="1" s="1"/>
  <c r="X597" i="1"/>
  <c r="AG597" i="1" s="1"/>
  <c r="AI118" i="1"/>
  <c r="AN456" i="1"/>
  <c r="AO456" i="1" s="1"/>
  <c r="AP456" i="1" s="1"/>
  <c r="AQ456" i="1" s="1"/>
  <c r="AR456" i="1" s="1"/>
  <c r="AI309" i="1"/>
  <c r="AA532" i="1"/>
  <c r="AJ532" i="1" s="1"/>
  <c r="W532" i="1"/>
  <c r="AF532" i="1" s="1"/>
  <c r="Y441" i="1"/>
  <c r="AH441" i="1" s="1"/>
  <c r="Y592" i="1"/>
  <c r="AH592" i="1" s="1"/>
  <c r="AA592" i="1"/>
  <c r="AJ592" i="1" s="1"/>
  <c r="W592" i="1"/>
  <c r="AF592" i="1" s="1"/>
  <c r="X592" i="1"/>
  <c r="AG592" i="1" s="1"/>
  <c r="AO174" i="1"/>
  <c r="AP174" i="1" s="1"/>
  <c r="AQ174" i="1" s="1"/>
  <c r="AR174" i="1" s="1"/>
  <c r="AN251" i="1"/>
  <c r="AN636" i="1"/>
  <c r="AK342" i="1"/>
  <c r="X342" i="1"/>
  <c r="AG342" i="1" s="1"/>
  <c r="AN539" i="1"/>
  <c r="AO539" i="1" s="1"/>
  <c r="AP539" i="1" s="1"/>
  <c r="AQ539" i="1" s="1"/>
  <c r="AR539" i="1" s="1"/>
  <c r="AK577" i="1"/>
  <c r="X577" i="1"/>
  <c r="AG577" i="1" s="1"/>
  <c r="AK102" i="1"/>
  <c r="X159" i="1"/>
  <c r="AG159" i="1" s="1"/>
  <c r="W118" i="1"/>
  <c r="AF118" i="1" s="1"/>
  <c r="AN241" i="1"/>
  <c r="AS241" i="1" s="1"/>
  <c r="AO528" i="1"/>
  <c r="AP528" i="1" s="1"/>
  <c r="AQ528" i="1" s="1"/>
  <c r="AR528" i="1" s="1"/>
  <c r="AC289" i="1"/>
  <c r="AL289" i="1" s="1"/>
  <c r="AN581" i="1"/>
  <c r="AO581" i="1" s="1"/>
  <c r="AP581" i="1" s="1"/>
  <c r="AQ581" i="1" s="1"/>
  <c r="AR581" i="1" s="1"/>
  <c r="X309" i="1"/>
  <c r="AG309" i="1" s="1"/>
  <c r="AA118" i="1"/>
  <c r="AJ118" i="1" s="1"/>
  <c r="AI361" i="1"/>
  <c r="AK505" i="1"/>
  <c r="X564" i="1"/>
  <c r="AG564" i="1" s="1"/>
  <c r="X395" i="1"/>
  <c r="AG395" i="1" s="1"/>
  <c r="AC444" i="1"/>
  <c r="AL444" i="1" s="1"/>
  <c r="AA358" i="1"/>
  <c r="AJ358" i="1" s="1"/>
  <c r="W309" i="1"/>
  <c r="AF309" i="1" s="1"/>
  <c r="Y309" i="1"/>
  <c r="AH309" i="1" s="1"/>
  <c r="AC140" i="1"/>
  <c r="AL140" i="1" s="1"/>
  <c r="W597" i="1"/>
  <c r="AF597" i="1" s="1"/>
  <c r="W159" i="1"/>
  <c r="AF159" i="1" s="1"/>
  <c r="AK492" i="1"/>
  <c r="AA513" i="1"/>
  <c r="AJ513" i="1" s="1"/>
  <c r="Z514" i="1"/>
  <c r="AI514" i="1" s="1"/>
  <c r="AP514" i="1"/>
  <c r="W430" i="1"/>
  <c r="AF430" i="1" s="1"/>
  <c r="AA430" i="1"/>
  <c r="AJ430" i="1" s="1"/>
  <c r="X430" i="1"/>
  <c r="AG430" i="1" s="1"/>
  <c r="W289" i="1"/>
  <c r="AF289" i="1" s="1"/>
  <c r="X289" i="1"/>
  <c r="AG289" i="1" s="1"/>
  <c r="AA289" i="1"/>
  <c r="AJ289" i="1" s="1"/>
  <c r="AC174" i="1"/>
  <c r="AL174" i="1" s="1"/>
  <c r="Y174" i="1"/>
  <c r="AH174" i="1" s="1"/>
  <c r="X174" i="1"/>
  <c r="AG174" i="1" s="1"/>
  <c r="X89" i="1"/>
  <c r="AG89" i="1" s="1"/>
  <c r="AK89" i="1"/>
  <c r="AK162" i="1"/>
  <c r="AA469" i="1"/>
  <c r="AJ469" i="1" s="1"/>
  <c r="Y113" i="1"/>
  <c r="AH113" i="1" s="1"/>
  <c r="W113" i="1"/>
  <c r="AF113" i="1" s="1"/>
  <c r="W561" i="1"/>
  <c r="AF561" i="1" s="1"/>
  <c r="AI561" i="1"/>
  <c r="AN88" i="1"/>
  <c r="AO88" i="1" s="1"/>
  <c r="AP88" i="1" s="1"/>
  <c r="AQ88" i="1" s="1"/>
  <c r="AR88" i="1" s="1"/>
  <c r="AA88" i="1"/>
  <c r="AJ88" i="1" s="1"/>
  <c r="AW88" i="1" s="1"/>
  <c r="AX88" i="1" s="1"/>
  <c r="W218" i="1"/>
  <c r="AF218" i="1" s="1"/>
  <c r="AA227" i="1"/>
  <c r="AJ227" i="1" s="1"/>
  <c r="W227" i="1"/>
  <c r="AF227" i="1" s="1"/>
  <c r="AK374" i="1"/>
  <c r="Z662" i="1"/>
  <c r="AI662" i="1" s="1"/>
  <c r="AC109" i="1"/>
  <c r="AL109" i="1" s="1"/>
  <c r="AA583" i="1"/>
  <c r="AJ583" i="1" s="1"/>
  <c r="Y460" i="1"/>
  <c r="AH460" i="1" s="1"/>
  <c r="W460" i="1"/>
  <c r="AF460" i="1" s="1"/>
  <c r="W169" i="1"/>
  <c r="AF169" i="1" s="1"/>
  <c r="AC169" i="1"/>
  <c r="AL169" i="1" s="1"/>
  <c r="AK287" i="1"/>
  <c r="AN390" i="1"/>
  <c r="AO390" i="1" s="1"/>
  <c r="AP390" i="1" s="1"/>
  <c r="AQ390" i="1" s="1"/>
  <c r="AR390" i="1" s="1"/>
  <c r="AC390" i="1"/>
  <c r="AL390" i="1" s="1"/>
  <c r="W212" i="1"/>
  <c r="AF212" i="1" s="1"/>
  <c r="AI212" i="1"/>
  <c r="Y212" i="1"/>
  <c r="AH212" i="1" s="1"/>
  <c r="X212" i="1"/>
  <c r="AG212" i="1" s="1"/>
  <c r="AN115" i="1"/>
  <c r="AO115" i="1" s="1"/>
  <c r="AA115" i="1"/>
  <c r="AJ115" i="1" s="1"/>
  <c r="AA360" i="1"/>
  <c r="AJ360" i="1" s="1"/>
  <c r="W360" i="1"/>
  <c r="AF360" i="1" s="1"/>
  <c r="X360" i="1"/>
  <c r="AG360" i="1" s="1"/>
  <c r="AK519" i="1"/>
  <c r="X519" i="1"/>
  <c r="AG519" i="1" s="1"/>
  <c r="AI132" i="1"/>
  <c r="X132" i="1"/>
  <c r="AG132" i="1" s="1"/>
  <c r="Y91" i="1"/>
  <c r="AH91" i="1" s="1"/>
  <c r="Y557" i="1"/>
  <c r="AH557" i="1" s="1"/>
  <c r="AI557" i="1"/>
  <c r="X557" i="1"/>
  <c r="AG557" i="1" s="1"/>
  <c r="AA611" i="1"/>
  <c r="AJ611" i="1" s="1"/>
  <c r="W611" i="1"/>
  <c r="AF611" i="1" s="1"/>
  <c r="AI611" i="1"/>
  <c r="AC611" i="1"/>
  <c r="AL611" i="1" s="1"/>
  <c r="X611" i="1"/>
  <c r="AG611" i="1" s="1"/>
  <c r="W560" i="1"/>
  <c r="AF560" i="1" s="1"/>
  <c r="AI560" i="1"/>
  <c r="AC471" i="1"/>
  <c r="AL471" i="1" s="1"/>
  <c r="W534" i="1"/>
  <c r="AF534" i="1" s="1"/>
  <c r="AA534" i="1"/>
  <c r="AJ534" i="1" s="1"/>
  <c r="Y534" i="1"/>
  <c r="AH534" i="1" s="1"/>
  <c r="X534" i="1"/>
  <c r="AG534" i="1" s="1"/>
  <c r="AI621" i="1"/>
  <c r="AC621" i="1"/>
  <c r="AL621" i="1" s="1"/>
  <c r="Y419" i="1"/>
  <c r="AH419" i="1" s="1"/>
  <c r="W419" i="1"/>
  <c r="AF419" i="1" s="1"/>
  <c r="W608" i="1"/>
  <c r="AF608" i="1" s="1"/>
  <c r="AI608" i="1"/>
  <c r="X608" i="1"/>
  <c r="AG608" i="1" s="1"/>
  <c r="AC510" i="1"/>
  <c r="AL510" i="1" s="1"/>
  <c r="AA510" i="1"/>
  <c r="AJ510" i="1" s="1"/>
  <c r="Y510" i="1"/>
  <c r="AH510" i="1" s="1"/>
  <c r="X92" i="1"/>
  <c r="AG92" i="1" s="1"/>
  <c r="W92" i="1"/>
  <c r="AF92" i="1" s="1"/>
  <c r="AI257" i="1"/>
  <c r="X257" i="1"/>
  <c r="AG257" i="1" s="1"/>
  <c r="AC572" i="1"/>
  <c r="AL572" i="1" s="1"/>
  <c r="AK434" i="1"/>
  <c r="AA456" i="1"/>
  <c r="AJ456" i="1" s="1"/>
  <c r="AA309" i="1"/>
  <c r="AJ309" i="1" s="1"/>
  <c r="AA242" i="1"/>
  <c r="AJ242" i="1" s="1"/>
  <c r="AK543" i="1"/>
  <c r="AN443" i="1"/>
  <c r="AC443" i="1"/>
  <c r="AL443" i="1" s="1"/>
  <c r="AA365" i="1"/>
  <c r="AJ365" i="1" s="1"/>
  <c r="AC365" i="1"/>
  <c r="AL365" i="1" s="1"/>
  <c r="AA244" i="1"/>
  <c r="AJ244" i="1" s="1"/>
  <c r="AW244" i="1" s="1"/>
  <c r="AN244" i="1"/>
  <c r="W351" i="1"/>
  <c r="AF351" i="1" s="1"/>
  <c r="AA351" i="1"/>
  <c r="AJ351" i="1" s="1"/>
  <c r="AC351" i="1"/>
  <c r="AL351" i="1" s="1"/>
  <c r="W648" i="1"/>
  <c r="AF648" i="1" s="1"/>
  <c r="AC648" i="1"/>
  <c r="AL648" i="1" s="1"/>
  <c r="Y648" i="1"/>
  <c r="AH648" i="1" s="1"/>
  <c r="AI249" i="1"/>
  <c r="W249" i="1"/>
  <c r="AF249" i="1" s="1"/>
  <c r="Y249" i="1"/>
  <c r="AH249" i="1" s="1"/>
  <c r="AC249" i="1"/>
  <c r="AL249" i="1" s="1"/>
  <c r="W184" i="1"/>
  <c r="AF184" i="1" s="1"/>
  <c r="X184" i="1"/>
  <c r="AG184" i="1" s="1"/>
  <c r="W248" i="1"/>
  <c r="AF248" i="1" s="1"/>
  <c r="AC248" i="1"/>
  <c r="AL248" i="1" s="1"/>
  <c r="AC181" i="1"/>
  <c r="AL181" i="1" s="1"/>
  <c r="Y618" i="1"/>
  <c r="AH618" i="1" s="1"/>
  <c r="W618" i="1"/>
  <c r="AF618" i="1" s="1"/>
  <c r="AC618" i="1"/>
  <c r="AL618" i="1" s="1"/>
  <c r="W509" i="1"/>
  <c r="AF509" i="1" s="1"/>
  <c r="X509" i="1"/>
  <c r="AG509" i="1" s="1"/>
  <c r="AN314" i="1"/>
  <c r="AO314" i="1" s="1"/>
  <c r="AP314" i="1" s="1"/>
  <c r="W317" i="1"/>
  <c r="AF317" i="1" s="1"/>
  <c r="AA317" i="1"/>
  <c r="AJ317" i="1" s="1"/>
  <c r="AC317" i="1"/>
  <c r="AL317" i="1" s="1"/>
  <c r="AN280" i="1"/>
  <c r="AC595" i="1"/>
  <c r="AL595" i="1" s="1"/>
  <c r="AI412" i="1"/>
  <c r="W224" i="1"/>
  <c r="AF224" i="1" s="1"/>
  <c r="AC224" i="1"/>
  <c r="AL224" i="1" s="1"/>
  <c r="X97" i="1"/>
  <c r="AG97" i="1" s="1"/>
  <c r="W97" i="1"/>
  <c r="AF97" i="1" s="1"/>
  <c r="AN252" i="1"/>
  <c r="AC439" i="1"/>
  <c r="AL439" i="1" s="1"/>
  <c r="Y582" i="1"/>
  <c r="AH582" i="1" s="1"/>
  <c r="AK377" i="1"/>
  <c r="X377" i="1"/>
  <c r="AG377" i="1" s="1"/>
  <c r="AK546" i="1"/>
  <c r="X546" i="1"/>
  <c r="AG546" i="1" s="1"/>
  <c r="W606" i="1"/>
  <c r="AF606" i="1" s="1"/>
  <c r="X606" i="1"/>
  <c r="AG606" i="1" s="1"/>
  <c r="AN482" i="1"/>
  <c r="AO482" i="1" s="1"/>
  <c r="AP482" i="1" s="1"/>
  <c r="AA547" i="1"/>
  <c r="AJ547" i="1" s="1"/>
  <c r="W547" i="1"/>
  <c r="AF547" i="1" s="1"/>
  <c r="Y303" i="1"/>
  <c r="AH303" i="1" s="1"/>
  <c r="AC303" i="1"/>
  <c r="AL303" i="1" s="1"/>
  <c r="AA483" i="1"/>
  <c r="AJ483" i="1" s="1"/>
  <c r="W483" i="1"/>
  <c r="AF483" i="1" s="1"/>
  <c r="AC614" i="1"/>
  <c r="AL614" i="1" s="1"/>
  <c r="W614" i="1"/>
  <c r="AF614" i="1" s="1"/>
  <c r="AA279" i="1"/>
  <c r="AJ279" i="1" s="1"/>
  <c r="AC279" i="1"/>
  <c r="AL279" i="1" s="1"/>
  <c r="Y633" i="1"/>
  <c r="AH633" i="1" s="1"/>
  <c r="X442" i="1"/>
  <c r="AG442" i="1" s="1"/>
  <c r="AN82" i="1"/>
  <c r="AO82" i="1" s="1"/>
  <c r="AP82" i="1" s="1"/>
  <c r="AQ82" i="1" s="1"/>
  <c r="AR82" i="1" s="1"/>
  <c r="AK625" i="1"/>
  <c r="Y156" i="1"/>
  <c r="AH156" i="1" s="1"/>
  <c r="AK333" i="1"/>
  <c r="AN491" i="1"/>
  <c r="AC607" i="1"/>
  <c r="AL607" i="1" s="1"/>
  <c r="AC156" i="1"/>
  <c r="AL156" i="1" s="1"/>
  <c r="AK247" i="1"/>
  <c r="AA454" i="1"/>
  <c r="AJ454" i="1" s="1"/>
  <c r="AN406" i="1"/>
  <c r="Y130" i="1"/>
  <c r="AH130" i="1" s="1"/>
  <c r="AC462" i="1"/>
  <c r="AL462" i="1" s="1"/>
  <c r="AI82" i="1"/>
  <c r="AI502" i="1"/>
  <c r="AC502" i="1"/>
  <c r="AL502" i="1" s="1"/>
  <c r="W502" i="1"/>
  <c r="AF502" i="1" s="1"/>
  <c r="W490" i="1"/>
  <c r="AF490" i="1" s="1"/>
  <c r="AC490" i="1"/>
  <c r="AL490" i="1" s="1"/>
  <c r="AC238" i="1"/>
  <c r="AL238" i="1" s="1"/>
  <c r="W238" i="1"/>
  <c r="AF238" i="1" s="1"/>
  <c r="AA161" i="1"/>
  <c r="AJ161" i="1" s="1"/>
  <c r="W161" i="1"/>
  <c r="AF161" i="1" s="1"/>
  <c r="X399" i="1"/>
  <c r="AG399" i="1" s="1"/>
  <c r="W399" i="1"/>
  <c r="AF399" i="1" s="1"/>
  <c r="W422" i="1"/>
  <c r="AF422" i="1" s="1"/>
  <c r="W293" i="1"/>
  <c r="AF293" i="1" s="1"/>
  <c r="AA293" i="1"/>
  <c r="AJ293" i="1" s="1"/>
  <c r="W205" i="1"/>
  <c r="AF205" i="1" s="1"/>
  <c r="Y651" i="1"/>
  <c r="AH651" i="1" s="1"/>
  <c r="AK225" i="1"/>
  <c r="AI163" i="1"/>
  <c r="AN522" i="1"/>
  <c r="AN462" i="1"/>
  <c r="AA406" i="1"/>
  <c r="AJ406" i="1" s="1"/>
  <c r="W424" i="1"/>
  <c r="AF424" i="1" s="1"/>
  <c r="AA424" i="1"/>
  <c r="AJ424" i="1" s="1"/>
  <c r="AA511" i="1"/>
  <c r="AJ511" i="1" s="1"/>
  <c r="W511" i="1"/>
  <c r="AF511" i="1" s="1"/>
  <c r="Y511" i="1"/>
  <c r="AH511" i="1" s="1"/>
  <c r="AC511" i="1"/>
  <c r="AL511" i="1" s="1"/>
  <c r="AK111" i="1"/>
  <c r="X111" i="1"/>
  <c r="AG111" i="1" s="1"/>
  <c r="X472" i="1"/>
  <c r="AG472" i="1" s="1"/>
  <c r="AA472" i="1"/>
  <c r="AJ472" i="1" s="1"/>
  <c r="AA607" i="1"/>
  <c r="AJ607" i="1" s="1"/>
  <c r="W607" i="1"/>
  <c r="AF607" i="1" s="1"/>
  <c r="W176" i="1"/>
  <c r="AF176" i="1" s="1"/>
  <c r="Y176" i="1"/>
  <c r="AH176" i="1" s="1"/>
  <c r="W364" i="1"/>
  <c r="AF364" i="1" s="1"/>
  <c r="X540" i="1"/>
  <c r="AG540" i="1" s="1"/>
  <c r="AC540" i="1"/>
  <c r="AL540" i="1" s="1"/>
  <c r="W540" i="1"/>
  <c r="AF540" i="1" s="1"/>
  <c r="X163" i="1"/>
  <c r="AG163" i="1" s="1"/>
  <c r="AC163" i="1"/>
  <c r="AL163" i="1" s="1"/>
  <c r="AI353" i="1"/>
  <c r="AA644" i="1"/>
  <c r="AJ644" i="1" s="1"/>
  <c r="AH644" i="1"/>
  <c r="AC644" i="1"/>
  <c r="AL644" i="1" s="1"/>
  <c r="W466" i="1"/>
  <c r="AF466" i="1" s="1"/>
  <c r="Y466" i="1"/>
  <c r="AH466" i="1" s="1"/>
  <c r="W387" i="1"/>
  <c r="AF387" i="1" s="1"/>
  <c r="Y387" i="1"/>
  <c r="AH387" i="1" s="1"/>
  <c r="AA168" i="1"/>
  <c r="AJ168" i="1" s="1"/>
  <c r="X168" i="1"/>
  <c r="AG168" i="1" s="1"/>
  <c r="Y168" i="1"/>
  <c r="AH168" i="1" s="1"/>
  <c r="AC87" i="1"/>
  <c r="AL87" i="1" s="1"/>
  <c r="X104" i="1"/>
  <c r="AG104" i="1" s="1"/>
  <c r="X305" i="1"/>
  <c r="AG305" i="1" s="1"/>
  <c r="X576" i="1"/>
  <c r="AG576" i="1" s="1"/>
  <c r="AK599" i="1"/>
  <c r="AI448" i="1"/>
  <c r="AN383" i="1"/>
  <c r="AA294" i="1"/>
  <c r="AJ294" i="1" s="1"/>
  <c r="AC424" i="1"/>
  <c r="AL424" i="1" s="1"/>
  <c r="AP193" i="1"/>
  <c r="AQ193" i="1" s="1"/>
  <c r="AR193" i="1" s="1"/>
  <c r="AI184" i="1"/>
  <c r="Y383" i="1"/>
  <c r="AH383" i="1" s="1"/>
  <c r="X137" i="1"/>
  <c r="AG137" i="1" s="1"/>
  <c r="Y183" i="1"/>
  <c r="AH183" i="1" s="1"/>
  <c r="AA555" i="1"/>
  <c r="AJ555" i="1" s="1"/>
  <c r="W188" i="1"/>
  <c r="AF188" i="1" s="1"/>
  <c r="AI427" i="1"/>
  <c r="AA310" i="1"/>
  <c r="AJ310" i="1" s="1"/>
  <c r="X387" i="1"/>
  <c r="AG387" i="1" s="1"/>
  <c r="AI319" i="1"/>
  <c r="Y663" i="1"/>
  <c r="AH663" i="1" s="1"/>
  <c r="AA660" i="1"/>
  <c r="AJ660" i="1" s="1"/>
  <c r="X366" i="1"/>
  <c r="AG366" i="1" s="1"/>
  <c r="AA403" i="1"/>
  <c r="AJ403" i="1" s="1"/>
  <c r="AC489" i="1"/>
  <c r="AL489" i="1" s="1"/>
  <c r="AI416" i="1"/>
  <c r="W513" i="1"/>
  <c r="AF513" i="1" s="1"/>
  <c r="AC219" i="1"/>
  <c r="AL219" i="1" s="1"/>
  <c r="W448" i="1"/>
  <c r="AF448" i="1" s="1"/>
  <c r="X176" i="1"/>
  <c r="AG176" i="1" s="1"/>
  <c r="AI442" i="1"/>
  <c r="AK429" i="1"/>
  <c r="Y343" i="1"/>
  <c r="AH343" i="1" s="1"/>
  <c r="AA520" i="1"/>
  <c r="AJ520" i="1" s="1"/>
  <c r="X650" i="1"/>
  <c r="AG650" i="1" s="1"/>
  <c r="AI369" i="1"/>
  <c r="X629" i="1"/>
  <c r="AG629" i="1" s="1"/>
  <c r="AA367" i="1"/>
  <c r="AJ367" i="1" s="1"/>
  <c r="AA193" i="1"/>
  <c r="AJ193" i="1" s="1"/>
  <c r="AC353" i="1"/>
  <c r="AL353" i="1" s="1"/>
  <c r="X566" i="1"/>
  <c r="AG566" i="1" s="1"/>
  <c r="AA514" i="1"/>
  <c r="AJ514" i="1" s="1"/>
  <c r="X607" i="1"/>
  <c r="AG607" i="1" s="1"/>
  <c r="X323" i="1"/>
  <c r="AG323" i="1" s="1"/>
  <c r="X486" i="1"/>
  <c r="AG486" i="1" s="1"/>
  <c r="X490" i="1"/>
  <c r="AG490" i="1" s="1"/>
  <c r="Y304" i="1"/>
  <c r="AH304" i="1" s="1"/>
  <c r="AK569" i="1"/>
  <c r="Y439" i="1"/>
  <c r="AH439" i="1" s="1"/>
  <c r="AI559" i="1"/>
  <c r="X322" i="1"/>
  <c r="AG322" i="1" s="1"/>
  <c r="X508" i="1"/>
  <c r="AG508" i="1" s="1"/>
  <c r="AI439" i="1"/>
  <c r="W508" i="1"/>
  <c r="AF508" i="1" s="1"/>
  <c r="AA627" i="1"/>
  <c r="AJ627" i="1" s="1"/>
  <c r="Y351" i="1"/>
  <c r="AH351" i="1" s="1"/>
  <c r="X595" i="1"/>
  <c r="AG595" i="1" s="1"/>
  <c r="AI399" i="1"/>
  <c r="W87" i="1"/>
  <c r="AF87" i="1" s="1"/>
  <c r="AA387" i="1"/>
  <c r="AJ387" i="1" s="1"/>
  <c r="W644" i="1"/>
  <c r="AF644" i="1" s="1"/>
  <c r="AC606" i="1"/>
  <c r="AL606" i="1" s="1"/>
  <c r="W181" i="1"/>
  <c r="AF181" i="1" s="1"/>
  <c r="AN538" i="1"/>
  <c r="AO538" i="1" s="1"/>
  <c r="AP538" i="1" s="1"/>
  <c r="AQ538" i="1" s="1"/>
  <c r="AR538" i="1" s="1"/>
  <c r="W651" i="1"/>
  <c r="AF651" i="1" s="1"/>
  <c r="AC585" i="1"/>
  <c r="AL585" i="1" s="1"/>
  <c r="AA662" i="1"/>
  <c r="AJ662" i="1" s="1"/>
  <c r="AA606" i="1"/>
  <c r="AJ606" i="1" s="1"/>
  <c r="W207" i="1"/>
  <c r="AF207" i="1" s="1"/>
  <c r="AC582" i="1"/>
  <c r="AL582" i="1" s="1"/>
  <c r="AK630" i="1"/>
  <c r="AC164" i="1"/>
  <c r="AL164" i="1" s="1"/>
  <c r="AA164" i="1"/>
  <c r="AJ164" i="1" s="1"/>
  <c r="AI260" i="1"/>
  <c r="Y554" i="1"/>
  <c r="AH554" i="1" s="1"/>
  <c r="Y454" i="1"/>
  <c r="AH454" i="1" s="1"/>
  <c r="AK628" i="1"/>
  <c r="AK215" i="1"/>
  <c r="AC113" i="1"/>
  <c r="AL113" i="1" s="1"/>
  <c r="AK369" i="1"/>
  <c r="AA221" i="1"/>
  <c r="AJ221" i="1" s="1"/>
  <c r="AI454" i="1"/>
  <c r="AN273" i="1"/>
  <c r="AI227" i="1"/>
  <c r="AK552" i="1"/>
  <c r="AA324" i="1"/>
  <c r="AJ324" i="1" s="1"/>
  <c r="AN254" i="1"/>
  <c r="AS254" i="1" s="1"/>
  <c r="AK286" i="1"/>
  <c r="X225" i="1"/>
  <c r="AG225" i="1" s="1"/>
  <c r="AI494" i="1"/>
  <c r="AI278" i="1"/>
  <c r="AI583" i="1"/>
  <c r="X293" i="1"/>
  <c r="AG293" i="1" s="1"/>
  <c r="AK254" i="1"/>
  <c r="AK194" i="1"/>
  <c r="AN186" i="1"/>
  <c r="Y232" i="1"/>
  <c r="AH232" i="1" s="1"/>
  <c r="AN160" i="1"/>
  <c r="Y358" i="1"/>
  <c r="AH358" i="1" s="1"/>
  <c r="AK431" i="1"/>
  <c r="AA274" i="1"/>
  <c r="AJ274" i="1" s="1"/>
  <c r="AI94" i="1"/>
  <c r="Y530" i="1"/>
  <c r="AH530" i="1" s="1"/>
  <c r="AN284" i="1"/>
  <c r="AO284" i="1" s="1"/>
  <c r="AP284" i="1" s="1"/>
  <c r="AQ284" i="1" s="1"/>
  <c r="AR284" i="1" s="1"/>
  <c r="X580" i="1"/>
  <c r="AG580" i="1" s="1"/>
  <c r="AN278" i="1"/>
  <c r="AO278" i="1" s="1"/>
  <c r="AP278" i="1" s="1"/>
  <c r="AQ278" i="1" s="1"/>
  <c r="AR278" i="1" s="1"/>
  <c r="AA502" i="1"/>
  <c r="AJ502" i="1" s="1"/>
  <c r="AK183" i="1"/>
  <c r="AK416" i="1"/>
  <c r="AI481" i="1"/>
  <c r="Y525" i="1"/>
  <c r="AH525" i="1" s="1"/>
  <c r="AI218" i="1"/>
  <c r="Y339" i="1"/>
  <c r="AH339" i="1" s="1"/>
  <c r="AK643" i="1"/>
  <c r="AK446" i="1"/>
  <c r="AK487" i="1"/>
  <c r="AI508" i="1"/>
  <c r="X478" i="1"/>
  <c r="AG478" i="1" s="1"/>
  <c r="AK595" i="1"/>
  <c r="AN292" i="1"/>
  <c r="AK161" i="1"/>
  <c r="AN312" i="1"/>
  <c r="AO312" i="1" s="1"/>
  <c r="AP312" i="1" s="1"/>
  <c r="AQ312" i="1" s="1"/>
  <c r="AR312" i="1" s="1"/>
  <c r="Y403" i="1"/>
  <c r="AH403" i="1" s="1"/>
  <c r="AA515" i="1"/>
  <c r="AJ515" i="1" s="1"/>
  <c r="AK325" i="1"/>
  <c r="X460" i="1"/>
  <c r="AG460" i="1" s="1"/>
  <c r="AN572" i="1"/>
  <c r="AS572" i="1" s="1"/>
  <c r="AN426" i="1"/>
  <c r="AS426" i="1" s="1"/>
  <c r="AN214" i="1"/>
  <c r="AO214" i="1" s="1"/>
  <c r="AN129" i="1"/>
  <c r="AO129" i="1" s="1"/>
  <c r="AP129" i="1" s="1"/>
  <c r="AQ129" i="1" s="1"/>
  <c r="AR129" i="1" s="1"/>
  <c r="X247" i="1"/>
  <c r="AG247" i="1" s="1"/>
  <c r="AA414" i="1"/>
  <c r="AJ414" i="1" s="1"/>
  <c r="AC435" i="1"/>
  <c r="AL435" i="1" s="1"/>
  <c r="AK523" i="1"/>
  <c r="AK421" i="1"/>
  <c r="Y573" i="1"/>
  <c r="AH573" i="1" s="1"/>
  <c r="Y540" i="1"/>
  <c r="AH540" i="1" s="1"/>
  <c r="AN556" i="1"/>
  <c r="AO556" i="1" s="1"/>
  <c r="AP556" i="1" s="1"/>
  <c r="AK509" i="1"/>
  <c r="AC359" i="1"/>
  <c r="AL359" i="1" s="1"/>
  <c r="AK362" i="1"/>
  <c r="AC413" i="1"/>
  <c r="AL413" i="1" s="1"/>
  <c r="AK207" i="1"/>
  <c r="AN223" i="1"/>
  <c r="AO223" i="1" s="1"/>
  <c r="AP223" i="1" s="1"/>
  <c r="AQ223" i="1" s="1"/>
  <c r="AR223" i="1" s="1"/>
  <c r="Y432" i="1"/>
  <c r="AH432" i="1" s="1"/>
  <c r="X454" i="1"/>
  <c r="AG454" i="1" s="1"/>
  <c r="AI312" i="1"/>
  <c r="AK282" i="1"/>
  <c r="AC286" i="1"/>
  <c r="AL286" i="1" s="1"/>
  <c r="X594" i="1"/>
  <c r="AG594" i="1" s="1"/>
  <c r="AK444" i="1"/>
  <c r="AI293" i="1"/>
  <c r="X294" i="1"/>
  <c r="AG294" i="1" s="1"/>
  <c r="X524" i="1"/>
  <c r="AG524" i="1" s="1"/>
  <c r="BB740" i="1"/>
  <c r="AX740" i="1"/>
  <c r="AY740" i="1" s="1"/>
  <c r="AZ740" i="1" s="1"/>
  <c r="BA740" i="1" s="1"/>
  <c r="BB756" i="1"/>
  <c r="AX756" i="1"/>
  <c r="AY756" i="1" s="1"/>
  <c r="AZ756" i="1" s="1"/>
  <c r="BA756" i="1" s="1"/>
  <c r="AX796" i="1"/>
  <c r="AY796" i="1" s="1"/>
  <c r="AZ796" i="1" s="1"/>
  <c r="BA796" i="1" s="1"/>
  <c r="BB796" i="1"/>
  <c r="AX804" i="1"/>
  <c r="AY804" i="1" s="1"/>
  <c r="AZ804" i="1" s="1"/>
  <c r="BA804" i="1" s="1"/>
  <c r="BB804" i="1"/>
  <c r="BB812" i="1"/>
  <c r="AX812" i="1"/>
  <c r="AY812" i="1" s="1"/>
  <c r="AZ812" i="1" s="1"/>
  <c r="BA812" i="1" s="1"/>
  <c r="AX856" i="1"/>
  <c r="AY856" i="1" s="1"/>
  <c r="AZ856" i="1" s="1"/>
  <c r="BA856" i="1" s="1"/>
  <c r="BB856" i="1"/>
  <c r="AX885" i="1"/>
  <c r="AY885" i="1" s="1"/>
  <c r="AZ885" i="1" s="1"/>
  <c r="BA885" i="1" s="1"/>
  <c r="BB885" i="1"/>
  <c r="AX955" i="1"/>
  <c r="AY955" i="1" s="1"/>
  <c r="AZ955" i="1" s="1"/>
  <c r="BA955" i="1" s="1"/>
  <c r="BB955" i="1"/>
  <c r="AX973" i="1"/>
  <c r="AY973" i="1" s="1"/>
  <c r="AZ973" i="1" s="1"/>
  <c r="BA973" i="1" s="1"/>
  <c r="BB973" i="1"/>
  <c r="AX753" i="1"/>
  <c r="AY753" i="1" s="1"/>
  <c r="AZ753" i="1" s="1"/>
  <c r="BA753" i="1" s="1"/>
  <c r="BB753" i="1"/>
  <c r="AX761" i="1"/>
  <c r="AY761" i="1" s="1"/>
  <c r="AZ761" i="1" s="1"/>
  <c r="BA761" i="1" s="1"/>
  <c r="BB761" i="1"/>
  <c r="AX793" i="1"/>
  <c r="AY793" i="1" s="1"/>
  <c r="AZ793" i="1" s="1"/>
  <c r="BA793" i="1" s="1"/>
  <c r="BB793" i="1"/>
  <c r="AX858" i="1"/>
  <c r="AY858" i="1" s="1"/>
  <c r="AZ858" i="1" s="1"/>
  <c r="BA858" i="1" s="1"/>
  <c r="BB858" i="1"/>
  <c r="AX744" i="1"/>
  <c r="AY744" i="1" s="1"/>
  <c r="AZ744" i="1" s="1"/>
  <c r="BA744" i="1" s="1"/>
  <c r="BB744" i="1"/>
  <c r="AX747" i="1"/>
  <c r="AY747" i="1" s="1"/>
  <c r="AZ747" i="1" s="1"/>
  <c r="BA747" i="1" s="1"/>
  <c r="BB747" i="1"/>
  <c r="BB768" i="1"/>
  <c r="AX768" i="1"/>
  <c r="AY768" i="1" s="1"/>
  <c r="AZ768" i="1" s="1"/>
  <c r="BA768" i="1" s="1"/>
  <c r="BB776" i="1"/>
  <c r="AX776" i="1"/>
  <c r="AY776" i="1" s="1"/>
  <c r="AZ776" i="1" s="1"/>
  <c r="BA776" i="1" s="1"/>
  <c r="AX803" i="1"/>
  <c r="AY803" i="1" s="1"/>
  <c r="AZ803" i="1" s="1"/>
  <c r="BA803" i="1" s="1"/>
  <c r="BB803" i="1"/>
  <c r="BB816" i="1"/>
  <c r="AX816" i="1"/>
  <c r="AY816" i="1" s="1"/>
  <c r="AZ816" i="1" s="1"/>
  <c r="BA816" i="1" s="1"/>
  <c r="AX819" i="1"/>
  <c r="AY819" i="1" s="1"/>
  <c r="AZ819" i="1" s="1"/>
  <c r="BA819" i="1" s="1"/>
  <c r="BB819" i="1"/>
  <c r="AX824" i="1"/>
  <c r="AY824" i="1" s="1"/>
  <c r="AZ824" i="1" s="1"/>
  <c r="BA824" i="1" s="1"/>
  <c r="BB824" i="1"/>
  <c r="AX827" i="1"/>
  <c r="AY827" i="1" s="1"/>
  <c r="AZ827" i="1" s="1"/>
  <c r="BA827" i="1" s="1"/>
  <c r="BB827" i="1"/>
  <c r="AX844" i="1"/>
  <c r="AY844" i="1" s="1"/>
  <c r="AZ844" i="1" s="1"/>
  <c r="BA844" i="1" s="1"/>
  <c r="BB844" i="1"/>
  <c r="BB849" i="1"/>
  <c r="AX849" i="1"/>
  <c r="AY849" i="1" s="1"/>
  <c r="AZ849" i="1" s="1"/>
  <c r="BA849" i="1" s="1"/>
  <c r="AX941" i="1"/>
  <c r="AY941" i="1" s="1"/>
  <c r="AZ941" i="1" s="1"/>
  <c r="BA941" i="1" s="1"/>
  <c r="BB941" i="1"/>
  <c r="AX789" i="1"/>
  <c r="AY789" i="1" s="1"/>
  <c r="AZ789" i="1" s="1"/>
  <c r="BA789" i="1" s="1"/>
  <c r="BB789" i="1"/>
  <c r="AX838" i="1"/>
  <c r="AY838" i="1" s="1"/>
  <c r="AZ838" i="1" s="1"/>
  <c r="BA838" i="1" s="1"/>
  <c r="BB838" i="1"/>
  <c r="BB862" i="1"/>
  <c r="AX862" i="1"/>
  <c r="AY862" i="1" s="1"/>
  <c r="AZ862" i="1" s="1"/>
  <c r="BA862" i="1" s="1"/>
  <c r="AX883" i="1"/>
  <c r="AY883" i="1" s="1"/>
  <c r="AZ883" i="1" s="1"/>
  <c r="BA883" i="1" s="1"/>
  <c r="BB883" i="1"/>
  <c r="AX911" i="1"/>
  <c r="AY911" i="1" s="1"/>
  <c r="AZ911" i="1" s="1"/>
  <c r="BA911" i="1" s="1"/>
  <c r="BB911" i="1"/>
  <c r="AX927" i="1"/>
  <c r="AY927" i="1" s="1"/>
  <c r="AZ927" i="1" s="1"/>
  <c r="BA927" i="1" s="1"/>
  <c r="BB927" i="1"/>
  <c r="AX943" i="1"/>
  <c r="AY943" i="1" s="1"/>
  <c r="AZ943" i="1" s="1"/>
  <c r="BA943" i="1" s="1"/>
  <c r="BB943" i="1"/>
  <c r="AK548" i="1"/>
  <c r="AN610" i="1"/>
  <c r="AI268" i="1"/>
  <c r="Y611" i="1"/>
  <c r="AH611" i="1" s="1"/>
  <c r="AC97" i="1"/>
  <c r="AL97" i="1" s="1"/>
  <c r="AI315" i="1"/>
  <c r="AC194" i="1"/>
  <c r="AL194" i="1" s="1"/>
  <c r="X113" i="1"/>
  <c r="AG113" i="1" s="1"/>
  <c r="Y107" i="1"/>
  <c r="AH107" i="1" s="1"/>
  <c r="X438" i="1"/>
  <c r="AG438" i="1" s="1"/>
  <c r="AC452" i="1"/>
  <c r="AL452" i="1" s="1"/>
  <c r="AN358" i="1"/>
  <c r="AO358" i="1" s="1"/>
  <c r="AP358" i="1" s="1"/>
  <c r="AQ358" i="1" s="1"/>
  <c r="AR358" i="1" s="1"/>
  <c r="Y474" i="1"/>
  <c r="AH474" i="1" s="1"/>
  <c r="AN124" i="1"/>
  <c r="AO124" i="1" s="1"/>
  <c r="AA200" i="1"/>
  <c r="AJ200" i="1" s="1"/>
  <c r="AI532" i="1"/>
  <c r="AC206" i="1"/>
  <c r="AL206" i="1" s="1"/>
  <c r="AK138" i="1"/>
  <c r="AA568" i="1"/>
  <c r="AJ568" i="1" s="1"/>
  <c r="AC411" i="1"/>
  <c r="AL411" i="1" s="1"/>
  <c r="X568" i="1"/>
  <c r="AG568" i="1" s="1"/>
  <c r="AP382" i="1"/>
  <c r="AQ382" i="1" s="1"/>
  <c r="AR382" i="1" s="1"/>
  <c r="Y508" i="1"/>
  <c r="AH508" i="1" s="1"/>
  <c r="AA412" i="1"/>
  <c r="AJ412" i="1" s="1"/>
  <c r="AI366" i="1"/>
  <c r="X215" i="1"/>
  <c r="AG215" i="1" s="1"/>
  <c r="AA440" i="1"/>
  <c r="AJ440" i="1" s="1"/>
  <c r="AA120" i="1"/>
  <c r="AJ120" i="1" s="1"/>
  <c r="AN656" i="1"/>
  <c r="AC646" i="1"/>
  <c r="AL646" i="1" s="1"/>
  <c r="AK382" i="1"/>
  <c r="Y377" i="1"/>
  <c r="AH377" i="1" s="1"/>
  <c r="AN368" i="1"/>
  <c r="AC262" i="1"/>
  <c r="AL262" i="1" s="1"/>
  <c r="AI224" i="1"/>
  <c r="AK324" i="1"/>
  <c r="AA394" i="1"/>
  <c r="AJ394" i="1" s="1"/>
  <c r="Y188" i="1"/>
  <c r="AH188" i="1" s="1"/>
  <c r="AI430" i="1"/>
  <c r="AA501" i="1"/>
  <c r="AJ501" i="1" s="1"/>
  <c r="AS928" i="1"/>
  <c r="AO928" i="1"/>
  <c r="AP928" i="1" s="1"/>
  <c r="AQ928" i="1" s="1"/>
  <c r="AR928" i="1" s="1"/>
  <c r="AO896" i="1"/>
  <c r="AP896" i="1" s="1"/>
  <c r="AQ896" i="1" s="1"/>
  <c r="AR896" i="1" s="1"/>
  <c r="AS896" i="1"/>
  <c r="AO864" i="1"/>
  <c r="AP864" i="1" s="1"/>
  <c r="AQ864" i="1" s="1"/>
  <c r="AR864" i="1" s="1"/>
  <c r="AS864" i="1"/>
  <c r="AS840" i="1"/>
  <c r="AO840" i="1"/>
  <c r="AP840" i="1" s="1"/>
  <c r="AQ840" i="1" s="1"/>
  <c r="AR840" i="1" s="1"/>
  <c r="Y322" i="1"/>
  <c r="AH322" i="1" s="1"/>
  <c r="AA306" i="1"/>
  <c r="AJ306" i="1" s="1"/>
  <c r="Y191" i="1"/>
  <c r="AH191" i="1" s="1"/>
  <c r="AK615" i="1"/>
  <c r="AO930" i="1"/>
  <c r="AP930" i="1" s="1"/>
  <c r="AQ930" i="1" s="1"/>
  <c r="AR930" i="1" s="1"/>
  <c r="AS930" i="1"/>
  <c r="AO898" i="1"/>
  <c r="AP898" i="1" s="1"/>
  <c r="AQ898" i="1" s="1"/>
  <c r="AR898" i="1" s="1"/>
  <c r="AS898" i="1"/>
  <c r="AO866" i="1"/>
  <c r="AP866" i="1" s="1"/>
  <c r="AQ866" i="1" s="1"/>
  <c r="AR866" i="1" s="1"/>
  <c r="AS866" i="1"/>
  <c r="AS842" i="1"/>
  <c r="AO842" i="1"/>
  <c r="AP842" i="1" s="1"/>
  <c r="AQ842" i="1" s="1"/>
  <c r="AR842" i="1" s="1"/>
  <c r="AI386" i="1"/>
  <c r="Y337" i="1"/>
  <c r="AH337" i="1" s="1"/>
  <c r="AC100" i="1"/>
  <c r="AL100" i="1" s="1"/>
  <c r="Y178" i="1"/>
  <c r="AH178" i="1" s="1"/>
  <c r="AN554" i="1"/>
  <c r="AI526" i="1"/>
  <c r="Y653" i="1"/>
  <c r="AH653" i="1" s="1"/>
  <c r="AI493" i="1"/>
  <c r="X221" i="1"/>
  <c r="AG221" i="1" s="1"/>
  <c r="AK397" i="1"/>
  <c r="AP600" i="1"/>
  <c r="AQ600" i="1" s="1"/>
  <c r="AR600" i="1" s="1"/>
  <c r="AN493" i="1"/>
  <c r="AO493" i="1" s="1"/>
  <c r="AP493" i="1" s="1"/>
  <c r="AQ493" i="1" s="1"/>
  <c r="AR493" i="1" s="1"/>
  <c r="AI345" i="1"/>
  <c r="AC442" i="1"/>
  <c r="AL442" i="1" s="1"/>
  <c r="AC108" i="1"/>
  <c r="AL108" i="1" s="1"/>
  <c r="AI325" i="1"/>
  <c r="AI633" i="1"/>
  <c r="AK606" i="1"/>
  <c r="AI462" i="1"/>
  <c r="AK418" i="1"/>
  <c r="Y285" i="1"/>
  <c r="AH285" i="1" s="1"/>
  <c r="Y430" i="1"/>
  <c r="AH430" i="1" s="1"/>
  <c r="AI97" i="1"/>
  <c r="AI160" i="1"/>
  <c r="AI223" i="1"/>
  <c r="AI536" i="1"/>
  <c r="Y213" i="1"/>
  <c r="AH213" i="1" s="1"/>
  <c r="Y565" i="1"/>
  <c r="AH565" i="1" s="1"/>
  <c r="AN465" i="1"/>
  <c r="AO465" i="1" s="1"/>
  <c r="AP465" i="1" s="1"/>
  <c r="AQ465" i="1" s="1"/>
  <c r="AR465" i="1" s="1"/>
  <c r="AA295" i="1"/>
  <c r="AJ295" i="1" s="1"/>
  <c r="AK216" i="1"/>
  <c r="X612" i="1"/>
  <c r="AG612" i="1" s="1"/>
  <c r="X501" i="1"/>
  <c r="AG501" i="1" s="1"/>
  <c r="AI614" i="1"/>
  <c r="X555" i="1"/>
  <c r="AG555" i="1" s="1"/>
  <c r="AN515" i="1"/>
  <c r="AK533" i="1"/>
  <c r="AN651" i="1"/>
  <c r="AO651" i="1" s="1"/>
  <c r="AP651" i="1" s="1"/>
  <c r="AQ651" i="1" s="1"/>
  <c r="AR651" i="1" s="1"/>
  <c r="AO932" i="1"/>
  <c r="AP932" i="1" s="1"/>
  <c r="AQ932" i="1" s="1"/>
  <c r="AR932" i="1" s="1"/>
  <c r="AS932" i="1"/>
  <c r="AO860" i="1"/>
  <c r="AP860" i="1" s="1"/>
  <c r="AQ860" i="1" s="1"/>
  <c r="AR860" i="1" s="1"/>
  <c r="AS860" i="1"/>
  <c r="Y92" i="1"/>
  <c r="AH92" i="1" s="1"/>
  <c r="AN277" i="1"/>
  <c r="X421" i="1"/>
  <c r="AG421" i="1" s="1"/>
  <c r="AI592" i="1"/>
  <c r="X495" i="1"/>
  <c r="AG495" i="1" s="1"/>
  <c r="AA229" i="1"/>
  <c r="AJ229" i="1" s="1"/>
  <c r="AO886" i="1"/>
  <c r="AP886" i="1" s="1"/>
  <c r="AQ886" i="1" s="1"/>
  <c r="AR886" i="1" s="1"/>
  <c r="AS886" i="1"/>
  <c r="AS862" i="1"/>
  <c r="AO862" i="1"/>
  <c r="AP862" i="1" s="1"/>
  <c r="AQ862" i="1" s="1"/>
  <c r="AR862" i="1" s="1"/>
  <c r="AS838" i="1"/>
  <c r="AO838" i="1"/>
  <c r="AP838" i="1" s="1"/>
  <c r="AQ838" i="1" s="1"/>
  <c r="AR838" i="1" s="1"/>
  <c r="Y549" i="1"/>
  <c r="AH549" i="1" s="1"/>
  <c r="AN134" i="1"/>
  <c r="AC212" i="1"/>
  <c r="AL212" i="1" s="1"/>
  <c r="X570" i="1"/>
  <c r="AG570" i="1" s="1"/>
  <c r="AO766" i="1"/>
  <c r="AP766" i="1" s="1"/>
  <c r="AQ766" i="1" s="1"/>
  <c r="AR766" i="1" s="1"/>
  <c r="AS835" i="1"/>
  <c r="AS893" i="1"/>
  <c r="AS744" i="1"/>
  <c r="AS768" i="1"/>
  <c r="AS820" i="1"/>
  <c r="AS853" i="1"/>
  <c r="AS845" i="1"/>
  <c r="AN1153" i="1"/>
  <c r="U81" i="1"/>
  <c r="Q81" i="1"/>
  <c r="T80" i="1"/>
  <c r="AB80" i="1" s="1"/>
  <c r="P80" i="1"/>
  <c r="S79" i="1"/>
  <c r="O79" i="1"/>
  <c r="R78" i="1"/>
  <c r="Z78" i="1" s="1"/>
  <c r="U77" i="1"/>
  <c r="Q77" i="1"/>
  <c r="T76" i="1"/>
  <c r="AB76" i="1" s="1"/>
  <c r="P76" i="1"/>
  <c r="S75" i="1"/>
  <c r="O75" i="1"/>
  <c r="R74" i="1"/>
  <c r="Z74" i="1" s="1"/>
  <c r="U73" i="1"/>
  <c r="Q73" i="1"/>
  <c r="T72" i="1"/>
  <c r="AB72" i="1" s="1"/>
  <c r="P72" i="1"/>
  <c r="S71" i="1"/>
  <c r="O71" i="1"/>
  <c r="W71" i="1" s="1"/>
  <c r="AF71" i="1" s="1"/>
  <c r="R70" i="1"/>
  <c r="Z70" i="1" s="1"/>
  <c r="U69" i="1"/>
  <c r="Q69" i="1"/>
  <c r="T68" i="1"/>
  <c r="AB68" i="1" s="1"/>
  <c r="P68" i="1"/>
  <c r="S67" i="1"/>
  <c r="O67" i="1"/>
  <c r="R81" i="1"/>
  <c r="Z81" i="1" s="1"/>
  <c r="U80" i="1"/>
  <c r="Q80" i="1"/>
  <c r="T79" i="1"/>
  <c r="AB79" i="1" s="1"/>
  <c r="P79" i="1"/>
  <c r="S78" i="1"/>
  <c r="O78" i="1"/>
  <c r="R77" i="1"/>
  <c r="Z77" i="1" s="1"/>
  <c r="U76" i="1"/>
  <c r="Q76" i="1"/>
  <c r="T75" i="1"/>
  <c r="AB75" i="1" s="1"/>
  <c r="P75" i="1"/>
  <c r="S74" i="1"/>
  <c r="O74" i="1"/>
  <c r="R73" i="1"/>
  <c r="Z73" i="1" s="1"/>
  <c r="U72" i="1"/>
  <c r="Q72" i="1"/>
  <c r="T71" i="1"/>
  <c r="AB71" i="1" s="1"/>
  <c r="P71" i="1"/>
  <c r="S70" i="1"/>
  <c r="O70" i="1"/>
  <c r="R69" i="1"/>
  <c r="Z69" i="1" s="1"/>
  <c r="U68" i="1"/>
  <c r="Q68" i="1"/>
  <c r="T67" i="1"/>
  <c r="AB67" i="1" s="1"/>
  <c r="P67" i="1"/>
  <c r="AC135" i="1"/>
  <c r="AL135" i="1" s="1"/>
  <c r="AI350" i="1"/>
  <c r="AS861" i="1"/>
  <c r="AS917" i="1"/>
  <c r="AO911" i="1"/>
  <c r="AP911" i="1" s="1"/>
  <c r="AQ911" i="1" s="1"/>
  <c r="AR911" i="1" s="1"/>
  <c r="AS728" i="1"/>
  <c r="AS752" i="1"/>
  <c r="AS782" i="1"/>
  <c r="AS828" i="1"/>
  <c r="BB698" i="1"/>
  <c r="S81" i="1"/>
  <c r="O81" i="1"/>
  <c r="R80" i="1"/>
  <c r="Z80" i="1" s="1"/>
  <c r="U79" i="1"/>
  <c r="Q79" i="1"/>
  <c r="T78" i="1"/>
  <c r="AB78" i="1" s="1"/>
  <c r="P78" i="1"/>
  <c r="S77" i="1"/>
  <c r="O77" i="1"/>
  <c r="R76" i="1"/>
  <c r="Z76" i="1" s="1"/>
  <c r="U75" i="1"/>
  <c r="Q75" i="1"/>
  <c r="T74" i="1"/>
  <c r="AB74" i="1" s="1"/>
  <c r="P74" i="1"/>
  <c r="S73" i="1"/>
  <c r="O73" i="1"/>
  <c r="R72" i="1"/>
  <c r="Z72" i="1" s="1"/>
  <c r="U71" i="1"/>
  <c r="Q71" i="1"/>
  <c r="T70" i="1"/>
  <c r="AB70" i="1" s="1"/>
  <c r="P70" i="1"/>
  <c r="S69" i="1"/>
  <c r="O69" i="1"/>
  <c r="R68" i="1"/>
  <c r="Z68" i="1" s="1"/>
  <c r="U67" i="1"/>
  <c r="Q67" i="1"/>
  <c r="AK467" i="1"/>
  <c r="Y346" i="1"/>
  <c r="AH346" i="1" s="1"/>
  <c r="AC218" i="1"/>
  <c r="AL218" i="1" s="1"/>
  <c r="T81" i="1"/>
  <c r="AB81" i="1" s="1"/>
  <c r="P81" i="1"/>
  <c r="S80" i="1"/>
  <c r="O80" i="1"/>
  <c r="R79" i="1"/>
  <c r="Z79" i="1" s="1"/>
  <c r="U78" i="1"/>
  <c r="Q78" i="1"/>
  <c r="T77" i="1"/>
  <c r="AB77" i="1" s="1"/>
  <c r="P77" i="1"/>
  <c r="S76" i="1"/>
  <c r="O76" i="1"/>
  <c r="R75" i="1"/>
  <c r="Z75" i="1" s="1"/>
  <c r="U74" i="1"/>
  <c r="Q74" i="1"/>
  <c r="T73" i="1"/>
  <c r="AB73" i="1" s="1"/>
  <c r="P73" i="1"/>
  <c r="S72" i="1"/>
  <c r="O72" i="1"/>
  <c r="R71" i="1"/>
  <c r="Z71" i="1" s="1"/>
  <c r="U70" i="1"/>
  <c r="Q70" i="1"/>
  <c r="T69" i="1"/>
  <c r="AB69" i="1" s="1"/>
  <c r="P69" i="1"/>
  <c r="S68" i="1"/>
  <c r="O68" i="1"/>
  <c r="AS614" i="1"/>
  <c r="AO614" i="1"/>
  <c r="AP614" i="1" s="1"/>
  <c r="AC666" i="1"/>
  <c r="AL666" i="1" s="1"/>
  <c r="AC158" i="1"/>
  <c r="AL158" i="1" s="1"/>
  <c r="X158" i="1"/>
  <c r="AG158" i="1" s="1"/>
  <c r="Y158" i="1"/>
  <c r="AH158" i="1" s="1"/>
  <c r="AC592" i="1"/>
  <c r="AL592" i="1" s="1"/>
  <c r="AN592" i="1"/>
  <c r="AA420" i="1"/>
  <c r="AJ420" i="1" s="1"/>
  <c r="AC551" i="1"/>
  <c r="AL551" i="1" s="1"/>
  <c r="X551" i="1"/>
  <c r="AG551" i="1" s="1"/>
  <c r="W551" i="1"/>
  <c r="AF551" i="1" s="1"/>
  <c r="Y551" i="1"/>
  <c r="AH551" i="1" s="1"/>
  <c r="AN178" i="1"/>
  <c r="AO178" i="1" s="1"/>
  <c r="AC178" i="1"/>
  <c r="AL178" i="1" s="1"/>
  <c r="AN546" i="1"/>
  <c r="AO546" i="1" s="1"/>
  <c r="AP546" i="1" s="1"/>
  <c r="AQ546" i="1" s="1"/>
  <c r="AR546" i="1" s="1"/>
  <c r="W391" i="1"/>
  <c r="AF391" i="1" s="1"/>
  <c r="AI391" i="1"/>
  <c r="Y391" i="1"/>
  <c r="AH391" i="1" s="1"/>
  <c r="AA391" i="1"/>
  <c r="AJ391" i="1" s="1"/>
  <c r="AN245" i="1"/>
  <c r="AO245" i="1" s="1"/>
  <c r="AP245" i="1" s="1"/>
  <c r="AQ245" i="1" s="1"/>
  <c r="AR245" i="1" s="1"/>
  <c r="AC245" i="1"/>
  <c r="AL245" i="1" s="1"/>
  <c r="AA245" i="1"/>
  <c r="AJ245" i="1" s="1"/>
  <c r="AC344" i="1"/>
  <c r="AL344" i="1" s="1"/>
  <c r="Y136" i="1"/>
  <c r="AH136" i="1" s="1"/>
  <c r="AA136" i="1"/>
  <c r="AJ136" i="1" s="1"/>
  <c r="AN112" i="1"/>
  <c r="AO112" i="1" s="1"/>
  <c r="AP112" i="1" s="1"/>
  <c r="AQ112" i="1" s="1"/>
  <c r="AR112" i="1" s="1"/>
  <c r="AC111" i="1"/>
  <c r="AL111" i="1" s="1"/>
  <c r="AK127" i="1"/>
  <c r="Y639" i="1"/>
  <c r="AH639" i="1" s="1"/>
  <c r="AC143" i="1"/>
  <c r="AL143" i="1" s="1"/>
  <c r="W143" i="1"/>
  <c r="AF143" i="1" s="1"/>
  <c r="AA143" i="1"/>
  <c r="AJ143" i="1" s="1"/>
  <c r="Y143" i="1"/>
  <c r="AH143" i="1" s="1"/>
  <c r="W166" i="1"/>
  <c r="AF166" i="1" s="1"/>
  <c r="Y166" i="1"/>
  <c r="AH166" i="1" s="1"/>
  <c r="AA166" i="1"/>
  <c r="AJ166" i="1" s="1"/>
  <c r="AK165" i="1"/>
  <c r="W329" i="1"/>
  <c r="AF329" i="1" s="1"/>
  <c r="X463" i="1"/>
  <c r="AG463" i="1" s="1"/>
  <c r="AA463" i="1"/>
  <c r="AJ463" i="1" s="1"/>
  <c r="Y603" i="1"/>
  <c r="AH603" i="1" s="1"/>
  <c r="AA603" i="1"/>
  <c r="AJ603" i="1" s="1"/>
  <c r="AN261" i="1"/>
  <c r="AA261" i="1"/>
  <c r="AJ261" i="1" s="1"/>
  <c r="AW261" i="1" s="1"/>
  <c r="AX261" i="1" s="1"/>
  <c r="AY261" i="1" s="1"/>
  <c r="AC209" i="1"/>
  <c r="AL209" i="1" s="1"/>
  <c r="AN209" i="1"/>
  <c r="AA650" i="1"/>
  <c r="AJ650" i="1" s="1"/>
  <c r="AN430" i="1"/>
  <c r="AS430" i="1" s="1"/>
  <c r="AC430" i="1"/>
  <c r="AL430" i="1" s="1"/>
  <c r="W620" i="1"/>
  <c r="AF620" i="1" s="1"/>
  <c r="X336" i="1"/>
  <c r="AG336" i="1" s="1"/>
  <c r="AK336" i="1"/>
  <c r="AN561" i="1"/>
  <c r="AO561" i="1" s="1"/>
  <c r="AP561" i="1" s="1"/>
  <c r="AC561" i="1"/>
  <c r="AL561" i="1" s="1"/>
  <c r="AK559" i="1"/>
  <c r="X559" i="1"/>
  <c r="AG559" i="1" s="1"/>
  <c r="W335" i="1"/>
  <c r="AF335" i="1" s="1"/>
  <c r="X335" i="1"/>
  <c r="AG335" i="1" s="1"/>
  <c r="X284" i="1"/>
  <c r="AG284" i="1" s="1"/>
  <c r="W284" i="1"/>
  <c r="AF284" i="1" s="1"/>
  <c r="AC619" i="1"/>
  <c r="AL619" i="1" s="1"/>
  <c r="AW619" i="1" s="1"/>
  <c r="AN619" i="1"/>
  <c r="AN286" i="1"/>
  <c r="AO286" i="1" s="1"/>
  <c r="W206" i="1"/>
  <c r="AF206" i="1" s="1"/>
  <c r="Y206" i="1"/>
  <c r="AH206" i="1" s="1"/>
  <c r="AI456" i="1"/>
  <c r="AC456" i="1"/>
  <c r="AL456" i="1" s="1"/>
  <c r="AN95" i="1"/>
  <c r="AO95" i="1" s="1"/>
  <c r="AP95" i="1" s="1"/>
  <c r="X261" i="1"/>
  <c r="AG261" i="1" s="1"/>
  <c r="X237" i="1"/>
  <c r="AG237" i="1" s="1"/>
  <c r="W237" i="1"/>
  <c r="AF237" i="1" s="1"/>
  <c r="Y237" i="1"/>
  <c r="AH237" i="1" s="1"/>
  <c r="AC237" i="1"/>
  <c r="AL237" i="1" s="1"/>
  <c r="AN116" i="1"/>
  <c r="AC116" i="1"/>
  <c r="AL116" i="1" s="1"/>
  <c r="W150" i="1"/>
  <c r="AF150" i="1" s="1"/>
  <c r="X150" i="1"/>
  <c r="AG150" i="1" s="1"/>
  <c r="AN168" i="1"/>
  <c r="AO168" i="1" s="1"/>
  <c r="AP168" i="1" s="1"/>
  <c r="AQ168" i="1" s="1"/>
  <c r="AR168" i="1" s="1"/>
  <c r="AC168" i="1"/>
  <c r="AL168" i="1" s="1"/>
  <c r="AA210" i="1"/>
  <c r="AJ210" i="1" s="1"/>
  <c r="AN210" i="1"/>
  <c r="W121" i="1"/>
  <c r="AF121" i="1" s="1"/>
  <c r="AA121" i="1"/>
  <c r="AJ121" i="1" s="1"/>
  <c r="X121" i="1"/>
  <c r="AG121" i="1" s="1"/>
  <c r="AO301" i="1"/>
  <c r="AP301" i="1" s="1"/>
  <c r="AQ301" i="1" s="1"/>
  <c r="AR301" i="1" s="1"/>
  <c r="Y159" i="1"/>
  <c r="AH159" i="1" s="1"/>
  <c r="AN128" i="1"/>
  <c r="AK478" i="1"/>
  <c r="AN197" i="1"/>
  <c r="AO197" i="1" s="1"/>
  <c r="AP197" i="1" s="1"/>
  <c r="AQ197" i="1" s="1"/>
  <c r="AR197" i="1" s="1"/>
  <c r="AN270" i="1"/>
  <c r="AO270" i="1" s="1"/>
  <c r="AP270" i="1" s="1"/>
  <c r="AQ270" i="1" s="1"/>
  <c r="AR270" i="1" s="1"/>
  <c r="W271" i="1"/>
  <c r="AF271" i="1" s="1"/>
  <c r="AN298" i="1"/>
  <c r="AC573" i="1"/>
  <c r="AL573" i="1" s="1"/>
  <c r="AC450" i="1"/>
  <c r="AL450" i="1" s="1"/>
  <c r="AA159" i="1"/>
  <c r="AJ159" i="1" s="1"/>
  <c r="AA557" i="1"/>
  <c r="AJ557" i="1" s="1"/>
  <c r="AI551" i="1"/>
  <c r="AA129" i="1"/>
  <c r="AJ129" i="1" s="1"/>
  <c r="AS382" i="1"/>
  <c r="Y517" i="1"/>
  <c r="AH517" i="1" s="1"/>
  <c r="AA517" i="1"/>
  <c r="AJ517" i="1" s="1"/>
  <c r="AK501" i="1"/>
  <c r="AC313" i="1"/>
  <c r="AL313" i="1" s="1"/>
  <c r="AI231" i="1"/>
  <c r="AI639" i="1"/>
  <c r="AK524" i="1"/>
  <c r="X214" i="1"/>
  <c r="AG214" i="1" s="1"/>
  <c r="Y214" i="1"/>
  <c r="AH214" i="1" s="1"/>
  <c r="Y245" i="1"/>
  <c r="AH245" i="1" s="1"/>
  <c r="AC393" i="1"/>
  <c r="AL393" i="1" s="1"/>
  <c r="AA231" i="1"/>
  <c r="AJ231" i="1" s="1"/>
  <c r="AK398" i="1"/>
  <c r="W199" i="1"/>
  <c r="AF199" i="1" s="1"/>
  <c r="AA197" i="1"/>
  <c r="AJ197" i="1" s="1"/>
  <c r="AA556" i="1"/>
  <c r="AJ556" i="1" s="1"/>
  <c r="W639" i="1"/>
  <c r="AF639" i="1" s="1"/>
  <c r="W214" i="1"/>
  <c r="AF214" i="1" s="1"/>
  <c r="AC284" i="1"/>
  <c r="AL284" i="1" s="1"/>
  <c r="Y394" i="1"/>
  <c r="AH394" i="1" s="1"/>
  <c r="AK578" i="1"/>
  <c r="AC466" i="1"/>
  <c r="AL466" i="1" s="1"/>
  <c r="AA546" i="1"/>
  <c r="AJ546" i="1" s="1"/>
  <c r="AC600" i="1"/>
  <c r="AL600" i="1" s="1"/>
  <c r="AW600" i="1" s="1"/>
  <c r="X362" i="1"/>
  <c r="AG362" i="1" s="1"/>
  <c r="AA135" i="1"/>
  <c r="AJ135" i="1" s="1"/>
  <c r="AI485" i="1"/>
  <c r="AK300" i="1"/>
  <c r="AC486" i="1"/>
  <c r="AL486" i="1" s="1"/>
  <c r="AA146" i="1"/>
  <c r="AJ146" i="1" s="1"/>
  <c r="W413" i="1"/>
  <c r="AF413" i="1" s="1"/>
  <c r="AA551" i="1"/>
  <c r="AJ551" i="1" s="1"/>
  <c r="AC482" i="1"/>
  <c r="AL482" i="1" s="1"/>
  <c r="AN407" i="1"/>
  <c r="AO407" i="1" s="1"/>
  <c r="AP407" i="1" s="1"/>
  <c r="AQ407" i="1" s="1"/>
  <c r="AR407" i="1" s="1"/>
  <c r="AC465" i="1"/>
  <c r="AL465" i="1" s="1"/>
  <c r="Y470" i="1"/>
  <c r="AH470" i="1" s="1"/>
  <c r="AN271" i="1"/>
  <c r="AO271" i="1" s="1"/>
  <c r="AP271" i="1" s="1"/>
  <c r="AQ271" i="1" s="1"/>
  <c r="AR271" i="1" s="1"/>
  <c r="AA95" i="1"/>
  <c r="AJ95" i="1" s="1"/>
  <c r="AC95" i="1"/>
  <c r="AL95" i="1" s="1"/>
  <c r="AC192" i="1"/>
  <c r="AL192" i="1" s="1"/>
  <c r="Y192" i="1"/>
  <c r="AH192" i="1" s="1"/>
  <c r="W192" i="1"/>
  <c r="AF192" i="1" s="1"/>
  <c r="AA192" i="1"/>
  <c r="AJ192" i="1" s="1"/>
  <c r="X192" i="1"/>
  <c r="AG192" i="1" s="1"/>
  <c r="X484" i="1"/>
  <c r="AG484" i="1" s="1"/>
  <c r="AK484" i="1"/>
  <c r="AN401" i="1"/>
  <c r="AK141" i="1"/>
  <c r="W285" i="1"/>
  <c r="AF285" i="1" s="1"/>
  <c r="AA285" i="1"/>
  <c r="AJ285" i="1" s="1"/>
  <c r="AK252" i="1"/>
  <c r="AL199" i="1"/>
  <c r="AA477" i="1"/>
  <c r="AJ477" i="1" s="1"/>
  <c r="X199" i="1"/>
  <c r="AG199" i="1" s="1"/>
  <c r="AP536" i="1"/>
  <c r="AQ536" i="1" s="1"/>
  <c r="AR536" i="1" s="1"/>
  <c r="AA639" i="1"/>
  <c r="AJ639" i="1" s="1"/>
  <c r="AA189" i="1"/>
  <c r="AJ189" i="1" s="1"/>
  <c r="AC232" i="1"/>
  <c r="AL232" i="1" s="1"/>
  <c r="AI166" i="1"/>
  <c r="AA666" i="1"/>
  <c r="AJ666" i="1" s="1"/>
  <c r="W158" i="1"/>
  <c r="AF158" i="1" s="1"/>
  <c r="AS600" i="1"/>
  <c r="W225" i="1"/>
  <c r="AF225" i="1" s="1"/>
  <c r="AI288" i="1"/>
  <c r="Y465" i="1"/>
  <c r="AH465" i="1" s="1"/>
  <c r="AC515" i="1"/>
  <c r="AL515" i="1" s="1"/>
  <c r="X666" i="1"/>
  <c r="AG666" i="1" s="1"/>
  <c r="W288" i="1"/>
  <c r="AF288" i="1" s="1"/>
  <c r="AN179" i="1"/>
  <c r="AO179" i="1" s="1"/>
  <c r="AP179" i="1" s="1"/>
  <c r="AQ179" i="1" s="1"/>
  <c r="AR179" i="1" s="1"/>
  <c r="AC94" i="1"/>
  <c r="AL94" i="1" s="1"/>
  <c r="AC608" i="1"/>
  <c r="AL608" i="1" s="1"/>
  <c r="X271" i="1"/>
  <c r="AG271" i="1" s="1"/>
  <c r="X245" i="1"/>
  <c r="AG245" i="1" s="1"/>
  <c r="AI95" i="1"/>
  <c r="Y366" i="1"/>
  <c r="AH366" i="1" s="1"/>
  <c r="AI158" i="1"/>
  <c r="AA292" i="1"/>
  <c r="AJ292" i="1" s="1"/>
  <c r="W149" i="1"/>
  <c r="AF149" i="1" s="1"/>
  <c r="X149" i="1"/>
  <c r="AG149" i="1" s="1"/>
  <c r="AA234" i="1"/>
  <c r="AJ234" i="1" s="1"/>
  <c r="AC234" i="1"/>
  <c r="AL234" i="1" s="1"/>
  <c r="AI234" i="1"/>
  <c r="AK473" i="1"/>
  <c r="X394" i="1"/>
  <c r="AG394" i="1" s="1"/>
  <c r="W394" i="1"/>
  <c r="AF394" i="1" s="1"/>
  <c r="AC394" i="1"/>
  <c r="AL394" i="1" s="1"/>
  <c r="AN654" i="1"/>
  <c r="AO654" i="1" s="1"/>
  <c r="AP654" i="1" s="1"/>
  <c r="AQ654" i="1" s="1"/>
  <c r="AR654" i="1" s="1"/>
  <c r="W340" i="1"/>
  <c r="AF340" i="1" s="1"/>
  <c r="AA340" i="1"/>
  <c r="AJ340" i="1" s="1"/>
  <c r="W115" i="1"/>
  <c r="AF115" i="1" s="1"/>
  <c r="AC115" i="1"/>
  <c r="AL115" i="1" s="1"/>
  <c r="W107" i="1"/>
  <c r="AF107" i="1" s="1"/>
  <c r="AI107" i="1"/>
  <c r="AC167" i="1"/>
  <c r="AL167" i="1" s="1"/>
  <c r="AA167" i="1"/>
  <c r="AJ167" i="1" s="1"/>
  <c r="W167" i="1"/>
  <c r="AF167" i="1" s="1"/>
  <c r="AI324" i="1"/>
  <c r="X324" i="1"/>
  <c r="AG324" i="1" s="1"/>
  <c r="AA533" i="1"/>
  <c r="AJ533" i="1" s="1"/>
  <c r="AI533" i="1"/>
  <c r="W548" i="1"/>
  <c r="AF548" i="1" s="1"/>
  <c r="AI548" i="1"/>
  <c r="AA247" i="1"/>
  <c r="AJ247" i="1" s="1"/>
  <c r="AA321" i="1"/>
  <c r="AJ321" i="1" s="1"/>
  <c r="AN321" i="1"/>
  <c r="AO321" i="1" s="1"/>
  <c r="AP321" i="1" s="1"/>
  <c r="AQ321" i="1" s="1"/>
  <c r="AR321" i="1" s="1"/>
  <c r="AA642" i="1"/>
  <c r="AJ642" i="1" s="1"/>
  <c r="AC467" i="1"/>
  <c r="AL467" i="1" s="1"/>
  <c r="AN467" i="1"/>
  <c r="AI155" i="1"/>
  <c r="AA155" i="1"/>
  <c r="AJ155" i="1" s="1"/>
  <c r="W155" i="1"/>
  <c r="AF155" i="1" s="1"/>
  <c r="Y120" i="1"/>
  <c r="AH120" i="1" s="1"/>
  <c r="X120" i="1"/>
  <c r="AG120" i="1" s="1"/>
  <c r="W120" i="1"/>
  <c r="AF120" i="1" s="1"/>
  <c r="AC337" i="1"/>
  <c r="AL337" i="1" s="1"/>
  <c r="AA337" i="1"/>
  <c r="AJ337" i="1" s="1"/>
  <c r="W337" i="1"/>
  <c r="AF337" i="1" s="1"/>
  <c r="AA493" i="1"/>
  <c r="AJ493" i="1" s="1"/>
  <c r="AC402" i="1"/>
  <c r="AL402" i="1" s="1"/>
  <c r="W402" i="1"/>
  <c r="AF402" i="1" s="1"/>
  <c r="Y327" i="1"/>
  <c r="AH327" i="1" s="1"/>
  <c r="W327" i="1"/>
  <c r="AF327" i="1" s="1"/>
  <c r="AC327" i="1"/>
  <c r="AL327" i="1" s="1"/>
  <c r="AN609" i="1"/>
  <c r="AO609" i="1" s="1"/>
  <c r="AC609" i="1"/>
  <c r="AL609" i="1" s="1"/>
  <c r="Z114" i="1"/>
  <c r="AI114" i="1" s="1"/>
  <c r="AA536" i="1"/>
  <c r="AJ536" i="1" s="1"/>
  <c r="AN396" i="1"/>
  <c r="AA523" i="1"/>
  <c r="AJ523" i="1" s="1"/>
  <c r="Y523" i="1"/>
  <c r="AH523" i="1" s="1"/>
  <c r="AC485" i="1"/>
  <c r="AL485" i="1" s="1"/>
  <c r="AA485" i="1"/>
  <c r="AJ485" i="1" s="1"/>
  <c r="Y485" i="1"/>
  <c r="AH485" i="1" s="1"/>
  <c r="AI305" i="1"/>
  <c r="X482" i="1"/>
  <c r="AG482" i="1" s="1"/>
  <c r="Y580" i="1"/>
  <c r="AH580" i="1" s="1"/>
  <c r="AI85" i="1"/>
  <c r="W85" i="1"/>
  <c r="AF85" i="1" s="1"/>
  <c r="AI271" i="1"/>
  <c r="W573" i="1"/>
  <c r="AF573" i="1" s="1"/>
  <c r="X517" i="1"/>
  <c r="AG517" i="1" s="1"/>
  <c r="AK460" i="1"/>
  <c r="Y660" i="1"/>
  <c r="AH660" i="1" s="1"/>
  <c r="AA327" i="1"/>
  <c r="AJ327" i="1" s="1"/>
  <c r="AS313" i="1"/>
  <c r="W247" i="1"/>
  <c r="AF247" i="1" s="1"/>
  <c r="W533" i="1"/>
  <c r="AF533" i="1" s="1"/>
  <c r="AN627" i="1"/>
  <c r="W517" i="1"/>
  <c r="AF517" i="1" s="1"/>
  <c r="Y167" i="1"/>
  <c r="AH167" i="1" s="1"/>
  <c r="Y231" i="1"/>
  <c r="AH231" i="1" s="1"/>
  <c r="W231" i="1"/>
  <c r="AF231" i="1" s="1"/>
  <c r="Y664" i="1"/>
  <c r="AH664" i="1" s="1"/>
  <c r="Y199" i="1"/>
  <c r="AH199" i="1" s="1"/>
  <c r="AA395" i="1"/>
  <c r="AJ395" i="1" s="1"/>
  <c r="W324" i="1"/>
  <c r="AF324" i="1" s="1"/>
  <c r="AA85" i="1"/>
  <c r="AJ85" i="1" s="1"/>
  <c r="AA271" i="1"/>
  <c r="AJ271" i="1" s="1"/>
  <c r="AC155" i="1"/>
  <c r="AL155" i="1" s="1"/>
  <c r="AC107" i="1"/>
  <c r="AL107" i="1" s="1"/>
  <c r="Y402" i="1"/>
  <c r="AH402" i="1" s="1"/>
  <c r="Y533" i="1"/>
  <c r="AH533" i="1" s="1"/>
  <c r="AI517" i="1"/>
  <c r="X281" i="1"/>
  <c r="AG281" i="1" s="1"/>
  <c r="X413" i="1"/>
  <c r="AG413" i="1" s="1"/>
  <c r="AN453" i="1"/>
  <c r="AO453" i="1" s="1"/>
  <c r="AP453" i="1" s="1"/>
  <c r="AQ453" i="1" s="1"/>
  <c r="AR453" i="1" s="1"/>
  <c r="AN307" i="1"/>
  <c r="AK101" i="1"/>
  <c r="Y122" i="1"/>
  <c r="AH122" i="1" s="1"/>
  <c r="AK612" i="1"/>
  <c r="AI245" i="1"/>
  <c r="X107" i="1"/>
  <c r="AG107" i="1" s="1"/>
  <c r="AC225" i="1"/>
  <c r="AL225" i="1" s="1"/>
  <c r="AA148" i="1"/>
  <c r="AJ148" i="1" s="1"/>
  <c r="Y234" i="1"/>
  <c r="AH234" i="1" s="1"/>
  <c r="AA654" i="1"/>
  <c r="AJ654" i="1" s="1"/>
  <c r="AW654" i="1" s="1"/>
  <c r="AX654" i="1" s="1"/>
  <c r="AC651" i="1"/>
  <c r="AL651" i="1" s="1"/>
  <c r="X582" i="1"/>
  <c r="AG582" i="1" s="1"/>
  <c r="W666" i="1"/>
  <c r="AF666" i="1" s="1"/>
  <c r="AA305" i="1"/>
  <c r="AJ305" i="1" s="1"/>
  <c r="AA149" i="1"/>
  <c r="AJ149" i="1" s="1"/>
  <c r="X340" i="1"/>
  <c r="AG340" i="1" s="1"/>
  <c r="AN483" i="1"/>
  <c r="AO483" i="1" s="1"/>
  <c r="AA318" i="1"/>
  <c r="AJ318" i="1" s="1"/>
  <c r="X536" i="1"/>
  <c r="AG536" i="1" s="1"/>
  <c r="AA402" i="1"/>
  <c r="AJ402" i="1" s="1"/>
  <c r="AI167" i="1"/>
  <c r="AA426" i="1"/>
  <c r="AJ426" i="1" s="1"/>
  <c r="AC120" i="1"/>
  <c r="AL120" i="1" s="1"/>
  <c r="W245" i="1"/>
  <c r="AF245" i="1" s="1"/>
  <c r="AC247" i="1"/>
  <c r="AL247" i="1" s="1"/>
  <c r="W170" i="1"/>
  <c r="AF170" i="1" s="1"/>
  <c r="AC223" i="1"/>
  <c r="AL223" i="1" s="1"/>
  <c r="AN642" i="1"/>
  <c r="AO642" i="1" s="1"/>
  <c r="AP642" i="1" s="1"/>
  <c r="AQ642" i="1" s="1"/>
  <c r="AR642" i="1" s="1"/>
  <c r="W254" i="1"/>
  <c r="AF254" i="1" s="1"/>
  <c r="X254" i="1"/>
  <c r="AG254" i="1" s="1"/>
  <c r="Y659" i="1"/>
  <c r="AH659" i="1" s="1"/>
  <c r="AI659" i="1"/>
  <c r="AN163" i="1"/>
  <c r="AA163" i="1"/>
  <c r="AJ163" i="1" s="1"/>
  <c r="W102" i="1"/>
  <c r="AF102" i="1" s="1"/>
  <c r="AA102" i="1"/>
  <c r="AJ102" i="1" s="1"/>
  <c r="W344" i="1"/>
  <c r="AF344" i="1" s="1"/>
  <c r="AA344" i="1"/>
  <c r="AJ344" i="1" s="1"/>
  <c r="Y344" i="1"/>
  <c r="AH344" i="1" s="1"/>
  <c r="W145" i="1"/>
  <c r="AF145" i="1" s="1"/>
  <c r="X145" i="1"/>
  <c r="AG145" i="1" s="1"/>
  <c r="AA178" i="1"/>
  <c r="AJ178" i="1" s="1"/>
  <c r="W178" i="1"/>
  <c r="AF178" i="1" s="1"/>
  <c r="W408" i="1"/>
  <c r="AF408" i="1" s="1"/>
  <c r="Y614" i="1"/>
  <c r="AH614" i="1" s="1"/>
  <c r="Y217" i="1"/>
  <c r="AH217" i="1" s="1"/>
  <c r="W217" i="1"/>
  <c r="AF217" i="1" s="1"/>
  <c r="W279" i="1"/>
  <c r="AF279" i="1" s="1"/>
  <c r="AI279" i="1"/>
  <c r="AN643" i="1"/>
  <c r="AS643" i="1" s="1"/>
  <c r="AN192" i="1"/>
  <c r="W299" i="1"/>
  <c r="AF299" i="1" s="1"/>
  <c r="X299" i="1"/>
  <c r="AG299" i="1" s="1"/>
  <c r="X459" i="1"/>
  <c r="AG459" i="1" s="1"/>
  <c r="Y459" i="1"/>
  <c r="AH459" i="1" s="1"/>
  <c r="X367" i="1"/>
  <c r="AG367" i="1" s="1"/>
  <c r="W367" i="1"/>
  <c r="AF367" i="1" s="1"/>
  <c r="AA388" i="1"/>
  <c r="AJ388" i="1" s="1"/>
  <c r="AC388" i="1"/>
  <c r="AL388" i="1" s="1"/>
  <c r="AC259" i="1"/>
  <c r="AL259" i="1" s="1"/>
  <c r="AI259" i="1"/>
  <c r="AA386" i="1"/>
  <c r="AJ386" i="1" s="1"/>
  <c r="W386" i="1"/>
  <c r="AF386" i="1" s="1"/>
  <c r="W260" i="1"/>
  <c r="AF260" i="1" s="1"/>
  <c r="Y161" i="1"/>
  <c r="AH161" i="1" s="1"/>
  <c r="X161" i="1"/>
  <c r="AG161" i="1" s="1"/>
  <c r="AA133" i="1"/>
  <c r="AJ133" i="1" s="1"/>
  <c r="AC133" i="1"/>
  <c r="AL133" i="1" s="1"/>
  <c r="W435" i="1"/>
  <c r="AF435" i="1" s="1"/>
  <c r="X418" i="1"/>
  <c r="AG418" i="1" s="1"/>
  <c r="AA418" i="1"/>
  <c r="AJ418" i="1" s="1"/>
  <c r="W160" i="1"/>
  <c r="AF160" i="1" s="1"/>
  <c r="Y160" i="1"/>
  <c r="AH160" i="1" s="1"/>
  <c r="W642" i="1"/>
  <c r="AF642" i="1" s="1"/>
  <c r="W101" i="1"/>
  <c r="AF101" i="1" s="1"/>
  <c r="AI101" i="1"/>
  <c r="X363" i="1"/>
  <c r="AG363" i="1" s="1"/>
  <c r="AC363" i="1"/>
  <c r="AL363" i="1" s="1"/>
  <c r="AI327" i="1"/>
  <c r="AA232" i="1"/>
  <c r="AJ232" i="1" s="1"/>
  <c r="AA541" i="1"/>
  <c r="AJ541" i="1" s="1"/>
  <c r="AK311" i="1"/>
  <c r="AN291" i="1"/>
  <c r="AA126" i="1"/>
  <c r="AJ126" i="1" s="1"/>
  <c r="AK174" i="1"/>
  <c r="AC649" i="1"/>
  <c r="AL649" i="1" s="1"/>
  <c r="AN447" i="1"/>
  <c r="AK581" i="1"/>
  <c r="AN331" i="1"/>
  <c r="X545" i="1"/>
  <c r="AG545" i="1" s="1"/>
  <c r="W545" i="1"/>
  <c r="AF545" i="1" s="1"/>
  <c r="AA545" i="1"/>
  <c r="AJ545" i="1" s="1"/>
  <c r="Y545" i="1"/>
  <c r="AH545" i="1" s="1"/>
  <c r="W246" i="1"/>
  <c r="AF246" i="1" s="1"/>
  <c r="AC246" i="1"/>
  <c r="AL246" i="1" s="1"/>
  <c r="AA246" i="1"/>
  <c r="AJ246" i="1" s="1"/>
  <c r="X544" i="1"/>
  <c r="AG544" i="1" s="1"/>
  <c r="X621" i="1"/>
  <c r="AG621" i="1" s="1"/>
  <c r="Y621" i="1"/>
  <c r="AH621" i="1" s="1"/>
  <c r="W621" i="1"/>
  <c r="AF621" i="1" s="1"/>
  <c r="W130" i="1"/>
  <c r="AF130" i="1" s="1"/>
  <c r="X130" i="1"/>
  <c r="AG130" i="1" s="1"/>
  <c r="Y223" i="1"/>
  <c r="AH223" i="1" s="1"/>
  <c r="W223" i="1"/>
  <c r="AF223" i="1" s="1"/>
  <c r="W582" i="1"/>
  <c r="AF582" i="1" s="1"/>
  <c r="AA582" i="1"/>
  <c r="AJ582" i="1" s="1"/>
  <c r="AA585" i="1"/>
  <c r="AJ585" i="1" s="1"/>
  <c r="AA282" i="1"/>
  <c r="AJ282" i="1" s="1"/>
  <c r="W282" i="1"/>
  <c r="AF282" i="1" s="1"/>
  <c r="X587" i="1"/>
  <c r="AG587" i="1" s="1"/>
  <c r="W587" i="1"/>
  <c r="AF587" i="1" s="1"/>
  <c r="AA331" i="1"/>
  <c r="AJ331" i="1" s="1"/>
  <c r="W331" i="1"/>
  <c r="AF331" i="1" s="1"/>
  <c r="W300" i="1"/>
  <c r="AF300" i="1" s="1"/>
  <c r="AC300" i="1"/>
  <c r="AL300" i="1" s="1"/>
  <c r="AA339" i="1"/>
  <c r="AJ339" i="1" s="1"/>
  <c r="X144" i="1"/>
  <c r="AG144" i="1" s="1"/>
  <c r="AA626" i="1"/>
  <c r="AJ626" i="1" s="1"/>
  <c r="AC626" i="1"/>
  <c r="AL626" i="1" s="1"/>
  <c r="AC216" i="1"/>
  <c r="AL216" i="1" s="1"/>
  <c r="AC254" i="1"/>
  <c r="AL254" i="1" s="1"/>
  <c r="W659" i="1"/>
  <c r="AF659" i="1" s="1"/>
  <c r="Y85" i="1"/>
  <c r="AH85" i="1" s="1"/>
  <c r="Y170" i="1"/>
  <c r="AH170" i="1" s="1"/>
  <c r="AI413" i="1"/>
  <c r="AK389" i="1"/>
  <c r="AN187" i="1"/>
  <c r="AI394" i="1"/>
  <c r="AK500" i="1"/>
  <c r="AK91" i="1"/>
  <c r="AK177" i="1"/>
  <c r="AI149" i="1"/>
  <c r="AN497" i="1"/>
  <c r="Y184" i="1"/>
  <c r="AH184" i="1" s="1"/>
  <c r="AK515" i="1"/>
  <c r="AK277" i="1"/>
  <c r="X285" i="1"/>
  <c r="AG285" i="1" s="1"/>
  <c r="AN269" i="1"/>
  <c r="AO269" i="1" s="1"/>
  <c r="AP269" i="1" s="1"/>
  <c r="AQ269" i="1" s="1"/>
  <c r="AR269" i="1" s="1"/>
  <c r="X344" i="1"/>
  <c r="AG344" i="1" s="1"/>
  <c r="AK638" i="1"/>
  <c r="AI130" i="1"/>
  <c r="AC210" i="1"/>
  <c r="AL210" i="1" s="1"/>
  <c r="AC147" i="1"/>
  <c r="AL147" i="1" s="1"/>
  <c r="AK320" i="1"/>
  <c r="AK158" i="1"/>
  <c r="AI304" i="1"/>
  <c r="AI363" i="1"/>
  <c r="Y277" i="1"/>
  <c r="AH277" i="1" s="1"/>
  <c r="AK168" i="1"/>
  <c r="AK428" i="1"/>
  <c r="AK200" i="1"/>
  <c r="AI161" i="1"/>
  <c r="AK586" i="1"/>
  <c r="X480" i="1"/>
  <c r="AG480" i="1" s="1"/>
  <c r="AK137" i="1"/>
  <c r="AN470" i="1"/>
  <c r="AO470" i="1" s="1"/>
  <c r="AI563" i="1"/>
  <c r="AI660" i="1"/>
  <c r="AC594" i="1"/>
  <c r="AL594" i="1" s="1"/>
  <c r="AA466" i="1"/>
  <c r="AJ466" i="1" s="1"/>
  <c r="AN147" i="1"/>
  <c r="AK86" i="1"/>
  <c r="AK535" i="1"/>
  <c r="Y330" i="1"/>
  <c r="AH330" i="1" s="1"/>
  <c r="AK238" i="1"/>
  <c r="AN86" i="1"/>
  <c r="AO86" i="1" s="1"/>
  <c r="AP86" i="1" s="1"/>
  <c r="AQ86" i="1" s="1"/>
  <c r="AR86" i="1" s="1"/>
  <c r="AI572" i="1"/>
  <c r="AK305" i="1"/>
  <c r="AK592" i="1"/>
  <c r="AN295" i="1"/>
  <c r="AO295" i="1" s="1"/>
  <c r="AP295" i="1" s="1"/>
  <c r="AQ295" i="1" s="1"/>
  <c r="AR295" i="1" s="1"/>
  <c r="AK128" i="1"/>
  <c r="AK597" i="1"/>
  <c r="AI225" i="1"/>
  <c r="AK227" i="1"/>
  <c r="AI143" i="1"/>
  <c r="AA195" i="1"/>
  <c r="AJ195" i="1" s="1"/>
  <c r="AC195" i="1"/>
  <c r="AL195" i="1" s="1"/>
  <c r="AK249" i="1"/>
  <c r="AA461" i="1"/>
  <c r="AJ461" i="1" s="1"/>
  <c r="X96" i="1"/>
  <c r="AG96" i="1" s="1"/>
  <c r="AK188" i="1"/>
  <c r="AA624" i="1"/>
  <c r="AJ624" i="1" s="1"/>
  <c r="Y492" i="1"/>
  <c r="AH492" i="1" s="1"/>
  <c r="AK486" i="1"/>
  <c r="AK549" i="1"/>
  <c r="AN231" i="1"/>
  <c r="AK463" i="1"/>
  <c r="AK462" i="1"/>
  <c r="AI489" i="1"/>
  <c r="Y435" i="1"/>
  <c r="AH435" i="1" s="1"/>
  <c r="AN402" i="1"/>
  <c r="Y552" i="1"/>
  <c r="AH552" i="1" s="1"/>
  <c r="AI435" i="1"/>
  <c r="AI173" i="1"/>
  <c r="AI292" i="1"/>
  <c r="AI202" i="1"/>
  <c r="AK491" i="1"/>
  <c r="AC399" i="1"/>
  <c r="AL399" i="1" s="1"/>
  <c r="AI537" i="1"/>
  <c r="Y201" i="1"/>
  <c r="AH201" i="1" s="1"/>
  <c r="AN573" i="1"/>
  <c r="AO573" i="1" s="1"/>
  <c r="AK458" i="1"/>
  <c r="AK360" i="1"/>
  <c r="AN644" i="1"/>
  <c r="AK178" i="1"/>
  <c r="AI418" i="1"/>
  <c r="AK438" i="1"/>
  <c r="AK109" i="1"/>
  <c r="X153" i="1"/>
  <c r="AG153" i="1" s="1"/>
  <c r="AI450" i="1"/>
  <c r="AI661" i="1"/>
  <c r="AA655" i="1"/>
  <c r="AJ655" i="1" s="1"/>
  <c r="AK197" i="1"/>
  <c r="X626" i="1"/>
  <c r="AG626" i="1" s="1"/>
  <c r="AK199" i="1"/>
  <c r="AI576" i="1"/>
  <c r="AK191" i="1"/>
  <c r="AI637" i="1"/>
  <c r="AK661" i="1"/>
  <c r="AK375" i="1"/>
  <c r="AI618" i="1"/>
  <c r="AK294" i="1"/>
  <c r="AI604" i="1"/>
  <c r="AA450" i="1"/>
  <c r="AJ450" i="1" s="1"/>
  <c r="W219" i="1"/>
  <c r="AF219" i="1" s="1"/>
  <c r="X525" i="1"/>
  <c r="AG525" i="1" s="1"/>
  <c r="AK616" i="1"/>
  <c r="AK650" i="1"/>
  <c r="AN84" i="1"/>
  <c r="AC154" i="1"/>
  <c r="AL154" i="1" s="1"/>
  <c r="AC281" i="1"/>
  <c r="AL281" i="1" s="1"/>
  <c r="W388" i="1"/>
  <c r="AF388" i="1" s="1"/>
  <c r="X497" i="1"/>
  <c r="AG497" i="1" s="1"/>
  <c r="W503" i="1"/>
  <c r="AF503" i="1" s="1"/>
  <c r="AK334" i="1"/>
  <c r="AN347" i="1"/>
  <c r="AC227" i="1"/>
  <c r="AL227" i="1" s="1"/>
  <c r="X312" i="1"/>
  <c r="AG312" i="1" s="1"/>
  <c r="Y149" i="1"/>
  <c r="AH149" i="1" s="1"/>
  <c r="Y132" i="1"/>
  <c r="AH132" i="1" s="1"/>
  <c r="W132" i="1"/>
  <c r="AF132" i="1" s="1"/>
  <c r="AI117" i="1"/>
  <c r="X117" i="1"/>
  <c r="AG117" i="1" s="1"/>
  <c r="W117" i="1"/>
  <c r="AF117" i="1" s="1"/>
  <c r="W576" i="1"/>
  <c r="AF576" i="1" s="1"/>
  <c r="Y576" i="1"/>
  <c r="AH576" i="1" s="1"/>
  <c r="AA462" i="1"/>
  <c r="AJ462" i="1" s="1"/>
  <c r="W462" i="1"/>
  <c r="AF462" i="1" s="1"/>
  <c r="AN584" i="1"/>
  <c r="Y305" i="1"/>
  <c r="AH305" i="1" s="1"/>
  <c r="Y317" i="1"/>
  <c r="AH317" i="1" s="1"/>
  <c r="W213" i="1"/>
  <c r="AF213" i="1" s="1"/>
  <c r="W148" i="1"/>
  <c r="AF148" i="1" s="1"/>
  <c r="AA563" i="1"/>
  <c r="AJ563" i="1" s="1"/>
  <c r="Y248" i="1"/>
  <c r="AH248" i="1" s="1"/>
  <c r="AN513" i="1"/>
  <c r="Y393" i="1"/>
  <c r="AH393" i="1" s="1"/>
  <c r="AA184" i="1"/>
  <c r="AJ184" i="1" s="1"/>
  <c r="Y263" i="1"/>
  <c r="AH263" i="1" s="1"/>
  <c r="AI159" i="1"/>
  <c r="AK107" i="1"/>
  <c r="AC325" i="1"/>
  <c r="AL325" i="1" s="1"/>
  <c r="Y572" i="1"/>
  <c r="AH572" i="1" s="1"/>
  <c r="X325" i="1"/>
  <c r="AG325" i="1" s="1"/>
  <c r="AI495" i="1"/>
  <c r="AN306" i="1"/>
  <c r="AI595" i="1"/>
  <c r="AK272" i="1"/>
  <c r="AI217" i="1"/>
  <c r="AC656" i="1"/>
  <c r="AL656" i="1" s="1"/>
  <c r="AN172" i="1"/>
  <c r="AK103" i="1"/>
  <c r="AI421" i="1"/>
  <c r="AK611" i="1"/>
  <c r="AK146" i="1"/>
  <c r="X543" i="1"/>
  <c r="AG543" i="1" s="1"/>
  <c r="AK244" i="1"/>
  <c r="AK583" i="1"/>
  <c r="AI507" i="1"/>
  <c r="AI383" i="1"/>
  <c r="AK321" i="1"/>
  <c r="AI460" i="1"/>
  <c r="AK172" i="1"/>
  <c r="AK337" i="1"/>
  <c r="AK350" i="1"/>
  <c r="AN639" i="1"/>
  <c r="AS639" i="1" s="1"/>
  <c r="AI219" i="1"/>
  <c r="AK427" i="1"/>
  <c r="AK442" i="1"/>
  <c r="AI480" i="1"/>
  <c r="AK570" i="1"/>
  <c r="AI527" i="1"/>
  <c r="AK469" i="1"/>
  <c r="AI170" i="1"/>
  <c r="AK171" i="1"/>
  <c r="Y503" i="1"/>
  <c r="AH503" i="1" s="1"/>
  <c r="AK341" i="1"/>
  <c r="AK472" i="1"/>
  <c r="AI91" i="1"/>
  <c r="AK479" i="1"/>
  <c r="X211" i="1"/>
  <c r="AG211" i="1" s="1"/>
  <c r="AK664" i="1"/>
  <c r="AI653" i="1"/>
  <c r="AA476" i="1"/>
  <c r="AJ476" i="1" s="1"/>
  <c r="Y463" i="1"/>
  <c r="AH463" i="1" s="1"/>
  <c r="AC362" i="1"/>
  <c r="AL362" i="1" s="1"/>
  <c r="Y479" i="1"/>
  <c r="AH479" i="1" s="1"/>
  <c r="AI346" i="1"/>
  <c r="AI200" i="1"/>
  <c r="AN502" i="1"/>
  <c r="AI92" i="1"/>
  <c r="AK387" i="1"/>
  <c r="AK645" i="1"/>
  <c r="Y501" i="1"/>
  <c r="AH501" i="1" s="1"/>
  <c r="AC91" i="1"/>
  <c r="AL91" i="1" s="1"/>
  <c r="AK132" i="1"/>
  <c r="AI544" i="1"/>
  <c r="AI524" i="1"/>
  <c r="X103" i="1"/>
  <c r="AG103" i="1" s="1"/>
  <c r="AI302" i="1"/>
  <c r="AN428" i="1"/>
  <c r="AI236" i="1"/>
  <c r="AK124" i="1"/>
  <c r="W558" i="1"/>
  <c r="AF558" i="1" s="1"/>
  <c r="X558" i="1"/>
  <c r="AG558" i="1" s="1"/>
  <c r="AC558" i="1"/>
  <c r="AL558" i="1" s="1"/>
  <c r="AA558" i="1"/>
  <c r="AJ558" i="1" s="1"/>
  <c r="AS311" i="1"/>
  <c r="AB190" i="1"/>
  <c r="AK190" i="1" s="1"/>
  <c r="AA201" i="1"/>
  <c r="AJ201" i="1" s="1"/>
  <c r="AN201" i="1"/>
  <c r="AO201" i="1" s="1"/>
  <c r="AP201" i="1" s="1"/>
  <c r="AQ201" i="1" s="1"/>
  <c r="AR201" i="1" s="1"/>
  <c r="AK468" i="1"/>
  <c r="AO635" i="1"/>
  <c r="AP635" i="1" s="1"/>
  <c r="AQ635" i="1" s="1"/>
  <c r="AR635" i="1" s="1"/>
  <c r="AO354" i="1"/>
  <c r="AO131" i="1"/>
  <c r="AP131" i="1" s="1"/>
  <c r="AQ131" i="1" s="1"/>
  <c r="AR131" i="1" s="1"/>
  <c r="AI446" i="1"/>
  <c r="X446" i="1"/>
  <c r="AG446" i="1" s="1"/>
  <c r="AC446" i="1"/>
  <c r="AL446" i="1" s="1"/>
  <c r="W446" i="1"/>
  <c r="AF446" i="1" s="1"/>
  <c r="W488" i="1"/>
  <c r="AF488" i="1" s="1"/>
  <c r="X195" i="1"/>
  <c r="AG195" i="1" s="1"/>
  <c r="AN626" i="1"/>
  <c r="AO626" i="1" s="1"/>
  <c r="AP626" i="1" s="1"/>
  <c r="AQ626" i="1" s="1"/>
  <c r="AR626" i="1" s="1"/>
  <c r="AC580" i="1"/>
  <c r="AL580" i="1" s="1"/>
  <c r="AI580" i="1"/>
  <c r="W580" i="1"/>
  <c r="AF580" i="1" s="1"/>
  <c r="AK182" i="1"/>
  <c r="Y620" i="1"/>
  <c r="AH620" i="1" s="1"/>
  <c r="X620" i="1"/>
  <c r="AG620" i="1" s="1"/>
  <c r="AC620" i="1"/>
  <c r="AL620" i="1" s="1"/>
  <c r="X288" i="1"/>
  <c r="AG288" i="1" s="1"/>
  <c r="Y86" i="1"/>
  <c r="AH86" i="1" s="1"/>
  <c r="AI426" i="1"/>
  <c r="W426" i="1"/>
  <c r="AF426" i="1" s="1"/>
  <c r="AC426" i="1"/>
  <c r="AL426" i="1" s="1"/>
  <c r="X426" i="1"/>
  <c r="AG426" i="1" s="1"/>
  <c r="Z376" i="1"/>
  <c r="AI376" i="1" s="1"/>
  <c r="AA83" i="1"/>
  <c r="AJ83" i="1" s="1"/>
  <c r="W83" i="1"/>
  <c r="AF83" i="1" s="1"/>
  <c r="AI83" i="1"/>
  <c r="X83" i="1"/>
  <c r="AG83" i="1" s="1"/>
  <c r="W253" i="1"/>
  <c r="AF253" i="1" s="1"/>
  <c r="AI253" i="1"/>
  <c r="AG253" i="1"/>
  <c r="X95" i="1"/>
  <c r="AG95" i="1" s="1"/>
  <c r="AI515" i="1"/>
  <c r="X515" i="1"/>
  <c r="AG515" i="1" s="1"/>
  <c r="W515" i="1"/>
  <c r="AF515" i="1" s="1"/>
  <c r="Y515" i="1"/>
  <c r="AH515" i="1" s="1"/>
  <c r="AB279" i="1"/>
  <c r="AK279" i="1" s="1"/>
  <c r="W482" i="1"/>
  <c r="AF482" i="1" s="1"/>
  <c r="AA482" i="1"/>
  <c r="AJ482" i="1" s="1"/>
  <c r="AI482" i="1"/>
  <c r="AB121" i="1"/>
  <c r="AK121" i="1" s="1"/>
  <c r="AI603" i="1"/>
  <c r="AC603" i="1"/>
  <c r="AL603" i="1" s="1"/>
  <c r="X663" i="1"/>
  <c r="AG663" i="1" s="1"/>
  <c r="AC663" i="1"/>
  <c r="AL663" i="1" s="1"/>
  <c r="AO511" i="1"/>
  <c r="AS511" i="1"/>
  <c r="AN315" i="1"/>
  <c r="AA315" i="1"/>
  <c r="AJ315" i="1" s="1"/>
  <c r="AB273" i="1"/>
  <c r="AK273" i="1" s="1"/>
  <c r="AN175" i="1"/>
  <c r="AC288" i="1"/>
  <c r="AL288" i="1" s="1"/>
  <c r="W157" i="1"/>
  <c r="AF157" i="1" s="1"/>
  <c r="AC509" i="1"/>
  <c r="AL509" i="1" s="1"/>
  <c r="Y509" i="1"/>
  <c r="AH509" i="1" s="1"/>
  <c r="AI509" i="1"/>
  <c r="AB388" i="1"/>
  <c r="AC172" i="1"/>
  <c r="AL172" i="1" s="1"/>
  <c r="Y172" i="1"/>
  <c r="AH172" i="1" s="1"/>
  <c r="AA438" i="1"/>
  <c r="AJ438" i="1" s="1"/>
  <c r="AA554" i="1"/>
  <c r="AJ554" i="1" s="1"/>
  <c r="AI459" i="1"/>
  <c r="W459" i="1"/>
  <c r="AF459" i="1" s="1"/>
  <c r="W627" i="1"/>
  <c r="AF627" i="1" s="1"/>
  <c r="AC123" i="1"/>
  <c r="AL123" i="1" s="1"/>
  <c r="W603" i="1"/>
  <c r="AF603" i="1" s="1"/>
  <c r="W663" i="1"/>
  <c r="AF663" i="1" s="1"/>
  <c r="AB545" i="1"/>
  <c r="AK545" i="1" s="1"/>
  <c r="W559" i="1"/>
  <c r="AF559" i="1" s="1"/>
  <c r="Y559" i="1"/>
  <c r="AH559" i="1" s="1"/>
  <c r="X267" i="1"/>
  <c r="AG267" i="1" s="1"/>
  <c r="Y267" i="1"/>
  <c r="AH267" i="1" s="1"/>
  <c r="W267" i="1"/>
  <c r="AF267" i="1" s="1"/>
  <c r="AA566" i="1"/>
  <c r="AJ566" i="1" s="1"/>
  <c r="AC191" i="1"/>
  <c r="AL191" i="1" s="1"/>
  <c r="W191" i="1"/>
  <c r="AF191" i="1" s="1"/>
  <c r="W555" i="1"/>
  <c r="AF555" i="1" s="1"/>
  <c r="AC555" i="1"/>
  <c r="AL555" i="1" s="1"/>
  <c r="AI221" i="1"/>
  <c r="AC221" i="1"/>
  <c r="AL221" i="1" s="1"/>
  <c r="Y243" i="1"/>
  <c r="AH243" i="1" s="1"/>
  <c r="W243" i="1"/>
  <c r="AF243" i="1" s="1"/>
  <c r="AA131" i="1"/>
  <c r="AJ131" i="1" s="1"/>
  <c r="AI131" i="1"/>
  <c r="X131" i="1"/>
  <c r="AG131" i="1" s="1"/>
  <c r="AC131" i="1"/>
  <c r="AL131" i="1" s="1"/>
  <c r="AC577" i="1"/>
  <c r="AL577" i="1" s="1"/>
  <c r="W577" i="1"/>
  <c r="AF577" i="1" s="1"/>
  <c r="AA577" i="1"/>
  <c r="AJ577" i="1" s="1"/>
  <c r="AK361" i="1"/>
  <c r="AC548" i="1"/>
  <c r="AL548" i="1" s="1"/>
  <c r="Y548" i="1"/>
  <c r="AH548" i="1" s="1"/>
  <c r="Y246" i="1"/>
  <c r="AH246" i="1" s="1"/>
  <c r="Y181" i="1"/>
  <c r="AH181" i="1" s="1"/>
  <c r="Y282" i="1"/>
  <c r="AH282" i="1" s="1"/>
  <c r="Y469" i="1"/>
  <c r="AH469" i="1" s="1"/>
  <c r="AN394" i="1"/>
  <c r="Y495" i="1"/>
  <c r="AH495" i="1" s="1"/>
  <c r="AI247" i="1"/>
  <c r="AA299" i="1"/>
  <c r="AJ299" i="1" s="1"/>
  <c r="Y115" i="1"/>
  <c r="AH115" i="1" s="1"/>
  <c r="AA481" i="1"/>
  <c r="AJ481" i="1" s="1"/>
  <c r="W481" i="1"/>
  <c r="AF481" i="1" s="1"/>
  <c r="X303" i="1"/>
  <c r="AG303" i="1" s="1"/>
  <c r="AI303" i="1"/>
  <c r="X548" i="1"/>
  <c r="AG548" i="1" s="1"/>
  <c r="W277" i="1"/>
  <c r="AF277" i="1" s="1"/>
  <c r="AI179" i="1"/>
  <c r="AN397" i="1"/>
  <c r="AI239" i="1"/>
  <c r="Y475" i="1"/>
  <c r="AH475" i="1" s="1"/>
  <c r="X364" i="1"/>
  <c r="AG364" i="1" s="1"/>
  <c r="AB399" i="1"/>
  <c r="AK399" i="1" s="1"/>
  <c r="X652" i="1"/>
  <c r="AG652" i="1" s="1"/>
  <c r="AN102" i="1"/>
  <c r="AI441" i="1"/>
  <c r="AK391" i="1"/>
  <c r="AC612" i="1"/>
  <c r="AL612" i="1" s="1"/>
  <c r="X510" i="1"/>
  <c r="AG510" i="1" s="1"/>
  <c r="AA97" i="1"/>
  <c r="AJ97" i="1" s="1"/>
  <c r="X654" i="1"/>
  <c r="AG654" i="1" s="1"/>
  <c r="AK150" i="1"/>
  <c r="AK114" i="1"/>
  <c r="AB576" i="1"/>
  <c r="AK576" i="1" s="1"/>
  <c r="AI534" i="1"/>
  <c r="Y570" i="1"/>
  <c r="AH570" i="1" s="1"/>
  <c r="AK536" i="1"/>
  <c r="X186" i="1"/>
  <c r="AG186" i="1" s="1"/>
  <c r="AI419" i="1"/>
  <c r="X502" i="1"/>
  <c r="AG502" i="1" s="1"/>
  <c r="AN531" i="1"/>
  <c r="AN119" i="1"/>
  <c r="AA494" i="1"/>
  <c r="AJ494" i="1" s="1"/>
  <c r="AN625" i="1"/>
  <c r="Y331" i="1"/>
  <c r="AH331" i="1" s="1"/>
  <c r="X466" i="1"/>
  <c r="AG466" i="1" s="1"/>
  <c r="AC407" i="1"/>
  <c r="AL407" i="1" s="1"/>
  <c r="W202" i="1"/>
  <c r="AF202" i="1" s="1"/>
  <c r="AA516" i="1"/>
  <c r="AJ516" i="1" s="1"/>
  <c r="W441" i="1"/>
  <c r="AF441" i="1" s="1"/>
  <c r="AN438" i="1"/>
  <c r="AO438" i="1" s="1"/>
  <c r="AP438" i="1" s="1"/>
  <c r="AQ438" i="1" s="1"/>
  <c r="AR438" i="1" s="1"/>
  <c r="Y321" i="1"/>
  <c r="AH321" i="1" s="1"/>
  <c r="X232" i="1"/>
  <c r="AG232" i="1" s="1"/>
  <c r="AA578" i="1"/>
  <c r="AJ578" i="1" s="1"/>
  <c r="AI207" i="1"/>
  <c r="W177" i="1"/>
  <c r="AF177" i="1" s="1"/>
  <c r="X166" i="1"/>
  <c r="AG166" i="1" s="1"/>
  <c r="X202" i="1"/>
  <c r="AG202" i="1" s="1"/>
  <c r="X339" i="1"/>
  <c r="AG339" i="1" s="1"/>
  <c r="AC166" i="1"/>
  <c r="AL166" i="1" s="1"/>
  <c r="X316" i="1"/>
  <c r="AG316" i="1" s="1"/>
  <c r="AA363" i="1"/>
  <c r="AJ363" i="1" s="1"/>
  <c r="X547" i="1"/>
  <c r="AG547" i="1" s="1"/>
  <c r="AI180" i="1" l="1"/>
  <c r="AC118" i="1"/>
  <c r="AL118" i="1" s="1"/>
  <c r="AK603" i="1"/>
  <c r="X155" i="1"/>
  <c r="AG155" i="1" s="1"/>
  <c r="AP511" i="1"/>
  <c r="AI307" i="1"/>
  <c r="AA216" i="1"/>
  <c r="AJ216" i="1" s="1"/>
  <c r="Y180" i="1"/>
  <c r="AH180" i="1" s="1"/>
  <c r="AC340" i="1"/>
  <c r="AL340" i="1" s="1"/>
  <c r="AC501" i="1"/>
  <c r="AL501" i="1" s="1"/>
  <c r="AN100" i="1"/>
  <c r="AO100" i="1" s="1"/>
  <c r="AP100" i="1" s="1"/>
  <c r="AQ100" i="1" s="1"/>
  <c r="AR100" i="1" s="1"/>
  <c r="AC571" i="1"/>
  <c r="AL571" i="1" s="1"/>
  <c r="AW571" i="1" s="1"/>
  <c r="BB571" i="1" s="1"/>
  <c r="AI205" i="1"/>
  <c r="AA608" i="1"/>
  <c r="AJ608" i="1" s="1"/>
  <c r="AA597" i="1"/>
  <c r="AJ597" i="1" s="1"/>
  <c r="AW597" i="1" s="1"/>
  <c r="AX597" i="1" s="1"/>
  <c r="AY597" i="1" s="1"/>
  <c r="AZ597" i="1" s="1"/>
  <c r="BA597" i="1" s="1"/>
  <c r="AC358" i="1"/>
  <c r="AL358" i="1" s="1"/>
  <c r="AW358" i="1" s="1"/>
  <c r="AN265" i="1"/>
  <c r="AO265" i="1" s="1"/>
  <c r="AP265" i="1" s="1"/>
  <c r="AC148" i="1"/>
  <c r="AL148" i="1" s="1"/>
  <c r="AA442" i="1"/>
  <c r="AJ442" i="1" s="1"/>
  <c r="AN480" i="1"/>
  <c r="AO480" i="1" s="1"/>
  <c r="AP480" i="1" s="1"/>
  <c r="AQ480" i="1" s="1"/>
  <c r="AR480" i="1" s="1"/>
  <c r="AS586" i="1"/>
  <c r="AC599" i="1"/>
  <c r="AL599" i="1" s="1"/>
  <c r="AC593" i="1"/>
  <c r="AL593" i="1" s="1"/>
  <c r="AW593" i="1" s="1"/>
  <c r="AX593" i="1" s="1"/>
  <c r="AQ637" i="1"/>
  <c r="AR637" i="1" s="1"/>
  <c r="AI473" i="1"/>
  <c r="AC256" i="1"/>
  <c r="AL256" i="1" s="1"/>
  <c r="AA256" i="1"/>
  <c r="AJ256" i="1" s="1"/>
  <c r="AC655" i="1"/>
  <c r="AL655" i="1" s="1"/>
  <c r="AW655" i="1" s="1"/>
  <c r="AX655" i="1" s="1"/>
  <c r="AY655" i="1" s="1"/>
  <c r="AZ655" i="1" s="1"/>
  <c r="BA655" i="1" s="1"/>
  <c r="Y437" i="1"/>
  <c r="AH437" i="1" s="1"/>
  <c r="AA610" i="1"/>
  <c r="AJ610" i="1" s="1"/>
  <c r="AC403" i="1"/>
  <c r="AL403" i="1" s="1"/>
  <c r="Y307" i="1"/>
  <c r="AH307" i="1" s="1"/>
  <c r="AN504" i="1"/>
  <c r="AO504" i="1" s="1"/>
  <c r="AP504" i="1" s="1"/>
  <c r="AQ504" i="1" s="1"/>
  <c r="AR504" i="1" s="1"/>
  <c r="AK108" i="1"/>
  <c r="AA599" i="1"/>
  <c r="AJ599" i="1" s="1"/>
  <c r="AA329" i="1"/>
  <c r="AJ329" i="1" s="1"/>
  <c r="AA431" i="1"/>
  <c r="AJ431" i="1" s="1"/>
  <c r="AN399" i="1"/>
  <c r="W530" i="1"/>
  <c r="AF530" i="1" s="1"/>
  <c r="AA170" i="1"/>
  <c r="AJ170" i="1" s="1"/>
  <c r="X473" i="1"/>
  <c r="AG473" i="1" s="1"/>
  <c r="AS634" i="1"/>
  <c r="AQ95" i="1"/>
  <c r="AR95" i="1" s="1"/>
  <c r="Y118" i="1"/>
  <c r="AH118" i="1" s="1"/>
  <c r="AI358" i="1"/>
  <c r="X180" i="1"/>
  <c r="AG180" i="1" s="1"/>
  <c r="AA307" i="1"/>
  <c r="AJ307" i="1" s="1"/>
  <c r="AN583" i="1"/>
  <c r="AO583" i="1" s="1"/>
  <c r="AP583" i="1" s="1"/>
  <c r="AQ583" i="1" s="1"/>
  <c r="AR583" i="1" s="1"/>
  <c r="AA82" i="1"/>
  <c r="AJ82" i="1" s="1"/>
  <c r="AI597" i="1"/>
  <c r="AP640" i="1"/>
  <c r="AQ640" i="1" s="1"/>
  <c r="AR640" i="1" s="1"/>
  <c r="W358" i="1"/>
  <c r="AF358" i="1" s="1"/>
  <c r="AS250" i="1"/>
  <c r="AC437" i="1"/>
  <c r="AL437" i="1" s="1"/>
  <c r="AN422" i="1"/>
  <c r="AO422" i="1" s="1"/>
  <c r="AP422" i="1" s="1"/>
  <c r="AQ422" i="1" s="1"/>
  <c r="AR422" i="1" s="1"/>
  <c r="AS90" i="1"/>
  <c r="AP604" i="1"/>
  <c r="AQ604" i="1" s="1"/>
  <c r="AR604" i="1" s="1"/>
  <c r="AP648" i="1"/>
  <c r="AS564" i="1"/>
  <c r="AP93" i="1"/>
  <c r="AQ93" i="1" s="1"/>
  <c r="AR93" i="1" s="1"/>
  <c r="X274" i="1"/>
  <c r="AG274" i="1" s="1"/>
  <c r="AI610" i="1"/>
  <c r="X530" i="1"/>
  <c r="AG530" i="1" s="1"/>
  <c r="AI256" i="1"/>
  <c r="AI338" i="1"/>
  <c r="X431" i="1"/>
  <c r="AG431" i="1" s="1"/>
  <c r="AC610" i="1"/>
  <c r="AL610" i="1" s="1"/>
  <c r="AA588" i="1"/>
  <c r="AJ588" i="1" s="1"/>
  <c r="AW588" i="1" s="1"/>
  <c r="AX588" i="1" s="1"/>
  <c r="AP107" i="1"/>
  <c r="AQ107" i="1" s="1"/>
  <c r="AR107" i="1" s="1"/>
  <c r="AK639" i="1"/>
  <c r="Y593" i="1"/>
  <c r="AH593" i="1" s="1"/>
  <c r="AC329" i="1"/>
  <c r="AL329" i="1" s="1"/>
  <c r="AW329" i="1" s="1"/>
  <c r="AX329" i="1" s="1"/>
  <c r="AY329" i="1" s="1"/>
  <c r="AC445" i="1"/>
  <c r="AL445" i="1" s="1"/>
  <c r="W216" i="1"/>
  <c r="AF216" i="1" s="1"/>
  <c r="AN452" i="1"/>
  <c r="AO452" i="1" s="1"/>
  <c r="AP452" i="1" s="1"/>
  <c r="AQ452" i="1" s="1"/>
  <c r="AR452" i="1" s="1"/>
  <c r="X406" i="1"/>
  <c r="AG406" i="1" s="1"/>
  <c r="AW517" i="1"/>
  <c r="X287" i="1"/>
  <c r="AG287" i="1" s="1"/>
  <c r="W82" i="1"/>
  <c r="AF82" i="1" s="1"/>
  <c r="AC307" i="1"/>
  <c r="AL307" i="1" s="1"/>
  <c r="AW307" i="1" s="1"/>
  <c r="AX307" i="1" s="1"/>
  <c r="AY307" i="1" s="1"/>
  <c r="AZ307" i="1" s="1"/>
  <c r="BA307" i="1" s="1"/>
  <c r="X588" i="1"/>
  <c r="AG588" i="1" s="1"/>
  <c r="AQ618" i="1"/>
  <c r="AR618" i="1" s="1"/>
  <c r="AP171" i="1"/>
  <c r="AQ171" i="1" s="1"/>
  <c r="AR171" i="1" s="1"/>
  <c r="AP400" i="1"/>
  <c r="AQ400" i="1" s="1"/>
  <c r="AR400" i="1" s="1"/>
  <c r="AC370" i="1"/>
  <c r="AL370" i="1" s="1"/>
  <c r="X226" i="1"/>
  <c r="AG226" i="1" s="1"/>
  <c r="AQ622" i="1"/>
  <c r="AR622" i="1" s="1"/>
  <c r="AP657" i="1"/>
  <c r="AQ657" i="1" s="1"/>
  <c r="AR657" i="1" s="1"/>
  <c r="Y431" i="1"/>
  <c r="AH431" i="1" s="1"/>
  <c r="AA311" i="1"/>
  <c r="AJ311" i="1" s="1"/>
  <c r="AW311" i="1" s="1"/>
  <c r="AX311" i="1" s="1"/>
  <c r="AY311" i="1" s="1"/>
  <c r="AZ311" i="1" s="1"/>
  <c r="BA311" i="1" s="1"/>
  <c r="AN517" i="1"/>
  <c r="AO517" i="1" s="1"/>
  <c r="AP517" i="1" s="1"/>
  <c r="AQ517" i="1" s="1"/>
  <c r="AR517" i="1" s="1"/>
  <c r="AS267" i="1"/>
  <c r="AC588" i="1"/>
  <c r="AL588" i="1" s="1"/>
  <c r="AS140" i="1"/>
  <c r="AK455" i="1"/>
  <c r="X318" i="1"/>
  <c r="AG318" i="1" s="1"/>
  <c r="AI175" i="1"/>
  <c r="AC175" i="1"/>
  <c r="AL175" i="1" s="1"/>
  <c r="X216" i="1"/>
  <c r="AG216" i="1" s="1"/>
  <c r="AC260" i="1"/>
  <c r="AL260" i="1" s="1"/>
  <c r="AW260" i="1" s="1"/>
  <c r="X307" i="1"/>
  <c r="AG307" i="1" s="1"/>
  <c r="AQ561" i="1"/>
  <c r="AR561" i="1" s="1"/>
  <c r="Y406" i="1"/>
  <c r="AH406" i="1" s="1"/>
  <c r="AC82" i="1"/>
  <c r="AL82" i="1" s="1"/>
  <c r="Y82" i="1"/>
  <c r="AH82" i="1" s="1"/>
  <c r="AQ544" i="1"/>
  <c r="AR544" i="1" s="1"/>
  <c r="AS370" i="1"/>
  <c r="AS97" i="1"/>
  <c r="AQ268" i="1"/>
  <c r="AR268" i="1" s="1"/>
  <c r="AC114" i="1"/>
  <c r="AL114" i="1" s="1"/>
  <c r="AW114" i="1" s="1"/>
  <c r="AX114" i="1" s="1"/>
  <c r="AY114" i="1" s="1"/>
  <c r="AZ114" i="1" s="1"/>
  <c r="BA114" i="1" s="1"/>
  <c r="AS225" i="1"/>
  <c r="AN157" i="1"/>
  <c r="AO157" i="1" s="1"/>
  <c r="AP157" i="1" s="1"/>
  <c r="AQ157" i="1" s="1"/>
  <c r="AR157" i="1" s="1"/>
  <c r="X662" i="1"/>
  <c r="AG662" i="1" s="1"/>
  <c r="Y287" i="1"/>
  <c r="AH287" i="1" s="1"/>
  <c r="Y338" i="1"/>
  <c r="AH338" i="1" s="1"/>
  <c r="W593" i="1"/>
  <c r="AF593" i="1" s="1"/>
  <c r="AA593" i="1"/>
  <c r="AJ593" i="1" s="1"/>
  <c r="AA338" i="1"/>
  <c r="AJ338" i="1" s="1"/>
  <c r="AA571" i="1"/>
  <c r="AJ571" i="1" s="1"/>
  <c r="AK498" i="1"/>
  <c r="X329" i="1"/>
  <c r="AG329" i="1" s="1"/>
  <c r="AI216" i="1"/>
  <c r="AK439" i="1"/>
  <c r="AC205" i="1"/>
  <c r="AL205" i="1" s="1"/>
  <c r="Y588" i="1"/>
  <c r="AH588" i="1" s="1"/>
  <c r="AQ108" i="1"/>
  <c r="AR108" i="1" s="1"/>
  <c r="AK396" i="1"/>
  <c r="AA287" i="1"/>
  <c r="AJ287" i="1" s="1"/>
  <c r="Y329" i="1"/>
  <c r="AH329" i="1" s="1"/>
  <c r="AC431" i="1"/>
  <c r="AL431" i="1" s="1"/>
  <c r="AS620" i="1"/>
  <c r="Y270" i="1"/>
  <c r="AH270" i="1" s="1"/>
  <c r="X205" i="1"/>
  <c r="AG205" i="1" s="1"/>
  <c r="AC598" i="1"/>
  <c r="AL598" i="1" s="1"/>
  <c r="AI598" i="1"/>
  <c r="AI591" i="1"/>
  <c r="AW513" i="1"/>
  <c r="AX513" i="1" s="1"/>
  <c r="AA380" i="1"/>
  <c r="AJ380" i="1" s="1"/>
  <c r="AO633" i="1"/>
  <c r="AP633" i="1" s="1"/>
  <c r="AQ633" i="1" s="1"/>
  <c r="AR633" i="1" s="1"/>
  <c r="AW610" i="1"/>
  <c r="AX610" i="1" s="1"/>
  <c r="AY610" i="1" s="1"/>
  <c r="X518" i="1"/>
  <c r="AG518" i="1" s="1"/>
  <c r="AI429" i="1"/>
  <c r="Y374" i="1"/>
  <c r="AH374" i="1" s="1"/>
  <c r="X610" i="1"/>
  <c r="AG610" i="1" s="1"/>
  <c r="AI190" i="1"/>
  <c r="AN587" i="1"/>
  <c r="AS587" i="1" s="1"/>
  <c r="Y127" i="1"/>
  <c r="AH127" i="1" s="1"/>
  <c r="AC420" i="1"/>
  <c r="AL420" i="1" s="1"/>
  <c r="AW420" i="1" s="1"/>
  <c r="AX420" i="1" s="1"/>
  <c r="AY420" i="1" s="1"/>
  <c r="AZ420" i="1" s="1"/>
  <c r="BA420" i="1" s="1"/>
  <c r="AC414" i="1"/>
  <c r="AL414" i="1" s="1"/>
  <c r="AC574" i="1"/>
  <c r="AL574" i="1" s="1"/>
  <c r="AW574" i="1" s="1"/>
  <c r="AX574" i="1" s="1"/>
  <c r="AY574" i="1" s="1"/>
  <c r="AZ574" i="1" s="1"/>
  <c r="BA574" i="1" s="1"/>
  <c r="AI333" i="1"/>
  <c r="AN185" i="1"/>
  <c r="AS185" i="1" s="1"/>
  <c r="AA506" i="1"/>
  <c r="AJ506" i="1" s="1"/>
  <c r="AA397" i="1"/>
  <c r="AJ397" i="1" s="1"/>
  <c r="AW140" i="1"/>
  <c r="AX140" i="1" s="1"/>
  <c r="AY140" i="1" s="1"/>
  <c r="AZ140" i="1" s="1"/>
  <c r="BA140" i="1" s="1"/>
  <c r="AA328" i="1"/>
  <c r="AJ328" i="1" s="1"/>
  <c r="AW328" i="1" s="1"/>
  <c r="AX328" i="1" s="1"/>
  <c r="AY328" i="1" s="1"/>
  <c r="AZ328" i="1" s="1"/>
  <c r="BA328" i="1" s="1"/>
  <c r="AC137" i="1"/>
  <c r="AL137" i="1" s="1"/>
  <c r="AW137" i="1" s="1"/>
  <c r="AX137" i="1" s="1"/>
  <c r="AY137" i="1" s="1"/>
  <c r="AZ137" i="1" s="1"/>
  <c r="BA137" i="1" s="1"/>
  <c r="AC144" i="1"/>
  <c r="AL144" i="1" s="1"/>
  <c r="X170" i="1"/>
  <c r="AG170" i="1" s="1"/>
  <c r="AW403" i="1"/>
  <c r="AX403" i="1" s="1"/>
  <c r="AY403" i="1" s="1"/>
  <c r="AZ403" i="1" s="1"/>
  <c r="BA403" i="1" s="1"/>
  <c r="Y434" i="1"/>
  <c r="AH434" i="1" s="1"/>
  <c r="AA359" i="1"/>
  <c r="AJ359" i="1" s="1"/>
  <c r="AW359" i="1" s="1"/>
  <c r="AX359" i="1" s="1"/>
  <c r="AY359" i="1" s="1"/>
  <c r="AZ359" i="1" s="1"/>
  <c r="BA359" i="1" s="1"/>
  <c r="AA101" i="1"/>
  <c r="AJ101" i="1" s="1"/>
  <c r="AW101" i="1" s="1"/>
  <c r="BB101" i="1" s="1"/>
  <c r="X601" i="1"/>
  <c r="AG601" i="1" s="1"/>
  <c r="AA144" i="1"/>
  <c r="AJ144" i="1" s="1"/>
  <c r="AC339" i="1"/>
  <c r="AL339" i="1" s="1"/>
  <c r="AW339" i="1" s="1"/>
  <c r="AX339" i="1" s="1"/>
  <c r="AC136" i="1"/>
  <c r="AL136" i="1" s="1"/>
  <c r="AQ204" i="1"/>
  <c r="AR204" i="1" s="1"/>
  <c r="AA580" i="1"/>
  <c r="AJ580" i="1" s="1"/>
  <c r="AW580" i="1" s="1"/>
  <c r="BB580" i="1" s="1"/>
  <c r="W591" i="1"/>
  <c r="AF591" i="1" s="1"/>
  <c r="W536" i="1"/>
  <c r="AF536" i="1" s="1"/>
  <c r="AP609" i="1"/>
  <c r="AQ609" i="1" s="1"/>
  <c r="AR609" i="1" s="1"/>
  <c r="AA548" i="1"/>
  <c r="AJ548" i="1" s="1"/>
  <c r="AW548" i="1" s="1"/>
  <c r="AX548" i="1" s="1"/>
  <c r="AY548" i="1" s="1"/>
  <c r="AZ548" i="1" s="1"/>
  <c r="BA548" i="1" s="1"/>
  <c r="X141" i="1"/>
  <c r="AG141" i="1" s="1"/>
  <c r="AC529" i="1"/>
  <c r="AL529" i="1" s="1"/>
  <c r="AI529" i="1"/>
  <c r="AS416" i="1"/>
  <c r="X217" i="1"/>
  <c r="AG217" i="1" s="1"/>
  <c r="AC412" i="1"/>
  <c r="AL412" i="1" s="1"/>
  <c r="AA507" i="1"/>
  <c r="AJ507" i="1" s="1"/>
  <c r="AW507" i="1" s="1"/>
  <c r="AX507" i="1" s="1"/>
  <c r="AY507" i="1" s="1"/>
  <c r="AZ507" i="1" s="1"/>
  <c r="BA507" i="1" s="1"/>
  <c r="AQ173" i="1"/>
  <c r="AR173" i="1" s="1"/>
  <c r="AS541" i="1"/>
  <c r="AC436" i="1"/>
  <c r="AL436" i="1" s="1"/>
  <c r="AP199" i="1"/>
  <c r="AQ199" i="1" s="1"/>
  <c r="AR199" i="1" s="1"/>
  <c r="AP574" i="1"/>
  <c r="AQ574" i="1" s="1"/>
  <c r="AR574" i="1" s="1"/>
  <c r="AK170" i="1"/>
  <c r="AK395" i="1"/>
  <c r="AP219" i="1"/>
  <c r="AQ219" i="1" s="1"/>
  <c r="AR219" i="1" s="1"/>
  <c r="Y630" i="1"/>
  <c r="AH630" i="1" s="1"/>
  <c r="AA620" i="1"/>
  <c r="AJ620" i="1" s="1"/>
  <c r="AW620" i="1" s="1"/>
  <c r="AX620" i="1" s="1"/>
  <c r="AY620" i="1" s="1"/>
  <c r="AZ620" i="1" s="1"/>
  <c r="BA620" i="1" s="1"/>
  <c r="AI141" i="1"/>
  <c r="Y280" i="1"/>
  <c r="AH280" i="1" s="1"/>
  <c r="AI339" i="1"/>
  <c r="AC541" i="1"/>
  <c r="AL541" i="1" s="1"/>
  <c r="AW541" i="1" s="1"/>
  <c r="AX541" i="1" s="1"/>
  <c r="AY541" i="1" s="1"/>
  <c r="AZ541" i="1" s="1"/>
  <c r="BA541" i="1" s="1"/>
  <c r="AA529" i="1"/>
  <c r="AJ529" i="1" s="1"/>
  <c r="AW529" i="1" s="1"/>
  <c r="AX529" i="1" s="1"/>
  <c r="W529" i="1"/>
  <c r="AF529" i="1" s="1"/>
  <c r="X523" i="1"/>
  <c r="AG523" i="1" s="1"/>
  <c r="X143" i="1"/>
  <c r="AG143" i="1" s="1"/>
  <c r="AC85" i="1"/>
  <c r="AL85" i="1" s="1"/>
  <c r="AW85" i="1" s="1"/>
  <c r="AQ614" i="1"/>
  <c r="AR614" i="1" s="1"/>
  <c r="X630" i="1"/>
  <c r="AG630" i="1" s="1"/>
  <c r="AP115" i="1"/>
  <c r="AQ115" i="1" s="1"/>
  <c r="AR115" i="1" s="1"/>
  <c r="AA504" i="1"/>
  <c r="AJ504" i="1" s="1"/>
  <c r="AW504" i="1" s="1"/>
  <c r="AX504" i="1" s="1"/>
  <c r="AY504" i="1" s="1"/>
  <c r="AZ504" i="1" s="1"/>
  <c r="BA504" i="1" s="1"/>
  <c r="AO506" i="1"/>
  <c r="AP506" i="1" s="1"/>
  <c r="AQ506" i="1" s="1"/>
  <c r="AR506" i="1" s="1"/>
  <c r="AW446" i="1"/>
  <c r="AX446" i="1" s="1"/>
  <c r="AY446" i="1" s="1"/>
  <c r="AZ446" i="1" s="1"/>
  <c r="BA446" i="1" s="1"/>
  <c r="AO479" i="1"/>
  <c r="AP479" i="1" s="1"/>
  <c r="AQ479" i="1" s="1"/>
  <c r="AR479" i="1" s="1"/>
  <c r="AC150" i="1"/>
  <c r="AL150" i="1" s="1"/>
  <c r="AW150" i="1" s="1"/>
  <c r="AX150" i="1" s="1"/>
  <c r="AY150" i="1" s="1"/>
  <c r="AZ150" i="1" s="1"/>
  <c r="BA150" i="1" s="1"/>
  <c r="AN302" i="1"/>
  <c r="AO302" i="1" s="1"/>
  <c r="AP302" i="1" s="1"/>
  <c r="AQ302" i="1" s="1"/>
  <c r="AR302" i="1" s="1"/>
  <c r="AC397" i="1"/>
  <c r="AL397" i="1" s="1"/>
  <c r="AW397" i="1" s="1"/>
  <c r="AX397" i="1" s="1"/>
  <c r="AS377" i="1"/>
  <c r="AK263" i="1"/>
  <c r="AN130" i="1"/>
  <c r="AS130" i="1" s="1"/>
  <c r="AS219" i="1"/>
  <c r="Y384" i="1"/>
  <c r="AH384" i="1" s="1"/>
  <c r="X315" i="1"/>
  <c r="AG315" i="1" s="1"/>
  <c r="AI613" i="1"/>
  <c r="AK660" i="1"/>
  <c r="AC182" i="1"/>
  <c r="AL182" i="1" s="1"/>
  <c r="W397" i="1"/>
  <c r="AF397" i="1" s="1"/>
  <c r="AA273" i="1"/>
  <c r="AJ273" i="1" s="1"/>
  <c r="AK356" i="1"/>
  <c r="AC332" i="1"/>
  <c r="AL332" i="1" s="1"/>
  <c r="AW332" i="1" s="1"/>
  <c r="AX332" i="1" s="1"/>
  <c r="AK264" i="1"/>
  <c r="AP573" i="1"/>
  <c r="AQ573" i="1" s="1"/>
  <c r="AR573" i="1" s="1"/>
  <c r="AI381" i="1"/>
  <c r="AW284" i="1"/>
  <c r="AX284" i="1" s="1"/>
  <c r="AY284" i="1" s="1"/>
  <c r="AZ284" i="1" s="1"/>
  <c r="BA284" i="1" s="1"/>
  <c r="AA509" i="1"/>
  <c r="AJ509" i="1" s="1"/>
  <c r="AW509" i="1" s="1"/>
  <c r="AX509" i="1" s="1"/>
  <c r="AY509" i="1" s="1"/>
  <c r="AZ509" i="1" s="1"/>
  <c r="BA509" i="1" s="1"/>
  <c r="AQ370" i="1"/>
  <c r="AR370" i="1" s="1"/>
  <c r="AW240" i="1"/>
  <c r="AX240" i="1" s="1"/>
  <c r="AY240" i="1" s="1"/>
  <c r="AZ240" i="1" s="1"/>
  <c r="BA240" i="1" s="1"/>
  <c r="Y190" i="1"/>
  <c r="AH190" i="1" s="1"/>
  <c r="AS131" i="1"/>
  <c r="AN395" i="1"/>
  <c r="AO395" i="1" s="1"/>
  <c r="AP395" i="1" s="1"/>
  <c r="AQ395" i="1" s="1"/>
  <c r="AR395" i="1" s="1"/>
  <c r="AN335" i="1"/>
  <c r="AS335" i="1" s="1"/>
  <c r="AC165" i="1"/>
  <c r="AL165" i="1" s="1"/>
  <c r="Y220" i="1"/>
  <c r="AH220" i="1" s="1"/>
  <c r="AW271" i="1"/>
  <c r="AX271" i="1" s="1"/>
  <c r="AY271" i="1" s="1"/>
  <c r="AZ271" i="1" s="1"/>
  <c r="BA271" i="1" s="1"/>
  <c r="X616" i="1"/>
  <c r="AG616" i="1" s="1"/>
  <c r="Y381" i="1"/>
  <c r="AH381" i="1" s="1"/>
  <c r="AC230" i="1"/>
  <c r="AL230" i="1" s="1"/>
  <c r="X639" i="1"/>
  <c r="AG639" i="1" s="1"/>
  <c r="AA651" i="1"/>
  <c r="AJ651" i="1" s="1"/>
  <c r="AQ314" i="1"/>
  <c r="AR314" i="1" s="1"/>
  <c r="AS180" i="1"/>
  <c r="AI433" i="1"/>
  <c r="AP460" i="1"/>
  <c r="AQ460" i="1" s="1"/>
  <c r="AR460" i="1" s="1"/>
  <c r="AC518" i="1"/>
  <c r="AL518" i="1" s="1"/>
  <c r="X368" i="1"/>
  <c r="AG368" i="1" s="1"/>
  <c r="AS547" i="1"/>
  <c r="AA199" i="1"/>
  <c r="AJ199" i="1" s="1"/>
  <c r="AW199" i="1" s="1"/>
  <c r="AX199" i="1" s="1"/>
  <c r="AY199" i="1" s="1"/>
  <c r="AZ199" i="1" s="1"/>
  <c r="BA199" i="1" s="1"/>
  <c r="AN262" i="1"/>
  <c r="AO262" i="1" s="1"/>
  <c r="AP262" i="1" s="1"/>
  <c r="AQ262" i="1" s="1"/>
  <c r="AR262" i="1" s="1"/>
  <c r="AN183" i="1"/>
  <c r="AO183" i="1" s="1"/>
  <c r="AP183" i="1" s="1"/>
  <c r="AQ183" i="1" s="1"/>
  <c r="AR183" i="1" s="1"/>
  <c r="AN356" i="1"/>
  <c r="AS356" i="1" s="1"/>
  <c r="AA111" i="1"/>
  <c r="AJ111" i="1" s="1"/>
  <c r="AW111" i="1" s="1"/>
  <c r="AX111" i="1" s="1"/>
  <c r="AY111" i="1" s="1"/>
  <c r="AZ111" i="1" s="1"/>
  <c r="BA111" i="1" s="1"/>
  <c r="Y589" i="1"/>
  <c r="AH589" i="1" s="1"/>
  <c r="AC616" i="1"/>
  <c r="AL616" i="1" s="1"/>
  <c r="AO403" i="1"/>
  <c r="AP403" i="1" s="1"/>
  <c r="AQ403" i="1" s="1"/>
  <c r="AR403" i="1" s="1"/>
  <c r="AI182" i="1"/>
  <c r="Y125" i="1"/>
  <c r="AH125" i="1" s="1"/>
  <c r="AC425" i="1"/>
  <c r="AL425" i="1" s="1"/>
  <c r="AC273" i="1"/>
  <c r="AL273" i="1" s="1"/>
  <c r="AW273" i="1" s="1"/>
  <c r="AX273" i="1" s="1"/>
  <c r="AY273" i="1" s="1"/>
  <c r="AZ273" i="1" s="1"/>
  <c r="BA273" i="1" s="1"/>
  <c r="AA301" i="1"/>
  <c r="AJ301" i="1" s="1"/>
  <c r="X425" i="1"/>
  <c r="AG425" i="1" s="1"/>
  <c r="AQ511" i="1"/>
  <c r="AR511" i="1" s="1"/>
  <c r="AA180" i="1"/>
  <c r="AJ180" i="1" s="1"/>
  <c r="AW180" i="1" s="1"/>
  <c r="AX180" i="1" s="1"/>
  <c r="AY180" i="1" s="1"/>
  <c r="AZ180" i="1" s="1"/>
  <c r="BA180" i="1" s="1"/>
  <c r="AA259" i="1"/>
  <c r="AJ259" i="1" s="1"/>
  <c r="AW259" i="1" s="1"/>
  <c r="AX259" i="1" s="1"/>
  <c r="AY259" i="1" s="1"/>
  <c r="AZ259" i="1" s="1"/>
  <c r="BA259" i="1" s="1"/>
  <c r="AK169" i="1"/>
  <c r="AA182" i="1"/>
  <c r="AJ182" i="1" s="1"/>
  <c r="X252" i="1"/>
  <c r="AG252" i="1" s="1"/>
  <c r="AK376" i="1"/>
  <c r="X310" i="1"/>
  <c r="AG310" i="1" s="1"/>
  <c r="AI397" i="1"/>
  <c r="AC567" i="1"/>
  <c r="AL567" i="1" s="1"/>
  <c r="AW567" i="1" s="1"/>
  <c r="AX567" i="1" s="1"/>
  <c r="AW586" i="1"/>
  <c r="AX586" i="1" s="1"/>
  <c r="AW437" i="1"/>
  <c r="AX437" i="1" s="1"/>
  <c r="AI374" i="1"/>
  <c r="AA196" i="1"/>
  <c r="AJ196" i="1" s="1"/>
  <c r="AW196" i="1" s="1"/>
  <c r="AX196" i="1" s="1"/>
  <c r="AY196" i="1" s="1"/>
  <c r="AZ196" i="1" s="1"/>
  <c r="BA196" i="1" s="1"/>
  <c r="AC657" i="1"/>
  <c r="AL657" i="1" s="1"/>
  <c r="AK493" i="1"/>
  <c r="X270" i="1"/>
  <c r="AG270" i="1" s="1"/>
  <c r="AN663" i="1"/>
  <c r="AS663" i="1" s="1"/>
  <c r="AN373" i="1"/>
  <c r="AO373" i="1" s="1"/>
  <c r="AP373" i="1" s="1"/>
  <c r="AQ373" i="1" s="1"/>
  <c r="AR373" i="1" s="1"/>
  <c r="AS635" i="1"/>
  <c r="W251" i="1"/>
  <c r="AF251" i="1" s="1"/>
  <c r="AA107" i="1"/>
  <c r="AJ107" i="1" s="1"/>
  <c r="AW107" i="1" s="1"/>
  <c r="AI616" i="1"/>
  <c r="Y397" i="1"/>
  <c r="AH397" i="1" s="1"/>
  <c r="AN471" i="1"/>
  <c r="AO471" i="1" s="1"/>
  <c r="AP471" i="1" s="1"/>
  <c r="AQ471" i="1" s="1"/>
  <c r="AR471" i="1" s="1"/>
  <c r="X374" i="1"/>
  <c r="AG374" i="1" s="1"/>
  <c r="AQ514" i="1"/>
  <c r="AR514" i="1" s="1"/>
  <c r="AC432" i="1"/>
  <c r="AL432" i="1" s="1"/>
  <c r="AW432" i="1" s="1"/>
  <c r="AX432" i="1" s="1"/>
  <c r="AY432" i="1" s="1"/>
  <c r="AZ432" i="1" s="1"/>
  <c r="BA432" i="1" s="1"/>
  <c r="X567" i="1"/>
  <c r="AG567" i="1" s="1"/>
  <c r="Y332" i="1"/>
  <c r="AH332" i="1" s="1"/>
  <c r="AN272" i="1"/>
  <c r="AO272" i="1" s="1"/>
  <c r="AP272" i="1" s="1"/>
  <c r="AQ272" i="1" s="1"/>
  <c r="AR272" i="1" s="1"/>
  <c r="AI165" i="1"/>
  <c r="AA657" i="1"/>
  <c r="AJ657" i="1" s="1"/>
  <c r="AA377" i="1"/>
  <c r="AJ377" i="1" s="1"/>
  <c r="AW377" i="1" s="1"/>
  <c r="AX377" i="1" s="1"/>
  <c r="AY377" i="1" s="1"/>
  <c r="AZ377" i="1" s="1"/>
  <c r="BA377" i="1" s="1"/>
  <c r="Y505" i="1"/>
  <c r="AH505" i="1" s="1"/>
  <c r="AN96" i="1"/>
  <c r="AS96" i="1" s="1"/>
  <c r="AC96" i="1"/>
  <c r="AL96" i="1" s="1"/>
  <c r="AW96" i="1" s="1"/>
  <c r="AX96" i="1" s="1"/>
  <c r="AY96" i="1" s="1"/>
  <c r="AZ96" i="1" s="1"/>
  <c r="BA96" i="1" s="1"/>
  <c r="AK308" i="1"/>
  <c r="X308" i="1"/>
  <c r="AG308" i="1" s="1"/>
  <c r="X371" i="1"/>
  <c r="AG371" i="1" s="1"/>
  <c r="AK371" i="1"/>
  <c r="AI208" i="1"/>
  <c r="Y208" i="1"/>
  <c r="AH208" i="1" s="1"/>
  <c r="AC162" i="1"/>
  <c r="AL162" i="1" s="1"/>
  <c r="AN431" i="1"/>
  <c r="AS431" i="1" s="1"/>
  <c r="AP483" i="1"/>
  <c r="AQ483" i="1" s="1"/>
  <c r="AR483" i="1" s="1"/>
  <c r="AA288" i="1"/>
  <c r="AJ288" i="1" s="1"/>
  <c r="AW288" i="1" s="1"/>
  <c r="BB288" i="1" s="1"/>
  <c r="AC121" i="1"/>
  <c r="AL121" i="1" s="1"/>
  <c r="AW121" i="1" s="1"/>
  <c r="AA615" i="1"/>
  <c r="AJ615" i="1" s="1"/>
  <c r="AQ530" i="1"/>
  <c r="AR530" i="1" s="1"/>
  <c r="X99" i="1"/>
  <c r="AG99" i="1" s="1"/>
  <c r="AN455" i="1"/>
  <c r="AS455" i="1" s="1"/>
  <c r="Y162" i="1"/>
  <c r="AH162" i="1" s="1"/>
  <c r="AN436" i="1"/>
  <c r="AO436" i="1" s="1"/>
  <c r="AP436" i="1" s="1"/>
  <c r="AQ436" i="1" s="1"/>
  <c r="AR436" i="1" s="1"/>
  <c r="E10" i="1"/>
  <c r="DS2" i="1" s="1"/>
  <c r="AC494" i="1"/>
  <c r="AL494" i="1" s="1"/>
  <c r="AW494" i="1" s="1"/>
  <c r="AX494" i="1" s="1"/>
  <c r="AY494" i="1" s="1"/>
  <c r="AN494" i="1"/>
  <c r="AO494" i="1" s="1"/>
  <c r="AP494" i="1" s="1"/>
  <c r="AQ494" i="1" s="1"/>
  <c r="AR494" i="1" s="1"/>
  <c r="AI506" i="1"/>
  <c r="W506" i="1"/>
  <c r="AF506" i="1" s="1"/>
  <c r="X506" i="1"/>
  <c r="AG506" i="1" s="1"/>
  <c r="AK449" i="1"/>
  <c r="X449" i="1"/>
  <c r="AG449" i="1" s="1"/>
  <c r="W341" i="1"/>
  <c r="AF341" i="1" s="1"/>
  <c r="X341" i="1"/>
  <c r="AG341" i="1" s="1"/>
  <c r="W584" i="1"/>
  <c r="AF584" i="1" s="1"/>
  <c r="X584" i="1"/>
  <c r="AG584" i="1" s="1"/>
  <c r="X591" i="1"/>
  <c r="AG591" i="1" s="1"/>
  <c r="Y591" i="1"/>
  <c r="AH591" i="1" s="1"/>
  <c r="AA401" i="1"/>
  <c r="AJ401" i="1" s="1"/>
  <c r="AI401" i="1"/>
  <c r="AN409" i="1"/>
  <c r="AO409" i="1" s="1"/>
  <c r="AP409" i="1" s="1"/>
  <c r="AQ409" i="1" s="1"/>
  <c r="AR409" i="1" s="1"/>
  <c r="AA409" i="1"/>
  <c r="AJ409" i="1" s="1"/>
  <c r="AW409" i="1" s="1"/>
  <c r="AX409" i="1" s="1"/>
  <c r="AY409" i="1" s="1"/>
  <c r="AZ409" i="1" s="1"/>
  <c r="BA409" i="1" s="1"/>
  <c r="AS429" i="1"/>
  <c r="AA553" i="1"/>
  <c r="AJ553" i="1" s="1"/>
  <c r="AC553" i="1"/>
  <c r="AL553" i="1" s="1"/>
  <c r="AA323" i="1"/>
  <c r="AJ323" i="1" s="1"/>
  <c r="AW323" i="1" s="1"/>
  <c r="AX323" i="1" s="1"/>
  <c r="AY323" i="1" s="1"/>
  <c r="AZ323" i="1" s="1"/>
  <c r="BA323" i="1" s="1"/>
  <c r="AN323" i="1"/>
  <c r="AO323" i="1" s="1"/>
  <c r="AP323" i="1" s="1"/>
  <c r="AQ323" i="1" s="1"/>
  <c r="AR323" i="1" s="1"/>
  <c r="AO352" i="1"/>
  <c r="AP352" i="1" s="1"/>
  <c r="AQ352" i="1" s="1"/>
  <c r="AR352" i="1" s="1"/>
  <c r="AN427" i="1"/>
  <c r="AO427" i="1" s="1"/>
  <c r="AP427" i="1" s="1"/>
  <c r="AQ427" i="1" s="1"/>
  <c r="AR427" i="1" s="1"/>
  <c r="AC539" i="1"/>
  <c r="AL539" i="1" s="1"/>
  <c r="AW539" i="1" s="1"/>
  <c r="AX539" i="1" s="1"/>
  <c r="AA165" i="1"/>
  <c r="AJ165" i="1" s="1"/>
  <c r="AC631" i="1"/>
  <c r="AL631" i="1" s="1"/>
  <c r="AS325" i="1"/>
  <c r="E11" i="1"/>
  <c r="DT2" i="1" s="1"/>
  <c r="Y207" i="1"/>
  <c r="AH207" i="1" s="1"/>
  <c r="AA355" i="1"/>
  <c r="AJ355" i="1" s="1"/>
  <c r="X355" i="1"/>
  <c r="AG355" i="1" s="1"/>
  <c r="AI392" i="1"/>
  <c r="X255" i="1"/>
  <c r="AG255" i="1" s="1"/>
  <c r="AI255" i="1"/>
  <c r="AA500" i="1"/>
  <c r="AJ500" i="1" s="1"/>
  <c r="X500" i="1"/>
  <c r="AG500" i="1" s="1"/>
  <c r="Y500" i="1"/>
  <c r="AH500" i="1" s="1"/>
  <c r="AN410" i="1"/>
  <c r="AO410" i="1" s="1"/>
  <c r="AP410" i="1" s="1"/>
  <c r="AQ410" i="1" s="1"/>
  <c r="AR410" i="1" s="1"/>
  <c r="AQ590" i="1"/>
  <c r="AR590" i="1" s="1"/>
  <c r="AK223" i="1"/>
  <c r="X223" i="1"/>
  <c r="AG223" i="1" s="1"/>
  <c r="Y363" i="1"/>
  <c r="AH363" i="1" s="1"/>
  <c r="AK388" i="1"/>
  <c r="AC253" i="1"/>
  <c r="AL253" i="1" s="1"/>
  <c r="AW253" i="1" s="1"/>
  <c r="AX253" i="1" s="1"/>
  <c r="AY253" i="1" s="1"/>
  <c r="AZ253" i="1" s="1"/>
  <c r="BA253" i="1" s="1"/>
  <c r="X182" i="1"/>
  <c r="AG182" i="1" s="1"/>
  <c r="AS305" i="1"/>
  <c r="AI657" i="1"/>
  <c r="AC405" i="1"/>
  <c r="AL405" i="1" s="1"/>
  <c r="AC127" i="1"/>
  <c r="AL127" i="1" s="1"/>
  <c r="AA405" i="1"/>
  <c r="AJ405" i="1" s="1"/>
  <c r="AC401" i="1"/>
  <c r="AL401" i="1" s="1"/>
  <c r="AN568" i="1"/>
  <c r="AO568" i="1" s="1"/>
  <c r="AP568" i="1" s="1"/>
  <c r="AQ568" i="1" s="1"/>
  <c r="AR568" i="1" s="1"/>
  <c r="AN206" i="1"/>
  <c r="AO206" i="1" s="1"/>
  <c r="AP206" i="1" s="1"/>
  <c r="AQ206" i="1" s="1"/>
  <c r="AR206" i="1" s="1"/>
  <c r="AN650" i="1"/>
  <c r="AS650" i="1" s="1"/>
  <c r="Y506" i="1"/>
  <c r="AH506" i="1" s="1"/>
  <c r="X127" i="1"/>
  <c r="AG127" i="1" s="1"/>
  <c r="AI590" i="1"/>
  <c r="AS237" i="1"/>
  <c r="AN366" i="1"/>
  <c r="AS366" i="1" s="1"/>
  <c r="AA87" i="1"/>
  <c r="AJ87" i="1" s="1"/>
  <c r="AW87" i="1" s="1"/>
  <c r="AX87" i="1" s="1"/>
  <c r="AY87" i="1" s="1"/>
  <c r="W500" i="1"/>
  <c r="AF500" i="1" s="1"/>
  <c r="X422" i="1"/>
  <c r="AG422" i="1" s="1"/>
  <c r="AC522" i="1"/>
  <c r="AL522" i="1" s="1"/>
  <c r="Y657" i="1"/>
  <c r="AH657" i="1" s="1"/>
  <c r="AC565" i="1"/>
  <c r="AL565" i="1" s="1"/>
  <c r="AW565" i="1" s="1"/>
  <c r="AS405" i="1"/>
  <c r="W332" i="1"/>
  <c r="AF332" i="1" s="1"/>
  <c r="AC429" i="1"/>
  <c r="AL429" i="1" s="1"/>
  <c r="AA503" i="1"/>
  <c r="AJ503" i="1" s="1"/>
  <c r="AW503" i="1" s="1"/>
  <c r="AX503" i="1" s="1"/>
  <c r="AY503" i="1" s="1"/>
  <c r="AZ503" i="1" s="1"/>
  <c r="BA503" i="1" s="1"/>
  <c r="AN324" i="1"/>
  <c r="AO324" i="1" s="1"/>
  <c r="AP324" i="1" s="1"/>
  <c r="AQ324" i="1" s="1"/>
  <c r="AR324" i="1" s="1"/>
  <c r="W615" i="1"/>
  <c r="AF615" i="1" s="1"/>
  <c r="AC387" i="1"/>
  <c r="AL387" i="1" s="1"/>
  <c r="AW387" i="1" s="1"/>
  <c r="BB387" i="1" s="1"/>
  <c r="AC341" i="1"/>
  <c r="AL341" i="1" s="1"/>
  <c r="AK129" i="1"/>
  <c r="AC266" i="1"/>
  <c r="AL266" i="1" s="1"/>
  <c r="AW266" i="1" s="1"/>
  <c r="AX266" i="1" s="1"/>
  <c r="AY266" i="1" s="1"/>
  <c r="AZ266" i="1" s="1"/>
  <c r="BA266" i="1" s="1"/>
  <c r="W119" i="1"/>
  <c r="AF119" i="1" s="1"/>
  <c r="X119" i="1"/>
  <c r="AG119" i="1" s="1"/>
  <c r="W636" i="1"/>
  <c r="AF636" i="1" s="1"/>
  <c r="AC636" i="1"/>
  <c r="AL636" i="1" s="1"/>
  <c r="W613" i="1"/>
  <c r="AF613" i="1" s="1"/>
  <c r="X613" i="1"/>
  <c r="AG613" i="1" s="1"/>
  <c r="X440" i="1"/>
  <c r="AG440" i="1" s="1"/>
  <c r="AK440" i="1"/>
  <c r="W598" i="1"/>
  <c r="AF598" i="1" s="1"/>
  <c r="X598" i="1"/>
  <c r="AG598" i="1" s="1"/>
  <c r="AN458" i="1"/>
  <c r="AO458" i="1" s="1"/>
  <c r="AP458" i="1" s="1"/>
  <c r="AQ458" i="1" s="1"/>
  <c r="AR458" i="1" s="1"/>
  <c r="AC458" i="1"/>
  <c r="AL458" i="1" s="1"/>
  <c r="AW458" i="1" s="1"/>
  <c r="AX458" i="1" s="1"/>
  <c r="AY458" i="1" s="1"/>
  <c r="AZ458" i="1" s="1"/>
  <c r="BA458" i="1" s="1"/>
  <c r="Y401" i="1"/>
  <c r="AH401" i="1" s="1"/>
  <c r="AI332" i="1"/>
  <c r="AN474" i="1"/>
  <c r="AS474" i="1" s="1"/>
  <c r="Y341" i="1"/>
  <c r="AH341" i="1" s="1"/>
  <c r="AN411" i="1"/>
  <c r="AS411" i="1" s="1"/>
  <c r="AA505" i="1"/>
  <c r="AJ505" i="1" s="1"/>
  <c r="AW505" i="1" s="1"/>
  <c r="AX505" i="1" s="1"/>
  <c r="Y138" i="1"/>
  <c r="AH138" i="1" s="1"/>
  <c r="AN665" i="1"/>
  <c r="AO665" i="1" s="1"/>
  <c r="AP665" i="1" s="1"/>
  <c r="AQ665" i="1" s="1"/>
  <c r="AR665" i="1" s="1"/>
  <c r="X405" i="1"/>
  <c r="AG405" i="1" s="1"/>
  <c r="Y182" i="1"/>
  <c r="AH182" i="1" s="1"/>
  <c r="AK317" i="1"/>
  <c r="AW533" i="1"/>
  <c r="AX533" i="1" s="1"/>
  <c r="AY533" i="1" s="1"/>
  <c r="AZ533" i="1" s="1"/>
  <c r="BA533" i="1" s="1"/>
  <c r="AI203" i="1"/>
  <c r="AA203" i="1"/>
  <c r="AJ203" i="1" s="1"/>
  <c r="AC534" i="1"/>
  <c r="AL534" i="1" s="1"/>
  <c r="AW534" i="1" s="1"/>
  <c r="AX534" i="1" s="1"/>
  <c r="AY534" i="1" s="1"/>
  <c r="AZ534" i="1" s="1"/>
  <c r="BA534" i="1" s="1"/>
  <c r="AC500" i="1"/>
  <c r="AL500" i="1" s="1"/>
  <c r="AC305" i="1"/>
  <c r="AL305" i="1" s="1"/>
  <c r="AW305" i="1" s="1"/>
  <c r="AX305" i="1" s="1"/>
  <c r="AY305" i="1" s="1"/>
  <c r="AZ305" i="1" s="1"/>
  <c r="BA305" i="1" s="1"/>
  <c r="X190" i="1"/>
  <c r="AG190" i="1" s="1"/>
  <c r="AK278" i="1"/>
  <c r="AA429" i="1"/>
  <c r="AJ429" i="1" s="1"/>
  <c r="X332" i="1"/>
  <c r="AG332" i="1" s="1"/>
  <c r="AA342" i="1"/>
  <c r="AJ342" i="1" s="1"/>
  <c r="AW342" i="1" s="1"/>
  <c r="AX342" i="1" s="1"/>
  <c r="AY342" i="1" s="1"/>
  <c r="AZ342" i="1" s="1"/>
  <c r="BA342" i="1" s="1"/>
  <c r="AP263" i="1"/>
  <c r="AQ263" i="1" s="1"/>
  <c r="AR263" i="1" s="1"/>
  <c r="AC297" i="1"/>
  <c r="AL297" i="1" s="1"/>
  <c r="AW297" i="1" s="1"/>
  <c r="BB297" i="1" s="1"/>
  <c r="AQ496" i="1"/>
  <c r="AR496" i="1" s="1"/>
  <c r="AC98" i="1"/>
  <c r="AL98" i="1" s="1"/>
  <c r="AW98" i="1" s="1"/>
  <c r="AX98" i="1" s="1"/>
  <c r="AY98" i="1" s="1"/>
  <c r="AZ98" i="1" s="1"/>
  <c r="BA98" i="1" s="1"/>
  <c r="AP646" i="1"/>
  <c r="AQ646" i="1" s="1"/>
  <c r="AR646" i="1" s="1"/>
  <c r="Y553" i="1"/>
  <c r="AH553" i="1" s="1"/>
  <c r="AA94" i="1"/>
  <c r="AJ94" i="1" s="1"/>
  <c r="AW94" i="1" s="1"/>
  <c r="AX94" i="1" s="1"/>
  <c r="AY94" i="1" s="1"/>
  <c r="AN621" i="1"/>
  <c r="AS621" i="1" s="1"/>
  <c r="Y333" i="1"/>
  <c r="AH333" i="1" s="1"/>
  <c r="AP332" i="1"/>
  <c r="AQ332" i="1" s="1"/>
  <c r="AR332" i="1" s="1"/>
  <c r="AW290" i="1"/>
  <c r="AX290" i="1" s="1"/>
  <c r="AY290" i="1" s="1"/>
  <c r="AI287" i="1"/>
  <c r="X338" i="1"/>
  <c r="AG338" i="1" s="1"/>
  <c r="AK471" i="1"/>
  <c r="Y175" i="1"/>
  <c r="AH175" i="1" s="1"/>
  <c r="AA175" i="1"/>
  <c r="AJ175" i="1" s="1"/>
  <c r="AC406" i="1"/>
  <c r="AL406" i="1" s="1"/>
  <c r="AW406" i="1" s="1"/>
  <c r="BB406" i="1" s="1"/>
  <c r="AI571" i="1"/>
  <c r="AK250" i="1"/>
  <c r="AI588" i="1"/>
  <c r="AP470" i="1"/>
  <c r="AQ470" i="1" s="1"/>
  <c r="AR470" i="1" s="1"/>
  <c r="AI67" i="1"/>
  <c r="AQ556" i="1"/>
  <c r="AR556" i="1" s="1"/>
  <c r="AW293" i="1"/>
  <c r="BB293" i="1" s="1"/>
  <c r="AP601" i="1"/>
  <c r="AQ601" i="1" s="1"/>
  <c r="AR601" i="1" s="1"/>
  <c r="AQ345" i="1"/>
  <c r="AR345" i="1" s="1"/>
  <c r="AP274" i="1"/>
  <c r="AQ274" i="1" s="1"/>
  <c r="AR274" i="1" s="1"/>
  <c r="AP120" i="1"/>
  <c r="AQ120" i="1" s="1"/>
  <c r="AR120" i="1" s="1"/>
  <c r="AP582" i="1"/>
  <c r="AQ582" i="1" s="1"/>
  <c r="AR582" i="1" s="1"/>
  <c r="Y273" i="1"/>
  <c r="AH273" i="1" s="1"/>
  <c r="AC255" i="1"/>
  <c r="AL255" i="1" s="1"/>
  <c r="AW255" i="1" s="1"/>
  <c r="AX255" i="1" s="1"/>
  <c r="AP432" i="1"/>
  <c r="AQ432" i="1" s="1"/>
  <c r="AR432" i="1" s="1"/>
  <c r="AN217" i="1"/>
  <c r="AS217" i="1" s="1"/>
  <c r="AN309" i="1"/>
  <c r="AO309" i="1" s="1"/>
  <c r="AP309" i="1" s="1"/>
  <c r="AQ309" i="1" s="1"/>
  <c r="AR309" i="1" s="1"/>
  <c r="Y388" i="1"/>
  <c r="AH388" i="1" s="1"/>
  <c r="AA659" i="1"/>
  <c r="AJ659" i="1" s="1"/>
  <c r="AW659" i="1" s="1"/>
  <c r="AX659" i="1" s="1"/>
  <c r="AY659" i="1" s="1"/>
  <c r="AZ659" i="1" s="1"/>
  <c r="BA659" i="1" s="1"/>
  <c r="AA124" i="1"/>
  <c r="AJ124" i="1" s="1"/>
  <c r="X201" i="1"/>
  <c r="AG201" i="1" s="1"/>
  <c r="X483" i="1"/>
  <c r="AG483" i="1" s="1"/>
  <c r="AN349" i="1"/>
  <c r="AO349" i="1" s="1"/>
  <c r="AP349" i="1" s="1"/>
  <c r="AQ349" i="1" s="1"/>
  <c r="AR349" i="1" s="1"/>
  <c r="Y354" i="1"/>
  <c r="AH354" i="1" s="1"/>
  <c r="AN549" i="1"/>
  <c r="AO549" i="1" s="1"/>
  <c r="AP549" i="1" s="1"/>
  <c r="AQ549" i="1" s="1"/>
  <c r="AR549" i="1" s="1"/>
  <c r="AI531" i="1"/>
  <c r="AA531" i="1"/>
  <c r="AJ531" i="1" s="1"/>
  <c r="W380" i="1"/>
  <c r="AF380" i="1" s="1"/>
  <c r="Y380" i="1"/>
  <c r="AH380" i="1" s="1"/>
  <c r="AN413" i="1"/>
  <c r="AO413" i="1" s="1"/>
  <c r="AP413" i="1" s="1"/>
  <c r="AQ413" i="1" s="1"/>
  <c r="AR413" i="1" s="1"/>
  <c r="AA413" i="1"/>
  <c r="AJ413" i="1" s="1"/>
  <c r="AW413" i="1" s="1"/>
  <c r="AN283" i="1"/>
  <c r="AO283" i="1" s="1"/>
  <c r="AP283" i="1" s="1"/>
  <c r="AQ283" i="1" s="1"/>
  <c r="AR283" i="1" s="1"/>
  <c r="AA283" i="1"/>
  <c r="AJ283" i="1" s="1"/>
  <c r="AW283" i="1" s="1"/>
  <c r="AX283" i="1" s="1"/>
  <c r="AY283" i="1" s="1"/>
  <c r="Z388" i="1"/>
  <c r="AI388" i="1" s="1"/>
  <c r="AP388" i="1"/>
  <c r="AQ388" i="1" s="1"/>
  <c r="AR388" i="1" s="1"/>
  <c r="Y389" i="1"/>
  <c r="AH389" i="1" s="1"/>
  <c r="X389" i="1"/>
  <c r="AG389" i="1" s="1"/>
  <c r="AK445" i="1"/>
  <c r="X445" i="1"/>
  <c r="AG445" i="1" s="1"/>
  <c r="AW331" i="1"/>
  <c r="AX331" i="1" s="1"/>
  <c r="AY331" i="1" s="1"/>
  <c r="AZ331" i="1" s="1"/>
  <c r="BA331" i="1" s="1"/>
  <c r="AI355" i="1"/>
  <c r="Y134" i="1"/>
  <c r="AH134" i="1" s="1"/>
  <c r="AC124" i="1"/>
  <c r="AL124" i="1" s="1"/>
  <c r="AA613" i="1"/>
  <c r="AJ613" i="1" s="1"/>
  <c r="AW613" i="1" s="1"/>
  <c r="AC538" i="1"/>
  <c r="AL538" i="1" s="1"/>
  <c r="AP367" i="1"/>
  <c r="AQ367" i="1" s="1"/>
  <c r="AR367" i="1" s="1"/>
  <c r="AC653" i="1"/>
  <c r="AL653" i="1" s="1"/>
  <c r="AW653" i="1" s="1"/>
  <c r="AX653" i="1" s="1"/>
  <c r="AY653" i="1" s="1"/>
  <c r="AZ653" i="1" s="1"/>
  <c r="BA653" i="1" s="1"/>
  <c r="AQ634" i="1"/>
  <c r="AR634" i="1" s="1"/>
  <c r="AO145" i="1"/>
  <c r="AP145" i="1" s="1"/>
  <c r="AQ145" i="1" s="1"/>
  <c r="AR145" i="1" s="1"/>
  <c r="AS145" i="1"/>
  <c r="AA105" i="1"/>
  <c r="AJ105" i="1" s="1"/>
  <c r="AW105" i="1" s="1"/>
  <c r="AX105" i="1" s="1"/>
  <c r="AY105" i="1" s="1"/>
  <c r="AN105" i="1"/>
  <c r="AO105" i="1" s="1"/>
  <c r="AP105" i="1" s="1"/>
  <c r="AQ105" i="1" s="1"/>
  <c r="AR105" i="1" s="1"/>
  <c r="AN376" i="1"/>
  <c r="AO376" i="1" s="1"/>
  <c r="AP376" i="1" s="1"/>
  <c r="AQ376" i="1" s="1"/>
  <c r="AR376" i="1" s="1"/>
  <c r="AC376" i="1"/>
  <c r="AL376" i="1" s="1"/>
  <c r="AW376" i="1" s="1"/>
  <c r="AX376" i="1" s="1"/>
  <c r="AY376" i="1" s="1"/>
  <c r="AC519" i="1"/>
  <c r="AL519" i="1" s="1"/>
  <c r="AW519" i="1" s="1"/>
  <c r="AX519" i="1" s="1"/>
  <c r="AY519" i="1" s="1"/>
  <c r="AZ519" i="1" s="1"/>
  <c r="BA519" i="1" s="1"/>
  <c r="AN519" i="1"/>
  <c r="AO519" i="1" s="1"/>
  <c r="AP519" i="1" s="1"/>
  <c r="AQ519" i="1" s="1"/>
  <c r="AR519" i="1" s="1"/>
  <c r="W630" i="1"/>
  <c r="AF630" i="1" s="1"/>
  <c r="AI630" i="1"/>
  <c r="X233" i="1"/>
  <c r="AG233" i="1" s="1"/>
  <c r="AK233" i="1"/>
  <c r="AK384" i="1"/>
  <c r="X384" i="1"/>
  <c r="AG384" i="1" s="1"/>
  <c r="AA207" i="1"/>
  <c r="AJ207" i="1" s="1"/>
  <c r="AW207" i="1" s="1"/>
  <c r="AX207" i="1" s="1"/>
  <c r="AY207" i="1" s="1"/>
  <c r="AZ207" i="1" s="1"/>
  <c r="BA207" i="1" s="1"/>
  <c r="AP311" i="1"/>
  <c r="AQ311" i="1" s="1"/>
  <c r="AR311" i="1" s="1"/>
  <c r="AK518" i="1"/>
  <c r="AN540" i="1"/>
  <c r="AS540" i="1" s="1"/>
  <c r="AK610" i="1"/>
  <c r="AN632" i="1"/>
  <c r="AO632" i="1" s="1"/>
  <c r="AP632" i="1" s="1"/>
  <c r="AQ632" i="1" s="1"/>
  <c r="AR632" i="1" s="1"/>
  <c r="AK105" i="1"/>
  <c r="W355" i="1"/>
  <c r="AF355" i="1" s="1"/>
  <c r="AA134" i="1"/>
  <c r="AJ134" i="1" s="1"/>
  <c r="AW134" i="1" s="1"/>
  <c r="AX134" i="1" s="1"/>
  <c r="AW104" i="1"/>
  <c r="AX104" i="1" s="1"/>
  <c r="AY104" i="1" s="1"/>
  <c r="AZ104" i="1" s="1"/>
  <c r="BA104" i="1" s="1"/>
  <c r="AW576" i="1"/>
  <c r="AX576" i="1" s="1"/>
  <c r="AY576" i="1" s="1"/>
  <c r="AZ576" i="1" s="1"/>
  <c r="BA576" i="1" s="1"/>
  <c r="AN472" i="1"/>
  <c r="AO472" i="1" s="1"/>
  <c r="AP472" i="1" s="1"/>
  <c r="AQ472" i="1" s="1"/>
  <c r="AR472" i="1" s="1"/>
  <c r="AA591" i="1"/>
  <c r="AJ591" i="1" s="1"/>
  <c r="AW591" i="1" s="1"/>
  <c r="AX591" i="1" s="1"/>
  <c r="AY591" i="1" s="1"/>
  <c r="AZ591" i="1" s="1"/>
  <c r="BA591" i="1" s="1"/>
  <c r="AP464" i="1"/>
  <c r="AQ464" i="1" s="1"/>
  <c r="AR464" i="1" s="1"/>
  <c r="AK243" i="1"/>
  <c r="W640" i="1"/>
  <c r="AF640" i="1" s="1"/>
  <c r="AI640" i="1"/>
  <c r="AC640" i="1"/>
  <c r="AL640" i="1" s="1"/>
  <c r="AA640" i="1"/>
  <c r="AJ640" i="1" s="1"/>
  <c r="X246" i="1"/>
  <c r="AG246" i="1" s="1"/>
  <c r="AK246" i="1"/>
  <c r="AC177" i="1"/>
  <c r="AL177" i="1" s="1"/>
  <c r="AW177" i="1" s="1"/>
  <c r="X177" i="1"/>
  <c r="AG177" i="1" s="1"/>
  <c r="Y177" i="1"/>
  <c r="AH177" i="1" s="1"/>
  <c r="W655" i="1"/>
  <c r="AF655" i="1" s="1"/>
  <c r="Y655" i="1"/>
  <c r="AH655" i="1" s="1"/>
  <c r="W431" i="1"/>
  <c r="AF431" i="1" s="1"/>
  <c r="AI431" i="1"/>
  <c r="Z90" i="1"/>
  <c r="AI90" i="1" s="1"/>
  <c r="AP90" i="1"/>
  <c r="AQ90" i="1" s="1"/>
  <c r="AR90" i="1" s="1"/>
  <c r="AN212" i="1"/>
  <c r="AO212" i="1" s="1"/>
  <c r="AP212" i="1" s="1"/>
  <c r="AQ212" i="1" s="1"/>
  <c r="AR212" i="1" s="1"/>
  <c r="AA212" i="1"/>
  <c r="AJ212" i="1" s="1"/>
  <c r="AW212" i="1" s="1"/>
  <c r="AX212" i="1" s="1"/>
  <c r="AY212" i="1" s="1"/>
  <c r="AZ212" i="1" s="1"/>
  <c r="BA212" i="1" s="1"/>
  <c r="W599" i="1"/>
  <c r="AF599" i="1" s="1"/>
  <c r="AI599" i="1"/>
  <c r="AK167" i="1"/>
  <c r="X167" i="1"/>
  <c r="AG167" i="1" s="1"/>
  <c r="AQ602" i="1"/>
  <c r="AR602" i="1" s="1"/>
  <c r="AQ597" i="1"/>
  <c r="AR597" i="1" s="1"/>
  <c r="AP177" i="1"/>
  <c r="AQ177" i="1" s="1"/>
  <c r="AR177" i="1" s="1"/>
  <c r="AQ104" i="1"/>
  <c r="AR104" i="1" s="1"/>
  <c r="AP181" i="1"/>
  <c r="AQ181" i="1" s="1"/>
  <c r="AR181" i="1" s="1"/>
  <c r="AQ195" i="1"/>
  <c r="AR195" i="1" s="1"/>
  <c r="AW145" i="1"/>
  <c r="AX145" i="1" s="1"/>
  <c r="AY145" i="1" s="1"/>
  <c r="AZ145" i="1" s="1"/>
  <c r="BA145" i="1" s="1"/>
  <c r="AS558" i="1"/>
  <c r="AN106" i="1"/>
  <c r="AO106" i="1" s="1"/>
  <c r="AP106" i="1" s="1"/>
  <c r="AQ106" i="1" s="1"/>
  <c r="AR106" i="1" s="1"/>
  <c r="AI584" i="1"/>
  <c r="AK565" i="1"/>
  <c r="AI437" i="1"/>
  <c r="AI593" i="1"/>
  <c r="AN222" i="1"/>
  <c r="AO222" i="1" s="1"/>
  <c r="AP222" i="1" s="1"/>
  <c r="AQ222" i="1" s="1"/>
  <c r="AR222" i="1" s="1"/>
  <c r="Y429" i="1"/>
  <c r="AH429" i="1" s="1"/>
  <c r="X220" i="1"/>
  <c r="AG220" i="1" s="1"/>
  <c r="AK450" i="1"/>
  <c r="AK632" i="1"/>
  <c r="AK618" i="1"/>
  <c r="AN389" i="1"/>
  <c r="AO389" i="1" s="1"/>
  <c r="AP389" i="1" s="1"/>
  <c r="AQ389" i="1" s="1"/>
  <c r="AR389" i="1" s="1"/>
  <c r="AK218" i="1"/>
  <c r="AO446" i="1"/>
  <c r="AP446" i="1" s="1"/>
  <c r="AQ446" i="1" s="1"/>
  <c r="AR446" i="1" s="1"/>
  <c r="AS446" i="1"/>
  <c r="X157" i="1"/>
  <c r="AG157" i="1" s="1"/>
  <c r="AK329" i="1"/>
  <c r="AA300" i="1"/>
  <c r="AJ300" i="1" s="1"/>
  <c r="AW300" i="1" s="1"/>
  <c r="AX300" i="1" s="1"/>
  <c r="AY300" i="1" s="1"/>
  <c r="AZ300" i="1" s="1"/>
  <c r="BA300" i="1" s="1"/>
  <c r="AW396" i="1"/>
  <c r="AX396" i="1" s="1"/>
  <c r="AY396" i="1" s="1"/>
  <c r="AS281" i="1"/>
  <c r="AA108" i="1"/>
  <c r="AJ108" i="1" s="1"/>
  <c r="AW108" i="1" s="1"/>
  <c r="AX108" i="1" s="1"/>
  <c r="AY108" i="1" s="1"/>
  <c r="AZ108" i="1" s="1"/>
  <c r="BA108" i="1" s="1"/>
  <c r="AA303" i="1"/>
  <c r="AJ303" i="1" s="1"/>
  <c r="AW303" i="1" s="1"/>
  <c r="AA612" i="1"/>
  <c r="AJ612" i="1" s="1"/>
  <c r="AW612" i="1" s="1"/>
  <c r="AX612" i="1" s="1"/>
  <c r="AY612" i="1" s="1"/>
  <c r="AZ612" i="1" s="1"/>
  <c r="BA612" i="1" s="1"/>
  <c r="AY88" i="1"/>
  <c r="AZ88" i="1" s="1"/>
  <c r="BA88" i="1" s="1"/>
  <c r="AC355" i="1"/>
  <c r="AL355" i="1" s="1"/>
  <c r="AQ265" i="1"/>
  <c r="AR265" i="1" s="1"/>
  <c r="AN361" i="1"/>
  <c r="AO361" i="1" s="1"/>
  <c r="AP361" i="1" s="1"/>
  <c r="AQ361" i="1" s="1"/>
  <c r="AR361" i="1" s="1"/>
  <c r="AA330" i="1"/>
  <c r="AJ330" i="1" s="1"/>
  <c r="AW330" i="1" s="1"/>
  <c r="AX330" i="1" s="1"/>
  <c r="AY330" i="1" s="1"/>
  <c r="AZ330" i="1" s="1"/>
  <c r="BA330" i="1" s="1"/>
  <c r="AC364" i="1"/>
  <c r="AL364" i="1" s="1"/>
  <c r="AW364" i="1" s="1"/>
  <c r="BB364" i="1" s="1"/>
  <c r="AK116" i="1"/>
  <c r="AS464" i="1"/>
  <c r="AA127" i="1"/>
  <c r="AJ127" i="1" s="1"/>
  <c r="AI127" i="1"/>
  <c r="AA435" i="1"/>
  <c r="AJ435" i="1" s="1"/>
  <c r="AW435" i="1" s="1"/>
  <c r="AX435" i="1" s="1"/>
  <c r="AY435" i="1" s="1"/>
  <c r="AZ435" i="1" s="1"/>
  <c r="BA435" i="1" s="1"/>
  <c r="AN435" i="1"/>
  <c r="AO435" i="1" s="1"/>
  <c r="AP435" i="1" s="1"/>
  <c r="AQ435" i="1" s="1"/>
  <c r="AR435" i="1" s="1"/>
  <c r="Y106" i="1"/>
  <c r="AH106" i="1" s="1"/>
  <c r="X106" i="1"/>
  <c r="AG106" i="1" s="1"/>
  <c r="AA559" i="1"/>
  <c r="AJ559" i="1" s="1"/>
  <c r="AW559" i="1" s="1"/>
  <c r="AX559" i="1" s="1"/>
  <c r="AY559" i="1" s="1"/>
  <c r="AZ559" i="1" s="1"/>
  <c r="BA559" i="1" s="1"/>
  <c r="AN559" i="1"/>
  <c r="AO559" i="1" s="1"/>
  <c r="AP559" i="1" s="1"/>
  <c r="AQ559" i="1" s="1"/>
  <c r="AR559" i="1" s="1"/>
  <c r="AC319" i="1"/>
  <c r="AL319" i="1" s="1"/>
  <c r="AW319" i="1" s="1"/>
  <c r="BB319" i="1" s="1"/>
  <c r="AN319" i="1"/>
  <c r="AO319" i="1" s="1"/>
  <c r="AP319" i="1" s="1"/>
  <c r="AQ319" i="1" s="1"/>
  <c r="AR319" i="1" s="1"/>
  <c r="W124" i="1"/>
  <c r="AF124" i="1" s="1"/>
  <c r="AI124" i="1"/>
  <c r="X185" i="1"/>
  <c r="AG185" i="1" s="1"/>
  <c r="AA185" i="1"/>
  <c r="AJ185" i="1" s="1"/>
  <c r="Y185" i="1"/>
  <c r="AH185" i="1" s="1"/>
  <c r="AK295" i="1"/>
  <c r="X295" i="1"/>
  <c r="AG295" i="1" s="1"/>
  <c r="W110" i="1"/>
  <c r="AF110" i="1" s="1"/>
  <c r="AC110" i="1"/>
  <c r="AL110" i="1" s="1"/>
  <c r="AI110" i="1"/>
  <c r="Y110" i="1"/>
  <c r="AH110" i="1" s="1"/>
  <c r="AA110" i="1"/>
  <c r="AJ110" i="1" s="1"/>
  <c r="Y258" i="1"/>
  <c r="AH258" i="1" s="1"/>
  <c r="X258" i="1"/>
  <c r="AG258" i="1" s="1"/>
  <c r="AA258" i="1"/>
  <c r="AJ258" i="1" s="1"/>
  <c r="AW258" i="1" s="1"/>
  <c r="AX258" i="1" s="1"/>
  <c r="AN139" i="1"/>
  <c r="AO139" i="1" s="1"/>
  <c r="AP139" i="1" s="1"/>
  <c r="AQ139" i="1" s="1"/>
  <c r="AR139" i="1" s="1"/>
  <c r="AA139" i="1"/>
  <c r="AJ139" i="1" s="1"/>
  <c r="AW139" i="1" s="1"/>
  <c r="AX139" i="1" s="1"/>
  <c r="AY139" i="1" s="1"/>
  <c r="AZ139" i="1" s="1"/>
  <c r="BA139" i="1" s="1"/>
  <c r="X175" i="1"/>
  <c r="AG175" i="1" s="1"/>
  <c r="AK175" i="1"/>
  <c r="AK529" i="1"/>
  <c r="X529" i="1"/>
  <c r="AG529" i="1" s="1"/>
  <c r="AA379" i="1"/>
  <c r="AJ379" i="1" s="1"/>
  <c r="AW379" i="1" s="1"/>
  <c r="AX379" i="1" s="1"/>
  <c r="AY379" i="1" s="1"/>
  <c r="AZ379" i="1" s="1"/>
  <c r="BA379" i="1" s="1"/>
  <c r="AN379" i="1"/>
  <c r="AS379" i="1" s="1"/>
  <c r="AK348" i="1"/>
  <c r="X348" i="1"/>
  <c r="AG348" i="1" s="1"/>
  <c r="AK269" i="1"/>
  <c r="X269" i="1"/>
  <c r="AG269" i="1" s="1"/>
  <c r="AK234" i="1"/>
  <c r="X234" i="1"/>
  <c r="AG234" i="1" s="1"/>
  <c r="AI631" i="1"/>
  <c r="AA631" i="1"/>
  <c r="AJ631" i="1" s="1"/>
  <c r="AI99" i="1"/>
  <c r="W99" i="1"/>
  <c r="AF99" i="1" s="1"/>
  <c r="Y99" i="1"/>
  <c r="AH99" i="1" s="1"/>
  <c r="AC99" i="1"/>
  <c r="AL99" i="1" s="1"/>
  <c r="AW99" i="1" s="1"/>
  <c r="AN641" i="1"/>
  <c r="AO641" i="1" s="1"/>
  <c r="AP641" i="1" s="1"/>
  <c r="AQ641" i="1" s="1"/>
  <c r="AR641" i="1" s="1"/>
  <c r="AA641" i="1"/>
  <c r="AJ641" i="1" s="1"/>
  <c r="AW641" i="1" s="1"/>
  <c r="BB641" i="1" s="1"/>
  <c r="AI550" i="1"/>
  <c r="Y550" i="1"/>
  <c r="AH550" i="1" s="1"/>
  <c r="W162" i="1"/>
  <c r="AF162" i="1" s="1"/>
  <c r="AA162" i="1"/>
  <c r="AJ162" i="1" s="1"/>
  <c r="AI162" i="1"/>
  <c r="AN338" i="1"/>
  <c r="AO338" i="1" s="1"/>
  <c r="AP338" i="1" s="1"/>
  <c r="AQ338" i="1" s="1"/>
  <c r="AR338" i="1" s="1"/>
  <c r="AC338" i="1"/>
  <c r="AL338" i="1" s="1"/>
  <c r="W451" i="1"/>
  <c r="AF451" i="1" s="1"/>
  <c r="AI451" i="1"/>
  <c r="Y451" i="1"/>
  <c r="AH451" i="1" s="1"/>
  <c r="AC454" i="1"/>
  <c r="AL454" i="1" s="1"/>
  <c r="AW454" i="1" s="1"/>
  <c r="AX454" i="1" s="1"/>
  <c r="AY454" i="1" s="1"/>
  <c r="AZ454" i="1" s="1"/>
  <c r="BA454" i="1" s="1"/>
  <c r="AN454" i="1"/>
  <c r="AO454" i="1" s="1"/>
  <c r="AP454" i="1" s="1"/>
  <c r="AQ454" i="1" s="1"/>
  <c r="AR454" i="1" s="1"/>
  <c r="AC241" i="1"/>
  <c r="AL241" i="1" s="1"/>
  <c r="X241" i="1"/>
  <c r="AG241" i="1" s="1"/>
  <c r="AI241" i="1"/>
  <c r="AC203" i="1"/>
  <c r="AL203" i="1" s="1"/>
  <c r="Y203" i="1"/>
  <c r="AH203" i="1" s="1"/>
  <c r="AN537" i="1"/>
  <c r="AS537" i="1" s="1"/>
  <c r="AA537" i="1"/>
  <c r="AJ537" i="1" s="1"/>
  <c r="AW537" i="1" s="1"/>
  <c r="BB537" i="1" s="1"/>
  <c r="AA362" i="1"/>
  <c r="AJ362" i="1" s="1"/>
  <c r="AW362" i="1" s="1"/>
  <c r="AN362" i="1"/>
  <c r="AC469" i="1"/>
  <c r="AL469" i="1" s="1"/>
  <c r="AW469" i="1" s="1"/>
  <c r="AX469" i="1" s="1"/>
  <c r="AY469" i="1" s="1"/>
  <c r="AZ469" i="1" s="1"/>
  <c r="BA469" i="1" s="1"/>
  <c r="AN469" i="1"/>
  <c r="AO469" i="1" s="1"/>
  <c r="AP469" i="1" s="1"/>
  <c r="AQ469" i="1" s="1"/>
  <c r="AR469" i="1" s="1"/>
  <c r="X499" i="1"/>
  <c r="AG499" i="1" s="1"/>
  <c r="AK499" i="1"/>
  <c r="AC229" i="1"/>
  <c r="AL229" i="1" s="1"/>
  <c r="AW229" i="1" s="1"/>
  <c r="AX229" i="1" s="1"/>
  <c r="AY229" i="1" s="1"/>
  <c r="AZ229" i="1" s="1"/>
  <c r="BA229" i="1" s="1"/>
  <c r="AN229" i="1"/>
  <c r="AS229" i="1" s="1"/>
  <c r="X189" i="1"/>
  <c r="AG189" i="1" s="1"/>
  <c r="AK189" i="1"/>
  <c r="AA251" i="1"/>
  <c r="AJ251" i="1" s="1"/>
  <c r="AW251" i="1" s="1"/>
  <c r="AX251" i="1" s="1"/>
  <c r="Y251" i="1"/>
  <c r="AH251" i="1" s="1"/>
  <c r="AI251" i="1"/>
  <c r="AI567" i="1"/>
  <c r="Y567" i="1"/>
  <c r="AH567" i="1" s="1"/>
  <c r="W567" i="1"/>
  <c r="AF567" i="1" s="1"/>
  <c r="Y250" i="1"/>
  <c r="AH250" i="1" s="1"/>
  <c r="AC250" i="1"/>
  <c r="AL250" i="1" s="1"/>
  <c r="AW250" i="1" s="1"/>
  <c r="AI250" i="1"/>
  <c r="AK412" i="1"/>
  <c r="X412" i="1"/>
  <c r="AG412" i="1" s="1"/>
  <c r="AQ565" i="1"/>
  <c r="AR565" i="1" s="1"/>
  <c r="AQ534" i="1"/>
  <c r="AR534" i="1" s="1"/>
  <c r="Y539" i="1"/>
  <c r="AH539" i="1" s="1"/>
  <c r="X539" i="1"/>
  <c r="AG539" i="1" s="1"/>
  <c r="AI405" i="1"/>
  <c r="Y405" i="1"/>
  <c r="AH405" i="1" s="1"/>
  <c r="AI185" i="1"/>
  <c r="AN343" i="1"/>
  <c r="AO343" i="1" s="1"/>
  <c r="AP343" i="1" s="1"/>
  <c r="AQ343" i="1" s="1"/>
  <c r="AR343" i="1" s="1"/>
  <c r="X110" i="1"/>
  <c r="AG110" i="1" s="1"/>
  <c r="AP543" i="1"/>
  <c r="AQ543" i="1" s="1"/>
  <c r="AR543" i="1" s="1"/>
  <c r="W134" i="1"/>
  <c r="AF134" i="1" s="1"/>
  <c r="Y124" i="1"/>
  <c r="AH124" i="1" s="1"/>
  <c r="Y355" i="1"/>
  <c r="AH355" i="1" s="1"/>
  <c r="X134" i="1"/>
  <c r="AG134" i="1" s="1"/>
  <c r="AC185" i="1"/>
  <c r="AL185" i="1" s="1"/>
  <c r="AW185" i="1" s="1"/>
  <c r="AX185" i="1" s="1"/>
  <c r="AY185" i="1" s="1"/>
  <c r="AZ185" i="1" s="1"/>
  <c r="BA185" i="1" s="1"/>
  <c r="AN498" i="1"/>
  <c r="AO498" i="1" s="1"/>
  <c r="AP498" i="1" s="1"/>
  <c r="AQ498" i="1" s="1"/>
  <c r="AR498" i="1" s="1"/>
  <c r="X203" i="1"/>
  <c r="AG203" i="1" s="1"/>
  <c r="AC222" i="1"/>
  <c r="AL222" i="1" s="1"/>
  <c r="AW222" i="1" s="1"/>
  <c r="BB222" i="1" s="1"/>
  <c r="AQ276" i="1"/>
  <c r="AR276" i="1" s="1"/>
  <c r="AP488" i="1"/>
  <c r="AQ488" i="1" s="1"/>
  <c r="AR488" i="1" s="1"/>
  <c r="X451" i="1"/>
  <c r="AG451" i="1" s="1"/>
  <c r="AN423" i="1"/>
  <c r="AS423" i="1" s="1"/>
  <c r="AA314" i="1"/>
  <c r="AJ314" i="1" s="1"/>
  <c r="X505" i="1"/>
  <c r="AG505" i="1" s="1"/>
  <c r="AO91" i="1"/>
  <c r="AP91" i="1" s="1"/>
  <c r="AQ91" i="1" s="1"/>
  <c r="AR91" i="1" s="1"/>
  <c r="AS91" i="1"/>
  <c r="AN308" i="1"/>
  <c r="AP178" i="1"/>
  <c r="AQ178" i="1" s="1"/>
  <c r="AR178" i="1" s="1"/>
  <c r="AP355" i="1"/>
  <c r="AQ355" i="1" s="1"/>
  <c r="AR355" i="1" s="1"/>
  <c r="AW498" i="1"/>
  <c r="AX498" i="1" s="1"/>
  <c r="AY498" i="1" s="1"/>
  <c r="AW596" i="1"/>
  <c r="BB596" i="1" s="1"/>
  <c r="AQ648" i="1"/>
  <c r="AR648" i="1" s="1"/>
  <c r="AQ450" i="1"/>
  <c r="AR450" i="1" s="1"/>
  <c r="AP213" i="1"/>
  <c r="AQ213" i="1" s="1"/>
  <c r="AR213" i="1" s="1"/>
  <c r="AQ208" i="1"/>
  <c r="AR208" i="1" s="1"/>
  <c r="X437" i="1"/>
  <c r="AG437" i="1" s="1"/>
  <c r="AI406" i="1"/>
  <c r="AI274" i="1"/>
  <c r="AC208" i="1"/>
  <c r="AL208" i="1" s="1"/>
  <c r="AP348" i="1"/>
  <c r="AQ348" i="1" s="1"/>
  <c r="AR348" i="1" s="1"/>
  <c r="AP156" i="1"/>
  <c r="AQ156" i="1" s="1"/>
  <c r="AR156" i="1" s="1"/>
  <c r="AP510" i="1"/>
  <c r="AQ510" i="1" s="1"/>
  <c r="AR510" i="1" s="1"/>
  <c r="AP216" i="1"/>
  <c r="AQ216" i="1" s="1"/>
  <c r="AR216" i="1" s="1"/>
  <c r="AP232" i="1"/>
  <c r="AQ232" i="1" s="1"/>
  <c r="AR232" i="1" s="1"/>
  <c r="AP478" i="1"/>
  <c r="AQ478" i="1" s="1"/>
  <c r="AR478" i="1" s="1"/>
  <c r="AQ439" i="1"/>
  <c r="AR439" i="1" s="1"/>
  <c r="AA550" i="1"/>
  <c r="AJ550" i="1" s="1"/>
  <c r="AN92" i="1"/>
  <c r="AO92" i="1" s="1"/>
  <c r="AP92" i="1" s="1"/>
  <c r="AQ92" i="1" s="1"/>
  <c r="AR92" i="1" s="1"/>
  <c r="X392" i="1"/>
  <c r="AG392" i="1" s="1"/>
  <c r="AK239" i="1"/>
  <c r="Y640" i="1"/>
  <c r="AH640" i="1" s="1"/>
  <c r="AW480" i="1"/>
  <c r="AX480" i="1" s="1"/>
  <c r="AY480" i="1" s="1"/>
  <c r="AZ480" i="1" s="1"/>
  <c r="BA480" i="1" s="1"/>
  <c r="AO503" i="1"/>
  <c r="AP503" i="1" s="1"/>
  <c r="AQ503" i="1" s="1"/>
  <c r="AR503" i="1" s="1"/>
  <c r="AS503" i="1"/>
  <c r="AN490" i="1"/>
  <c r="AO490" i="1" s="1"/>
  <c r="AP490" i="1" s="1"/>
  <c r="AQ490" i="1" s="1"/>
  <c r="AR490" i="1" s="1"/>
  <c r="AA490" i="1"/>
  <c r="AJ490" i="1" s="1"/>
  <c r="AW490" i="1" s="1"/>
  <c r="AX490" i="1" s="1"/>
  <c r="AY490" i="1" s="1"/>
  <c r="AZ490" i="1" s="1"/>
  <c r="BA490" i="1" s="1"/>
  <c r="W228" i="1"/>
  <c r="AF228" i="1" s="1"/>
  <c r="Y228" i="1"/>
  <c r="AH228" i="1" s="1"/>
  <c r="X228" i="1"/>
  <c r="AG228" i="1" s="1"/>
  <c r="W204" i="1"/>
  <c r="AF204" i="1" s="1"/>
  <c r="AI204" i="1"/>
  <c r="AC204" i="1"/>
  <c r="AL204" i="1" s="1"/>
  <c r="W579" i="1"/>
  <c r="AF579" i="1" s="1"/>
  <c r="AA579" i="1"/>
  <c r="AJ579" i="1" s="1"/>
  <c r="Y579" i="1"/>
  <c r="AH579" i="1" s="1"/>
  <c r="AK554" i="1"/>
  <c r="AA125" i="1"/>
  <c r="AJ125" i="1" s="1"/>
  <c r="Y616" i="1"/>
  <c r="AH616" i="1" s="1"/>
  <c r="W125" i="1"/>
  <c r="AF125" i="1" s="1"/>
  <c r="AI125" i="1"/>
  <c r="AW338" i="1"/>
  <c r="AX338" i="1" s="1"/>
  <c r="AY338" i="1" s="1"/>
  <c r="AZ338" i="1" s="1"/>
  <c r="BA338" i="1" s="1"/>
  <c r="AA112" i="1"/>
  <c r="AJ112" i="1" s="1"/>
  <c r="AA158" i="1"/>
  <c r="AJ158" i="1" s="1"/>
  <c r="AW158" i="1" s="1"/>
  <c r="AX158" i="1" s="1"/>
  <c r="AY158" i="1" s="1"/>
  <c r="AZ158" i="1" s="1"/>
  <c r="BA158" i="1" s="1"/>
  <c r="AW306" i="1"/>
  <c r="AX306" i="1" s="1"/>
  <c r="AY306" i="1" s="1"/>
  <c r="AZ306" i="1" s="1"/>
  <c r="BA306" i="1" s="1"/>
  <c r="AW414" i="1"/>
  <c r="AX414" i="1" s="1"/>
  <c r="AY414" i="1" s="1"/>
  <c r="AZ414" i="1" s="1"/>
  <c r="BA414" i="1" s="1"/>
  <c r="AK392" i="1"/>
  <c r="AN191" i="1"/>
  <c r="AS191" i="1" s="1"/>
  <c r="AS521" i="1"/>
  <c r="AN421" i="1"/>
  <c r="AO421" i="1" s="1"/>
  <c r="AP421" i="1" s="1"/>
  <c r="AQ421" i="1" s="1"/>
  <c r="AR421" i="1" s="1"/>
  <c r="AS441" i="1"/>
  <c r="W354" i="1"/>
  <c r="AF354" i="1" s="1"/>
  <c r="W301" i="1"/>
  <c r="AF301" i="1" s="1"/>
  <c r="AK393" i="1"/>
  <c r="AA425" i="1"/>
  <c r="AJ425" i="1" s="1"/>
  <c r="W384" i="1"/>
  <c r="AF384" i="1" s="1"/>
  <c r="AQ248" i="1"/>
  <c r="AR248" i="1" s="1"/>
  <c r="X365" i="1"/>
  <c r="AG365" i="1" s="1"/>
  <c r="AY152" i="1"/>
  <c r="AZ152" i="1" s="1"/>
  <c r="BA152" i="1" s="1"/>
  <c r="Y204" i="1"/>
  <c r="AH204" i="1" s="1"/>
  <c r="AC228" i="1"/>
  <c r="AL228" i="1" s="1"/>
  <c r="AA304" i="1"/>
  <c r="AJ304" i="1" s="1"/>
  <c r="AW304" i="1" s="1"/>
  <c r="AX304" i="1" s="1"/>
  <c r="AY304" i="1" s="1"/>
  <c r="AN304" i="1"/>
  <c r="AO304" i="1" s="1"/>
  <c r="AP304" i="1" s="1"/>
  <c r="AQ304" i="1" s="1"/>
  <c r="AR304" i="1" s="1"/>
  <c r="AN205" i="1"/>
  <c r="AA205" i="1"/>
  <c r="AJ205" i="1" s="1"/>
  <c r="W392" i="1"/>
  <c r="AF392" i="1" s="1"/>
  <c r="AC392" i="1"/>
  <c r="AL392" i="1" s="1"/>
  <c r="W258" i="1"/>
  <c r="AF258" i="1" s="1"/>
  <c r="AI258" i="1"/>
  <c r="AK115" i="1"/>
  <c r="X115" i="1"/>
  <c r="AG115" i="1" s="1"/>
  <c r="AS207" i="1"/>
  <c r="AC153" i="1"/>
  <c r="AL153" i="1" s="1"/>
  <c r="AW153" i="1" s="1"/>
  <c r="AX153" i="1" s="1"/>
  <c r="AY153" i="1" s="1"/>
  <c r="AZ153" i="1" s="1"/>
  <c r="BA153" i="1" s="1"/>
  <c r="AN153" i="1"/>
  <c r="AO153" i="1" s="1"/>
  <c r="AP153" i="1" s="1"/>
  <c r="AQ153" i="1" s="1"/>
  <c r="AR153" i="1" s="1"/>
  <c r="W631" i="1"/>
  <c r="AF631" i="1" s="1"/>
  <c r="X631" i="1"/>
  <c r="AG631" i="1" s="1"/>
  <c r="X401" i="1"/>
  <c r="AG401" i="1" s="1"/>
  <c r="W401" i="1"/>
  <c r="AF401" i="1" s="1"/>
  <c r="W550" i="1"/>
  <c r="AF550" i="1" s="1"/>
  <c r="AC550" i="1"/>
  <c r="AL550" i="1" s="1"/>
  <c r="W241" i="1"/>
  <c r="AF241" i="1" s="1"/>
  <c r="AA241" i="1"/>
  <c r="AJ241" i="1" s="1"/>
  <c r="Y241" i="1"/>
  <c r="AH241" i="1" s="1"/>
  <c r="W314" i="1"/>
  <c r="AF314" i="1" s="1"/>
  <c r="Y314" i="1"/>
  <c r="AH314" i="1" s="1"/>
  <c r="AC418" i="1"/>
  <c r="AL418" i="1" s="1"/>
  <c r="AW418" i="1" s="1"/>
  <c r="AN418" i="1"/>
  <c r="AO418" i="1" s="1"/>
  <c r="AP418" i="1" s="1"/>
  <c r="AQ418" i="1" s="1"/>
  <c r="AR418" i="1" s="1"/>
  <c r="W505" i="1"/>
  <c r="AF505" i="1" s="1"/>
  <c r="AI505" i="1"/>
  <c r="AN664" i="1"/>
  <c r="AA664" i="1"/>
  <c r="AJ664" i="1" s="1"/>
  <c r="AW664" i="1" s="1"/>
  <c r="Y615" i="1"/>
  <c r="AH615" i="1" s="1"/>
  <c r="AI615" i="1"/>
  <c r="AK206" i="1"/>
  <c r="W553" i="1"/>
  <c r="AF553" i="1" s="1"/>
  <c r="X553" i="1"/>
  <c r="AG553" i="1" s="1"/>
  <c r="AI553" i="1"/>
  <c r="W250" i="1"/>
  <c r="AF250" i="1" s="1"/>
  <c r="X250" i="1"/>
  <c r="AG250" i="1" s="1"/>
  <c r="X87" i="1"/>
  <c r="AG87" i="1" s="1"/>
  <c r="AK87" i="1"/>
  <c r="AI539" i="1"/>
  <c r="W539" i="1"/>
  <c r="AF539" i="1" s="1"/>
  <c r="W208" i="1"/>
  <c r="AF208" i="1" s="1"/>
  <c r="AA208" i="1"/>
  <c r="AJ208" i="1" s="1"/>
  <c r="X208" i="1"/>
  <c r="AG208" i="1" s="1"/>
  <c r="AI341" i="1"/>
  <c r="AW272" i="1"/>
  <c r="AX272" i="1" s="1"/>
  <c r="AY272" i="1" s="1"/>
  <c r="AZ272" i="1" s="1"/>
  <c r="BA272" i="1" s="1"/>
  <c r="Y536" i="1"/>
  <c r="AH536" i="1" s="1"/>
  <c r="AQ405" i="1"/>
  <c r="AR405" i="1" s="1"/>
  <c r="AA419" i="1"/>
  <c r="AJ419" i="1" s="1"/>
  <c r="AW419" i="1" s="1"/>
  <c r="AX419" i="1" s="1"/>
  <c r="AY419" i="1" s="1"/>
  <c r="AZ419" i="1" s="1"/>
  <c r="BA419" i="1" s="1"/>
  <c r="E13" i="1"/>
  <c r="DV2" i="1" s="1"/>
  <c r="AK85" i="1"/>
  <c r="AN184" i="1"/>
  <c r="AS184" i="1" s="1"/>
  <c r="AC125" i="1"/>
  <c r="AL125" i="1" s="1"/>
  <c r="AS557" i="1"/>
  <c r="AP286" i="1"/>
  <c r="AQ286" i="1" s="1"/>
  <c r="AR286" i="1" s="1"/>
  <c r="AN255" i="1"/>
  <c r="AO255" i="1" s="1"/>
  <c r="AP255" i="1" s="1"/>
  <c r="AQ255" i="1" s="1"/>
  <c r="AR255" i="1" s="1"/>
  <c r="AW452" i="1"/>
  <c r="AX452" i="1" s="1"/>
  <c r="AY452" i="1" s="1"/>
  <c r="AZ452" i="1" s="1"/>
  <c r="BA452" i="1" s="1"/>
  <c r="AK343" i="1"/>
  <c r="X273" i="1"/>
  <c r="AG273" i="1" s="1"/>
  <c r="AC557" i="1"/>
  <c r="AL557" i="1" s="1"/>
  <c r="AW557" i="1" s="1"/>
  <c r="AX557" i="1" s="1"/>
  <c r="AY557" i="1" s="1"/>
  <c r="AZ557" i="1" s="1"/>
  <c r="BA557" i="1" s="1"/>
  <c r="X354" i="1"/>
  <c r="AG354" i="1" s="1"/>
  <c r="AA228" i="1"/>
  <c r="AJ228" i="1" s="1"/>
  <c r="E9" i="1"/>
  <c r="DR2" i="1" s="1"/>
  <c r="W273" i="1"/>
  <c r="AF273" i="1" s="1"/>
  <c r="AQ142" i="1"/>
  <c r="AR142" i="1" s="1"/>
  <c r="AC487" i="1"/>
  <c r="AL487" i="1" s="1"/>
  <c r="AW487" i="1" s="1"/>
  <c r="AX487" i="1" s="1"/>
  <c r="AY487" i="1" s="1"/>
  <c r="AZ487" i="1" s="1"/>
  <c r="BA487" i="1" s="1"/>
  <c r="AA354" i="1"/>
  <c r="AJ354" i="1" s="1"/>
  <c r="AW354" i="1" s="1"/>
  <c r="AX354" i="1" s="1"/>
  <c r="X435" i="1"/>
  <c r="AG435" i="1" s="1"/>
  <c r="AA204" i="1"/>
  <c r="AJ204" i="1" s="1"/>
  <c r="X204" i="1"/>
  <c r="AG204" i="1" s="1"/>
  <c r="AN550" i="1"/>
  <c r="AO550" i="1" s="1"/>
  <c r="AP550" i="1" s="1"/>
  <c r="AQ550" i="1" s="1"/>
  <c r="AR550" i="1" s="1"/>
  <c r="AI106" i="1"/>
  <c r="AN527" i="1"/>
  <c r="Y638" i="1"/>
  <c r="AH638" i="1" s="1"/>
  <c r="W638" i="1"/>
  <c r="AF638" i="1" s="1"/>
  <c r="AI638" i="1"/>
  <c r="AC638" i="1"/>
  <c r="AL638" i="1" s="1"/>
  <c r="W522" i="1"/>
  <c r="AF522" i="1" s="1"/>
  <c r="X522" i="1"/>
  <c r="AG522" i="1" s="1"/>
  <c r="AA522" i="1"/>
  <c r="AJ522" i="1" s="1"/>
  <c r="Y522" i="1"/>
  <c r="AH522" i="1" s="1"/>
  <c r="W590" i="1"/>
  <c r="AF590" i="1" s="1"/>
  <c r="AC590" i="1"/>
  <c r="AL590" i="1" s="1"/>
  <c r="AW590" i="1" s="1"/>
  <c r="AX590" i="1" s="1"/>
  <c r="W165" i="1"/>
  <c r="AF165" i="1" s="1"/>
  <c r="Y165" i="1"/>
  <c r="AH165" i="1" s="1"/>
  <c r="W138" i="1"/>
  <c r="AF138" i="1" s="1"/>
  <c r="AI138" i="1"/>
  <c r="X138" i="1"/>
  <c r="AG138" i="1" s="1"/>
  <c r="AC138" i="1"/>
  <c r="AL138" i="1" s="1"/>
  <c r="AW138" i="1" s="1"/>
  <c r="AC333" i="1"/>
  <c r="AL333" i="1" s="1"/>
  <c r="AA333" i="1"/>
  <c r="AJ333" i="1" s="1"/>
  <c r="AA570" i="1"/>
  <c r="AJ570" i="1" s="1"/>
  <c r="AW570" i="1" s="1"/>
  <c r="AX570" i="1" s="1"/>
  <c r="AY570" i="1" s="1"/>
  <c r="AZ570" i="1" s="1"/>
  <c r="BA570" i="1" s="1"/>
  <c r="AN570" i="1"/>
  <c r="AO570" i="1" s="1"/>
  <c r="AP570" i="1" s="1"/>
  <c r="AQ570" i="1" s="1"/>
  <c r="AR570" i="1" s="1"/>
  <c r="AN563" i="1"/>
  <c r="AC563" i="1"/>
  <c r="AL563" i="1" s="1"/>
  <c r="AW563" i="1" s="1"/>
  <c r="AX563" i="1" s="1"/>
  <c r="AY563" i="1" s="1"/>
  <c r="AZ563" i="1" s="1"/>
  <c r="BA563" i="1" s="1"/>
  <c r="AA190" i="1"/>
  <c r="AJ190" i="1" s="1"/>
  <c r="AC190" i="1"/>
  <c r="AL190" i="1" s="1"/>
  <c r="W374" i="1"/>
  <c r="AF374" i="1" s="1"/>
  <c r="AA374" i="1"/>
  <c r="AJ374" i="1" s="1"/>
  <c r="AW374" i="1" s="1"/>
  <c r="W255" i="1"/>
  <c r="AF255" i="1" s="1"/>
  <c r="Y255" i="1"/>
  <c r="AH255" i="1" s="1"/>
  <c r="W381" i="1"/>
  <c r="AF381" i="1" s="1"/>
  <c r="AC381" i="1"/>
  <c r="AL381" i="1" s="1"/>
  <c r="AA381" i="1"/>
  <c r="AJ381" i="1" s="1"/>
  <c r="AP87" i="1"/>
  <c r="AQ87" i="1" s="1"/>
  <c r="AR87" i="1" s="1"/>
  <c r="AA623" i="1"/>
  <c r="AJ623" i="1" s="1"/>
  <c r="AN623" i="1"/>
  <c r="AO623" i="1" s="1"/>
  <c r="AP623" i="1" s="1"/>
  <c r="AQ623" i="1" s="1"/>
  <c r="AR623" i="1" s="1"/>
  <c r="W468" i="1"/>
  <c r="AF468" i="1" s="1"/>
  <c r="Y468" i="1"/>
  <c r="AH468" i="1" s="1"/>
  <c r="AA468" i="1"/>
  <c r="AJ468" i="1" s="1"/>
  <c r="AQ433" i="1"/>
  <c r="AR433" i="1" s="1"/>
  <c r="AP444" i="1"/>
  <c r="AQ444" i="1" s="1"/>
  <c r="AR444" i="1" s="1"/>
  <c r="AI354" i="1"/>
  <c r="AK142" i="1"/>
  <c r="AA638" i="1"/>
  <c r="AJ638" i="1" s="1"/>
  <c r="AI134" i="1"/>
  <c r="AK372" i="1"/>
  <c r="AP620" i="1"/>
  <c r="AQ620" i="1" s="1"/>
  <c r="AR620" i="1" s="1"/>
  <c r="AC106" i="1"/>
  <c r="AL106" i="1" s="1"/>
  <c r="AI518" i="1"/>
  <c r="AK602" i="1"/>
  <c r="X550" i="1"/>
  <c r="AG550" i="1" s="1"/>
  <c r="AK173" i="1"/>
  <c r="AN523" i="1"/>
  <c r="AO523" i="1" s="1"/>
  <c r="AP523" i="1" s="1"/>
  <c r="AQ523" i="1" s="1"/>
  <c r="AR523" i="1" s="1"/>
  <c r="Y518" i="1"/>
  <c r="AH518" i="1" s="1"/>
  <c r="AP136" i="1"/>
  <c r="AQ136" i="1" s="1"/>
  <c r="AR136" i="1" s="1"/>
  <c r="AA220" i="1"/>
  <c r="AJ220" i="1" s="1"/>
  <c r="AC270" i="1"/>
  <c r="AL270" i="1" s="1"/>
  <c r="AW270" i="1" s="1"/>
  <c r="AX270" i="1" s="1"/>
  <c r="AC615" i="1"/>
  <c r="AL615" i="1" s="1"/>
  <c r="AN275" i="1"/>
  <c r="AO275" i="1" s="1"/>
  <c r="AP275" i="1" s="1"/>
  <c r="AQ275" i="1" s="1"/>
  <c r="AR275" i="1" s="1"/>
  <c r="AQ571" i="1"/>
  <c r="AR571" i="1" s="1"/>
  <c r="AQ218" i="1"/>
  <c r="AR218" i="1" s="1"/>
  <c r="X571" i="1"/>
  <c r="AG571" i="1" s="1"/>
  <c r="AS500" i="1"/>
  <c r="AQ164" i="1"/>
  <c r="AR164" i="1" s="1"/>
  <c r="AP484" i="1"/>
  <c r="AQ484" i="1" s="1"/>
  <c r="AR484" i="1" s="1"/>
  <c r="AP437" i="1"/>
  <c r="AQ437" i="1" s="1"/>
  <c r="AR437" i="1" s="1"/>
  <c r="AO279" i="1"/>
  <c r="AP279" i="1" s="1"/>
  <c r="AQ279" i="1" s="1"/>
  <c r="AR279" i="1" s="1"/>
  <c r="AS279" i="1"/>
  <c r="AO150" i="1"/>
  <c r="AP150" i="1" s="1"/>
  <c r="AQ150" i="1" s="1"/>
  <c r="AR150" i="1" s="1"/>
  <c r="AS150" i="1"/>
  <c r="AS259" i="1"/>
  <c r="AO259" i="1"/>
  <c r="AP259" i="1" s="1"/>
  <c r="AQ259" i="1" s="1"/>
  <c r="AR259" i="1" s="1"/>
  <c r="AW441" i="1"/>
  <c r="AX441" i="1" s="1"/>
  <c r="AY441" i="1" s="1"/>
  <c r="AZ441" i="1" s="1"/>
  <c r="BA441" i="1" s="1"/>
  <c r="AY291" i="1"/>
  <c r="AZ291" i="1" s="1"/>
  <c r="BA291" i="1" s="1"/>
  <c r="AX1184" i="1"/>
  <c r="AY1184" i="1" s="1"/>
  <c r="AZ1184" i="1" s="1"/>
  <c r="BA1184" i="1" s="1"/>
  <c r="BB1184" i="1"/>
  <c r="BB1165" i="1"/>
  <c r="AX1165" i="1"/>
  <c r="AY1165" i="1" s="1"/>
  <c r="AZ1165" i="1" s="1"/>
  <c r="BA1165" i="1" s="1"/>
  <c r="AX1140" i="1"/>
  <c r="AY1140" i="1" s="1"/>
  <c r="AZ1140" i="1" s="1"/>
  <c r="BA1140" i="1" s="1"/>
  <c r="BB1140" i="1"/>
  <c r="AX1186" i="1"/>
  <c r="AY1186" i="1" s="1"/>
  <c r="AZ1186" i="1" s="1"/>
  <c r="BA1186" i="1" s="1"/>
  <c r="BB1186" i="1"/>
  <c r="W144" i="1"/>
  <c r="AF144" i="1" s="1"/>
  <c r="Y144" i="1"/>
  <c r="AH144" i="1" s="1"/>
  <c r="AA316" i="1"/>
  <c r="AJ316" i="1" s="1"/>
  <c r="AW316" i="1" s="1"/>
  <c r="AX316" i="1" s="1"/>
  <c r="AY316" i="1" s="1"/>
  <c r="AZ316" i="1" s="1"/>
  <c r="BA316" i="1" s="1"/>
  <c r="AN316" i="1"/>
  <c r="AS316" i="1" s="1"/>
  <c r="AK304" i="1"/>
  <c r="X304" i="1"/>
  <c r="AG304" i="1" s="1"/>
  <c r="AC417" i="1"/>
  <c r="AL417" i="1" s="1"/>
  <c r="AW417" i="1" s="1"/>
  <c r="AN417" i="1"/>
  <c r="AS417" i="1" s="1"/>
  <c r="BB865" i="1"/>
  <c r="AX865" i="1"/>
  <c r="AY865" i="1" s="1"/>
  <c r="AZ865" i="1" s="1"/>
  <c r="BA865" i="1" s="1"/>
  <c r="BB1097" i="1"/>
  <c r="AX1097" i="1"/>
  <c r="AY1097" i="1" s="1"/>
  <c r="AZ1097" i="1" s="1"/>
  <c r="BA1097" i="1" s="1"/>
  <c r="AS1160" i="1"/>
  <c r="AO1160" i="1"/>
  <c r="AP1160" i="1" s="1"/>
  <c r="AQ1160" i="1" s="1"/>
  <c r="AR1160" i="1" s="1"/>
  <c r="Y575" i="1"/>
  <c r="AH575" i="1" s="1"/>
  <c r="W575" i="1"/>
  <c r="AF575" i="1" s="1"/>
  <c r="X575" i="1"/>
  <c r="AG575" i="1" s="1"/>
  <c r="AC575" i="1"/>
  <c r="AL575" i="1" s="1"/>
  <c r="Z308" i="1"/>
  <c r="AI308" i="1" s="1"/>
  <c r="X296" i="1"/>
  <c r="AG296" i="1" s="1"/>
  <c r="Y296" i="1"/>
  <c r="AH296" i="1" s="1"/>
  <c r="AC296" i="1"/>
  <c r="AL296" i="1" s="1"/>
  <c r="AA296" i="1"/>
  <c r="AJ296" i="1" s="1"/>
  <c r="W296" i="1"/>
  <c r="AF296" i="1" s="1"/>
  <c r="AN371" i="1"/>
  <c r="AO371" i="1" s="1"/>
  <c r="AP371" i="1" s="1"/>
  <c r="AQ371" i="1" s="1"/>
  <c r="AR371" i="1" s="1"/>
  <c r="AC371" i="1"/>
  <c r="AL371" i="1" s="1"/>
  <c r="AW371" i="1" s="1"/>
  <c r="AX371" i="1" s="1"/>
  <c r="AY371" i="1" s="1"/>
  <c r="Y390" i="1"/>
  <c r="AH390" i="1" s="1"/>
  <c r="W390" i="1"/>
  <c r="AF390" i="1" s="1"/>
  <c r="AA390" i="1"/>
  <c r="AJ390" i="1" s="1"/>
  <c r="AW390" i="1" s="1"/>
  <c r="AX390" i="1" s="1"/>
  <c r="AI390" i="1"/>
  <c r="X390" i="1"/>
  <c r="AG390" i="1" s="1"/>
  <c r="X474" i="1"/>
  <c r="AG474" i="1" s="1"/>
  <c r="AK474" i="1"/>
  <c r="X94" i="1"/>
  <c r="AG94" i="1" s="1"/>
  <c r="AK94" i="1"/>
  <c r="W436" i="1"/>
  <c r="AF436" i="1" s="1"/>
  <c r="AI436" i="1"/>
  <c r="AA436" i="1"/>
  <c r="AJ436" i="1" s="1"/>
  <c r="Y436" i="1"/>
  <c r="AH436" i="1" s="1"/>
  <c r="AC159" i="1"/>
  <c r="AL159" i="1" s="1"/>
  <c r="AW159" i="1" s="1"/>
  <c r="AN159" i="1"/>
  <c r="AO159" i="1" s="1"/>
  <c r="AP159" i="1" s="1"/>
  <c r="AQ159" i="1" s="1"/>
  <c r="AR159" i="1" s="1"/>
  <c r="AN645" i="1"/>
  <c r="AO645" i="1" s="1"/>
  <c r="AP645" i="1" s="1"/>
  <c r="AQ645" i="1" s="1"/>
  <c r="AR645" i="1" s="1"/>
  <c r="AC645" i="1"/>
  <c r="AL645" i="1" s="1"/>
  <c r="AW645" i="1" s="1"/>
  <c r="X160" i="1"/>
  <c r="AG160" i="1" s="1"/>
  <c r="AK160" i="1"/>
  <c r="W230" i="1"/>
  <c r="AF230" i="1" s="1"/>
  <c r="Y230" i="1"/>
  <c r="AH230" i="1" s="1"/>
  <c r="X230" i="1"/>
  <c r="AG230" i="1" s="1"/>
  <c r="AA459" i="1"/>
  <c r="AJ459" i="1" s="1"/>
  <c r="AW459" i="1" s="1"/>
  <c r="AX459" i="1" s="1"/>
  <c r="AY459" i="1" s="1"/>
  <c r="AZ459" i="1" s="1"/>
  <c r="BA459" i="1" s="1"/>
  <c r="AN459" i="1"/>
  <c r="AK494" i="1"/>
  <c r="X494" i="1"/>
  <c r="AG494" i="1" s="1"/>
  <c r="W151" i="1"/>
  <c r="AF151" i="1" s="1"/>
  <c r="AI151" i="1"/>
  <c r="X151" i="1"/>
  <c r="AG151" i="1" s="1"/>
  <c r="AA151" i="1"/>
  <c r="AJ151" i="1" s="1"/>
  <c r="Y151" i="1"/>
  <c r="AH151" i="1" s="1"/>
  <c r="AC151" i="1"/>
  <c r="AL151" i="1" s="1"/>
  <c r="AC318" i="1"/>
  <c r="AL318" i="1" s="1"/>
  <c r="AN318" i="1"/>
  <c r="AO318" i="1" s="1"/>
  <c r="AP318" i="1" s="1"/>
  <c r="AQ318" i="1" s="1"/>
  <c r="AR318" i="1" s="1"/>
  <c r="AC451" i="1"/>
  <c r="AL451" i="1" s="1"/>
  <c r="AW451" i="1" s="1"/>
  <c r="AX451" i="1" s="1"/>
  <c r="AN451" i="1"/>
  <c r="AO451" i="1" s="1"/>
  <c r="AP451" i="1" s="1"/>
  <c r="AQ451" i="1" s="1"/>
  <c r="AR451" i="1" s="1"/>
  <c r="AP541" i="1"/>
  <c r="AQ541" i="1" s="1"/>
  <c r="AR541" i="1" s="1"/>
  <c r="AA141" i="1"/>
  <c r="AJ141" i="1" s="1"/>
  <c r="AW141" i="1" s="1"/>
  <c r="W141" i="1"/>
  <c r="AF141" i="1" s="1"/>
  <c r="Y141" i="1"/>
  <c r="AH141" i="1" s="1"/>
  <c r="X352" i="1"/>
  <c r="AG352" i="1" s="1"/>
  <c r="AK352" i="1"/>
  <c r="W235" i="1"/>
  <c r="AF235" i="1" s="1"/>
  <c r="AI235" i="1"/>
  <c r="AA235" i="1"/>
  <c r="AJ235" i="1" s="1"/>
  <c r="AW235" i="1" s="1"/>
  <c r="AX235" i="1" s="1"/>
  <c r="W625" i="1"/>
  <c r="AF625" i="1" s="1"/>
  <c r="AI625" i="1"/>
  <c r="AC625" i="1"/>
  <c r="AL625" i="1" s="1"/>
  <c r="Y625" i="1"/>
  <c r="AH625" i="1" s="1"/>
  <c r="AA625" i="1"/>
  <c r="AJ625" i="1" s="1"/>
  <c r="AC326" i="1"/>
  <c r="AL326" i="1" s="1"/>
  <c r="AW326" i="1" s="1"/>
  <c r="AX326" i="1" s="1"/>
  <c r="AY326" i="1" s="1"/>
  <c r="AZ326" i="1" s="1"/>
  <c r="BA326" i="1" s="1"/>
  <c r="AN326" i="1"/>
  <c r="AO326" i="1" s="1"/>
  <c r="AP326" i="1" s="1"/>
  <c r="AQ326" i="1" s="1"/>
  <c r="AR326" i="1" s="1"/>
  <c r="AN658" i="1"/>
  <c r="AO658" i="1" s="1"/>
  <c r="AP658" i="1" s="1"/>
  <c r="AQ658" i="1" s="1"/>
  <c r="AR658" i="1" s="1"/>
  <c r="AA658" i="1"/>
  <c r="AJ658" i="1" s="1"/>
  <c r="AW658" i="1" s="1"/>
  <c r="AX658" i="1" s="1"/>
  <c r="AY658" i="1" s="1"/>
  <c r="AZ658" i="1" s="1"/>
  <c r="BA658" i="1" s="1"/>
  <c r="W84" i="1"/>
  <c r="AF84" i="1" s="1"/>
  <c r="AI84" i="1"/>
  <c r="Y84" i="1"/>
  <c r="AH84" i="1" s="1"/>
  <c r="AC84" i="1"/>
  <c r="AL84" i="1" s="1"/>
  <c r="AW84" i="1" s="1"/>
  <c r="AX84" i="1" s="1"/>
  <c r="X84" i="1"/>
  <c r="AG84" i="1" s="1"/>
  <c r="AN661" i="1"/>
  <c r="AO661" i="1" s="1"/>
  <c r="AP661" i="1" s="1"/>
  <c r="AQ661" i="1" s="1"/>
  <c r="AR661" i="1" s="1"/>
  <c r="AC661" i="1"/>
  <c r="AL661" i="1" s="1"/>
  <c r="AW661" i="1" s="1"/>
  <c r="AX661" i="1" s="1"/>
  <c r="AY661" i="1" s="1"/>
  <c r="AZ661" i="1" s="1"/>
  <c r="BA661" i="1" s="1"/>
  <c r="AX1172" i="1"/>
  <c r="AY1172" i="1" s="1"/>
  <c r="AZ1172" i="1" s="1"/>
  <c r="BA1172" i="1" s="1"/>
  <c r="BB1172" i="1"/>
  <c r="X526" i="1"/>
  <c r="AG526" i="1" s="1"/>
  <c r="AW318" i="1"/>
  <c r="AX318" i="1" s="1"/>
  <c r="AY318" i="1" s="1"/>
  <c r="AZ318" i="1" s="1"/>
  <c r="BA318" i="1" s="1"/>
  <c r="AC468" i="1"/>
  <c r="AL468" i="1" s="1"/>
  <c r="AA230" i="1"/>
  <c r="AJ230" i="1" s="1"/>
  <c r="AO203" i="1"/>
  <c r="AP203" i="1" s="1"/>
  <c r="AQ203" i="1" s="1"/>
  <c r="AR203" i="1" s="1"/>
  <c r="AS203" i="1"/>
  <c r="AO380" i="1"/>
  <c r="AP380" i="1" s="1"/>
  <c r="AQ380" i="1" s="1"/>
  <c r="AR380" i="1" s="1"/>
  <c r="AS380" i="1"/>
  <c r="AS560" i="1"/>
  <c r="AO560" i="1"/>
  <c r="AP560" i="1" s="1"/>
  <c r="AQ560" i="1" s="1"/>
  <c r="AR560" i="1" s="1"/>
  <c r="AO988" i="1"/>
  <c r="AP988" i="1" s="1"/>
  <c r="AQ988" i="1" s="1"/>
  <c r="AR988" i="1" s="1"/>
  <c r="AS988" i="1"/>
  <c r="AX964" i="1"/>
  <c r="AY964" i="1" s="1"/>
  <c r="AZ964" i="1" s="1"/>
  <c r="BA964" i="1" s="1"/>
  <c r="BB964" i="1"/>
  <c r="AX820" i="1"/>
  <c r="AY820" i="1" s="1"/>
  <c r="AZ820" i="1" s="1"/>
  <c r="BA820" i="1" s="1"/>
  <c r="BB820" i="1"/>
  <c r="AX1058" i="1"/>
  <c r="AY1058" i="1" s="1"/>
  <c r="AZ1058" i="1" s="1"/>
  <c r="BA1058" i="1" s="1"/>
  <c r="BB1058" i="1"/>
  <c r="AO1014" i="1"/>
  <c r="AP1014" i="1" s="1"/>
  <c r="AQ1014" i="1" s="1"/>
  <c r="AR1014" i="1" s="1"/>
  <c r="AS1014" i="1"/>
  <c r="AX787" i="1"/>
  <c r="AY787" i="1" s="1"/>
  <c r="AZ787" i="1" s="1"/>
  <c r="BA787" i="1" s="1"/>
  <c r="BB787" i="1"/>
  <c r="AO1141" i="1"/>
  <c r="AP1141" i="1" s="1"/>
  <c r="AQ1141" i="1" s="1"/>
  <c r="AR1141" i="1" s="1"/>
  <c r="AS1141" i="1"/>
  <c r="AO1149" i="1"/>
  <c r="AP1149" i="1" s="1"/>
  <c r="AQ1149" i="1" s="1"/>
  <c r="AR1149" i="1" s="1"/>
  <c r="AS1149" i="1"/>
  <c r="AO1036" i="1"/>
  <c r="AP1036" i="1" s="1"/>
  <c r="AQ1036" i="1" s="1"/>
  <c r="AR1036" i="1" s="1"/>
  <c r="AS1036" i="1"/>
  <c r="AX1066" i="1"/>
  <c r="AY1066" i="1" s="1"/>
  <c r="AZ1066" i="1" s="1"/>
  <c r="BA1066" i="1" s="1"/>
  <c r="BB1066" i="1"/>
  <c r="AS125" i="1"/>
  <c r="AW423" i="1"/>
  <c r="AX423" i="1" s="1"/>
  <c r="AY423" i="1" s="1"/>
  <c r="AZ423" i="1" s="1"/>
  <c r="BA423" i="1" s="1"/>
  <c r="AX668" i="1"/>
  <c r="AY668" i="1" s="1"/>
  <c r="AZ668" i="1" s="1"/>
  <c r="BA668" i="1" s="1"/>
  <c r="BB668" i="1"/>
  <c r="X457" i="1"/>
  <c r="AG457" i="1" s="1"/>
  <c r="AA457" i="1"/>
  <c r="AJ457" i="1" s="1"/>
  <c r="Y457" i="1"/>
  <c r="AH457" i="1" s="1"/>
  <c r="AC457" i="1"/>
  <c r="AL457" i="1" s="1"/>
  <c r="AN647" i="1"/>
  <c r="AO647" i="1" s="1"/>
  <c r="AP647" i="1" s="1"/>
  <c r="AQ647" i="1" s="1"/>
  <c r="AR647" i="1" s="1"/>
  <c r="AA647" i="1"/>
  <c r="AJ647" i="1" s="1"/>
  <c r="AW647" i="1" s="1"/>
  <c r="AX647" i="1" s="1"/>
  <c r="AY647" i="1" s="1"/>
  <c r="AZ647" i="1" s="1"/>
  <c r="BA647" i="1" s="1"/>
  <c r="AS590" i="1"/>
  <c r="Y590" i="1"/>
  <c r="AH590" i="1" s="1"/>
  <c r="Z586" i="1"/>
  <c r="AI586" i="1" s="1"/>
  <c r="AP586" i="1"/>
  <c r="AQ586" i="1" s="1"/>
  <c r="AR586" i="1" s="1"/>
  <c r="X301" i="1"/>
  <c r="AG301" i="1" s="1"/>
  <c r="Y301" i="1"/>
  <c r="AH301" i="1" s="1"/>
  <c r="AC301" i="1"/>
  <c r="AL301" i="1" s="1"/>
  <c r="Y425" i="1"/>
  <c r="AH425" i="1" s="1"/>
  <c r="AI425" i="1"/>
  <c r="Z181" i="1"/>
  <c r="AI181" i="1" s="1"/>
  <c r="E12" i="1"/>
  <c r="DU2" i="1" s="1"/>
  <c r="AC384" i="1"/>
  <c r="AL384" i="1" s="1"/>
  <c r="AA384" i="1"/>
  <c r="AJ384" i="1" s="1"/>
  <c r="W252" i="1"/>
  <c r="AF252" i="1" s="1"/>
  <c r="Y252" i="1"/>
  <c r="AH252" i="1" s="1"/>
  <c r="AA252" i="1"/>
  <c r="AJ252" i="1" s="1"/>
  <c r="AW252" i="1" s="1"/>
  <c r="AX252" i="1" s="1"/>
  <c r="AA392" i="1"/>
  <c r="AJ392" i="1" s="1"/>
  <c r="AN392" i="1"/>
  <c r="AO392" i="1" s="1"/>
  <c r="AP392" i="1" s="1"/>
  <c r="AQ392" i="1" s="1"/>
  <c r="AR392" i="1" s="1"/>
  <c r="W112" i="1"/>
  <c r="AF112" i="1" s="1"/>
  <c r="AI112" i="1"/>
  <c r="AC112" i="1"/>
  <c r="AL112" i="1" s="1"/>
  <c r="X112" i="1"/>
  <c r="AG112" i="1" s="1"/>
  <c r="X453" i="1"/>
  <c r="AG453" i="1" s="1"/>
  <c r="AK453" i="1"/>
  <c r="W589" i="1"/>
  <c r="AF589" i="1" s="1"/>
  <c r="AC589" i="1"/>
  <c r="AL589" i="1" s="1"/>
  <c r="X589" i="1"/>
  <c r="AG589" i="1" s="1"/>
  <c r="AA589" i="1"/>
  <c r="AJ589" i="1" s="1"/>
  <c r="AI589" i="1"/>
  <c r="AN83" i="1"/>
  <c r="AO83" i="1" s="1"/>
  <c r="AP83" i="1" s="1"/>
  <c r="AQ83" i="1" s="1"/>
  <c r="AR83" i="1" s="1"/>
  <c r="AC83" i="1"/>
  <c r="AL83" i="1" s="1"/>
  <c r="AW83" i="1" s="1"/>
  <c r="AK521" i="1"/>
  <c r="X521" i="1"/>
  <c r="AG521" i="1" s="1"/>
  <c r="W382" i="1"/>
  <c r="AF382" i="1" s="1"/>
  <c r="AI382" i="1"/>
  <c r="AC382" i="1"/>
  <c r="AL382" i="1" s="1"/>
  <c r="AW382" i="1" s="1"/>
  <c r="AX382" i="1" s="1"/>
  <c r="Y382" i="1"/>
  <c r="AH382" i="1" s="1"/>
  <c r="AA616" i="1"/>
  <c r="AJ616" i="1" s="1"/>
  <c r="AS114" i="1"/>
  <c r="AI76" i="1"/>
  <c r="AN80" i="1"/>
  <c r="AS80" i="1" s="1"/>
  <c r="AW206" i="1"/>
  <c r="AX206" i="1" s="1"/>
  <c r="AY206" i="1" s="1"/>
  <c r="AP124" i="1"/>
  <c r="AQ124" i="1" s="1"/>
  <c r="AR124" i="1" s="1"/>
  <c r="AQ551" i="1"/>
  <c r="AR551" i="1" s="1"/>
  <c r="AQ253" i="1"/>
  <c r="AR253" i="1" s="1"/>
  <c r="AQ227" i="1"/>
  <c r="AR227" i="1" s="1"/>
  <c r="BB705" i="1"/>
  <c r="AP486" i="1"/>
  <c r="AQ486" i="1" s="1"/>
  <c r="AR486" i="1" s="1"/>
  <c r="Y610" i="1"/>
  <c r="AH610" i="1" s="1"/>
  <c r="AW356" i="1"/>
  <c r="AX356" i="1" s="1"/>
  <c r="AY356" i="1" s="1"/>
  <c r="Y473" i="1"/>
  <c r="AH473" i="1" s="1"/>
  <c r="AA560" i="1"/>
  <c r="AJ560" i="1" s="1"/>
  <c r="AW560" i="1" s="1"/>
  <c r="AX560" i="1" s="1"/>
  <c r="AY560" i="1" s="1"/>
  <c r="AZ560" i="1" s="1"/>
  <c r="BA560" i="1" s="1"/>
  <c r="AX1093" i="1"/>
  <c r="AY1093" i="1" s="1"/>
  <c r="AZ1093" i="1" s="1"/>
  <c r="BA1093" i="1" s="1"/>
  <c r="BB1093" i="1"/>
  <c r="AX1181" i="1"/>
  <c r="AY1181" i="1" s="1"/>
  <c r="AZ1181" i="1" s="1"/>
  <c r="BA1181" i="1" s="1"/>
  <c r="BB1181" i="1"/>
  <c r="AO1165" i="1"/>
  <c r="AP1165" i="1" s="1"/>
  <c r="AQ1165" i="1" s="1"/>
  <c r="AR1165" i="1" s="1"/>
  <c r="AS1165" i="1"/>
  <c r="AX1100" i="1"/>
  <c r="AY1100" i="1" s="1"/>
  <c r="AZ1100" i="1" s="1"/>
  <c r="BA1100" i="1" s="1"/>
  <c r="BB1100" i="1"/>
  <c r="AX1105" i="1"/>
  <c r="AY1105" i="1" s="1"/>
  <c r="AZ1105" i="1" s="1"/>
  <c r="BA1105" i="1" s="1"/>
  <c r="BB1105" i="1"/>
  <c r="AX1180" i="1"/>
  <c r="AY1180" i="1" s="1"/>
  <c r="AZ1180" i="1" s="1"/>
  <c r="BA1180" i="1" s="1"/>
  <c r="BB1180" i="1"/>
  <c r="AA341" i="1"/>
  <c r="AJ341" i="1" s="1"/>
  <c r="AS1097" i="1"/>
  <c r="AO1097" i="1"/>
  <c r="AP1097" i="1" s="1"/>
  <c r="AQ1097" i="1" s="1"/>
  <c r="AR1097" i="1" s="1"/>
  <c r="AX1195" i="1"/>
  <c r="AY1195" i="1" s="1"/>
  <c r="AZ1195" i="1" s="1"/>
  <c r="BA1195" i="1" s="1"/>
  <c r="BB1195" i="1"/>
  <c r="AK561" i="1"/>
  <c r="AI314" i="1"/>
  <c r="AX1068" i="1"/>
  <c r="AY1068" i="1" s="1"/>
  <c r="AZ1068" i="1" s="1"/>
  <c r="BA1068" i="1" s="1"/>
  <c r="BB1068" i="1"/>
  <c r="AX1074" i="1"/>
  <c r="AY1074" i="1" s="1"/>
  <c r="AZ1074" i="1" s="1"/>
  <c r="BA1074" i="1" s="1"/>
  <c r="BB1074" i="1"/>
  <c r="BB1002" i="1"/>
  <c r="AX1002" i="1"/>
  <c r="AY1002" i="1" s="1"/>
  <c r="AZ1002" i="1" s="1"/>
  <c r="BA1002" i="1" s="1"/>
  <c r="AX857" i="1"/>
  <c r="AY857" i="1" s="1"/>
  <c r="AZ857" i="1" s="1"/>
  <c r="BA857" i="1" s="1"/>
  <c r="BB857" i="1"/>
  <c r="X579" i="1"/>
  <c r="AG579" i="1" s="1"/>
  <c r="AC314" i="1"/>
  <c r="AL314" i="1" s="1"/>
  <c r="AX1145" i="1"/>
  <c r="AY1145" i="1" s="1"/>
  <c r="AZ1145" i="1" s="1"/>
  <c r="BA1145" i="1" s="1"/>
  <c r="BB1145" i="1"/>
  <c r="AX1168" i="1"/>
  <c r="AY1168" i="1" s="1"/>
  <c r="AZ1168" i="1" s="1"/>
  <c r="BA1168" i="1" s="1"/>
  <c r="BB1168" i="1"/>
  <c r="AO1174" i="1"/>
  <c r="AP1174" i="1" s="1"/>
  <c r="AQ1174" i="1" s="1"/>
  <c r="AR1174" i="1" s="1"/>
  <c r="AS1174" i="1"/>
  <c r="AX1076" i="1"/>
  <c r="AY1076" i="1" s="1"/>
  <c r="AZ1076" i="1" s="1"/>
  <c r="BA1076" i="1" s="1"/>
  <c r="BB1076" i="1"/>
  <c r="X429" i="1"/>
  <c r="AG429" i="1" s="1"/>
  <c r="AC287" i="1"/>
  <c r="AL287" i="1" s="1"/>
  <c r="AP378" i="1"/>
  <c r="AQ378" i="1" s="1"/>
  <c r="AR378" i="1" s="1"/>
  <c r="AP457" i="1"/>
  <c r="AQ457" i="1" s="1"/>
  <c r="AR457" i="1" s="1"/>
  <c r="AS593" i="1"/>
  <c r="AP594" i="1"/>
  <c r="AQ594" i="1" s="1"/>
  <c r="AR594" i="1" s="1"/>
  <c r="AQ567" i="1"/>
  <c r="AR567" i="1" s="1"/>
  <c r="AP518" i="1"/>
  <c r="AQ518" i="1" s="1"/>
  <c r="AR518" i="1" s="1"/>
  <c r="AN202" i="1"/>
  <c r="AO202" i="1" s="1"/>
  <c r="AP202" i="1" s="1"/>
  <c r="AQ202" i="1" s="1"/>
  <c r="AR202" i="1" s="1"/>
  <c r="X651" i="1"/>
  <c r="AG651" i="1" s="1"/>
  <c r="E15" i="1"/>
  <c r="DX2" i="1" s="1"/>
  <c r="AI270" i="1"/>
  <c r="AP412" i="1"/>
  <c r="AQ412" i="1" s="1"/>
  <c r="AR412" i="1" s="1"/>
  <c r="AI144" i="1"/>
  <c r="AA575" i="1"/>
  <c r="AJ575" i="1" s="1"/>
  <c r="AI230" i="1"/>
  <c r="AK614" i="1"/>
  <c r="AK575" i="1"/>
  <c r="AX1124" i="1"/>
  <c r="AY1124" i="1" s="1"/>
  <c r="AZ1124" i="1" s="1"/>
  <c r="BA1124" i="1" s="1"/>
  <c r="BB1124" i="1"/>
  <c r="AX1148" i="1"/>
  <c r="AY1148" i="1" s="1"/>
  <c r="AZ1148" i="1" s="1"/>
  <c r="BA1148" i="1" s="1"/>
  <c r="BB1148" i="1"/>
  <c r="BB1173" i="1"/>
  <c r="AX1173" i="1"/>
  <c r="AY1173" i="1" s="1"/>
  <c r="AZ1173" i="1" s="1"/>
  <c r="BA1173" i="1" s="1"/>
  <c r="AO1158" i="1"/>
  <c r="AP1158" i="1" s="1"/>
  <c r="AQ1158" i="1" s="1"/>
  <c r="AR1158" i="1" s="1"/>
  <c r="AS1158" i="1"/>
  <c r="AX1185" i="1"/>
  <c r="AY1185" i="1" s="1"/>
  <c r="AZ1185" i="1" s="1"/>
  <c r="BA1185" i="1" s="1"/>
  <c r="BB1185" i="1"/>
  <c r="AO1195" i="1"/>
  <c r="AP1195" i="1" s="1"/>
  <c r="AQ1195" i="1" s="1"/>
  <c r="AR1195" i="1" s="1"/>
  <c r="AS1195" i="1"/>
  <c r="X657" i="1"/>
  <c r="AG657" i="1" s="1"/>
  <c r="AX1012" i="1"/>
  <c r="AY1012" i="1" s="1"/>
  <c r="AZ1012" i="1" s="1"/>
  <c r="BA1012" i="1" s="1"/>
  <c r="BB1012" i="1"/>
  <c r="AX853" i="1"/>
  <c r="AY853" i="1" s="1"/>
  <c r="AZ853" i="1" s="1"/>
  <c r="BA853" i="1" s="1"/>
  <c r="BB853" i="1"/>
  <c r="BB867" i="1"/>
  <c r="AX867" i="1"/>
  <c r="AY867" i="1" s="1"/>
  <c r="AZ867" i="1" s="1"/>
  <c r="BA867" i="1" s="1"/>
  <c r="AI220" i="1"/>
  <c r="AC584" i="1"/>
  <c r="AL584" i="1" s="1"/>
  <c r="AS1137" i="1"/>
  <c r="AO1137" i="1"/>
  <c r="AP1137" i="1" s="1"/>
  <c r="AQ1137" i="1" s="1"/>
  <c r="AR1137" i="1" s="1"/>
  <c r="AS1145" i="1"/>
  <c r="AO1145" i="1"/>
  <c r="AP1145" i="1" s="1"/>
  <c r="AQ1145" i="1" s="1"/>
  <c r="AR1145" i="1" s="1"/>
  <c r="AO1168" i="1"/>
  <c r="AP1168" i="1" s="1"/>
  <c r="AQ1168" i="1" s="1"/>
  <c r="AR1168" i="1" s="1"/>
  <c r="AS1168" i="1"/>
  <c r="AX863" i="1"/>
  <c r="AY863" i="1" s="1"/>
  <c r="AZ863" i="1" s="1"/>
  <c r="BA863" i="1" s="1"/>
  <c r="BB863" i="1"/>
  <c r="X599" i="1"/>
  <c r="AG599" i="1" s="1"/>
  <c r="X590" i="1"/>
  <c r="AG590" i="1" s="1"/>
  <c r="AW605" i="1"/>
  <c r="AX605" i="1" s="1"/>
  <c r="AY605" i="1" s="1"/>
  <c r="AZ605" i="1" s="1"/>
  <c r="BA605" i="1" s="1"/>
  <c r="AQ154" i="1"/>
  <c r="AR154" i="1" s="1"/>
  <c r="AP235" i="1"/>
  <c r="AQ235" i="1" s="1"/>
  <c r="AR235" i="1" s="1"/>
  <c r="AS555" i="1"/>
  <c r="AW635" i="1"/>
  <c r="AX635" i="1" s="1"/>
  <c r="AY635" i="1" s="1"/>
  <c r="AZ635" i="1" s="1"/>
  <c r="BA635" i="1" s="1"/>
  <c r="AS386" i="1"/>
  <c r="AO1148" i="1"/>
  <c r="AP1148" i="1" s="1"/>
  <c r="AQ1148" i="1" s="1"/>
  <c r="AR1148" i="1" s="1"/>
  <c r="AS1148" i="1"/>
  <c r="AS1173" i="1"/>
  <c r="AO1173" i="1"/>
  <c r="AP1173" i="1" s="1"/>
  <c r="AQ1173" i="1" s="1"/>
  <c r="AR1173" i="1" s="1"/>
  <c r="AX972" i="1"/>
  <c r="AY972" i="1" s="1"/>
  <c r="AZ972" i="1" s="1"/>
  <c r="BA972" i="1" s="1"/>
  <c r="BB972" i="1"/>
  <c r="AO1109" i="1"/>
  <c r="AP1109" i="1" s="1"/>
  <c r="AQ1109" i="1" s="1"/>
  <c r="AR1109" i="1" s="1"/>
  <c r="AS1109" i="1"/>
  <c r="AX1160" i="1"/>
  <c r="AY1160" i="1" s="1"/>
  <c r="AZ1160" i="1" s="1"/>
  <c r="BA1160" i="1" s="1"/>
  <c r="BB1160" i="1"/>
  <c r="AS1185" i="1"/>
  <c r="AO1185" i="1"/>
  <c r="AP1185" i="1" s="1"/>
  <c r="AQ1185" i="1" s="1"/>
  <c r="AR1185" i="1" s="1"/>
  <c r="W333" i="1"/>
  <c r="AF333" i="1" s="1"/>
  <c r="AI468" i="1"/>
  <c r="BB980" i="1"/>
  <c r="AX980" i="1"/>
  <c r="AY980" i="1" s="1"/>
  <c r="AZ980" i="1" s="1"/>
  <c r="BA980" i="1" s="1"/>
  <c r="AX986" i="1"/>
  <c r="AY986" i="1" s="1"/>
  <c r="AZ986" i="1" s="1"/>
  <c r="BA986" i="1" s="1"/>
  <c r="BB986" i="1"/>
  <c r="AC579" i="1"/>
  <c r="AL579" i="1" s="1"/>
  <c r="AX1141" i="1"/>
  <c r="AY1141" i="1" s="1"/>
  <c r="AZ1141" i="1" s="1"/>
  <c r="BA1141" i="1" s="1"/>
  <c r="BB1141" i="1"/>
  <c r="AX1149" i="1"/>
  <c r="AY1149" i="1" s="1"/>
  <c r="AZ1149" i="1" s="1"/>
  <c r="BA1149" i="1" s="1"/>
  <c r="BB1149" i="1"/>
  <c r="AC220" i="1"/>
  <c r="AL220" i="1" s="1"/>
  <c r="AA584" i="1"/>
  <c r="AJ584" i="1" s="1"/>
  <c r="AS591" i="1"/>
  <c r="AO182" i="1"/>
  <c r="AP182" i="1" s="1"/>
  <c r="AQ182" i="1" s="1"/>
  <c r="AR182" i="1" s="1"/>
  <c r="AS182" i="1"/>
  <c r="AP354" i="1"/>
  <c r="AQ354" i="1" s="1"/>
  <c r="AR354" i="1" s="1"/>
  <c r="AI380" i="1"/>
  <c r="AK154" i="1"/>
  <c r="AC408" i="1"/>
  <c r="AL408" i="1" s="1"/>
  <c r="AW408" i="1" s="1"/>
  <c r="AX408" i="1" s="1"/>
  <c r="AY408" i="1" s="1"/>
  <c r="AZ408" i="1" s="1"/>
  <c r="BA408" i="1" s="1"/>
  <c r="X136" i="1"/>
  <c r="AG136" i="1" s="1"/>
  <c r="AN369" i="1"/>
  <c r="AO369" i="1" s="1"/>
  <c r="AP369" i="1" s="1"/>
  <c r="AQ369" i="1" s="1"/>
  <c r="AR369" i="1" s="1"/>
  <c r="W270" i="1"/>
  <c r="AF270" i="1" s="1"/>
  <c r="AQ482" i="1"/>
  <c r="AR482" i="1" s="1"/>
  <c r="AC280" i="1"/>
  <c r="AL280" i="1" s="1"/>
  <c r="AS443" i="1"/>
  <c r="AA132" i="1"/>
  <c r="AJ132" i="1" s="1"/>
  <c r="AW132" i="1" s="1"/>
  <c r="AX132" i="1" s="1"/>
  <c r="AY132" i="1" s="1"/>
  <c r="AZ132" i="1" s="1"/>
  <c r="BA132" i="1" s="1"/>
  <c r="Y433" i="1"/>
  <c r="AH433" i="1" s="1"/>
  <c r="AA598" i="1"/>
  <c r="AJ598" i="1" s="1"/>
  <c r="AC380" i="1"/>
  <c r="AL380" i="1" s="1"/>
  <c r="AC531" i="1"/>
  <c r="AL531" i="1" s="1"/>
  <c r="AS121" i="1"/>
  <c r="AN463" i="1"/>
  <c r="AO463" i="1" s="1"/>
  <c r="AP463" i="1" s="1"/>
  <c r="AQ463" i="1" s="1"/>
  <c r="AR463" i="1" s="1"/>
  <c r="AC433" i="1"/>
  <c r="AL433" i="1" s="1"/>
  <c r="AI389" i="1"/>
  <c r="AA119" i="1"/>
  <c r="AJ119" i="1" s="1"/>
  <c r="X433" i="1"/>
  <c r="AG433" i="1" s="1"/>
  <c r="AQ372" i="1"/>
  <c r="AR372" i="1" s="1"/>
  <c r="AN599" i="1"/>
  <c r="AO599" i="1" s="1"/>
  <c r="AP599" i="1" s="1"/>
  <c r="AQ599" i="1" s="1"/>
  <c r="AR599" i="1" s="1"/>
  <c r="X636" i="1"/>
  <c r="AG636" i="1" s="1"/>
  <c r="AA636" i="1"/>
  <c r="AJ636" i="1" s="1"/>
  <c r="AP440" i="1"/>
  <c r="AQ440" i="1" s="1"/>
  <c r="AR440" i="1" s="1"/>
  <c r="AQ221" i="1"/>
  <c r="AR221" i="1" s="1"/>
  <c r="AP285" i="1"/>
  <c r="AQ285" i="1" s="1"/>
  <c r="AR285" i="1" s="1"/>
  <c r="AN393" i="1"/>
  <c r="AS393" i="1" s="1"/>
  <c r="AI280" i="1"/>
  <c r="Y119" i="1"/>
  <c r="AH119" i="1" s="1"/>
  <c r="AI434" i="1"/>
  <c r="Y613" i="1"/>
  <c r="AH613" i="1" s="1"/>
  <c r="AK448" i="1"/>
  <c r="AA280" i="1"/>
  <c r="AJ280" i="1" s="1"/>
  <c r="X280" i="1"/>
  <c r="AG280" i="1" s="1"/>
  <c r="AN475" i="1"/>
  <c r="AO475" i="1" s="1"/>
  <c r="AP475" i="1" s="1"/>
  <c r="AQ475" i="1" s="1"/>
  <c r="AR475" i="1" s="1"/>
  <c r="AK290" i="1"/>
  <c r="AN89" i="1"/>
  <c r="X251" i="1"/>
  <c r="AG251" i="1" s="1"/>
  <c r="AP577" i="1"/>
  <c r="AQ577" i="1" s="1"/>
  <c r="AR577" i="1" s="1"/>
  <c r="X434" i="1"/>
  <c r="AG434" i="1" s="1"/>
  <c r="AA518" i="1"/>
  <c r="AJ518" i="1" s="1"/>
  <c r="AA538" i="1"/>
  <c r="AJ538" i="1" s="1"/>
  <c r="AI538" i="1"/>
  <c r="W531" i="1"/>
  <c r="AF531" i="1" s="1"/>
  <c r="X531" i="1"/>
  <c r="AG531" i="1" s="1"/>
  <c r="AS637" i="1"/>
  <c r="AK651" i="1"/>
  <c r="AP299" i="1"/>
  <c r="AQ299" i="1" s="1"/>
  <c r="AR299" i="1" s="1"/>
  <c r="AQ351" i="1"/>
  <c r="AR351" i="1" s="1"/>
  <c r="AI119" i="1"/>
  <c r="AW102" i="1"/>
  <c r="AX102" i="1" s="1"/>
  <c r="AY102" i="1" s="1"/>
  <c r="AZ102" i="1" s="1"/>
  <c r="BA102" i="1" s="1"/>
  <c r="AS340" i="1"/>
  <c r="AP214" i="1"/>
  <c r="AQ214" i="1" s="1"/>
  <c r="AR214" i="1" s="1"/>
  <c r="X108" i="1"/>
  <c r="AG108" i="1" s="1"/>
  <c r="AN660" i="1"/>
  <c r="AO660" i="1" s="1"/>
  <c r="AP660" i="1" s="1"/>
  <c r="AQ660" i="1" s="1"/>
  <c r="AR660" i="1" s="1"/>
  <c r="AA433" i="1"/>
  <c r="AJ433" i="1" s="1"/>
  <c r="AN176" i="1"/>
  <c r="AO176" i="1" s="1"/>
  <c r="AP176" i="1" s="1"/>
  <c r="AQ176" i="1" s="1"/>
  <c r="AR176" i="1" s="1"/>
  <c r="AO337" i="1"/>
  <c r="AP337" i="1" s="1"/>
  <c r="AQ337" i="1" s="1"/>
  <c r="AR337" i="1" s="1"/>
  <c r="AQ485" i="1"/>
  <c r="AR485" i="1" s="1"/>
  <c r="AI636" i="1"/>
  <c r="AN575" i="1"/>
  <c r="AO575" i="1" s="1"/>
  <c r="AP575" i="1" s="1"/>
  <c r="AQ575" i="1" s="1"/>
  <c r="AR575" i="1" s="1"/>
  <c r="X538" i="1"/>
  <c r="AG538" i="1" s="1"/>
  <c r="AP135" i="1"/>
  <c r="AQ135" i="1" s="1"/>
  <c r="AR135" i="1" s="1"/>
  <c r="AA434" i="1"/>
  <c r="AJ434" i="1" s="1"/>
  <c r="AC119" i="1"/>
  <c r="AL119" i="1" s="1"/>
  <c r="Y636" i="1"/>
  <c r="AH636" i="1" s="1"/>
  <c r="AC434" i="1"/>
  <c r="AL434" i="1" s="1"/>
  <c r="AN329" i="1"/>
  <c r="AO144" i="1"/>
  <c r="AP144" i="1" s="1"/>
  <c r="AQ144" i="1" s="1"/>
  <c r="AR144" i="1" s="1"/>
  <c r="AS144" i="1"/>
  <c r="AO148" i="1"/>
  <c r="AP148" i="1" s="1"/>
  <c r="AQ148" i="1" s="1"/>
  <c r="AR148" i="1" s="1"/>
  <c r="AS148" i="1"/>
  <c r="BB702" i="1"/>
  <c r="AX702" i="1"/>
  <c r="AY702" i="1" s="1"/>
  <c r="AZ702" i="1" s="1"/>
  <c r="BA702" i="1" s="1"/>
  <c r="AO1156" i="1"/>
  <c r="AP1156" i="1" s="1"/>
  <c r="AQ1156" i="1" s="1"/>
  <c r="AR1156" i="1" s="1"/>
  <c r="AS1156" i="1"/>
  <c r="X256" i="1"/>
  <c r="AG256" i="1" s="1"/>
  <c r="Y392" i="1"/>
  <c r="AH392" i="1" s="1"/>
  <c r="BB1156" i="1"/>
  <c r="AX1156" i="1"/>
  <c r="AY1156" i="1" s="1"/>
  <c r="AZ1156" i="1" s="1"/>
  <c r="BA1156" i="1" s="1"/>
  <c r="W389" i="1"/>
  <c r="AF389" i="1" s="1"/>
  <c r="AC389" i="1"/>
  <c r="AL389" i="1" s="1"/>
  <c r="AA389" i="1"/>
  <c r="AJ389" i="1" s="1"/>
  <c r="BB694" i="1"/>
  <c r="AX694" i="1"/>
  <c r="AY694" i="1" s="1"/>
  <c r="AZ694" i="1" s="1"/>
  <c r="BA694" i="1" s="1"/>
  <c r="AX1177" i="1"/>
  <c r="AY1177" i="1" s="1"/>
  <c r="AZ1177" i="1" s="1"/>
  <c r="BA1177" i="1" s="1"/>
  <c r="BB1177" i="1"/>
  <c r="W106" i="1"/>
  <c r="AF106" i="1" s="1"/>
  <c r="AA106" i="1"/>
  <c r="AJ106" i="1" s="1"/>
  <c r="Y266" i="1"/>
  <c r="AH266" i="1" s="1"/>
  <c r="X382" i="1"/>
  <c r="AG382" i="1" s="1"/>
  <c r="AX1125" i="1"/>
  <c r="AY1125" i="1" s="1"/>
  <c r="AZ1125" i="1" s="1"/>
  <c r="BA1125" i="1" s="1"/>
  <c r="BB1125" i="1"/>
  <c r="W457" i="1"/>
  <c r="AF457" i="1" s="1"/>
  <c r="AI457" i="1"/>
  <c r="AW343" i="1"/>
  <c r="AX343" i="1" s="1"/>
  <c r="AY343" i="1" s="1"/>
  <c r="AC530" i="1"/>
  <c r="AL530" i="1" s="1"/>
  <c r="AW530" i="1" s="1"/>
  <c r="AI252" i="1"/>
  <c r="AK283" i="1"/>
  <c r="AW520" i="1"/>
  <c r="AX520" i="1" s="1"/>
  <c r="AY520" i="1" s="1"/>
  <c r="AZ520" i="1" s="1"/>
  <c r="BA520" i="1" s="1"/>
  <c r="AS162" i="1"/>
  <c r="AO631" i="1"/>
  <c r="AP631" i="1" s="1"/>
  <c r="AQ631" i="1" s="1"/>
  <c r="AR631" i="1" s="1"/>
  <c r="AW116" i="1"/>
  <c r="AX116" i="1" s="1"/>
  <c r="AY116" i="1" s="1"/>
  <c r="AS137" i="1"/>
  <c r="AW391" i="1"/>
  <c r="AX391" i="1" s="1"/>
  <c r="AY391" i="1" s="1"/>
  <c r="AZ391" i="1" s="1"/>
  <c r="BA391" i="1" s="1"/>
  <c r="AW174" i="1"/>
  <c r="AX174" i="1" s="1"/>
  <c r="AY174" i="1" s="1"/>
  <c r="AZ174" i="1" s="1"/>
  <c r="BA174" i="1" s="1"/>
  <c r="AS577" i="1"/>
  <c r="AW334" i="1"/>
  <c r="AX334" i="1" s="1"/>
  <c r="AY334" i="1" s="1"/>
  <c r="AZ334" i="1" s="1"/>
  <c r="BA334" i="1" s="1"/>
  <c r="AW347" i="1"/>
  <c r="AX347" i="1" s="1"/>
  <c r="AY347" i="1" s="1"/>
  <c r="AZ347" i="1" s="1"/>
  <c r="BA347" i="1" s="1"/>
  <c r="AS328" i="1"/>
  <c r="AY513" i="1"/>
  <c r="AZ513" i="1" s="1"/>
  <c r="BA513" i="1" s="1"/>
  <c r="AS294" i="1"/>
  <c r="AS320" i="1"/>
  <c r="AS616" i="1"/>
  <c r="AS567" i="1"/>
  <c r="AS611" i="1"/>
  <c r="AW421" i="1"/>
  <c r="AX421" i="1" s="1"/>
  <c r="AY421" i="1" s="1"/>
  <c r="AZ421" i="1" s="1"/>
  <c r="BA421" i="1" s="1"/>
  <c r="AW455" i="1"/>
  <c r="AX455" i="1" s="1"/>
  <c r="AY455" i="1" s="1"/>
  <c r="AZ455" i="1" s="1"/>
  <c r="BA455" i="1" s="1"/>
  <c r="AW171" i="1"/>
  <c r="AX171" i="1" s="1"/>
  <c r="AY171" i="1" s="1"/>
  <c r="AZ171" i="1" s="1"/>
  <c r="BA171" i="1" s="1"/>
  <c r="AS391" i="1"/>
  <c r="AW470" i="1"/>
  <c r="AX470" i="1" s="1"/>
  <c r="AY470" i="1" s="1"/>
  <c r="AZ470" i="1" s="1"/>
  <c r="BA470" i="1" s="1"/>
  <c r="AW256" i="1"/>
  <c r="AX256" i="1" s="1"/>
  <c r="AS666" i="1"/>
  <c r="AW443" i="1"/>
  <c r="BB443" i="1" s="1"/>
  <c r="AS249" i="1"/>
  <c r="AW630" i="1"/>
  <c r="AX630" i="1" s="1"/>
  <c r="AS499" i="1"/>
  <c r="AS135" i="1"/>
  <c r="AS195" i="1"/>
  <c r="AS468" i="1"/>
  <c r="AS208" i="1"/>
  <c r="AW528" i="1"/>
  <c r="BB528" i="1" s="1"/>
  <c r="AS542" i="1"/>
  <c r="AO224" i="1"/>
  <c r="AP224" i="1" s="1"/>
  <c r="AQ224" i="1" s="1"/>
  <c r="AR224" i="1" s="1"/>
  <c r="AW239" i="1"/>
  <c r="AX239" i="1" s="1"/>
  <c r="AY239" i="1" s="1"/>
  <c r="AW357" i="1"/>
  <c r="BB357" i="1" s="1"/>
  <c r="AW499" i="1"/>
  <c r="AX499" i="1" s="1"/>
  <c r="AY499" i="1" s="1"/>
  <c r="AS571" i="1"/>
  <c r="AS404" i="1"/>
  <c r="AS414" i="1"/>
  <c r="AW399" i="1"/>
  <c r="AX399" i="1" s="1"/>
  <c r="AY399" i="1" s="1"/>
  <c r="AZ399" i="1" s="1"/>
  <c r="BA399" i="1" s="1"/>
  <c r="AS508" i="1"/>
  <c r="AO167" i="1"/>
  <c r="AP167" i="1" s="1"/>
  <c r="AQ167" i="1" s="1"/>
  <c r="AR167" i="1" s="1"/>
  <c r="AW242" i="1"/>
  <c r="AX242" i="1" s="1"/>
  <c r="AY242" i="1" s="1"/>
  <c r="AZ242" i="1" s="1"/>
  <c r="BA242" i="1" s="1"/>
  <c r="AO140" i="1"/>
  <c r="AP140" i="1" s="1"/>
  <c r="AQ140" i="1" s="1"/>
  <c r="AR140" i="1" s="1"/>
  <c r="AW264" i="1"/>
  <c r="BB264" i="1" s="1"/>
  <c r="AO425" i="1"/>
  <c r="AP425" i="1" s="1"/>
  <c r="AQ425" i="1" s="1"/>
  <c r="AR425" i="1" s="1"/>
  <c r="AW128" i="1"/>
  <c r="AX128" i="1" s="1"/>
  <c r="AY128" i="1" s="1"/>
  <c r="AZ128" i="1" s="1"/>
  <c r="BA128" i="1" s="1"/>
  <c r="AW552" i="1"/>
  <c r="AX552" i="1" s="1"/>
  <c r="AY552" i="1" s="1"/>
  <c r="AZ552" i="1" s="1"/>
  <c r="BA552" i="1" s="1"/>
  <c r="AW263" i="1"/>
  <c r="AX263" i="1" s="1"/>
  <c r="AY263" i="1" s="1"/>
  <c r="AW231" i="1"/>
  <c r="AX231" i="1" s="1"/>
  <c r="AY231" i="1" s="1"/>
  <c r="AZ231" i="1" s="1"/>
  <c r="BA231" i="1" s="1"/>
  <c r="AW126" i="1"/>
  <c r="BB126" i="1" s="1"/>
  <c r="AW149" i="1"/>
  <c r="AX149" i="1" s="1"/>
  <c r="AY149" i="1" s="1"/>
  <c r="AZ149" i="1" s="1"/>
  <c r="BA149" i="1" s="1"/>
  <c r="AS594" i="1"/>
  <c r="AW285" i="1"/>
  <c r="AX285" i="1" s="1"/>
  <c r="AY285" i="1" s="1"/>
  <c r="AZ285" i="1" s="1"/>
  <c r="BA285" i="1" s="1"/>
  <c r="AS492" i="1"/>
  <c r="AW422" i="1"/>
  <c r="AX422" i="1" s="1"/>
  <c r="AY422" i="1" s="1"/>
  <c r="AZ422" i="1" s="1"/>
  <c r="BA422" i="1" s="1"/>
  <c r="AW471" i="1"/>
  <c r="AX471" i="1" s="1"/>
  <c r="AY471" i="1" s="1"/>
  <c r="AS289" i="1"/>
  <c r="AS310" i="1"/>
  <c r="AS152" i="1"/>
  <c r="AW410" i="1"/>
  <c r="AX410" i="1" s="1"/>
  <c r="AY410" i="1" s="1"/>
  <c r="AZ410" i="1" s="1"/>
  <c r="BA410" i="1" s="1"/>
  <c r="AW265" i="1"/>
  <c r="AX265" i="1" s="1"/>
  <c r="AY265" i="1" s="1"/>
  <c r="AZ265" i="1" s="1"/>
  <c r="BA265" i="1" s="1"/>
  <c r="AW373" i="1"/>
  <c r="AX373" i="1" s="1"/>
  <c r="AY373" i="1" s="1"/>
  <c r="AZ373" i="1" s="1"/>
  <c r="BA373" i="1" s="1"/>
  <c r="AW660" i="1"/>
  <c r="AX660" i="1" s="1"/>
  <c r="AY660" i="1" s="1"/>
  <c r="AW546" i="1"/>
  <c r="AX546" i="1" s="1"/>
  <c r="AY546" i="1" s="1"/>
  <c r="AZ546" i="1" s="1"/>
  <c r="BA546" i="1" s="1"/>
  <c r="AS529" i="1"/>
  <c r="AW540" i="1"/>
  <c r="AX540" i="1" s="1"/>
  <c r="AY540" i="1" s="1"/>
  <c r="AZ540" i="1" s="1"/>
  <c r="BA540" i="1" s="1"/>
  <c r="AS384" i="1"/>
  <c r="AW601" i="1"/>
  <c r="AX601" i="1" s="1"/>
  <c r="AY601" i="1" s="1"/>
  <c r="AZ601" i="1" s="1"/>
  <c r="BA601" i="1" s="1"/>
  <c r="AW633" i="1"/>
  <c r="AX633" i="1" s="1"/>
  <c r="AY633" i="1" s="1"/>
  <c r="AZ633" i="1" s="1"/>
  <c r="BA633" i="1" s="1"/>
  <c r="AW527" i="1"/>
  <c r="AX527" i="1" s="1"/>
  <c r="AY527" i="1" s="1"/>
  <c r="AZ527" i="1" s="1"/>
  <c r="BA527" i="1" s="1"/>
  <c r="AW236" i="1"/>
  <c r="AX236" i="1" s="1"/>
  <c r="AY236" i="1" s="1"/>
  <c r="AZ236" i="1" s="1"/>
  <c r="BA236" i="1" s="1"/>
  <c r="AO267" i="1"/>
  <c r="AP267" i="1" s="1"/>
  <c r="AQ267" i="1" s="1"/>
  <c r="AR267" i="1" s="1"/>
  <c r="AW223" i="1"/>
  <c r="AX223" i="1" s="1"/>
  <c r="AY223" i="1" s="1"/>
  <c r="AS412" i="1"/>
  <c r="AW176" i="1"/>
  <c r="AX176" i="1" s="1"/>
  <c r="AY176" i="1" s="1"/>
  <c r="AZ176" i="1" s="1"/>
  <c r="BA176" i="1" s="1"/>
  <c r="AS158" i="1"/>
  <c r="AO653" i="1"/>
  <c r="AP653" i="1" s="1"/>
  <c r="AQ653" i="1" s="1"/>
  <c r="AR653" i="1" s="1"/>
  <c r="AS332" i="1"/>
  <c r="AS532" i="1"/>
  <c r="AW465" i="1"/>
  <c r="AX465" i="1" s="1"/>
  <c r="AY465" i="1" s="1"/>
  <c r="AZ465" i="1" s="1"/>
  <c r="BA465" i="1" s="1"/>
  <c r="AS161" i="1"/>
  <c r="AW278" i="1"/>
  <c r="BB278" i="1" s="1"/>
  <c r="AW372" i="1"/>
  <c r="AX372" i="1" s="1"/>
  <c r="AY372" i="1" s="1"/>
  <c r="AS509" i="1"/>
  <c r="AO170" i="1"/>
  <c r="AP170" i="1" s="1"/>
  <c r="AQ170" i="1" s="1"/>
  <c r="AR170" i="1" s="1"/>
  <c r="AO297" i="1"/>
  <c r="AP297" i="1" s="1"/>
  <c r="AQ297" i="1" s="1"/>
  <c r="AR297" i="1" s="1"/>
  <c r="AO166" i="1"/>
  <c r="AP166" i="1" s="1"/>
  <c r="AQ166" i="1" s="1"/>
  <c r="AR166" i="1" s="1"/>
  <c r="AS603" i="1"/>
  <c r="AW189" i="1"/>
  <c r="AX189" i="1" s="1"/>
  <c r="AY189" i="1" s="1"/>
  <c r="BB600" i="1"/>
  <c r="AS108" i="1"/>
  <c r="AS85" i="1"/>
  <c r="AS520" i="1"/>
  <c r="AS595" i="1"/>
  <c r="AW400" i="1"/>
  <c r="AX400" i="1" s="1"/>
  <c r="AY400" i="1" s="1"/>
  <c r="AZ400" i="1" s="1"/>
  <c r="BA400" i="1" s="1"/>
  <c r="AW117" i="1"/>
  <c r="BB117" i="1" s="1"/>
  <c r="AS486" i="1"/>
  <c r="AS146" i="1"/>
  <c r="AW662" i="1"/>
  <c r="AX662" i="1" s="1"/>
  <c r="AY662" i="1" s="1"/>
  <c r="AZ662" i="1" s="1"/>
  <c r="BA662" i="1" s="1"/>
  <c r="AS437" i="1"/>
  <c r="AS365" i="1"/>
  <c r="AW473" i="1"/>
  <c r="AX473" i="1" s="1"/>
  <c r="AY473" i="1" s="1"/>
  <c r="AZ473" i="1" s="1"/>
  <c r="BA473" i="1" s="1"/>
  <c r="AS213" i="1"/>
  <c r="AS398" i="1"/>
  <c r="AW614" i="1"/>
  <c r="AX614" i="1" s="1"/>
  <c r="AY614" i="1" s="1"/>
  <c r="AO598" i="1"/>
  <c r="AP598" i="1" s="1"/>
  <c r="AQ598" i="1" s="1"/>
  <c r="AR598" i="1" s="1"/>
  <c r="AS367" i="1"/>
  <c r="AW172" i="1"/>
  <c r="AX172" i="1" s="1"/>
  <c r="AY172" i="1" s="1"/>
  <c r="AZ172" i="1" s="1"/>
  <c r="BA172" i="1" s="1"/>
  <c r="AW483" i="1"/>
  <c r="AX483" i="1" s="1"/>
  <c r="AY483" i="1" s="1"/>
  <c r="AZ483" i="1" s="1"/>
  <c r="BA483" i="1" s="1"/>
  <c r="AS327" i="1"/>
  <c r="AS545" i="1"/>
  <c r="AW484" i="1"/>
  <c r="AX484" i="1" s="1"/>
  <c r="AY484" i="1" s="1"/>
  <c r="AZ484" i="1" s="1"/>
  <c r="BA484" i="1" s="1"/>
  <c r="AO659" i="1"/>
  <c r="AP659" i="1" s="1"/>
  <c r="AQ659" i="1" s="1"/>
  <c r="AR659" i="1" s="1"/>
  <c r="AO424" i="1"/>
  <c r="AP424" i="1" s="1"/>
  <c r="AQ424" i="1" s="1"/>
  <c r="AR424" i="1" s="1"/>
  <c r="AS98" i="1"/>
  <c r="AW617" i="1"/>
  <c r="AX617" i="1" s="1"/>
  <c r="AY617" i="1" s="1"/>
  <c r="AZ617" i="1" s="1"/>
  <c r="BA617" i="1" s="1"/>
  <c r="AX1129" i="1"/>
  <c r="AY1129" i="1" s="1"/>
  <c r="AZ1129" i="1" s="1"/>
  <c r="BA1129" i="1" s="1"/>
  <c r="BB1129" i="1"/>
  <c r="AW89" i="1"/>
  <c r="AX89" i="1" s="1"/>
  <c r="AY89" i="1" s="1"/>
  <c r="AZ89" i="1" s="1"/>
  <c r="BA89" i="1" s="1"/>
  <c r="AX1137" i="1"/>
  <c r="AY1137" i="1" s="1"/>
  <c r="AZ1137" i="1" s="1"/>
  <c r="BA1137" i="1" s="1"/>
  <c r="BB1137" i="1"/>
  <c r="AX1117" i="1"/>
  <c r="AY1117" i="1" s="1"/>
  <c r="AZ1117" i="1" s="1"/>
  <c r="BA1117" i="1" s="1"/>
  <c r="BB1117" i="1"/>
  <c r="AX697" i="1"/>
  <c r="AY697" i="1" s="1"/>
  <c r="AZ697" i="1" s="1"/>
  <c r="BA697" i="1" s="1"/>
  <c r="BB697" i="1"/>
  <c r="AW587" i="1"/>
  <c r="AX587" i="1" s="1"/>
  <c r="AY587" i="1" s="1"/>
  <c r="AZ587" i="1" s="1"/>
  <c r="BA587" i="1" s="1"/>
  <c r="AS188" i="1"/>
  <c r="AS247" i="1"/>
  <c r="AS317" i="1"/>
  <c r="AO196" i="1"/>
  <c r="AP196" i="1" s="1"/>
  <c r="AQ196" i="1" s="1"/>
  <c r="AR196" i="1" s="1"/>
  <c r="AO558" i="1"/>
  <c r="AP558" i="1" s="1"/>
  <c r="AQ558" i="1" s="1"/>
  <c r="AR558" i="1" s="1"/>
  <c r="AW257" i="1"/>
  <c r="BB257" i="1" s="1"/>
  <c r="AS419" i="1"/>
  <c r="AS235" i="1"/>
  <c r="AS439" i="1"/>
  <c r="AO110" i="1"/>
  <c r="AP110" i="1" s="1"/>
  <c r="AQ110" i="1" s="1"/>
  <c r="AR110" i="1" s="1"/>
  <c r="AO155" i="1"/>
  <c r="AP155" i="1" s="1"/>
  <c r="AQ155" i="1" s="1"/>
  <c r="AR155" i="1" s="1"/>
  <c r="AS484" i="1"/>
  <c r="AY93" i="1"/>
  <c r="AZ93" i="1" s="1"/>
  <c r="BA93" i="1" s="1"/>
  <c r="AO97" i="1"/>
  <c r="AP97" i="1" s="1"/>
  <c r="AQ97" i="1" s="1"/>
  <c r="AR97" i="1" s="1"/>
  <c r="AO215" i="1"/>
  <c r="AP215" i="1" s="1"/>
  <c r="AQ215" i="1" s="1"/>
  <c r="AR215" i="1" s="1"/>
  <c r="AW325" i="1"/>
  <c r="BB325" i="1" s="1"/>
  <c r="AW649" i="1"/>
  <c r="AX649" i="1" s="1"/>
  <c r="AY649" i="1" s="1"/>
  <c r="AZ649" i="1" s="1"/>
  <c r="BA649" i="1" s="1"/>
  <c r="AO226" i="1"/>
  <c r="AP226" i="1" s="1"/>
  <c r="AQ226" i="1" s="1"/>
  <c r="AR226" i="1" s="1"/>
  <c r="AW609" i="1"/>
  <c r="AX609" i="1" s="1"/>
  <c r="AY609" i="1" s="1"/>
  <c r="AZ609" i="1" s="1"/>
  <c r="BA609" i="1" s="1"/>
  <c r="AW477" i="1"/>
  <c r="AX477" i="1" s="1"/>
  <c r="AY477" i="1" s="1"/>
  <c r="AZ477" i="1" s="1"/>
  <c r="BA477" i="1" s="1"/>
  <c r="AW449" i="1"/>
  <c r="AX449" i="1" s="1"/>
  <c r="AY449" i="1" s="1"/>
  <c r="AS457" i="1"/>
  <c r="AW281" i="1"/>
  <c r="BB281" i="1" s="1"/>
  <c r="AW147" i="1"/>
  <c r="AX147" i="1" s="1"/>
  <c r="AY147" i="1" s="1"/>
  <c r="AZ147" i="1" s="1"/>
  <c r="BA147" i="1" s="1"/>
  <c r="AS495" i="1"/>
  <c r="AW286" i="1"/>
  <c r="AX286" i="1" s="1"/>
  <c r="AY286" i="1" s="1"/>
  <c r="AZ286" i="1" s="1"/>
  <c r="BA286" i="1" s="1"/>
  <c r="AS164" i="1"/>
  <c r="AS87" i="1"/>
  <c r="AS348" i="1"/>
  <c r="AS181" i="1"/>
  <c r="AW369" i="1"/>
  <c r="AX369" i="1" s="1"/>
  <c r="AY369" i="1" s="1"/>
  <c r="AZ369" i="1" s="1"/>
  <c r="BA369" i="1" s="1"/>
  <c r="AS169" i="1"/>
  <c r="AS342" i="1"/>
  <c r="AW643" i="1"/>
  <c r="AX643" i="1" s="1"/>
  <c r="AY643" i="1" s="1"/>
  <c r="AZ643" i="1" s="1"/>
  <c r="BA643" i="1" s="1"/>
  <c r="AS336" i="1"/>
  <c r="AW521" i="1"/>
  <c r="AX521" i="1" s="1"/>
  <c r="AY521" i="1" s="1"/>
  <c r="AS433" i="1"/>
  <c r="BB187" i="1"/>
  <c r="AS450" i="1"/>
  <c r="AW442" i="1"/>
  <c r="AX442" i="1" s="1"/>
  <c r="AY442" i="1" s="1"/>
  <c r="AZ442" i="1" s="1"/>
  <c r="BA442" i="1" s="1"/>
  <c r="AS93" i="1"/>
  <c r="AS478" i="1"/>
  <c r="AS227" i="1"/>
  <c r="AW295" i="1"/>
  <c r="AX295" i="1" s="1"/>
  <c r="AY295" i="1" s="1"/>
  <c r="AS562" i="1"/>
  <c r="AW524" i="1"/>
  <c r="AX524" i="1" s="1"/>
  <c r="AY524" i="1" s="1"/>
  <c r="AZ524" i="1" s="1"/>
  <c r="BA524" i="1" s="1"/>
  <c r="AS253" i="1"/>
  <c r="AW665" i="1"/>
  <c r="AX665" i="1" s="1"/>
  <c r="AY665" i="1" s="1"/>
  <c r="AZ665" i="1" s="1"/>
  <c r="BA665" i="1" s="1"/>
  <c r="AW214" i="1"/>
  <c r="AX214" i="1" s="1"/>
  <c r="AY214" i="1" s="1"/>
  <c r="AZ214" i="1" s="1"/>
  <c r="BA214" i="1" s="1"/>
  <c r="AW160" i="1"/>
  <c r="BB160" i="1" s="1"/>
  <c r="AW352" i="1"/>
  <c r="AX352" i="1" s="1"/>
  <c r="AY352" i="1" s="1"/>
  <c r="AW385" i="1"/>
  <c r="AX385" i="1" s="1"/>
  <c r="AY385" i="1" s="1"/>
  <c r="AZ385" i="1" s="1"/>
  <c r="BA385" i="1" s="1"/>
  <c r="AW267" i="1"/>
  <c r="AX267" i="1" s="1"/>
  <c r="AY267" i="1" s="1"/>
  <c r="AZ267" i="1" s="1"/>
  <c r="BA267" i="1" s="1"/>
  <c r="AW277" i="1"/>
  <c r="AX277" i="1" s="1"/>
  <c r="AY277" i="1" s="1"/>
  <c r="AZ277" i="1" s="1"/>
  <c r="BA277" i="1" s="1"/>
  <c r="AW512" i="1"/>
  <c r="AX512" i="1" s="1"/>
  <c r="AY512" i="1" s="1"/>
  <c r="AZ512" i="1" s="1"/>
  <c r="BA512" i="1" s="1"/>
  <c r="AS576" i="1"/>
  <c r="AS604" i="1"/>
  <c r="AW90" i="1"/>
  <c r="AX90" i="1" s="1"/>
  <c r="AY628" i="1"/>
  <c r="AZ628" i="1" s="1"/>
  <c r="BA628" i="1" s="1"/>
  <c r="AW461" i="1"/>
  <c r="AX461" i="1" s="1"/>
  <c r="AY461" i="1" s="1"/>
  <c r="AZ461" i="1" s="1"/>
  <c r="BA461" i="1" s="1"/>
  <c r="AO386" i="1"/>
  <c r="AP386" i="1" s="1"/>
  <c r="AQ386" i="1" s="1"/>
  <c r="AR386" i="1" s="1"/>
  <c r="AS489" i="1"/>
  <c r="AS646" i="1"/>
  <c r="AW200" i="1"/>
  <c r="AX200" i="1" s="1"/>
  <c r="AY200" i="1" s="1"/>
  <c r="AZ200" i="1" s="1"/>
  <c r="BA200" i="1" s="1"/>
  <c r="AW489" i="1"/>
  <c r="AX489" i="1" s="1"/>
  <c r="AY489" i="1" s="1"/>
  <c r="AZ489" i="1" s="1"/>
  <c r="BA489" i="1" s="1"/>
  <c r="AS444" i="1"/>
  <c r="AS296" i="1"/>
  <c r="AO356" i="1"/>
  <c r="AP356" i="1" s="1"/>
  <c r="AQ356" i="1" s="1"/>
  <c r="AR356" i="1" s="1"/>
  <c r="AS624" i="1"/>
  <c r="AS481" i="1"/>
  <c r="AW321" i="1"/>
  <c r="AX321" i="1" s="1"/>
  <c r="AY321" i="1" s="1"/>
  <c r="AZ321" i="1" s="1"/>
  <c r="BA321" i="1" s="1"/>
  <c r="AW486" i="1"/>
  <c r="AX486" i="1" s="1"/>
  <c r="AY486" i="1" s="1"/>
  <c r="AZ486" i="1" s="1"/>
  <c r="BA486" i="1" s="1"/>
  <c r="AW274" i="1"/>
  <c r="BB274" i="1" s="1"/>
  <c r="AW532" i="1"/>
  <c r="BB532" i="1" s="1"/>
  <c r="AO198" i="1"/>
  <c r="AP198" i="1" s="1"/>
  <c r="AQ198" i="1" s="1"/>
  <c r="AR198" i="1" s="1"/>
  <c r="AS285" i="1"/>
  <c r="AW535" i="1"/>
  <c r="BB535" i="1" s="1"/>
  <c r="AW497" i="1"/>
  <c r="AX497" i="1" s="1"/>
  <c r="AY497" i="1" s="1"/>
  <c r="AZ497" i="1" s="1"/>
  <c r="BA497" i="1" s="1"/>
  <c r="AO555" i="1"/>
  <c r="AP555" i="1" s="1"/>
  <c r="AQ555" i="1" s="1"/>
  <c r="AR555" i="1" s="1"/>
  <c r="AO593" i="1"/>
  <c r="AP593" i="1" s="1"/>
  <c r="AQ593" i="1" s="1"/>
  <c r="AR593" i="1" s="1"/>
  <c r="AW637" i="1"/>
  <c r="AX637" i="1" s="1"/>
  <c r="AY637" i="1" s="1"/>
  <c r="AZ637" i="1" s="1"/>
  <c r="BA637" i="1" s="1"/>
  <c r="AW122" i="1"/>
  <c r="AX122" i="1" s="1"/>
  <c r="AY122" i="1" s="1"/>
  <c r="AZ122" i="1" s="1"/>
  <c r="BA122" i="1" s="1"/>
  <c r="AW302" i="1"/>
  <c r="AX302" i="1" s="1"/>
  <c r="AY302" i="1" s="1"/>
  <c r="AZ302" i="1" s="1"/>
  <c r="BA302" i="1" s="1"/>
  <c r="AO94" i="1"/>
  <c r="AP94" i="1" s="1"/>
  <c r="AQ94" i="1" s="1"/>
  <c r="AR94" i="1" s="1"/>
  <c r="AO466" i="1"/>
  <c r="AP466" i="1" s="1"/>
  <c r="AQ466" i="1" s="1"/>
  <c r="AR466" i="1" s="1"/>
  <c r="AW411" i="1"/>
  <c r="AX411" i="1" s="1"/>
  <c r="AY411" i="1" s="1"/>
  <c r="AZ411" i="1" s="1"/>
  <c r="BA411" i="1" s="1"/>
  <c r="AS440" i="1"/>
  <c r="AW103" i="1"/>
  <c r="AX103" i="1" s="1"/>
  <c r="AY103" i="1" s="1"/>
  <c r="AZ103" i="1" s="1"/>
  <c r="BA103" i="1" s="1"/>
  <c r="AW336" i="1"/>
  <c r="AX336" i="1" s="1"/>
  <c r="AY336" i="1" s="1"/>
  <c r="AZ336" i="1" s="1"/>
  <c r="BA336" i="1" s="1"/>
  <c r="AW629" i="1"/>
  <c r="AX629" i="1" s="1"/>
  <c r="AY629" i="1" s="1"/>
  <c r="AZ629" i="1" s="1"/>
  <c r="BA629" i="1" s="1"/>
  <c r="AW157" i="1"/>
  <c r="AX157" i="1" s="1"/>
  <c r="AY157" i="1" s="1"/>
  <c r="AZ157" i="1" s="1"/>
  <c r="BA157" i="1" s="1"/>
  <c r="AO564" i="1"/>
  <c r="AP564" i="1" s="1"/>
  <c r="AQ564" i="1" s="1"/>
  <c r="AR564" i="1" s="1"/>
  <c r="AW209" i="1"/>
  <c r="AX209" i="1" s="1"/>
  <c r="AY209" i="1" s="1"/>
  <c r="AZ209" i="1" s="1"/>
  <c r="BA209" i="1" s="1"/>
  <c r="AS221" i="1"/>
  <c r="AW198" i="1"/>
  <c r="AX198" i="1" s="1"/>
  <c r="AY198" i="1" s="1"/>
  <c r="AZ198" i="1" s="1"/>
  <c r="BA198" i="1" s="1"/>
  <c r="AW467" i="1"/>
  <c r="AX467" i="1" s="1"/>
  <c r="AY467" i="1" s="1"/>
  <c r="AZ467" i="1" s="1"/>
  <c r="BA467" i="1" s="1"/>
  <c r="AO241" i="1"/>
  <c r="AP241" i="1" s="1"/>
  <c r="AQ241" i="1" s="1"/>
  <c r="AR241" i="1" s="1"/>
  <c r="AS507" i="1"/>
  <c r="AS333" i="1"/>
  <c r="AS218" i="1"/>
  <c r="AW353" i="1"/>
  <c r="AX353" i="1" s="1"/>
  <c r="AY353" i="1" s="1"/>
  <c r="AZ353" i="1" s="1"/>
  <c r="BA353" i="1" s="1"/>
  <c r="AW545" i="1"/>
  <c r="BB545" i="1" s="1"/>
  <c r="AS132" i="1"/>
  <c r="AW109" i="1"/>
  <c r="AX109" i="1" s="1"/>
  <c r="AY109" i="1" s="1"/>
  <c r="AZ109" i="1" s="1"/>
  <c r="BA109" i="1" s="1"/>
  <c r="AS372" i="1"/>
  <c r="AW345" i="1"/>
  <c r="AX345" i="1" s="1"/>
  <c r="AY345" i="1" s="1"/>
  <c r="AZ345" i="1" s="1"/>
  <c r="BA345" i="1" s="1"/>
  <c r="AS211" i="1"/>
  <c r="AS149" i="1"/>
  <c r="AW292" i="1"/>
  <c r="AX292" i="1" s="1"/>
  <c r="AY292" i="1" s="1"/>
  <c r="AZ292" i="1" s="1"/>
  <c r="BA292" i="1" s="1"/>
  <c r="AS357" i="1"/>
  <c r="AW179" i="1"/>
  <c r="AX179" i="1" s="1"/>
  <c r="AY179" i="1" s="1"/>
  <c r="AZ179" i="1" s="1"/>
  <c r="BA179" i="1" s="1"/>
  <c r="AS364" i="1"/>
  <c r="AO364" i="1"/>
  <c r="AP364" i="1" s="1"/>
  <c r="AQ364" i="1" s="1"/>
  <c r="AR364" i="1" s="1"/>
  <c r="AW249" i="1"/>
  <c r="AX249" i="1" s="1"/>
  <c r="AY249" i="1" s="1"/>
  <c r="AZ249" i="1" s="1"/>
  <c r="BA249" i="1" s="1"/>
  <c r="AS136" i="1"/>
  <c r="AS233" i="1"/>
  <c r="AW448" i="1"/>
  <c r="AX448" i="1" s="1"/>
  <c r="AY448" i="1" s="1"/>
  <c r="AS473" i="1"/>
  <c r="AS104" i="1"/>
  <c r="AS378" i="1"/>
  <c r="AO288" i="1"/>
  <c r="AP288" i="1" s="1"/>
  <c r="AQ288" i="1" s="1"/>
  <c r="AR288" i="1" s="1"/>
  <c r="AS138" i="1"/>
  <c r="AS582" i="1"/>
  <c r="AS534" i="1"/>
  <c r="AW627" i="1"/>
  <c r="AX627" i="1" s="1"/>
  <c r="AY627" i="1" s="1"/>
  <c r="AZ627" i="1" s="1"/>
  <c r="BA627" i="1" s="1"/>
  <c r="AW564" i="1"/>
  <c r="AX564" i="1" s="1"/>
  <c r="AY564" i="1" s="1"/>
  <c r="AZ564" i="1" s="1"/>
  <c r="BA564" i="1" s="1"/>
  <c r="AW404" i="1"/>
  <c r="AX404" i="1" s="1"/>
  <c r="AY404" i="1" s="1"/>
  <c r="AZ404" i="1" s="1"/>
  <c r="BA404" i="1" s="1"/>
  <c r="AW416" i="1"/>
  <c r="AX416" i="1" s="1"/>
  <c r="AY416" i="1" s="1"/>
  <c r="AZ416" i="1" s="1"/>
  <c r="BA416" i="1" s="1"/>
  <c r="AW634" i="1"/>
  <c r="BB634" i="1" s="1"/>
  <c r="AW642" i="1"/>
  <c r="AX642" i="1" s="1"/>
  <c r="AY642" i="1" s="1"/>
  <c r="AZ642" i="1" s="1"/>
  <c r="BA642" i="1" s="1"/>
  <c r="AW310" i="1"/>
  <c r="AX310" i="1" s="1"/>
  <c r="AY310" i="1" s="1"/>
  <c r="AZ310" i="1" s="1"/>
  <c r="BA310" i="1" s="1"/>
  <c r="AY86" i="1"/>
  <c r="AZ86" i="1" s="1"/>
  <c r="BA86" i="1" s="1"/>
  <c r="AW225" i="1"/>
  <c r="BB225" i="1" s="1"/>
  <c r="AS648" i="1"/>
  <c r="AO547" i="1"/>
  <c r="AP547" i="1" s="1"/>
  <c r="AQ547" i="1" s="1"/>
  <c r="AR547" i="1" s="1"/>
  <c r="AW562" i="1"/>
  <c r="AX562" i="1" s="1"/>
  <c r="AY562" i="1" s="1"/>
  <c r="AZ562" i="1" s="1"/>
  <c r="BA562" i="1" s="1"/>
  <c r="AW233" i="1"/>
  <c r="AX233" i="1" s="1"/>
  <c r="AY233" i="1" s="1"/>
  <c r="AS488" i="1"/>
  <c r="AW191" i="1"/>
  <c r="BB191" i="1" s="1"/>
  <c r="AW313" i="1"/>
  <c r="AX313" i="1" s="1"/>
  <c r="AY313" i="1" s="1"/>
  <c r="AZ313" i="1" s="1"/>
  <c r="BA313" i="1" s="1"/>
  <c r="AS236" i="1"/>
  <c r="AW491" i="1"/>
  <c r="BB491" i="1" s="1"/>
  <c r="AW268" i="1"/>
  <c r="BB268" i="1" s="1"/>
  <c r="AW346" i="1"/>
  <c r="AX346" i="1" s="1"/>
  <c r="AY346" i="1" s="1"/>
  <c r="AZ346" i="1" s="1"/>
  <c r="BA346" i="1" s="1"/>
  <c r="AW496" i="1"/>
  <c r="AX496" i="1" s="1"/>
  <c r="AY496" i="1" s="1"/>
  <c r="AZ496" i="1" s="1"/>
  <c r="BA496" i="1" s="1"/>
  <c r="AW173" i="1"/>
  <c r="BB173" i="1" s="1"/>
  <c r="AW276" i="1"/>
  <c r="AX276" i="1" s="1"/>
  <c r="AY276" i="1" s="1"/>
  <c r="AZ276" i="1" s="1"/>
  <c r="BA276" i="1" s="1"/>
  <c r="AS628" i="1"/>
  <c r="AW456" i="1"/>
  <c r="AX456" i="1" s="1"/>
  <c r="AY456" i="1" s="1"/>
  <c r="AZ456" i="1" s="1"/>
  <c r="BA456" i="1" s="1"/>
  <c r="AW514" i="1"/>
  <c r="BB514" i="1" s="1"/>
  <c r="AS234" i="1"/>
  <c r="AS322" i="1"/>
  <c r="AS601" i="1"/>
  <c r="AO572" i="1"/>
  <c r="AP572" i="1" s="1"/>
  <c r="AQ572" i="1" s="1"/>
  <c r="AR572" i="1" s="1"/>
  <c r="AS115" i="1"/>
  <c r="AW428" i="1"/>
  <c r="AX428" i="1" s="1"/>
  <c r="AY428" i="1" s="1"/>
  <c r="AZ428" i="1" s="1"/>
  <c r="BA428" i="1" s="1"/>
  <c r="AW294" i="1"/>
  <c r="AX294" i="1" s="1"/>
  <c r="AY294" i="1" s="1"/>
  <c r="AZ294" i="1" s="1"/>
  <c r="BA294" i="1" s="1"/>
  <c r="AS629" i="1"/>
  <c r="AO250" i="1"/>
  <c r="AP250" i="1" s="1"/>
  <c r="AQ250" i="1" s="1"/>
  <c r="AR250" i="1" s="1"/>
  <c r="AW493" i="1"/>
  <c r="AX493" i="1" s="1"/>
  <c r="AY493" i="1" s="1"/>
  <c r="AW639" i="1"/>
  <c r="AX639" i="1" s="1"/>
  <c r="AY639" i="1" s="1"/>
  <c r="AZ639" i="1" s="1"/>
  <c r="BA639" i="1" s="1"/>
  <c r="AS496" i="1"/>
  <c r="AS526" i="1"/>
  <c r="AO220" i="1"/>
  <c r="AP220" i="1" s="1"/>
  <c r="AQ220" i="1" s="1"/>
  <c r="AR220" i="1" s="1"/>
  <c r="AW594" i="1"/>
  <c r="BB594" i="1" s="1"/>
  <c r="AO225" i="1"/>
  <c r="AP225" i="1" s="1"/>
  <c r="AQ225" i="1" s="1"/>
  <c r="AR225" i="1" s="1"/>
  <c r="AW161" i="1"/>
  <c r="AX161" i="1" s="1"/>
  <c r="AY161" i="1" s="1"/>
  <c r="AZ161" i="1" s="1"/>
  <c r="BA161" i="1" s="1"/>
  <c r="AW453" i="1"/>
  <c r="AX453" i="1" s="1"/>
  <c r="AY453" i="1" s="1"/>
  <c r="AW193" i="1"/>
  <c r="AX193" i="1" s="1"/>
  <c r="AY193" i="1" s="1"/>
  <c r="AZ193" i="1" s="1"/>
  <c r="BA193" i="1" s="1"/>
  <c r="AW622" i="1"/>
  <c r="AX622" i="1" s="1"/>
  <c r="AY622" i="1" s="1"/>
  <c r="AZ622" i="1" s="1"/>
  <c r="BA622" i="1" s="1"/>
  <c r="AW476" i="1"/>
  <c r="AX476" i="1" s="1"/>
  <c r="AY476" i="1" s="1"/>
  <c r="AZ476" i="1" s="1"/>
  <c r="BA476" i="1" s="1"/>
  <c r="AS156" i="1"/>
  <c r="AS199" i="1"/>
  <c r="AW515" i="1"/>
  <c r="AX515" i="1" s="1"/>
  <c r="AY515" i="1" s="1"/>
  <c r="AZ515" i="1" s="1"/>
  <c r="BA515" i="1" s="1"/>
  <c r="AW320" i="1"/>
  <c r="AX320" i="1" s="1"/>
  <c r="AY320" i="1" s="1"/>
  <c r="AZ320" i="1" s="1"/>
  <c r="BA320" i="1" s="1"/>
  <c r="AW525" i="1"/>
  <c r="AX525" i="1" s="1"/>
  <c r="AY525" i="1" s="1"/>
  <c r="AZ525" i="1" s="1"/>
  <c r="BA525" i="1" s="1"/>
  <c r="AW226" i="1"/>
  <c r="BB226" i="1" s="1"/>
  <c r="AO113" i="1"/>
  <c r="AP113" i="1" s="1"/>
  <c r="AQ113" i="1" s="1"/>
  <c r="AR113" i="1" s="1"/>
  <c r="AW378" i="1"/>
  <c r="AX378" i="1" s="1"/>
  <c r="AY378" i="1" s="1"/>
  <c r="AZ378" i="1" s="1"/>
  <c r="BA378" i="1" s="1"/>
  <c r="AY348" i="1"/>
  <c r="AW146" i="1"/>
  <c r="AX146" i="1" s="1"/>
  <c r="AY146" i="1" s="1"/>
  <c r="AZ146" i="1" s="1"/>
  <c r="BA146" i="1" s="1"/>
  <c r="AN78" i="1"/>
  <c r="AO78" i="1" s="1"/>
  <c r="AP78" i="1" s="1"/>
  <c r="AQ78" i="1" s="1"/>
  <c r="AR78" i="1" s="1"/>
  <c r="AS415" i="1"/>
  <c r="AW368" i="1"/>
  <c r="AX368" i="1" s="1"/>
  <c r="AY368" i="1" s="1"/>
  <c r="AZ368" i="1" s="1"/>
  <c r="BA368" i="1" s="1"/>
  <c r="AW243" i="1"/>
  <c r="AX243" i="1" s="1"/>
  <c r="AY243" i="1" s="1"/>
  <c r="AS505" i="1"/>
  <c r="AW269" i="1"/>
  <c r="AX269" i="1" s="1"/>
  <c r="AY269" i="1" s="1"/>
  <c r="AS260" i="1"/>
  <c r="AW475" i="1"/>
  <c r="AX475" i="1" s="1"/>
  <c r="AY475" i="1" s="1"/>
  <c r="AZ475" i="1" s="1"/>
  <c r="BA475" i="1" s="1"/>
  <c r="AW511" i="1"/>
  <c r="AX511" i="1" s="1"/>
  <c r="AY511" i="1" s="1"/>
  <c r="AZ511" i="1" s="1"/>
  <c r="BA511" i="1" s="1"/>
  <c r="BB628" i="1"/>
  <c r="AW656" i="1"/>
  <c r="BB656" i="1" s="1"/>
  <c r="AW439" i="1"/>
  <c r="AX439" i="1" s="1"/>
  <c r="AY439" i="1" s="1"/>
  <c r="AZ439" i="1" s="1"/>
  <c r="BA439" i="1" s="1"/>
  <c r="AW652" i="1"/>
  <c r="BB652" i="1" s="1"/>
  <c r="AS655" i="1"/>
  <c r="AS232" i="1"/>
  <c r="AW91" i="1"/>
  <c r="AX91" i="1" s="1"/>
  <c r="AY91" i="1" s="1"/>
  <c r="AZ91" i="1" s="1"/>
  <c r="BA91" i="1" s="1"/>
  <c r="AW450" i="1"/>
  <c r="AX450" i="1" s="1"/>
  <c r="AY450" i="1" s="1"/>
  <c r="AO552" i="1"/>
  <c r="AP552" i="1" s="1"/>
  <c r="AQ552" i="1" s="1"/>
  <c r="AR552" i="1" s="1"/>
  <c r="AW561" i="1"/>
  <c r="AX561" i="1" s="1"/>
  <c r="AY561" i="1" s="1"/>
  <c r="AN74" i="1"/>
  <c r="AO74" i="1" s="1"/>
  <c r="AP74" i="1" s="1"/>
  <c r="AQ74" i="1" s="1"/>
  <c r="AR74" i="1" s="1"/>
  <c r="X77" i="1"/>
  <c r="AG77" i="1" s="1"/>
  <c r="AW129" i="1"/>
  <c r="AX129" i="1" s="1"/>
  <c r="AY129" i="1" s="1"/>
  <c r="AW308" i="1"/>
  <c r="AX308" i="1" s="1"/>
  <c r="AS504" i="1"/>
  <c r="AS630" i="1"/>
  <c r="AN81" i="1"/>
  <c r="AO81" i="1" s="1"/>
  <c r="AP81" i="1" s="1"/>
  <c r="AQ81" i="1" s="1"/>
  <c r="AR81" i="1" s="1"/>
  <c r="AI70" i="1"/>
  <c r="AS248" i="1"/>
  <c r="AW367" i="1"/>
  <c r="AX367" i="1" s="1"/>
  <c r="AY367" i="1" s="1"/>
  <c r="AZ367" i="1" s="1"/>
  <c r="BA367" i="1" s="1"/>
  <c r="AW424" i="1"/>
  <c r="BB424" i="1" s="1"/>
  <c r="AW460" i="1"/>
  <c r="AX460" i="1" s="1"/>
  <c r="AY460" i="1" s="1"/>
  <c r="AZ460" i="1" s="1"/>
  <c r="BA460" i="1" s="1"/>
  <c r="AW479" i="1"/>
  <c r="AX479" i="1" s="1"/>
  <c r="AY479" i="1" s="1"/>
  <c r="AZ479" i="1" s="1"/>
  <c r="BA479" i="1" s="1"/>
  <c r="AS268" i="1"/>
  <c r="AS374" i="1"/>
  <c r="AS578" i="1"/>
  <c r="AW248" i="1"/>
  <c r="AX248" i="1" s="1"/>
  <c r="AY248" i="1" s="1"/>
  <c r="AZ248" i="1" s="1"/>
  <c r="BA248" i="1" s="1"/>
  <c r="AS287" i="1"/>
  <c r="AS574" i="1"/>
  <c r="AW398" i="1"/>
  <c r="AX398" i="1" s="1"/>
  <c r="AY398" i="1" s="1"/>
  <c r="AZ398" i="1" s="1"/>
  <c r="BA398" i="1" s="1"/>
  <c r="AW585" i="1"/>
  <c r="AX585" i="1" s="1"/>
  <c r="AY585" i="1" s="1"/>
  <c r="AZ585" i="1" s="1"/>
  <c r="BA585" i="1" s="1"/>
  <c r="AS82" i="1"/>
  <c r="AW651" i="1"/>
  <c r="BB651" i="1" s="1"/>
  <c r="AS353" i="1"/>
  <c r="AW237" i="1"/>
  <c r="AX237" i="1" s="1"/>
  <c r="AY237" i="1" s="1"/>
  <c r="AZ237" i="1" s="1"/>
  <c r="BA237" i="1" s="1"/>
  <c r="AS553" i="1"/>
  <c r="AO126" i="1"/>
  <c r="AP126" i="1" s="1"/>
  <c r="AQ126" i="1" s="1"/>
  <c r="AR126" i="1" s="1"/>
  <c r="AI75" i="1"/>
  <c r="AW218" i="1"/>
  <c r="AX218" i="1" s="1"/>
  <c r="AY218" i="1" s="1"/>
  <c r="AK78" i="1"/>
  <c r="AK71" i="1"/>
  <c r="AK72" i="1"/>
  <c r="AW646" i="1"/>
  <c r="AX646" i="1" s="1"/>
  <c r="AY646" i="1" s="1"/>
  <c r="AZ646" i="1" s="1"/>
  <c r="BA646" i="1" s="1"/>
  <c r="AW181" i="1"/>
  <c r="AX181" i="1" s="1"/>
  <c r="AW415" i="1"/>
  <c r="AX415" i="1" s="1"/>
  <c r="AY415" i="1" s="1"/>
  <c r="AZ415" i="1" s="1"/>
  <c r="BA415" i="1" s="1"/>
  <c r="AW444" i="1"/>
  <c r="AX444" i="1" s="1"/>
  <c r="AY444" i="1" s="1"/>
  <c r="AZ444" i="1" s="1"/>
  <c r="BA444" i="1" s="1"/>
  <c r="AS228" i="1"/>
  <c r="AW542" i="1"/>
  <c r="AX542" i="1" s="1"/>
  <c r="AY542" i="1" s="1"/>
  <c r="AZ542" i="1" s="1"/>
  <c r="BA542" i="1" s="1"/>
  <c r="BB93" i="1"/>
  <c r="AS109" i="1"/>
  <c r="AS565" i="1"/>
  <c r="AO243" i="1"/>
  <c r="AP243" i="1" s="1"/>
  <c r="AQ243" i="1" s="1"/>
  <c r="AR243" i="1" s="1"/>
  <c r="AS596" i="1"/>
  <c r="AW254" i="1"/>
  <c r="AX254" i="1" s="1"/>
  <c r="AY254" i="1" s="1"/>
  <c r="AZ254" i="1" s="1"/>
  <c r="BA254" i="1" s="1"/>
  <c r="AW115" i="1"/>
  <c r="AX115" i="1" s="1"/>
  <c r="AY115" i="1" s="1"/>
  <c r="AS216" i="1"/>
  <c r="AS284" i="1"/>
  <c r="AS107" i="1"/>
  <c r="AW169" i="1"/>
  <c r="AX169" i="1" s="1"/>
  <c r="AY169" i="1" s="1"/>
  <c r="AS612" i="1"/>
  <c r="AS334" i="1"/>
  <c r="AW492" i="1"/>
  <c r="AX492" i="1" s="1"/>
  <c r="AY492" i="1" s="1"/>
  <c r="AZ492" i="1" s="1"/>
  <c r="BA492" i="1" s="1"/>
  <c r="AS189" i="1"/>
  <c r="AW650" i="1"/>
  <c r="BB650" i="1" s="1"/>
  <c r="AS200" i="1"/>
  <c r="AY654" i="1"/>
  <c r="AZ654" i="1" s="1"/>
  <c r="BA654" i="1" s="1"/>
  <c r="AS556" i="1"/>
  <c r="AS274" i="1"/>
  <c r="AS177" i="1"/>
  <c r="AW549" i="1"/>
  <c r="BB549" i="1" s="1"/>
  <c r="AW92" i="1"/>
  <c r="AX92" i="1" s="1"/>
  <c r="AY92" i="1" s="1"/>
  <c r="AZ92" i="1" s="1"/>
  <c r="BA92" i="1" s="1"/>
  <c r="AS662" i="1"/>
  <c r="AW581" i="1"/>
  <c r="AX581" i="1" s="1"/>
  <c r="AY581" i="1" s="1"/>
  <c r="AZ581" i="1" s="1"/>
  <c r="BA581" i="1" s="1"/>
  <c r="AW495" i="1"/>
  <c r="AX495" i="1" s="1"/>
  <c r="AY495" i="1" s="1"/>
  <c r="AZ495" i="1" s="1"/>
  <c r="BA495" i="1" s="1"/>
  <c r="AW447" i="1"/>
  <c r="AX447" i="1" s="1"/>
  <c r="AY447" i="1" s="1"/>
  <c r="AZ447" i="1" s="1"/>
  <c r="BA447" i="1" s="1"/>
  <c r="AW322" i="1"/>
  <c r="AX322" i="1" s="1"/>
  <c r="AY322" i="1" s="1"/>
  <c r="AZ322" i="1" s="1"/>
  <c r="BA322" i="1" s="1"/>
  <c r="AS551" i="1"/>
  <c r="AW663" i="1"/>
  <c r="BB663" i="1" s="1"/>
  <c r="AS154" i="1"/>
  <c r="AO535" i="1"/>
  <c r="AP535" i="1" s="1"/>
  <c r="AQ535" i="1" s="1"/>
  <c r="AR535" i="1" s="1"/>
  <c r="AS535" i="1"/>
  <c r="AW123" i="1"/>
  <c r="BB123" i="1" s="1"/>
  <c r="AW438" i="1"/>
  <c r="AX438" i="1" s="1"/>
  <c r="AY438" i="1" s="1"/>
  <c r="AZ438" i="1" s="1"/>
  <c r="BA438" i="1" s="1"/>
  <c r="AS278" i="1"/>
  <c r="AS355" i="1"/>
  <c r="AY488" i="1"/>
  <c r="AZ488" i="1" s="1"/>
  <c r="BA488" i="1" s="1"/>
  <c r="AS344" i="1"/>
  <c r="AO649" i="1"/>
  <c r="AP649" i="1" s="1"/>
  <c r="AQ649" i="1" s="1"/>
  <c r="AR649" i="1" s="1"/>
  <c r="AW402" i="1"/>
  <c r="AX402" i="1" s="1"/>
  <c r="AY402" i="1" s="1"/>
  <c r="AZ402" i="1" s="1"/>
  <c r="BA402" i="1" s="1"/>
  <c r="AS223" i="1"/>
  <c r="AS117" i="1"/>
  <c r="AS622" i="1"/>
  <c r="AS122" i="1"/>
  <c r="AS657" i="1"/>
  <c r="AK69" i="1"/>
  <c r="AW440" i="1"/>
  <c r="BB440" i="1" s="1"/>
  <c r="AW224" i="1"/>
  <c r="AX224" i="1" s="1"/>
  <c r="AY224" i="1" s="1"/>
  <c r="AZ224" i="1" s="1"/>
  <c r="BA224" i="1" s="1"/>
  <c r="AW595" i="1"/>
  <c r="AX595" i="1" s="1"/>
  <c r="AY595" i="1" s="1"/>
  <c r="AZ595" i="1" s="1"/>
  <c r="BA595" i="1" s="1"/>
  <c r="AS303" i="1"/>
  <c r="AW508" i="1"/>
  <c r="AX508" i="1" s="1"/>
  <c r="AY508" i="1" s="1"/>
  <c r="AZ508" i="1" s="1"/>
  <c r="BA508" i="1" s="1"/>
  <c r="AW478" i="1"/>
  <c r="BB478" i="1" s="1"/>
  <c r="AW100" i="1"/>
  <c r="BB100" i="1" s="1"/>
  <c r="AW113" i="1"/>
  <c r="AX113" i="1" s="1"/>
  <c r="AY113" i="1" s="1"/>
  <c r="AZ113" i="1" s="1"/>
  <c r="BA113" i="1" s="1"/>
  <c r="AW407" i="1"/>
  <c r="AX407" i="1" s="1"/>
  <c r="AY407" i="1" s="1"/>
  <c r="AZ407" i="1" s="1"/>
  <c r="BA407" i="1" s="1"/>
  <c r="AS168" i="1"/>
  <c r="AS341" i="1"/>
  <c r="AW282" i="1"/>
  <c r="AX282" i="1" s="1"/>
  <c r="AY282" i="1" s="1"/>
  <c r="AZ282" i="1" s="1"/>
  <c r="BA282" i="1" s="1"/>
  <c r="AS346" i="1"/>
  <c r="AO350" i="1"/>
  <c r="AP350" i="1" s="1"/>
  <c r="AQ350" i="1" s="1"/>
  <c r="AR350" i="1" s="1"/>
  <c r="AW556" i="1"/>
  <c r="AW183" i="1"/>
  <c r="AX183" i="1" s="1"/>
  <c r="AY183" i="1" s="1"/>
  <c r="AZ183" i="1" s="1"/>
  <c r="BA183" i="1" s="1"/>
  <c r="AW219" i="1"/>
  <c r="BB219" i="1" s="1"/>
  <c r="BB348" i="1"/>
  <c r="AW238" i="1"/>
  <c r="AX238" i="1" s="1"/>
  <c r="AY238" i="1" s="1"/>
  <c r="AZ238" i="1" s="1"/>
  <c r="BA238" i="1" s="1"/>
  <c r="AS345" i="1"/>
  <c r="AW309" i="1"/>
  <c r="BB309" i="1" s="1"/>
  <c r="AW349" i="1"/>
  <c r="BB349" i="1" s="1"/>
  <c r="AW186" i="1"/>
  <c r="AX186" i="1" s="1"/>
  <c r="AY186" i="1" s="1"/>
  <c r="AZ186" i="1" s="1"/>
  <c r="BA186" i="1" s="1"/>
  <c r="AO476" i="1"/>
  <c r="AP476" i="1" s="1"/>
  <c r="AQ476" i="1" s="1"/>
  <c r="AR476" i="1" s="1"/>
  <c r="AS476" i="1"/>
  <c r="AO256" i="1"/>
  <c r="AP256" i="1" s="1"/>
  <c r="AQ256" i="1" s="1"/>
  <c r="AR256" i="1" s="1"/>
  <c r="AS256" i="1"/>
  <c r="AS266" i="1"/>
  <c r="AO266" i="1"/>
  <c r="AP266" i="1" s="1"/>
  <c r="AQ266" i="1" s="1"/>
  <c r="AR266" i="1" s="1"/>
  <c r="AS88" i="1"/>
  <c r="AO151" i="1"/>
  <c r="AP151" i="1" s="1"/>
  <c r="AQ151" i="1" s="1"/>
  <c r="AR151" i="1" s="1"/>
  <c r="AW227" i="1"/>
  <c r="AX227" i="1" s="1"/>
  <c r="AY227" i="1" s="1"/>
  <c r="AZ227" i="1" s="1"/>
  <c r="BA227" i="1" s="1"/>
  <c r="AO426" i="1"/>
  <c r="AP426" i="1" s="1"/>
  <c r="AQ426" i="1" s="1"/>
  <c r="AR426" i="1" s="1"/>
  <c r="AS194" i="1"/>
  <c r="AS512" i="1"/>
  <c r="AK67" i="1"/>
  <c r="AK68" i="1"/>
  <c r="AS330" i="1"/>
  <c r="AS123" i="1"/>
  <c r="AS589" i="1"/>
  <c r="AS173" i="1"/>
  <c r="AW375" i="1"/>
  <c r="BB375" i="1" s="1"/>
  <c r="AS246" i="1"/>
  <c r="AW156" i="1"/>
  <c r="AX156" i="1" s="1"/>
  <c r="AY156" i="1" s="1"/>
  <c r="AZ156" i="1" s="1"/>
  <c r="BA156" i="1" s="1"/>
  <c r="AW555" i="1"/>
  <c r="AX555" i="1" s="1"/>
  <c r="AY555" i="1" s="1"/>
  <c r="AZ555" i="1" s="1"/>
  <c r="BA555" i="1" s="1"/>
  <c r="AS238" i="1"/>
  <c r="AO239" i="1"/>
  <c r="AP239" i="1" s="1"/>
  <c r="AQ239" i="1" s="1"/>
  <c r="AR239" i="1" s="1"/>
  <c r="AW202" i="1"/>
  <c r="AX202" i="1" s="1"/>
  <c r="AY202" i="1" s="1"/>
  <c r="AZ202" i="1" s="1"/>
  <c r="BA202" i="1" s="1"/>
  <c r="AW592" i="1"/>
  <c r="AX592" i="1" s="1"/>
  <c r="AY592" i="1" s="1"/>
  <c r="AZ592" i="1" s="1"/>
  <c r="BA592" i="1" s="1"/>
  <c r="Y78" i="1"/>
  <c r="AH78" i="1" s="1"/>
  <c r="AS548" i="1"/>
  <c r="AW289" i="1"/>
  <c r="BB289" i="1" s="1"/>
  <c r="AS525" i="1"/>
  <c r="AW213" i="1"/>
  <c r="AX213" i="1" s="1"/>
  <c r="AY213" i="1" s="1"/>
  <c r="AZ213" i="1" s="1"/>
  <c r="BA213" i="1" s="1"/>
  <c r="AW370" i="1"/>
  <c r="AX370" i="1" s="1"/>
  <c r="AY370" i="1" s="1"/>
  <c r="AZ370" i="1" s="1"/>
  <c r="BA370" i="1" s="1"/>
  <c r="AW154" i="1"/>
  <c r="AX154" i="1" s="1"/>
  <c r="AY154" i="1" s="1"/>
  <c r="AW602" i="1"/>
  <c r="AW164" i="1"/>
  <c r="AX164" i="1" s="1"/>
  <c r="AY164" i="1" s="1"/>
  <c r="AZ164" i="1" s="1"/>
  <c r="BA164" i="1" s="1"/>
  <c r="AW427" i="1"/>
  <c r="AX427" i="1" s="1"/>
  <c r="AY427" i="1" s="1"/>
  <c r="AZ427" i="1" s="1"/>
  <c r="BA427" i="1" s="1"/>
  <c r="AS461" i="1"/>
  <c r="AS351" i="1"/>
  <c r="AS257" i="1"/>
  <c r="AS299" i="1"/>
  <c r="AW526" i="1"/>
  <c r="AX526" i="1" s="1"/>
  <c r="AY526" i="1" s="1"/>
  <c r="AZ526" i="1" s="1"/>
  <c r="BA526" i="1" s="1"/>
  <c r="AS127" i="1"/>
  <c r="AO127" i="1"/>
  <c r="AP127" i="1" s="1"/>
  <c r="AQ127" i="1" s="1"/>
  <c r="AR127" i="1" s="1"/>
  <c r="AS360" i="1"/>
  <c r="AO360" i="1"/>
  <c r="AP360" i="1" s="1"/>
  <c r="AQ360" i="1" s="1"/>
  <c r="AR360" i="1" s="1"/>
  <c r="AW566" i="1"/>
  <c r="AX566" i="1" s="1"/>
  <c r="AY566" i="1" s="1"/>
  <c r="AZ566" i="1" s="1"/>
  <c r="BA566" i="1" s="1"/>
  <c r="AO443" i="1"/>
  <c r="AP443" i="1" s="1"/>
  <c r="AQ443" i="1" s="1"/>
  <c r="AR443" i="1" s="1"/>
  <c r="AS651" i="1"/>
  <c r="AS597" i="1"/>
  <c r="AC76" i="1"/>
  <c r="AL76" i="1" s="1"/>
  <c r="AW501" i="1"/>
  <c r="AX501" i="1" s="1"/>
  <c r="AY501" i="1" s="1"/>
  <c r="AZ501" i="1" s="1"/>
  <c r="BA501" i="1" s="1"/>
  <c r="AN72" i="1"/>
  <c r="AS72" i="1" s="1"/>
  <c r="AN71" i="1"/>
  <c r="AO71" i="1" s="1"/>
  <c r="AP71" i="1" s="1"/>
  <c r="AQ71" i="1" s="1"/>
  <c r="AR71" i="1" s="1"/>
  <c r="AS101" i="1"/>
  <c r="AW163" i="1"/>
  <c r="AX163" i="1" s="1"/>
  <c r="AY163" i="1" s="1"/>
  <c r="AZ163" i="1" s="1"/>
  <c r="BA163" i="1" s="1"/>
  <c r="AW279" i="1"/>
  <c r="AX279" i="1" s="1"/>
  <c r="AY279" i="1" s="1"/>
  <c r="AZ279" i="1" s="1"/>
  <c r="BA279" i="1" s="1"/>
  <c r="AS314" i="1"/>
  <c r="AW618" i="1"/>
  <c r="AX618" i="1" s="1"/>
  <c r="AY618" i="1" s="1"/>
  <c r="AS530" i="1"/>
  <c r="AS99" i="1"/>
  <c r="AW262" i="1"/>
  <c r="BB262" i="1" s="1"/>
  <c r="AW648" i="1"/>
  <c r="AX648" i="1" s="1"/>
  <c r="AY648" i="1" s="1"/>
  <c r="AZ648" i="1" s="1"/>
  <c r="BA648" i="1" s="1"/>
  <c r="AO339" i="1"/>
  <c r="AP339" i="1" s="1"/>
  <c r="AQ339" i="1" s="1"/>
  <c r="AR339" i="1" s="1"/>
  <c r="AW569" i="1"/>
  <c r="AX569" i="1" s="1"/>
  <c r="AY569" i="1" s="1"/>
  <c r="AZ569" i="1" s="1"/>
  <c r="BA569" i="1" s="1"/>
  <c r="AW632" i="1"/>
  <c r="AX632" i="1" s="1"/>
  <c r="AY632" i="1" s="1"/>
  <c r="AO240" i="1"/>
  <c r="AP240" i="1" s="1"/>
  <c r="AQ240" i="1" s="1"/>
  <c r="AR240" i="1" s="1"/>
  <c r="AS448" i="1"/>
  <c r="AS449" i="1"/>
  <c r="AO430" i="1"/>
  <c r="AP430" i="1" s="1"/>
  <c r="AQ430" i="1" s="1"/>
  <c r="AR430" i="1" s="1"/>
  <c r="AW608" i="1"/>
  <c r="AX608" i="1" s="1"/>
  <c r="AY608" i="1" s="1"/>
  <c r="AZ608" i="1" s="1"/>
  <c r="BA608" i="1" s="1"/>
  <c r="AW606" i="1"/>
  <c r="AX606" i="1" s="1"/>
  <c r="AY606" i="1" s="1"/>
  <c r="AZ606" i="1" s="1"/>
  <c r="BA606" i="1" s="1"/>
  <c r="AW547" i="1"/>
  <c r="AX547" i="1" s="1"/>
  <c r="AY547" i="1" s="1"/>
  <c r="AZ547" i="1" s="1"/>
  <c r="BA547" i="1" s="1"/>
  <c r="AW510" i="1"/>
  <c r="AW621" i="1"/>
  <c r="AX621" i="1" s="1"/>
  <c r="AY621" i="1" s="1"/>
  <c r="AZ621" i="1" s="1"/>
  <c r="BA621" i="1" s="1"/>
  <c r="AW611" i="1"/>
  <c r="AX611" i="1" s="1"/>
  <c r="AY611" i="1" s="1"/>
  <c r="AZ611" i="1" s="1"/>
  <c r="BA611" i="1" s="1"/>
  <c r="AS118" i="1"/>
  <c r="AW544" i="1"/>
  <c r="AX544" i="1" s="1"/>
  <c r="AY544" i="1" s="1"/>
  <c r="AZ544" i="1" s="1"/>
  <c r="BA544" i="1" s="1"/>
  <c r="AS408" i="1"/>
  <c r="AW215" i="1"/>
  <c r="AX215" i="1" s="1"/>
  <c r="AY215" i="1" s="1"/>
  <c r="AZ215" i="1" s="1"/>
  <c r="BA215" i="1" s="1"/>
  <c r="AW188" i="1"/>
  <c r="AX188" i="1" s="1"/>
  <c r="AY188" i="1" s="1"/>
  <c r="AZ188" i="1" s="1"/>
  <c r="BA188" i="1" s="1"/>
  <c r="AW142" i="1"/>
  <c r="AX142" i="1" s="1"/>
  <c r="AY142" i="1" s="1"/>
  <c r="AS613" i="1"/>
  <c r="AS585" i="1"/>
  <c r="AO585" i="1"/>
  <c r="AP585" i="1" s="1"/>
  <c r="AQ585" i="1" s="1"/>
  <c r="AR585" i="1" s="1"/>
  <c r="AO516" i="1"/>
  <c r="AP516" i="1" s="1"/>
  <c r="AQ516" i="1" s="1"/>
  <c r="AR516" i="1" s="1"/>
  <c r="AS516" i="1"/>
  <c r="AW245" i="1"/>
  <c r="AX245" i="1" s="1"/>
  <c r="AY245" i="1" s="1"/>
  <c r="AZ245" i="1" s="1"/>
  <c r="BA245" i="1" s="1"/>
  <c r="Y80" i="1"/>
  <c r="AH80" i="1" s="1"/>
  <c r="AK76" i="1"/>
  <c r="AW412" i="1"/>
  <c r="AX412" i="1" s="1"/>
  <c r="AY412" i="1" s="1"/>
  <c r="AS518" i="1"/>
  <c r="AW607" i="1"/>
  <c r="BB607" i="1" s="1"/>
  <c r="AS539" i="1"/>
  <c r="AS544" i="1"/>
  <c r="AW361" i="1"/>
  <c r="AS569" i="1"/>
  <c r="AS293" i="1"/>
  <c r="AS618" i="1"/>
  <c r="AS607" i="1"/>
  <c r="AO607" i="1"/>
  <c r="AP607" i="1" s="1"/>
  <c r="AQ607" i="1" s="1"/>
  <c r="AR607" i="1" s="1"/>
  <c r="AO588" i="1"/>
  <c r="AP588" i="1" s="1"/>
  <c r="AQ588" i="1" s="1"/>
  <c r="AR588" i="1" s="1"/>
  <c r="AS588" i="1"/>
  <c r="AS445" i="1"/>
  <c r="AO445" i="1"/>
  <c r="AP445" i="1" s="1"/>
  <c r="AQ445" i="1" s="1"/>
  <c r="AR445" i="1" s="1"/>
  <c r="AO387" i="1"/>
  <c r="AP387" i="1" s="1"/>
  <c r="AQ387" i="1" s="1"/>
  <c r="AR387" i="1" s="1"/>
  <c r="AS387" i="1"/>
  <c r="AO533" i="1"/>
  <c r="AP533" i="1" s="1"/>
  <c r="AQ533" i="1" s="1"/>
  <c r="AR533" i="1" s="1"/>
  <c r="AS533" i="1"/>
  <c r="AO103" i="1"/>
  <c r="AP103" i="1" s="1"/>
  <c r="AQ103" i="1" s="1"/>
  <c r="AR103" i="1" s="1"/>
  <c r="AS103" i="1"/>
  <c r="AO141" i="1"/>
  <c r="AP141" i="1" s="1"/>
  <c r="AQ141" i="1" s="1"/>
  <c r="AR141" i="1" s="1"/>
  <c r="AS141" i="1"/>
  <c r="AS617" i="1"/>
  <c r="AO617" i="1"/>
  <c r="AP617" i="1" s="1"/>
  <c r="AQ617" i="1" s="1"/>
  <c r="AR617" i="1" s="1"/>
  <c r="AS432" i="1"/>
  <c r="AW543" i="1"/>
  <c r="AX543" i="1" s="1"/>
  <c r="AY543" i="1" s="1"/>
  <c r="AZ543" i="1" s="1"/>
  <c r="BA543" i="1" s="1"/>
  <c r="Y76" i="1"/>
  <c r="AH76" i="1" s="1"/>
  <c r="AS142" i="1"/>
  <c r="AS263" i="1"/>
  <c r="AN68" i="1"/>
  <c r="AO68" i="1" s="1"/>
  <c r="AP68" i="1" s="1"/>
  <c r="AQ68" i="1" s="1"/>
  <c r="AR68" i="1" s="1"/>
  <c r="AK73" i="1"/>
  <c r="AW445" i="1"/>
  <c r="BB445" i="1" s="1"/>
  <c r="AW221" i="1"/>
  <c r="BB221" i="1" s="1"/>
  <c r="AX600" i="1"/>
  <c r="AY600" i="1" s="1"/>
  <c r="AZ600" i="1" s="1"/>
  <c r="BA600" i="1" s="1"/>
  <c r="AS400" i="1"/>
  <c r="W76" i="1"/>
  <c r="AF76" i="1" s="1"/>
  <c r="AS493" i="1"/>
  <c r="AW394" i="1"/>
  <c r="AX394" i="1" s="1"/>
  <c r="AY394" i="1" s="1"/>
  <c r="AZ394" i="1" s="1"/>
  <c r="BA394" i="1" s="1"/>
  <c r="AW366" i="1"/>
  <c r="AX366" i="1" s="1"/>
  <c r="AY366" i="1" s="1"/>
  <c r="AZ366" i="1" s="1"/>
  <c r="BA366" i="1" s="1"/>
  <c r="AW197" i="1"/>
  <c r="AX197" i="1" s="1"/>
  <c r="AY197" i="1" s="1"/>
  <c r="AZ197" i="1" s="1"/>
  <c r="BA197" i="1" s="1"/>
  <c r="AS407" i="1"/>
  <c r="AW573" i="1"/>
  <c r="AX573" i="1" s="1"/>
  <c r="AY573" i="1" s="1"/>
  <c r="AZ573" i="1" s="1"/>
  <c r="BA573" i="1" s="1"/>
  <c r="AW168" i="1"/>
  <c r="AX168" i="1" s="1"/>
  <c r="AY168" i="1" s="1"/>
  <c r="AZ168" i="1" s="1"/>
  <c r="BA168" i="1" s="1"/>
  <c r="AS358" i="1"/>
  <c r="AI79" i="1"/>
  <c r="AN76" i="1"/>
  <c r="AO76" i="1" s="1"/>
  <c r="AP76" i="1" s="1"/>
  <c r="AQ76" i="1" s="1"/>
  <c r="AR76" i="1" s="1"/>
  <c r="X71" i="1"/>
  <c r="AG71" i="1" s="1"/>
  <c r="X80" i="1"/>
  <c r="AG80" i="1" s="1"/>
  <c r="AS606" i="1"/>
  <c r="AW472" i="1"/>
  <c r="AX472" i="1" s="1"/>
  <c r="AY472" i="1" s="1"/>
  <c r="AZ472" i="1" s="1"/>
  <c r="BA472" i="1" s="1"/>
  <c r="AW365" i="1"/>
  <c r="AX365" i="1" s="1"/>
  <c r="AY365" i="1" s="1"/>
  <c r="AZ365" i="1" s="1"/>
  <c r="BA365" i="1" s="1"/>
  <c r="AW572" i="1"/>
  <c r="AX572" i="1" s="1"/>
  <c r="AY572" i="1" s="1"/>
  <c r="AZ572" i="1" s="1"/>
  <c r="BA572" i="1" s="1"/>
  <c r="AS456" i="1"/>
  <c r="AW383" i="1"/>
  <c r="AX383" i="1" s="1"/>
  <c r="AY383" i="1" s="1"/>
  <c r="AZ383" i="1" s="1"/>
  <c r="BA383" i="1" s="1"/>
  <c r="AW312" i="1"/>
  <c r="AS510" i="1"/>
  <c r="AO375" i="1"/>
  <c r="AP375" i="1" s="1"/>
  <c r="AQ375" i="1" s="1"/>
  <c r="AR375" i="1" s="1"/>
  <c r="AS375" i="1"/>
  <c r="AS264" i="1"/>
  <c r="AO264" i="1"/>
  <c r="AP264" i="1" s="1"/>
  <c r="AQ264" i="1" s="1"/>
  <c r="AR264" i="1" s="1"/>
  <c r="AO290" i="1"/>
  <c r="AP290" i="1" s="1"/>
  <c r="AQ290" i="1" s="1"/>
  <c r="AR290" i="1" s="1"/>
  <c r="AS290" i="1"/>
  <c r="AO258" i="1"/>
  <c r="AP258" i="1" s="1"/>
  <c r="AQ258" i="1" s="1"/>
  <c r="AR258" i="1" s="1"/>
  <c r="AS258" i="1"/>
  <c r="AO434" i="1"/>
  <c r="AP434" i="1" s="1"/>
  <c r="AQ434" i="1" s="1"/>
  <c r="AR434" i="1" s="1"/>
  <c r="AS381" i="1"/>
  <c r="AW148" i="1"/>
  <c r="AX148" i="1" s="1"/>
  <c r="AY148" i="1" s="1"/>
  <c r="AZ148" i="1" s="1"/>
  <c r="BA148" i="1" s="1"/>
  <c r="AS214" i="1"/>
  <c r="AS165" i="1"/>
  <c r="AC79" i="1"/>
  <c r="AL79" i="1" s="1"/>
  <c r="AK75" i="1"/>
  <c r="AW363" i="1"/>
  <c r="AX363" i="1" s="1"/>
  <c r="AY363" i="1" s="1"/>
  <c r="AZ363" i="1" s="1"/>
  <c r="BA363" i="1" s="1"/>
  <c r="AW118" i="1"/>
  <c r="AX118" i="1" s="1"/>
  <c r="AY118" i="1" s="1"/>
  <c r="AZ118" i="1" s="1"/>
  <c r="BA118" i="1" s="1"/>
  <c r="AS579" i="1"/>
  <c r="AW463" i="1"/>
  <c r="BB463" i="1" s="1"/>
  <c r="BB291" i="1"/>
  <c r="AW388" i="1"/>
  <c r="AX388" i="1" s="1"/>
  <c r="AO487" i="1"/>
  <c r="AP487" i="1" s="1"/>
  <c r="AQ487" i="1" s="1"/>
  <c r="AR487" i="1" s="1"/>
  <c r="AA76" i="1"/>
  <c r="AJ76" i="1" s="1"/>
  <c r="AW135" i="1"/>
  <c r="BB135" i="1" s="1"/>
  <c r="AW393" i="1"/>
  <c r="AX393" i="1" s="1"/>
  <c r="AY393" i="1" s="1"/>
  <c r="AO325" i="1"/>
  <c r="AP325" i="1" s="1"/>
  <c r="AQ325" i="1" s="1"/>
  <c r="AR325" i="1" s="1"/>
  <c r="AC78" i="1"/>
  <c r="AL78" i="1" s="1"/>
  <c r="AN69" i="1"/>
  <c r="AO69" i="1" s="1"/>
  <c r="AP69" i="1" s="1"/>
  <c r="AQ69" i="1" s="1"/>
  <c r="AR69" i="1" s="1"/>
  <c r="AS652" i="1"/>
  <c r="AW298" i="1"/>
  <c r="AW604" i="1"/>
  <c r="AW275" i="1"/>
  <c r="AW464" i="1"/>
  <c r="AX464" i="1" s="1"/>
  <c r="AY464" i="1" s="1"/>
  <c r="AZ464" i="1" s="1"/>
  <c r="BA464" i="1" s="1"/>
  <c r="AS385" i="1"/>
  <c r="AS171" i="1"/>
  <c r="AX244" i="1"/>
  <c r="AY244" i="1" s="1"/>
  <c r="AZ244" i="1" s="1"/>
  <c r="BA244" i="1" s="1"/>
  <c r="BB244" i="1"/>
  <c r="AW360" i="1"/>
  <c r="AX360" i="1" s="1"/>
  <c r="AY360" i="1" s="1"/>
  <c r="AZ360" i="1" s="1"/>
  <c r="BA360" i="1" s="1"/>
  <c r="AO252" i="1"/>
  <c r="AP252" i="1" s="1"/>
  <c r="AQ252" i="1" s="1"/>
  <c r="AR252" i="1" s="1"/>
  <c r="AS252" i="1"/>
  <c r="AO273" i="1"/>
  <c r="AP273" i="1" s="1"/>
  <c r="AQ273" i="1" s="1"/>
  <c r="AR273" i="1" s="1"/>
  <c r="AS273" i="1"/>
  <c r="AO615" i="1"/>
  <c r="AP615" i="1" s="1"/>
  <c r="AQ615" i="1" s="1"/>
  <c r="AR615" i="1" s="1"/>
  <c r="AS615" i="1"/>
  <c r="AO406" i="1"/>
  <c r="AP406" i="1" s="1"/>
  <c r="AQ406" i="1" s="1"/>
  <c r="AR406" i="1" s="1"/>
  <c r="AS406" i="1"/>
  <c r="AO639" i="1"/>
  <c r="AP639" i="1" s="1"/>
  <c r="AQ639" i="1" s="1"/>
  <c r="AR639" i="1" s="1"/>
  <c r="AS573" i="1"/>
  <c r="AS300" i="1"/>
  <c r="AS86" i="1"/>
  <c r="AO643" i="1"/>
  <c r="AP643" i="1" s="1"/>
  <c r="AQ643" i="1" s="1"/>
  <c r="AR643" i="1" s="1"/>
  <c r="AW462" i="1"/>
  <c r="BB462" i="1" s="1"/>
  <c r="AS483" i="1"/>
  <c r="AW210" i="1"/>
  <c r="AX210" i="1" s="1"/>
  <c r="AY210" i="1" s="1"/>
  <c r="AZ210" i="1" s="1"/>
  <c r="BA210" i="1" s="1"/>
  <c r="AW216" i="1"/>
  <c r="AX216" i="1" s="1"/>
  <c r="AW395" i="1"/>
  <c r="AX395" i="1" s="1"/>
  <c r="AY395" i="1" s="1"/>
  <c r="AS608" i="1"/>
  <c r="AS312" i="1"/>
  <c r="AO254" i="1"/>
  <c r="AP254" i="1" s="1"/>
  <c r="AQ254" i="1" s="1"/>
  <c r="AR254" i="1" s="1"/>
  <c r="AW217" i="1"/>
  <c r="AX217" i="1" s="1"/>
  <c r="AY217" i="1" s="1"/>
  <c r="AZ217" i="1" s="1"/>
  <c r="BA217" i="1" s="1"/>
  <c r="AS482" i="1"/>
  <c r="AW317" i="1"/>
  <c r="AX317" i="1" s="1"/>
  <c r="AY317" i="1" s="1"/>
  <c r="AW351" i="1"/>
  <c r="AX351" i="1" s="1"/>
  <c r="AY351" i="1" s="1"/>
  <c r="AZ351" i="1" s="1"/>
  <c r="BA351" i="1" s="1"/>
  <c r="AS583" i="1"/>
  <c r="AS265" i="1"/>
  <c r="AS524" i="1"/>
  <c r="AO292" i="1"/>
  <c r="AP292" i="1" s="1"/>
  <c r="AQ292" i="1" s="1"/>
  <c r="AR292" i="1" s="1"/>
  <c r="AS292" i="1"/>
  <c r="AO186" i="1"/>
  <c r="AP186" i="1" s="1"/>
  <c r="AQ186" i="1" s="1"/>
  <c r="AR186" i="1" s="1"/>
  <c r="AS186" i="1"/>
  <c r="AO462" i="1"/>
  <c r="AP462" i="1" s="1"/>
  <c r="AQ462" i="1" s="1"/>
  <c r="AR462" i="1" s="1"/>
  <c r="AS462" i="1"/>
  <c r="AO251" i="1"/>
  <c r="AP251" i="1" s="1"/>
  <c r="AQ251" i="1" s="1"/>
  <c r="AR251" i="1" s="1"/>
  <c r="AS251" i="1"/>
  <c r="AS160" i="1"/>
  <c r="AO160" i="1"/>
  <c r="AP160" i="1" s="1"/>
  <c r="AQ160" i="1" s="1"/>
  <c r="AR160" i="1" s="1"/>
  <c r="AO383" i="1"/>
  <c r="AP383" i="1" s="1"/>
  <c r="AQ383" i="1" s="1"/>
  <c r="AR383" i="1" s="1"/>
  <c r="AS383" i="1"/>
  <c r="AO491" i="1"/>
  <c r="AP491" i="1" s="1"/>
  <c r="AQ491" i="1" s="1"/>
  <c r="AR491" i="1" s="1"/>
  <c r="AS491" i="1"/>
  <c r="AO280" i="1"/>
  <c r="AP280" i="1" s="1"/>
  <c r="AQ280" i="1" s="1"/>
  <c r="AR280" i="1" s="1"/>
  <c r="AS280" i="1"/>
  <c r="AS244" i="1"/>
  <c r="AO244" i="1"/>
  <c r="AP244" i="1" s="1"/>
  <c r="AQ244" i="1" s="1"/>
  <c r="AR244" i="1" s="1"/>
  <c r="AS605" i="1"/>
  <c r="AO605" i="1"/>
  <c r="AP605" i="1" s="1"/>
  <c r="AQ605" i="1" s="1"/>
  <c r="AR605" i="1" s="1"/>
  <c r="AO566" i="1"/>
  <c r="AP566" i="1" s="1"/>
  <c r="AQ566" i="1" s="1"/>
  <c r="AR566" i="1" s="1"/>
  <c r="AS566" i="1"/>
  <c r="AS390" i="1"/>
  <c r="AY350" i="1"/>
  <c r="AZ350" i="1" s="1"/>
  <c r="BA350" i="1" s="1"/>
  <c r="AS501" i="1"/>
  <c r="AO429" i="1"/>
  <c r="AP429" i="1" s="1"/>
  <c r="AQ429" i="1" s="1"/>
  <c r="AR429" i="1" s="1"/>
  <c r="AW246" i="1"/>
  <c r="AX246" i="1" s="1"/>
  <c r="AY246" i="1" s="1"/>
  <c r="W80" i="1"/>
  <c r="AF80" i="1" s="1"/>
  <c r="AS178" i="1"/>
  <c r="AS129" i="1"/>
  <c r="AW324" i="1"/>
  <c r="AX324" i="1" s="1"/>
  <c r="AY324" i="1" s="1"/>
  <c r="AZ324" i="1" s="1"/>
  <c r="BA324" i="1" s="1"/>
  <c r="AI71" i="1"/>
  <c r="AW644" i="1"/>
  <c r="AX644" i="1" s="1"/>
  <c r="AY644" i="1" s="1"/>
  <c r="AZ644" i="1" s="1"/>
  <c r="BA644" i="1" s="1"/>
  <c r="AS640" i="1"/>
  <c r="AS581" i="1"/>
  <c r="AS242" i="1"/>
  <c r="AS538" i="1"/>
  <c r="AO133" i="1"/>
  <c r="AP133" i="1" s="1"/>
  <c r="AQ133" i="1" s="1"/>
  <c r="AR133" i="1" s="1"/>
  <c r="AS133" i="1"/>
  <c r="AO522" i="1"/>
  <c r="AP522" i="1" s="1"/>
  <c r="AQ522" i="1" s="1"/>
  <c r="AR522" i="1" s="1"/>
  <c r="AS522" i="1"/>
  <c r="AW583" i="1"/>
  <c r="AX583" i="1" s="1"/>
  <c r="AY583" i="1" s="1"/>
  <c r="AZ583" i="1" s="1"/>
  <c r="BA583" i="1" s="1"/>
  <c r="AO636" i="1"/>
  <c r="AP636" i="1" s="1"/>
  <c r="AQ636" i="1" s="1"/>
  <c r="AR636" i="1" s="1"/>
  <c r="AS636" i="1"/>
  <c r="AW340" i="1"/>
  <c r="AX340" i="1" s="1"/>
  <c r="AY340" i="1" s="1"/>
  <c r="AZ340" i="1" s="1"/>
  <c r="BA340" i="1" s="1"/>
  <c r="AW430" i="1"/>
  <c r="AX430" i="1" s="1"/>
  <c r="AY430" i="1" s="1"/>
  <c r="AZ430" i="1" s="1"/>
  <c r="BA430" i="1" s="1"/>
  <c r="AK77" i="1"/>
  <c r="AN77" i="1"/>
  <c r="AO77" i="1" s="1"/>
  <c r="AP77" i="1" s="1"/>
  <c r="AQ77" i="1" s="1"/>
  <c r="AR77" i="1" s="1"/>
  <c r="AN70" i="1"/>
  <c r="AS70" i="1" s="1"/>
  <c r="AK79" i="1"/>
  <c r="AW194" i="1"/>
  <c r="AX194" i="1" s="1"/>
  <c r="AY194" i="1" s="1"/>
  <c r="AZ194" i="1" s="1"/>
  <c r="BA194" i="1" s="1"/>
  <c r="AW502" i="1"/>
  <c r="AW82" i="1"/>
  <c r="AW624" i="1"/>
  <c r="AX624" i="1" s="1"/>
  <c r="AY624" i="1" s="1"/>
  <c r="AZ624" i="1" s="1"/>
  <c r="BA624" i="1" s="1"/>
  <c r="W68" i="1"/>
  <c r="AF68" i="1" s="1"/>
  <c r="AA68" i="1"/>
  <c r="AJ68" i="1" s="1"/>
  <c r="X68" i="1"/>
  <c r="AG68" i="1" s="1"/>
  <c r="AC68" i="1"/>
  <c r="AL68" i="1" s="1"/>
  <c r="Y68" i="1"/>
  <c r="AH68" i="1" s="1"/>
  <c r="AI68" i="1"/>
  <c r="AA77" i="1"/>
  <c r="AJ77" i="1" s="1"/>
  <c r="AC77" i="1"/>
  <c r="AL77" i="1" s="1"/>
  <c r="AI77" i="1"/>
  <c r="Y77" i="1"/>
  <c r="AH77" i="1" s="1"/>
  <c r="W77" i="1"/>
  <c r="AF77" i="1" s="1"/>
  <c r="Y70" i="1"/>
  <c r="AH70" i="1" s="1"/>
  <c r="X70" i="1"/>
  <c r="AG70" i="1" s="1"/>
  <c r="AA70" i="1"/>
  <c r="AJ70" i="1" s="1"/>
  <c r="W70" i="1"/>
  <c r="AF70" i="1" s="1"/>
  <c r="AC70" i="1"/>
  <c r="AL70" i="1" s="1"/>
  <c r="Y71" i="1"/>
  <c r="AH71" i="1" s="1"/>
  <c r="AA71" i="1"/>
  <c r="AJ71" i="1" s="1"/>
  <c r="AC71" i="1"/>
  <c r="AL71" i="1" s="1"/>
  <c r="AO1153" i="1"/>
  <c r="AP1153" i="1" s="1"/>
  <c r="AQ1153" i="1" s="1"/>
  <c r="AR1153" i="1" s="1"/>
  <c r="AS1153" i="1"/>
  <c r="AO610" i="1"/>
  <c r="AP610" i="1" s="1"/>
  <c r="AQ610" i="1" s="1"/>
  <c r="AR610" i="1" s="1"/>
  <c r="AS610" i="1"/>
  <c r="AW603" i="1"/>
  <c r="AX603" i="1" s="1"/>
  <c r="AY603" i="1" s="1"/>
  <c r="X76" i="1"/>
  <c r="AG76" i="1" s="1"/>
  <c r="AW136" i="1"/>
  <c r="AX136" i="1" s="1"/>
  <c r="AY136" i="1" s="1"/>
  <c r="AZ136" i="1" s="1"/>
  <c r="BA136" i="1" s="1"/>
  <c r="AK70" i="1"/>
  <c r="AI72" i="1"/>
  <c r="AI81" i="1"/>
  <c r="AN75" i="1"/>
  <c r="AO75" i="1" s="1"/>
  <c r="AP75" i="1" s="1"/>
  <c r="AQ75" i="1" s="1"/>
  <c r="AR75" i="1" s="1"/>
  <c r="AK80" i="1"/>
  <c r="AS465" i="1"/>
  <c r="AA72" i="1"/>
  <c r="AJ72" i="1" s="1"/>
  <c r="X72" i="1"/>
  <c r="AG72" i="1" s="1"/>
  <c r="W72" i="1"/>
  <c r="AF72" i="1" s="1"/>
  <c r="Y72" i="1"/>
  <c r="AH72" i="1" s="1"/>
  <c r="AC72" i="1"/>
  <c r="AL72" i="1" s="1"/>
  <c r="AS230" i="1"/>
  <c r="AO230" i="1"/>
  <c r="AP230" i="1" s="1"/>
  <c r="AQ230" i="1" s="1"/>
  <c r="AR230" i="1" s="1"/>
  <c r="AA81" i="1"/>
  <c r="AJ81" i="1" s="1"/>
  <c r="W81" i="1"/>
  <c r="AF81" i="1" s="1"/>
  <c r="AC81" i="1"/>
  <c r="AL81" i="1" s="1"/>
  <c r="X81" i="1"/>
  <c r="AG81" i="1" s="1"/>
  <c r="Y81" i="1"/>
  <c r="AH81" i="1" s="1"/>
  <c r="AA74" i="1"/>
  <c r="AJ74" i="1" s="1"/>
  <c r="AC74" i="1"/>
  <c r="AL74" i="1" s="1"/>
  <c r="X74" i="1"/>
  <c r="AG74" i="1" s="1"/>
  <c r="W74" i="1"/>
  <c r="AF74" i="1" s="1"/>
  <c r="Y74" i="1"/>
  <c r="AH74" i="1" s="1"/>
  <c r="AI74" i="1"/>
  <c r="Y75" i="1"/>
  <c r="AH75" i="1" s="1"/>
  <c r="AA75" i="1"/>
  <c r="AJ75" i="1" s="1"/>
  <c r="X75" i="1"/>
  <c r="AG75" i="1" s="1"/>
  <c r="AC75" i="1"/>
  <c r="AL75" i="1" s="1"/>
  <c r="W75" i="1"/>
  <c r="AF75" i="1" s="1"/>
  <c r="AO515" i="1"/>
  <c r="AP515" i="1" s="1"/>
  <c r="AQ515" i="1" s="1"/>
  <c r="AR515" i="1" s="1"/>
  <c r="AS515" i="1"/>
  <c r="AW568" i="1"/>
  <c r="AX568" i="1" s="1"/>
  <c r="AY568" i="1" s="1"/>
  <c r="AZ568" i="1" s="1"/>
  <c r="BA568" i="1" s="1"/>
  <c r="AW166" i="1"/>
  <c r="AX166" i="1" s="1"/>
  <c r="AY166" i="1" s="1"/>
  <c r="AZ166" i="1" s="1"/>
  <c r="BA166" i="1" s="1"/>
  <c r="AS609" i="1"/>
  <c r="AZ261" i="1"/>
  <c r="BA261" i="1" s="1"/>
  <c r="AW170" i="1"/>
  <c r="AX170" i="1" s="1"/>
  <c r="AY170" i="1" s="1"/>
  <c r="AW133" i="1"/>
  <c r="AX133" i="1" s="1"/>
  <c r="AY133" i="1" s="1"/>
  <c r="AZ133" i="1" s="1"/>
  <c r="BA133" i="1" s="1"/>
  <c r="AW120" i="1"/>
  <c r="AX120" i="1" s="1"/>
  <c r="AY120" i="1" s="1"/>
  <c r="AZ120" i="1" s="1"/>
  <c r="BA120" i="1" s="1"/>
  <c r="AW536" i="1"/>
  <c r="AX536" i="1" s="1"/>
  <c r="AY536" i="1" s="1"/>
  <c r="AZ536" i="1" s="1"/>
  <c r="BA536" i="1" s="1"/>
  <c r="AW327" i="1"/>
  <c r="AW337" i="1"/>
  <c r="AX337" i="1" s="1"/>
  <c r="AY337" i="1" s="1"/>
  <c r="AZ337" i="1" s="1"/>
  <c r="BA337" i="1" s="1"/>
  <c r="AW143" i="1"/>
  <c r="AX143" i="1" s="1"/>
  <c r="AY143" i="1" s="1"/>
  <c r="AZ143" i="1" s="1"/>
  <c r="BA143" i="1" s="1"/>
  <c r="AK81" i="1"/>
  <c r="AK74" i="1"/>
  <c r="AN79" i="1"/>
  <c r="AO79" i="1" s="1"/>
  <c r="AP79" i="1" s="1"/>
  <c r="AQ79" i="1" s="1"/>
  <c r="AR79" i="1" s="1"/>
  <c r="W69" i="1"/>
  <c r="AF69" i="1" s="1"/>
  <c r="X69" i="1"/>
  <c r="AG69" i="1" s="1"/>
  <c r="Y69" i="1"/>
  <c r="AH69" i="1" s="1"/>
  <c r="AA69" i="1"/>
  <c r="AJ69" i="1" s="1"/>
  <c r="AI69" i="1"/>
  <c r="AC69" i="1"/>
  <c r="AL69" i="1" s="1"/>
  <c r="AA78" i="1"/>
  <c r="AJ78" i="1" s="1"/>
  <c r="X78" i="1"/>
  <c r="AG78" i="1" s="1"/>
  <c r="W78" i="1"/>
  <c r="AF78" i="1" s="1"/>
  <c r="AI78" i="1"/>
  <c r="AA79" i="1"/>
  <c r="AJ79" i="1" s="1"/>
  <c r="W79" i="1"/>
  <c r="AF79" i="1" s="1"/>
  <c r="X79" i="1"/>
  <c r="AG79" i="1" s="1"/>
  <c r="Y79" i="1"/>
  <c r="AH79" i="1" s="1"/>
  <c r="AS134" i="1"/>
  <c r="AO134" i="1"/>
  <c r="AP134" i="1" s="1"/>
  <c r="AQ134" i="1" s="1"/>
  <c r="AR134" i="1" s="1"/>
  <c r="AS477" i="1"/>
  <c r="AO477" i="1"/>
  <c r="AP477" i="1" s="1"/>
  <c r="AQ477" i="1" s="1"/>
  <c r="AR477" i="1" s="1"/>
  <c r="AO656" i="1"/>
  <c r="AP656" i="1" s="1"/>
  <c r="AQ656" i="1" s="1"/>
  <c r="AR656" i="1" s="1"/>
  <c r="AS656" i="1"/>
  <c r="AA80" i="1"/>
  <c r="AJ80" i="1" s="1"/>
  <c r="AW155" i="1"/>
  <c r="AX155" i="1" s="1"/>
  <c r="AY155" i="1" s="1"/>
  <c r="AZ155" i="1" s="1"/>
  <c r="BA155" i="1" s="1"/>
  <c r="AS124" i="1"/>
  <c r="AS95" i="1"/>
  <c r="AN73" i="1"/>
  <c r="AO73" i="1" s="1"/>
  <c r="AP73" i="1" s="1"/>
  <c r="AQ73" i="1" s="1"/>
  <c r="AR73" i="1" s="1"/>
  <c r="AN67" i="1"/>
  <c r="AO67" i="1" s="1"/>
  <c r="AP67" i="1" s="1"/>
  <c r="AQ67" i="1" s="1"/>
  <c r="AR67" i="1" s="1"/>
  <c r="AI80" i="1"/>
  <c r="AC80" i="1"/>
  <c r="AL80" i="1" s="1"/>
  <c r="X73" i="1"/>
  <c r="AG73" i="1" s="1"/>
  <c r="W73" i="1"/>
  <c r="AF73" i="1" s="1"/>
  <c r="Y73" i="1"/>
  <c r="AH73" i="1" s="1"/>
  <c r="AA73" i="1"/>
  <c r="AJ73" i="1" s="1"/>
  <c r="AI73" i="1"/>
  <c r="AO282" i="1"/>
  <c r="AP282" i="1" s="1"/>
  <c r="AQ282" i="1" s="1"/>
  <c r="AR282" i="1" s="1"/>
  <c r="AS282" i="1"/>
  <c r="Y67" i="1"/>
  <c r="AH67" i="1" s="1"/>
  <c r="W67" i="1"/>
  <c r="AF67" i="1" s="1"/>
  <c r="AC67" i="1"/>
  <c r="AL67" i="1" s="1"/>
  <c r="X67" i="1"/>
  <c r="AG67" i="1" s="1"/>
  <c r="AA67" i="1"/>
  <c r="AJ67" i="1" s="1"/>
  <c r="AO277" i="1"/>
  <c r="AP277" i="1" s="1"/>
  <c r="AQ277" i="1" s="1"/>
  <c r="AR277" i="1" s="1"/>
  <c r="AS277" i="1"/>
  <c r="AO554" i="1"/>
  <c r="AP554" i="1" s="1"/>
  <c r="AQ554" i="1" s="1"/>
  <c r="AR554" i="1" s="1"/>
  <c r="AS554" i="1"/>
  <c r="AS368" i="1"/>
  <c r="AO368" i="1"/>
  <c r="AP368" i="1" s="1"/>
  <c r="AQ368" i="1" s="1"/>
  <c r="AR368" i="1" s="1"/>
  <c r="AC73" i="1"/>
  <c r="AL73" i="1" s="1"/>
  <c r="AW95" i="1"/>
  <c r="AX95" i="1" s="1"/>
  <c r="AY95" i="1" s="1"/>
  <c r="AZ95" i="1" s="1"/>
  <c r="BA95" i="1" s="1"/>
  <c r="AX517" i="1"/>
  <c r="AY517" i="1" s="1"/>
  <c r="AZ517" i="1" s="1"/>
  <c r="BA517" i="1" s="1"/>
  <c r="BB517" i="1"/>
  <c r="AW335" i="1"/>
  <c r="AX335" i="1" s="1"/>
  <c r="AY335" i="1" s="1"/>
  <c r="AZ335" i="1" s="1"/>
  <c r="BA335" i="1" s="1"/>
  <c r="AO644" i="1"/>
  <c r="AP644" i="1" s="1"/>
  <c r="AQ644" i="1" s="1"/>
  <c r="AR644" i="1" s="1"/>
  <c r="AS644" i="1"/>
  <c r="AS147" i="1"/>
  <c r="AO147" i="1"/>
  <c r="AP147" i="1" s="1"/>
  <c r="AQ147" i="1" s="1"/>
  <c r="AR147" i="1" s="1"/>
  <c r="AO497" i="1"/>
  <c r="AP497" i="1" s="1"/>
  <c r="AQ497" i="1" s="1"/>
  <c r="AR497" i="1" s="1"/>
  <c r="AS497" i="1"/>
  <c r="AO187" i="1"/>
  <c r="AP187" i="1" s="1"/>
  <c r="AQ187" i="1" s="1"/>
  <c r="AR187" i="1" s="1"/>
  <c r="AS187" i="1"/>
  <c r="AO396" i="1"/>
  <c r="AP396" i="1" s="1"/>
  <c r="AQ396" i="1" s="1"/>
  <c r="AR396" i="1" s="1"/>
  <c r="AS396" i="1"/>
  <c r="AS452" i="1"/>
  <c r="AO210" i="1"/>
  <c r="AP210" i="1" s="1"/>
  <c r="AQ210" i="1" s="1"/>
  <c r="AR210" i="1" s="1"/>
  <c r="AS210" i="1"/>
  <c r="AO116" i="1"/>
  <c r="AP116" i="1" s="1"/>
  <c r="AQ116" i="1" s="1"/>
  <c r="AR116" i="1" s="1"/>
  <c r="AS116" i="1"/>
  <c r="AW466" i="1"/>
  <c r="AX466" i="1" s="1"/>
  <c r="AY466" i="1" s="1"/>
  <c r="AZ466" i="1" s="1"/>
  <c r="BA466" i="1" s="1"/>
  <c r="AW626" i="1"/>
  <c r="AX626" i="1" s="1"/>
  <c r="AY626" i="1" s="1"/>
  <c r="AZ626" i="1" s="1"/>
  <c r="BA626" i="1" s="1"/>
  <c r="AS561" i="1"/>
  <c r="AS179" i="1"/>
  <c r="AS295" i="1"/>
  <c r="AS470" i="1"/>
  <c r="AS286" i="1"/>
  <c r="AS269" i="1"/>
  <c r="AS402" i="1"/>
  <c r="AO402" i="1"/>
  <c r="AP402" i="1" s="1"/>
  <c r="AQ402" i="1" s="1"/>
  <c r="AR402" i="1" s="1"/>
  <c r="AO261" i="1"/>
  <c r="AP261" i="1" s="1"/>
  <c r="AQ261" i="1" s="1"/>
  <c r="AR261" i="1" s="1"/>
  <c r="AS261" i="1"/>
  <c r="AS111" i="1"/>
  <c r="AO111" i="1"/>
  <c r="AP111" i="1" s="1"/>
  <c r="AQ111" i="1" s="1"/>
  <c r="AR111" i="1" s="1"/>
  <c r="AO185" i="1"/>
  <c r="AP185" i="1" s="1"/>
  <c r="AQ185" i="1" s="1"/>
  <c r="AR185" i="1" s="1"/>
  <c r="AS231" i="1"/>
  <c r="AO231" i="1"/>
  <c r="AP231" i="1" s="1"/>
  <c r="AQ231" i="1" s="1"/>
  <c r="AR231" i="1" s="1"/>
  <c r="AO192" i="1"/>
  <c r="AP192" i="1" s="1"/>
  <c r="AQ192" i="1" s="1"/>
  <c r="AR192" i="1" s="1"/>
  <c r="AS192" i="1"/>
  <c r="AO163" i="1"/>
  <c r="AP163" i="1" s="1"/>
  <c r="AQ163" i="1" s="1"/>
  <c r="AR163" i="1" s="1"/>
  <c r="AS163" i="1"/>
  <c r="AO307" i="1"/>
  <c r="AP307" i="1" s="1"/>
  <c r="AQ307" i="1" s="1"/>
  <c r="AR307" i="1" s="1"/>
  <c r="AS307" i="1"/>
  <c r="AS627" i="1"/>
  <c r="AO627" i="1"/>
  <c r="AP627" i="1" s="1"/>
  <c r="AQ627" i="1" s="1"/>
  <c r="AR627" i="1" s="1"/>
  <c r="AS359" i="1"/>
  <c r="AO359" i="1"/>
  <c r="AP359" i="1" s="1"/>
  <c r="AQ359" i="1" s="1"/>
  <c r="AR359" i="1" s="1"/>
  <c r="AO592" i="1"/>
  <c r="AP592" i="1" s="1"/>
  <c r="AQ592" i="1" s="1"/>
  <c r="AR592" i="1" s="1"/>
  <c r="AS592" i="1"/>
  <c r="AS321" i="1"/>
  <c r="AW551" i="1"/>
  <c r="BB551" i="1" s="1"/>
  <c r="AS270" i="1"/>
  <c r="AX187" i="1"/>
  <c r="AY187" i="1" s="1"/>
  <c r="AZ187" i="1" s="1"/>
  <c r="BA187" i="1" s="1"/>
  <c r="BB513" i="1"/>
  <c r="AW195" i="1"/>
  <c r="AS453" i="1"/>
  <c r="AS642" i="1"/>
  <c r="AW234" i="1"/>
  <c r="AX234" i="1" s="1"/>
  <c r="AY234" i="1" s="1"/>
  <c r="AW192" i="1"/>
  <c r="AX192" i="1" s="1"/>
  <c r="AY192" i="1" s="1"/>
  <c r="AZ192" i="1" s="1"/>
  <c r="BA192" i="1" s="1"/>
  <c r="AS112" i="1"/>
  <c r="AW344" i="1"/>
  <c r="AX344" i="1" s="1"/>
  <c r="AY344" i="1" s="1"/>
  <c r="AZ344" i="1" s="1"/>
  <c r="BA344" i="1" s="1"/>
  <c r="AS245" i="1"/>
  <c r="AW178" i="1"/>
  <c r="AO467" i="1"/>
  <c r="AP467" i="1" s="1"/>
  <c r="AQ467" i="1" s="1"/>
  <c r="AR467" i="1" s="1"/>
  <c r="AS467" i="1"/>
  <c r="AS298" i="1"/>
  <c r="AO298" i="1"/>
  <c r="AP298" i="1" s="1"/>
  <c r="AQ298" i="1" s="1"/>
  <c r="AR298" i="1" s="1"/>
  <c r="AO128" i="1"/>
  <c r="AP128" i="1" s="1"/>
  <c r="AQ128" i="1" s="1"/>
  <c r="AR128" i="1" s="1"/>
  <c r="AS128" i="1"/>
  <c r="AO420" i="1"/>
  <c r="AP420" i="1" s="1"/>
  <c r="AQ420" i="1" s="1"/>
  <c r="AR420" i="1" s="1"/>
  <c r="AS420" i="1"/>
  <c r="AO190" i="1"/>
  <c r="AP190" i="1" s="1"/>
  <c r="AQ190" i="1" s="1"/>
  <c r="AR190" i="1" s="1"/>
  <c r="AS190" i="1"/>
  <c r="AW582" i="1"/>
  <c r="AX582" i="1" s="1"/>
  <c r="AY582" i="1" s="1"/>
  <c r="AZ582" i="1" s="1"/>
  <c r="BA582" i="1" s="1"/>
  <c r="AO331" i="1"/>
  <c r="AP331" i="1" s="1"/>
  <c r="AQ331" i="1" s="1"/>
  <c r="AR331" i="1" s="1"/>
  <c r="AS331" i="1"/>
  <c r="AO447" i="1"/>
  <c r="AP447" i="1" s="1"/>
  <c r="AQ447" i="1" s="1"/>
  <c r="AR447" i="1" s="1"/>
  <c r="AS447" i="1"/>
  <c r="AO291" i="1"/>
  <c r="AP291" i="1" s="1"/>
  <c r="AQ291" i="1" s="1"/>
  <c r="AR291" i="1" s="1"/>
  <c r="AS291" i="1"/>
  <c r="AO442" i="1"/>
  <c r="AP442" i="1" s="1"/>
  <c r="AQ442" i="1" s="1"/>
  <c r="AR442" i="1" s="1"/>
  <c r="AS442" i="1"/>
  <c r="AO401" i="1"/>
  <c r="AP401" i="1" s="1"/>
  <c r="AQ401" i="1" s="1"/>
  <c r="AR401" i="1" s="1"/>
  <c r="AS401" i="1"/>
  <c r="AO619" i="1"/>
  <c r="AP619" i="1" s="1"/>
  <c r="AQ619" i="1" s="1"/>
  <c r="AR619" i="1" s="1"/>
  <c r="AS619" i="1"/>
  <c r="AO209" i="1"/>
  <c r="AP209" i="1" s="1"/>
  <c r="AQ209" i="1" s="1"/>
  <c r="AR209" i="1" s="1"/>
  <c r="AS209" i="1"/>
  <c r="AW247" i="1"/>
  <c r="AX247" i="1" s="1"/>
  <c r="AY247" i="1" s="1"/>
  <c r="AZ247" i="1" s="1"/>
  <c r="BA247" i="1" s="1"/>
  <c r="AW386" i="1"/>
  <c r="AX386" i="1" s="1"/>
  <c r="AY386" i="1" s="1"/>
  <c r="AZ386" i="1" s="1"/>
  <c r="BA386" i="1" s="1"/>
  <c r="BB654" i="1"/>
  <c r="BB261" i="1"/>
  <c r="AS204" i="1"/>
  <c r="AW485" i="1"/>
  <c r="AX485" i="1" s="1"/>
  <c r="AY485" i="1" s="1"/>
  <c r="AZ485" i="1" s="1"/>
  <c r="BA485" i="1" s="1"/>
  <c r="AW523" i="1"/>
  <c r="AW167" i="1"/>
  <c r="AX167" i="1" s="1"/>
  <c r="AY167" i="1" s="1"/>
  <c r="AS654" i="1"/>
  <c r="AW666" i="1"/>
  <c r="AX666" i="1" s="1"/>
  <c r="AY666" i="1" s="1"/>
  <c r="AZ666" i="1" s="1"/>
  <c r="BA666" i="1" s="1"/>
  <c r="AW232" i="1"/>
  <c r="AX232" i="1" s="1"/>
  <c r="AY232" i="1" s="1"/>
  <c r="AZ232" i="1" s="1"/>
  <c r="BA232" i="1" s="1"/>
  <c r="AS271" i="1"/>
  <c r="AW506" i="1"/>
  <c r="AX506" i="1" s="1"/>
  <c r="AS546" i="1"/>
  <c r="AS197" i="1"/>
  <c r="AX619" i="1"/>
  <c r="AY619" i="1" s="1"/>
  <c r="AZ619" i="1" s="1"/>
  <c r="BA619" i="1" s="1"/>
  <c r="BB619" i="1"/>
  <c r="AX211" i="1"/>
  <c r="AY211" i="1" s="1"/>
  <c r="AZ211" i="1" s="1"/>
  <c r="BA211" i="1" s="1"/>
  <c r="BB211" i="1"/>
  <c r="AS638" i="1"/>
  <c r="AO638" i="1"/>
  <c r="AP638" i="1" s="1"/>
  <c r="AQ638" i="1" s="1"/>
  <c r="AR638" i="1" s="1"/>
  <c r="AO84" i="1"/>
  <c r="AP84" i="1" s="1"/>
  <c r="AQ84" i="1" s="1"/>
  <c r="AR84" i="1" s="1"/>
  <c r="AS84" i="1"/>
  <c r="AW577" i="1"/>
  <c r="AX577" i="1" s="1"/>
  <c r="AY577" i="1" s="1"/>
  <c r="AZ577" i="1" s="1"/>
  <c r="BA577" i="1" s="1"/>
  <c r="BB152" i="1"/>
  <c r="AW184" i="1"/>
  <c r="AX184" i="1" s="1"/>
  <c r="AY184" i="1" s="1"/>
  <c r="AZ184" i="1" s="1"/>
  <c r="BA184" i="1" s="1"/>
  <c r="AO584" i="1"/>
  <c r="AP584" i="1" s="1"/>
  <c r="AQ584" i="1" s="1"/>
  <c r="AR584" i="1" s="1"/>
  <c r="AS584" i="1"/>
  <c r="AS172" i="1"/>
  <c r="AO172" i="1"/>
  <c r="AP172" i="1" s="1"/>
  <c r="AQ172" i="1" s="1"/>
  <c r="AR172" i="1" s="1"/>
  <c r="AS513" i="1"/>
  <c r="AO513" i="1"/>
  <c r="AP513" i="1" s="1"/>
  <c r="AQ513" i="1" s="1"/>
  <c r="AR513" i="1" s="1"/>
  <c r="AO347" i="1"/>
  <c r="AP347" i="1" s="1"/>
  <c r="AQ347" i="1" s="1"/>
  <c r="AR347" i="1" s="1"/>
  <c r="AS347" i="1"/>
  <c r="AO428" i="1"/>
  <c r="AP428" i="1" s="1"/>
  <c r="AQ428" i="1" s="1"/>
  <c r="AR428" i="1" s="1"/>
  <c r="AS428" i="1"/>
  <c r="AS502" i="1"/>
  <c r="AO502" i="1"/>
  <c r="AP502" i="1" s="1"/>
  <c r="AQ502" i="1" s="1"/>
  <c r="AR502" i="1" s="1"/>
  <c r="AO306" i="1"/>
  <c r="AP306" i="1" s="1"/>
  <c r="AQ306" i="1" s="1"/>
  <c r="AR306" i="1" s="1"/>
  <c r="AS306" i="1"/>
  <c r="BB88" i="1"/>
  <c r="AS201" i="1"/>
  <c r="BB350" i="1"/>
  <c r="BB488" i="1"/>
  <c r="AW516" i="1"/>
  <c r="AX516" i="1" s="1"/>
  <c r="AY516" i="1" s="1"/>
  <c r="AZ516" i="1" s="1"/>
  <c r="BA516" i="1" s="1"/>
  <c r="AW578" i="1"/>
  <c r="AX578" i="1" s="1"/>
  <c r="AY578" i="1" s="1"/>
  <c r="AZ578" i="1" s="1"/>
  <c r="BA578" i="1" s="1"/>
  <c r="AW599" i="1"/>
  <c r="AX599" i="1" s="1"/>
  <c r="AO119" i="1"/>
  <c r="AP119" i="1" s="1"/>
  <c r="AQ119" i="1" s="1"/>
  <c r="AR119" i="1" s="1"/>
  <c r="AS119" i="1"/>
  <c r="AO531" i="1"/>
  <c r="AP531" i="1" s="1"/>
  <c r="AQ531" i="1" s="1"/>
  <c r="AR531" i="1" s="1"/>
  <c r="AS531" i="1"/>
  <c r="AW97" i="1"/>
  <c r="AX97" i="1" s="1"/>
  <c r="AY97" i="1" s="1"/>
  <c r="AZ97" i="1" s="1"/>
  <c r="BA97" i="1" s="1"/>
  <c r="AW131" i="1"/>
  <c r="AX131" i="1" s="1"/>
  <c r="AY131" i="1" s="1"/>
  <c r="AZ131" i="1" s="1"/>
  <c r="BA131" i="1" s="1"/>
  <c r="AW558" i="1"/>
  <c r="AX558" i="1" s="1"/>
  <c r="AY558" i="1" s="1"/>
  <c r="AZ558" i="1" s="1"/>
  <c r="BA558" i="1" s="1"/>
  <c r="AO397" i="1"/>
  <c r="AP397" i="1" s="1"/>
  <c r="AQ397" i="1" s="1"/>
  <c r="AR397" i="1" s="1"/>
  <c r="AS397" i="1"/>
  <c r="AW474" i="1"/>
  <c r="AX474" i="1" s="1"/>
  <c r="AY474" i="1" s="1"/>
  <c r="AO102" i="1"/>
  <c r="AP102" i="1" s="1"/>
  <c r="AQ102" i="1" s="1"/>
  <c r="AR102" i="1" s="1"/>
  <c r="AS102" i="1"/>
  <c r="AW299" i="1"/>
  <c r="AX299" i="1" s="1"/>
  <c r="AY299" i="1" s="1"/>
  <c r="AZ299" i="1" s="1"/>
  <c r="BA299" i="1" s="1"/>
  <c r="AW554" i="1"/>
  <c r="AX554" i="1" s="1"/>
  <c r="AY554" i="1" s="1"/>
  <c r="AO315" i="1"/>
  <c r="AP315" i="1" s="1"/>
  <c r="AQ315" i="1" s="1"/>
  <c r="AR315" i="1" s="1"/>
  <c r="AS315" i="1"/>
  <c r="AS438" i="1"/>
  <c r="AS626" i="1"/>
  <c r="AW482" i="1"/>
  <c r="AX482" i="1" s="1"/>
  <c r="AY482" i="1" s="1"/>
  <c r="AZ482" i="1" s="1"/>
  <c r="BA482" i="1" s="1"/>
  <c r="AW201" i="1"/>
  <c r="AX201" i="1" s="1"/>
  <c r="AY201" i="1" s="1"/>
  <c r="AZ201" i="1" s="1"/>
  <c r="BA201" i="1" s="1"/>
  <c r="AW481" i="1"/>
  <c r="AX481" i="1" s="1"/>
  <c r="AY481" i="1" s="1"/>
  <c r="AZ481" i="1" s="1"/>
  <c r="BA481" i="1" s="1"/>
  <c r="AW130" i="1"/>
  <c r="AX130" i="1" s="1"/>
  <c r="AY130" i="1" s="1"/>
  <c r="AZ130" i="1" s="1"/>
  <c r="BA130" i="1" s="1"/>
  <c r="AO394" i="1"/>
  <c r="AP394" i="1" s="1"/>
  <c r="AQ394" i="1" s="1"/>
  <c r="AR394" i="1" s="1"/>
  <c r="AS394" i="1"/>
  <c r="AS625" i="1"/>
  <c r="AO625" i="1"/>
  <c r="AP625" i="1" s="1"/>
  <c r="AQ625" i="1" s="1"/>
  <c r="AR625" i="1" s="1"/>
  <c r="AO175" i="1"/>
  <c r="AP175" i="1" s="1"/>
  <c r="AQ175" i="1" s="1"/>
  <c r="AR175" i="1" s="1"/>
  <c r="AS175" i="1"/>
  <c r="AW315" i="1"/>
  <c r="AX315" i="1" s="1"/>
  <c r="AY315" i="1" s="1"/>
  <c r="AZ315" i="1" s="1"/>
  <c r="BA315" i="1" s="1"/>
  <c r="AO399" i="1"/>
  <c r="AP399" i="1" s="1"/>
  <c r="AQ399" i="1" s="1"/>
  <c r="AR399" i="1" s="1"/>
  <c r="AS399" i="1"/>
  <c r="AW426" i="1"/>
  <c r="AX426" i="1" s="1"/>
  <c r="AY426" i="1" s="1"/>
  <c r="AZ426" i="1" s="1"/>
  <c r="BA426" i="1" s="1"/>
  <c r="BB86" i="1"/>
  <c r="AZ561" i="1" l="1"/>
  <c r="BA561" i="1" s="1"/>
  <c r="AS100" i="1"/>
  <c r="AZ603" i="1"/>
  <c r="BA603" i="1" s="1"/>
  <c r="AS480" i="1"/>
  <c r="AS422" i="1"/>
  <c r="AS517" i="1"/>
  <c r="AW575" i="1"/>
  <c r="AX575" i="1" s="1"/>
  <c r="AY575" i="1" s="1"/>
  <c r="AZ396" i="1"/>
  <c r="BA396" i="1" s="1"/>
  <c r="AW431" i="1"/>
  <c r="BB431" i="1" s="1"/>
  <c r="AY256" i="1"/>
  <c r="AZ256" i="1" s="1"/>
  <c r="BA256" i="1" s="1"/>
  <c r="BB610" i="1"/>
  <c r="AY529" i="1"/>
  <c r="AS157" i="1"/>
  <c r="AW287" i="1"/>
  <c r="AX260" i="1"/>
  <c r="AY260" i="1" s="1"/>
  <c r="AZ260" i="1" s="1"/>
  <c r="BA260" i="1" s="1"/>
  <c r="BB260" i="1"/>
  <c r="BB285" i="1"/>
  <c r="AW380" i="1"/>
  <c r="AX380" i="1" s="1"/>
  <c r="AY380" i="1" s="1"/>
  <c r="AZ380" i="1" s="1"/>
  <c r="BA380" i="1" s="1"/>
  <c r="AY216" i="1"/>
  <c r="AZ216" i="1" s="1"/>
  <c r="BA216" i="1" s="1"/>
  <c r="AO587" i="1"/>
  <c r="AP587" i="1" s="1"/>
  <c r="AQ587" i="1" s="1"/>
  <c r="AR587" i="1" s="1"/>
  <c r="AW598" i="1"/>
  <c r="AX598" i="1" s="1"/>
  <c r="AY598" i="1" s="1"/>
  <c r="AZ598" i="1" s="1"/>
  <c r="BA598" i="1" s="1"/>
  <c r="AW205" i="1"/>
  <c r="AX205" i="1" s="1"/>
  <c r="AY205" i="1" s="1"/>
  <c r="AZ205" i="1" s="1"/>
  <c r="BA205" i="1" s="1"/>
  <c r="AZ498" i="1"/>
  <c r="BA498" i="1" s="1"/>
  <c r="AW175" i="1"/>
  <c r="AX175" i="1" s="1"/>
  <c r="AY175" i="1" s="1"/>
  <c r="AZ175" i="1" s="1"/>
  <c r="BA175" i="1" s="1"/>
  <c r="BB356" i="1"/>
  <c r="AZ395" i="1"/>
  <c r="BA395" i="1" s="1"/>
  <c r="BB140" i="1"/>
  <c r="BB403" i="1"/>
  <c r="BB613" i="1"/>
  <c r="BB576" i="1"/>
  <c r="BB240" i="1"/>
  <c r="AZ575" i="1"/>
  <c r="BA575" i="1" s="1"/>
  <c r="AW384" i="1"/>
  <c r="AW436" i="1"/>
  <c r="AX436" i="1" s="1"/>
  <c r="AY436" i="1" s="1"/>
  <c r="AZ436" i="1" s="1"/>
  <c r="BA436" i="1" s="1"/>
  <c r="AW165" i="1"/>
  <c r="AX165" i="1" s="1"/>
  <c r="AY165" i="1" s="1"/>
  <c r="AZ165" i="1" s="1"/>
  <c r="BA165" i="1" s="1"/>
  <c r="AS575" i="1"/>
  <c r="AW144" i="1"/>
  <c r="AX144" i="1" s="1"/>
  <c r="BB446" i="1"/>
  <c r="AO663" i="1"/>
  <c r="AP663" i="1" s="1"/>
  <c r="AQ663" i="1" s="1"/>
  <c r="AR663" i="1" s="1"/>
  <c r="AZ170" i="1"/>
  <c r="BA170" i="1" s="1"/>
  <c r="AO229" i="1"/>
  <c r="AP229" i="1" s="1"/>
  <c r="AQ229" i="1" s="1"/>
  <c r="AR229" i="1" s="1"/>
  <c r="AY593" i="1"/>
  <c r="AZ593" i="1" s="1"/>
  <c r="BA593" i="1" s="1"/>
  <c r="AO130" i="1"/>
  <c r="AP130" i="1" s="1"/>
  <c r="AQ130" i="1" s="1"/>
  <c r="AR130" i="1" s="1"/>
  <c r="BB311" i="1"/>
  <c r="AY339" i="1"/>
  <c r="AZ339" i="1" s="1"/>
  <c r="BA339" i="1" s="1"/>
  <c r="AS471" i="1"/>
  <c r="BB256" i="1"/>
  <c r="AO621" i="1"/>
  <c r="AP621" i="1" s="1"/>
  <c r="AQ621" i="1" s="1"/>
  <c r="AR621" i="1" s="1"/>
  <c r="AO540" i="1"/>
  <c r="AP540" i="1" s="1"/>
  <c r="AQ540" i="1" s="1"/>
  <c r="AR540" i="1" s="1"/>
  <c r="AS302" i="1"/>
  <c r="AX293" i="1"/>
  <c r="AY293" i="1" s="1"/>
  <c r="AZ293" i="1" s="1"/>
  <c r="BA293" i="1" s="1"/>
  <c r="BB284" i="1"/>
  <c r="AZ618" i="1"/>
  <c r="BA618" i="1" s="1"/>
  <c r="AS183" i="1"/>
  <c r="AS262" i="1"/>
  <c r="AO423" i="1"/>
  <c r="AP423" i="1" s="1"/>
  <c r="AQ423" i="1" s="1"/>
  <c r="AR423" i="1" s="1"/>
  <c r="BB437" i="1"/>
  <c r="AO393" i="1"/>
  <c r="AP393" i="1" s="1"/>
  <c r="AQ393" i="1" s="1"/>
  <c r="AR393" i="1" s="1"/>
  <c r="AW518" i="1"/>
  <c r="AX518" i="1" s="1"/>
  <c r="AY518" i="1" s="1"/>
  <c r="AZ518" i="1" s="1"/>
  <c r="BA518" i="1" s="1"/>
  <c r="AW615" i="1"/>
  <c r="AX615" i="1" s="1"/>
  <c r="AY615" i="1" s="1"/>
  <c r="AZ615" i="1" s="1"/>
  <c r="BA615" i="1" s="1"/>
  <c r="AW203" i="1"/>
  <c r="AX203" i="1" s="1"/>
  <c r="AY203" i="1" s="1"/>
  <c r="AZ203" i="1" s="1"/>
  <c r="BA203" i="1" s="1"/>
  <c r="AW110" i="1"/>
  <c r="AX110" i="1" s="1"/>
  <c r="AY588" i="1"/>
  <c r="AZ588" i="1" s="1"/>
  <c r="BA588" i="1" s="1"/>
  <c r="AW553" i="1"/>
  <c r="AX553" i="1" s="1"/>
  <c r="AY553" i="1" s="1"/>
  <c r="AZ553" i="1" s="1"/>
  <c r="BA553" i="1" s="1"/>
  <c r="AW657" i="1"/>
  <c r="AX657" i="1" s="1"/>
  <c r="AY657" i="1" s="1"/>
  <c r="AZ657" i="1" s="1"/>
  <c r="BA657" i="1" s="1"/>
  <c r="BB498" i="1"/>
  <c r="AO431" i="1"/>
  <c r="AP431" i="1" s="1"/>
  <c r="AQ431" i="1" s="1"/>
  <c r="AR431" i="1" s="1"/>
  <c r="AZ263" i="1"/>
  <c r="BA263" i="1" s="1"/>
  <c r="AW433" i="1"/>
  <c r="AX433" i="1" s="1"/>
  <c r="AY433" i="1" s="1"/>
  <c r="AZ433" i="1" s="1"/>
  <c r="BA433" i="1" s="1"/>
  <c r="AW220" i="1"/>
  <c r="AX220" i="1" s="1"/>
  <c r="AY220" i="1" s="1"/>
  <c r="AZ220" i="1" s="1"/>
  <c r="BA220" i="1" s="1"/>
  <c r="AW341" i="1"/>
  <c r="AX341" i="1" s="1"/>
  <c r="AY341" i="1" s="1"/>
  <c r="AZ341" i="1" s="1"/>
  <c r="BA341" i="1" s="1"/>
  <c r="AW616" i="1"/>
  <c r="BB616" i="1" s="1"/>
  <c r="AW241" i="1"/>
  <c r="AX241" i="1" s="1"/>
  <c r="AY241" i="1" s="1"/>
  <c r="AZ241" i="1" s="1"/>
  <c r="BA241" i="1" s="1"/>
  <c r="AO335" i="1"/>
  <c r="AP335" i="1" s="1"/>
  <c r="AQ335" i="1" s="1"/>
  <c r="AR335" i="1" s="1"/>
  <c r="AS373" i="1"/>
  <c r="AS105" i="1"/>
  <c r="BB414" i="1"/>
  <c r="AO80" i="1"/>
  <c r="AP80" i="1" s="1"/>
  <c r="AQ80" i="1" s="1"/>
  <c r="AR80" i="1" s="1"/>
  <c r="AS395" i="1"/>
  <c r="AZ234" i="1"/>
  <c r="BA234" i="1" s="1"/>
  <c r="AZ317" i="1"/>
  <c r="BA317" i="1" s="1"/>
  <c r="AS222" i="1"/>
  <c r="BB104" i="1"/>
  <c r="AZ529" i="1"/>
  <c r="BA529" i="1" s="1"/>
  <c r="AZ218" i="1"/>
  <c r="BA218" i="1" s="1"/>
  <c r="AS549" i="1"/>
  <c r="AS623" i="1"/>
  <c r="AS106" i="1"/>
  <c r="AZ610" i="1"/>
  <c r="BA610" i="1" s="1"/>
  <c r="AS469" i="1"/>
  <c r="AW182" i="1"/>
  <c r="AX182" i="1" s="1"/>
  <c r="AY182" i="1" s="1"/>
  <c r="AZ182" i="1" s="1"/>
  <c r="BA182" i="1" s="1"/>
  <c r="AS427" i="1"/>
  <c r="BB384" i="1"/>
  <c r="AZ632" i="1"/>
  <c r="BA632" i="1" s="1"/>
  <c r="AS409" i="1"/>
  <c r="AS309" i="1"/>
  <c r="AZ356" i="1"/>
  <c r="BA356" i="1" s="1"/>
  <c r="AW301" i="1"/>
  <c r="BB301" i="1" s="1"/>
  <c r="AY586" i="1"/>
  <c r="AZ586" i="1" s="1"/>
  <c r="BA586" i="1" s="1"/>
  <c r="AW638" i="1"/>
  <c r="AX638" i="1" s="1"/>
  <c r="AY638" i="1" s="1"/>
  <c r="AZ638" i="1" s="1"/>
  <c r="BA638" i="1" s="1"/>
  <c r="AW125" i="1"/>
  <c r="AX125" i="1" s="1"/>
  <c r="AY125" i="1" s="1"/>
  <c r="AZ125" i="1" s="1"/>
  <c r="BA125" i="1" s="1"/>
  <c r="AY255" i="1"/>
  <c r="AZ255" i="1" s="1"/>
  <c r="BA255" i="1" s="1"/>
  <c r="AW405" i="1"/>
  <c r="AX405" i="1" s="1"/>
  <c r="AY405" i="1" s="1"/>
  <c r="AZ405" i="1" s="1"/>
  <c r="BA405" i="1" s="1"/>
  <c r="AX565" i="1"/>
  <c r="AY565" i="1" s="1"/>
  <c r="AZ565" i="1" s="1"/>
  <c r="BA565" i="1" s="1"/>
  <c r="BB565" i="1"/>
  <c r="AY506" i="1"/>
  <c r="AZ506" i="1" s="1"/>
  <c r="BA506" i="1" s="1"/>
  <c r="BB343" i="1"/>
  <c r="AZ206" i="1"/>
  <c r="BA206" i="1" s="1"/>
  <c r="AW355" i="1"/>
  <c r="AX355" i="1" s="1"/>
  <c r="AY355" i="1" s="1"/>
  <c r="AZ355" i="1" s="1"/>
  <c r="BA355" i="1" s="1"/>
  <c r="AO411" i="1"/>
  <c r="AP411" i="1" s="1"/>
  <c r="AQ411" i="1" s="1"/>
  <c r="AR411" i="1" s="1"/>
  <c r="AS436" i="1"/>
  <c r="AS206" i="1"/>
  <c r="AZ246" i="1"/>
  <c r="BA246" i="1" s="1"/>
  <c r="AS319" i="1"/>
  <c r="AY397" i="1"/>
  <c r="AZ397" i="1" s="1"/>
  <c r="BA397" i="1" s="1"/>
  <c r="BB519" i="1"/>
  <c r="AS494" i="1"/>
  <c r="AZ371" i="1"/>
  <c r="BA371" i="1" s="1"/>
  <c r="AY590" i="1"/>
  <c r="AZ590" i="1" s="1"/>
  <c r="BA590" i="1" s="1"/>
  <c r="AW631" i="1"/>
  <c r="BB631" i="1" s="1"/>
  <c r="AW127" i="1"/>
  <c r="AX127" i="1" s="1"/>
  <c r="AY127" i="1" s="1"/>
  <c r="AZ127" i="1" s="1"/>
  <c r="BA127" i="1" s="1"/>
  <c r="AZ376" i="1"/>
  <c r="BA376" i="1" s="1"/>
  <c r="AW429" i="1"/>
  <c r="AX429" i="1" s="1"/>
  <c r="AY429" i="1" s="1"/>
  <c r="AZ429" i="1" s="1"/>
  <c r="BA429" i="1" s="1"/>
  <c r="AW500" i="1"/>
  <c r="AX500" i="1" s="1"/>
  <c r="AY500" i="1" s="1"/>
  <c r="AZ500" i="1" s="1"/>
  <c r="BA500" i="1" s="1"/>
  <c r="AW636" i="1"/>
  <c r="AX636" i="1" s="1"/>
  <c r="AY636" i="1" s="1"/>
  <c r="AZ636" i="1" s="1"/>
  <c r="BA636" i="1" s="1"/>
  <c r="AW401" i="1"/>
  <c r="AX401" i="1" s="1"/>
  <c r="AY401" i="1" s="1"/>
  <c r="AZ401" i="1" s="1"/>
  <c r="BA401" i="1" s="1"/>
  <c r="AW162" i="1"/>
  <c r="AX162" i="1" s="1"/>
  <c r="AY162" i="1" s="1"/>
  <c r="AZ162" i="1" s="1"/>
  <c r="BA162" i="1" s="1"/>
  <c r="AY437" i="1"/>
  <c r="AZ437" i="1" s="1"/>
  <c r="BA437" i="1" s="1"/>
  <c r="AZ660" i="1"/>
  <c r="BA660" i="1" s="1"/>
  <c r="AY332" i="1"/>
  <c r="AZ332" i="1" s="1"/>
  <c r="BA332" i="1" s="1"/>
  <c r="BB271" i="1"/>
  <c r="AS568" i="1"/>
  <c r="AX596" i="1"/>
  <c r="AY596" i="1" s="1"/>
  <c r="AZ596" i="1" s="1"/>
  <c r="BA596" i="1" s="1"/>
  <c r="BB290" i="1"/>
  <c r="AS323" i="1"/>
  <c r="AZ450" i="1"/>
  <c r="BA450" i="1" s="1"/>
  <c r="AZ348" i="1"/>
  <c r="BA348" i="1" s="1"/>
  <c r="AY90" i="1"/>
  <c r="AZ90" i="1" s="1"/>
  <c r="BA90" i="1" s="1"/>
  <c r="AZ449" i="1"/>
  <c r="BA449" i="1" s="1"/>
  <c r="BB332" i="1"/>
  <c r="AS475" i="1"/>
  <c r="AS454" i="1"/>
  <c r="AZ223" i="1"/>
  <c r="BA223" i="1" s="1"/>
  <c r="AS641" i="1"/>
  <c r="AS661" i="1"/>
  <c r="AW230" i="1"/>
  <c r="AX230" i="1" s="1"/>
  <c r="AY230" i="1" s="1"/>
  <c r="AZ230" i="1" s="1"/>
  <c r="BA230" i="1" s="1"/>
  <c r="AW425" i="1"/>
  <c r="AX425" i="1" s="1"/>
  <c r="AY425" i="1" s="1"/>
  <c r="AZ425" i="1" s="1"/>
  <c r="BA425" i="1" s="1"/>
  <c r="AS410" i="1"/>
  <c r="BB111" i="1"/>
  <c r="AZ493" i="1"/>
  <c r="BA493" i="1" s="1"/>
  <c r="AZ474" i="1"/>
  <c r="BA474" i="1" s="1"/>
  <c r="AS435" i="1"/>
  <c r="AS665" i="1"/>
  <c r="AS421" i="1"/>
  <c r="AS338" i="1"/>
  <c r="AX257" i="1"/>
  <c r="AY257" i="1" s="1"/>
  <c r="AZ257" i="1" s="1"/>
  <c r="BA257" i="1" s="1"/>
  <c r="BB432" i="1"/>
  <c r="BB452" i="1"/>
  <c r="AZ129" i="1"/>
  <c r="BA129" i="1" s="1"/>
  <c r="AS371" i="1"/>
  <c r="AS392" i="1"/>
  <c r="AZ499" i="1"/>
  <c r="BA499" i="1" s="1"/>
  <c r="AO217" i="1"/>
  <c r="AP217" i="1" s="1"/>
  <c r="AQ217" i="1" s="1"/>
  <c r="AR217" i="1" s="1"/>
  <c r="AO537" i="1"/>
  <c r="AP537" i="1" s="1"/>
  <c r="AQ537" i="1" s="1"/>
  <c r="AR537" i="1" s="1"/>
  <c r="AY270" i="1"/>
  <c r="AZ270" i="1" s="1"/>
  <c r="BA270" i="1" s="1"/>
  <c r="F9" i="1"/>
  <c r="DR3" i="1" s="1"/>
  <c r="AW522" i="1"/>
  <c r="AX522" i="1" s="1"/>
  <c r="AY522" i="1" s="1"/>
  <c r="AZ522" i="1" s="1"/>
  <c r="BA522" i="1" s="1"/>
  <c r="F11" i="1"/>
  <c r="DT3" i="1" s="1"/>
  <c r="AW640" i="1"/>
  <c r="AX640" i="1" s="1"/>
  <c r="AY640" i="1" s="1"/>
  <c r="AZ640" i="1" s="1"/>
  <c r="BA640" i="1" s="1"/>
  <c r="AS159" i="1"/>
  <c r="AW124" i="1"/>
  <c r="AX124" i="1" s="1"/>
  <c r="AY124" i="1" s="1"/>
  <c r="AZ124" i="1" s="1"/>
  <c r="BA124" i="1" s="1"/>
  <c r="AO474" i="1"/>
  <c r="AP474" i="1" s="1"/>
  <c r="AQ474" i="1" s="1"/>
  <c r="AR474" i="1" s="1"/>
  <c r="BB586" i="1"/>
  <c r="BB330" i="1"/>
  <c r="BB338" i="1"/>
  <c r="BB174" i="1"/>
  <c r="AS272" i="1"/>
  <c r="AZ169" i="1"/>
  <c r="BA169" i="1" s="1"/>
  <c r="AS498" i="1"/>
  <c r="AS472" i="1"/>
  <c r="AS647" i="1"/>
  <c r="AS458" i="1"/>
  <c r="AY630" i="1"/>
  <c r="AZ630" i="1" s="1"/>
  <c r="BA630" i="1" s="1"/>
  <c r="AS83" i="1"/>
  <c r="AW381" i="1"/>
  <c r="AX381" i="1" s="1"/>
  <c r="AY381" i="1" s="1"/>
  <c r="AZ381" i="1" s="1"/>
  <c r="BA381" i="1" s="1"/>
  <c r="AW550" i="1"/>
  <c r="AX550" i="1" s="1"/>
  <c r="AY550" i="1" s="1"/>
  <c r="AZ550" i="1" s="1"/>
  <c r="BA550" i="1" s="1"/>
  <c r="AW204" i="1"/>
  <c r="AX204" i="1" s="1"/>
  <c r="AY204" i="1" s="1"/>
  <c r="AZ204" i="1" s="1"/>
  <c r="BA204" i="1" s="1"/>
  <c r="AX177" i="1"/>
  <c r="AY177" i="1" s="1"/>
  <c r="AZ177" i="1" s="1"/>
  <c r="BA177" i="1" s="1"/>
  <c r="BB177" i="1"/>
  <c r="AX413" i="1"/>
  <c r="AY413" i="1" s="1"/>
  <c r="AZ413" i="1" s="1"/>
  <c r="BA413" i="1" s="1"/>
  <c r="BB413" i="1"/>
  <c r="BB396" i="1"/>
  <c r="BB533" i="1"/>
  <c r="AS559" i="1"/>
  <c r="BB145" i="1"/>
  <c r="AS361" i="1"/>
  <c r="AS255" i="1"/>
  <c r="AY110" i="1"/>
  <c r="AZ110" i="1" s="1"/>
  <c r="BA110" i="1" s="1"/>
  <c r="AZ167" i="1"/>
  <c r="BA167" i="1" s="1"/>
  <c r="AO650" i="1"/>
  <c r="AP650" i="1" s="1"/>
  <c r="AQ650" i="1" s="1"/>
  <c r="AR650" i="1" s="1"/>
  <c r="BB423" i="1"/>
  <c r="AS176" i="1"/>
  <c r="AS349" i="1"/>
  <c r="AS324" i="1"/>
  <c r="AZ521" i="1"/>
  <c r="BA521" i="1" s="1"/>
  <c r="AZ105" i="1"/>
  <c r="BA105" i="1" s="1"/>
  <c r="AZ471" i="1"/>
  <c r="BA471" i="1" s="1"/>
  <c r="AZ239" i="1"/>
  <c r="BA239" i="1" s="1"/>
  <c r="AS376" i="1"/>
  <c r="AZ116" i="1"/>
  <c r="BA116" i="1" s="1"/>
  <c r="AW106" i="1"/>
  <c r="AX106" i="1" s="1"/>
  <c r="AY106" i="1" s="1"/>
  <c r="AZ106" i="1" s="1"/>
  <c r="BA106" i="1" s="1"/>
  <c r="AW531" i="1"/>
  <c r="AX531" i="1" s="1"/>
  <c r="AY531" i="1" s="1"/>
  <c r="AZ531" i="1" s="1"/>
  <c r="BA531" i="1" s="1"/>
  <c r="AS413" i="1"/>
  <c r="AW314" i="1"/>
  <c r="AX314" i="1" s="1"/>
  <c r="AY314" i="1" s="1"/>
  <c r="AZ314" i="1" s="1"/>
  <c r="BA314" i="1" s="1"/>
  <c r="AW333" i="1"/>
  <c r="AX333" i="1" s="1"/>
  <c r="AY333" i="1" s="1"/>
  <c r="AZ333" i="1" s="1"/>
  <c r="BA333" i="1" s="1"/>
  <c r="AZ243" i="1"/>
  <c r="BA243" i="1" s="1"/>
  <c r="BB409" i="1"/>
  <c r="AO96" i="1"/>
  <c r="AP96" i="1" s="1"/>
  <c r="AQ96" i="1" s="1"/>
  <c r="AR96" i="1" s="1"/>
  <c r="AY599" i="1"/>
  <c r="AZ599" i="1" s="1"/>
  <c r="BA599" i="1" s="1"/>
  <c r="AO191" i="1"/>
  <c r="AP191" i="1" s="1"/>
  <c r="AQ191" i="1" s="1"/>
  <c r="AR191" i="1" s="1"/>
  <c r="AO366" i="1"/>
  <c r="AP366" i="1" s="1"/>
  <c r="AQ366" i="1" s="1"/>
  <c r="AR366" i="1" s="1"/>
  <c r="AS632" i="1"/>
  <c r="AS343" i="1"/>
  <c r="AY388" i="1"/>
  <c r="AZ388" i="1" s="1"/>
  <c r="BA388" i="1" s="1"/>
  <c r="AZ412" i="1"/>
  <c r="BA412" i="1" s="1"/>
  <c r="AO455" i="1"/>
  <c r="AP455" i="1" s="1"/>
  <c r="AQ455" i="1" s="1"/>
  <c r="AR455" i="1" s="1"/>
  <c r="BB588" i="1"/>
  <c r="AZ269" i="1"/>
  <c r="BA269" i="1" s="1"/>
  <c r="AZ453" i="1"/>
  <c r="BA453" i="1" s="1"/>
  <c r="AZ233" i="1"/>
  <c r="BA233" i="1" s="1"/>
  <c r="AS519" i="1"/>
  <c r="AZ295" i="1"/>
  <c r="BA295" i="1" s="1"/>
  <c r="AS212" i="1"/>
  <c r="AS550" i="1"/>
  <c r="AW538" i="1"/>
  <c r="BB538" i="1" s="1"/>
  <c r="AW151" i="1"/>
  <c r="AX151" i="1" s="1"/>
  <c r="AY151" i="1" s="1"/>
  <c r="AZ151" i="1" s="1"/>
  <c r="BA151" i="1" s="1"/>
  <c r="F10" i="1"/>
  <c r="DS3" i="1" s="1"/>
  <c r="AY258" i="1"/>
  <c r="AZ258" i="1" s="1"/>
  <c r="BA258" i="1" s="1"/>
  <c r="AZ554" i="1"/>
  <c r="BA554" i="1" s="1"/>
  <c r="BB459" i="1"/>
  <c r="BB480" i="1"/>
  <c r="AS92" i="1"/>
  <c r="AZ87" i="1"/>
  <c r="BA87" i="1" s="1"/>
  <c r="AY567" i="1"/>
  <c r="AZ567" i="1" s="1"/>
  <c r="BA567" i="1" s="1"/>
  <c r="AS523" i="1"/>
  <c r="AS389" i="1"/>
  <c r="AY505" i="1"/>
  <c r="AZ505" i="1" s="1"/>
  <c r="BA505" i="1" s="1"/>
  <c r="BB640" i="1"/>
  <c r="AO379" i="1"/>
  <c r="AP379" i="1" s="1"/>
  <c r="AQ379" i="1" s="1"/>
  <c r="AR379" i="1" s="1"/>
  <c r="BB391" i="1"/>
  <c r="AX126" i="1"/>
  <c r="AY126" i="1" s="1"/>
  <c r="AZ126" i="1" s="1"/>
  <c r="BA126" i="1" s="1"/>
  <c r="BB306" i="1"/>
  <c r="AS283" i="1"/>
  <c r="AZ189" i="1"/>
  <c r="BA189" i="1" s="1"/>
  <c r="AS490" i="1"/>
  <c r="AW468" i="1"/>
  <c r="BB468" i="1" s="1"/>
  <c r="AW228" i="1"/>
  <c r="BB228" i="1" s="1"/>
  <c r="AW392" i="1"/>
  <c r="AX392" i="1" s="1"/>
  <c r="AY392" i="1" s="1"/>
  <c r="AZ392" i="1" s="1"/>
  <c r="BA392" i="1" s="1"/>
  <c r="AW112" i="1"/>
  <c r="AX112" i="1" s="1"/>
  <c r="AY112" i="1" s="1"/>
  <c r="AZ112" i="1" s="1"/>
  <c r="BA112" i="1" s="1"/>
  <c r="AO184" i="1"/>
  <c r="AP184" i="1" s="1"/>
  <c r="AQ184" i="1" s="1"/>
  <c r="AR184" i="1" s="1"/>
  <c r="BB331" i="1"/>
  <c r="AY134" i="1"/>
  <c r="AZ134" i="1" s="1"/>
  <c r="BA134" i="1" s="1"/>
  <c r="AZ94" i="1"/>
  <c r="BA94" i="1" s="1"/>
  <c r="AW190" i="1"/>
  <c r="AX190" i="1" s="1"/>
  <c r="AY190" i="1" s="1"/>
  <c r="AZ190" i="1" s="1"/>
  <c r="BA190" i="1" s="1"/>
  <c r="F13" i="1"/>
  <c r="DV3" i="1" s="1"/>
  <c r="AX362" i="1"/>
  <c r="AY362" i="1" s="1"/>
  <c r="AZ362" i="1" s="1"/>
  <c r="BA362" i="1" s="1"/>
  <c r="BB362" i="1"/>
  <c r="BB590" i="1"/>
  <c r="F12" i="1"/>
  <c r="DU3" i="1" s="1"/>
  <c r="AS362" i="1"/>
  <c r="AO362" i="1"/>
  <c r="AP362" i="1" s="1"/>
  <c r="AQ362" i="1" s="1"/>
  <c r="AR362" i="1" s="1"/>
  <c r="F15" i="1"/>
  <c r="DX3" i="1" s="1"/>
  <c r="AZ329" i="1"/>
  <c r="BA329" i="1" s="1"/>
  <c r="BB250" i="1"/>
  <c r="AZ283" i="1"/>
  <c r="BA283" i="1" s="1"/>
  <c r="AY451" i="1"/>
  <c r="AZ451" i="1" s="1"/>
  <c r="BA451" i="1" s="1"/>
  <c r="AS318" i="1"/>
  <c r="AS304" i="1"/>
  <c r="F14" i="1"/>
  <c r="DW3" i="1" s="1"/>
  <c r="AZ304" i="1"/>
  <c r="BA304" i="1" s="1"/>
  <c r="AO308" i="1"/>
  <c r="AP308" i="1" s="1"/>
  <c r="AQ308" i="1" s="1"/>
  <c r="AR308" i="1" s="1"/>
  <c r="AS308" i="1"/>
  <c r="AX571" i="1"/>
  <c r="AY571" i="1" s="1"/>
  <c r="AZ571" i="1" s="1"/>
  <c r="BA571" i="1" s="1"/>
  <c r="BB206" i="1"/>
  <c r="AW625" i="1"/>
  <c r="AX625" i="1" s="1"/>
  <c r="AY625" i="1" s="1"/>
  <c r="AZ625" i="1" s="1"/>
  <c r="BA625" i="1" s="1"/>
  <c r="AW208" i="1"/>
  <c r="BB205" i="1"/>
  <c r="AS139" i="1"/>
  <c r="BB587" i="1"/>
  <c r="AY251" i="1"/>
  <c r="AZ251" i="1" s="1"/>
  <c r="BA251" i="1" s="1"/>
  <c r="BB258" i="1"/>
  <c r="AS418" i="1"/>
  <c r="AZ352" i="1"/>
  <c r="BA352" i="1" s="1"/>
  <c r="AY354" i="1"/>
  <c r="AZ354" i="1" s="1"/>
  <c r="BA354" i="1" s="1"/>
  <c r="AX374" i="1"/>
  <c r="AY374" i="1" s="1"/>
  <c r="AZ374" i="1" s="1"/>
  <c r="BA374" i="1" s="1"/>
  <c r="BB374" i="1"/>
  <c r="AX141" i="1"/>
  <c r="AY141" i="1" s="1"/>
  <c r="AZ141" i="1" s="1"/>
  <c r="BA141" i="1" s="1"/>
  <c r="BB141" i="1"/>
  <c r="AX664" i="1"/>
  <c r="AY664" i="1" s="1"/>
  <c r="AZ664" i="1" s="1"/>
  <c r="BA664" i="1" s="1"/>
  <c r="BB664" i="1"/>
  <c r="AX138" i="1"/>
  <c r="AY138" i="1" s="1"/>
  <c r="AZ138" i="1" s="1"/>
  <c r="BA138" i="1" s="1"/>
  <c r="BB138" i="1"/>
  <c r="AX418" i="1"/>
  <c r="AY418" i="1" s="1"/>
  <c r="AZ418" i="1" s="1"/>
  <c r="BA418" i="1" s="1"/>
  <c r="BB418" i="1"/>
  <c r="AO664" i="1"/>
  <c r="AP664" i="1" s="1"/>
  <c r="AQ664" i="1" s="1"/>
  <c r="AR664" i="1" s="1"/>
  <c r="AS664" i="1"/>
  <c r="BB318" i="1"/>
  <c r="AO316" i="1"/>
  <c r="AP316" i="1" s="1"/>
  <c r="AQ316" i="1" s="1"/>
  <c r="AR316" i="1" s="1"/>
  <c r="BB635" i="1"/>
  <c r="AW434" i="1"/>
  <c r="BB434" i="1" s="1"/>
  <c r="BB436" i="1"/>
  <c r="AO527" i="1"/>
  <c r="AP527" i="1" s="1"/>
  <c r="AQ527" i="1" s="1"/>
  <c r="AR527" i="1" s="1"/>
  <c r="AS527" i="1"/>
  <c r="BB605" i="1"/>
  <c r="BB220" i="1"/>
  <c r="AY539" i="1"/>
  <c r="AZ539" i="1" s="1"/>
  <c r="BA539" i="1" s="1"/>
  <c r="BB505" i="1"/>
  <c r="BB272" i="1"/>
  <c r="AY144" i="1"/>
  <c r="AZ144" i="1" s="1"/>
  <c r="BA144" i="1" s="1"/>
  <c r="AZ142" i="1"/>
  <c r="BA142" i="1" s="1"/>
  <c r="BB653" i="1"/>
  <c r="BB647" i="1"/>
  <c r="BB283" i="1"/>
  <c r="BB421" i="1"/>
  <c r="AY181" i="1"/>
  <c r="AZ181" i="1" s="1"/>
  <c r="BA181" i="1" s="1"/>
  <c r="AY252" i="1"/>
  <c r="AZ252" i="1" s="1"/>
  <c r="BA252" i="1" s="1"/>
  <c r="AZ614" i="1"/>
  <c r="BA614" i="1" s="1"/>
  <c r="AY84" i="1"/>
  <c r="AZ84" i="1" s="1"/>
  <c r="BA84" i="1" s="1"/>
  <c r="AZ372" i="1"/>
  <c r="BA372" i="1" s="1"/>
  <c r="AS570" i="1"/>
  <c r="AW579" i="1"/>
  <c r="AX579" i="1" s="1"/>
  <c r="AY579" i="1" s="1"/>
  <c r="AZ579" i="1" s="1"/>
  <c r="BA579" i="1" s="1"/>
  <c r="AW623" i="1"/>
  <c r="AX623" i="1" s="1"/>
  <c r="AY623" i="1" s="1"/>
  <c r="AZ623" i="1" s="1"/>
  <c r="BA623" i="1" s="1"/>
  <c r="AO205" i="1"/>
  <c r="AP205" i="1" s="1"/>
  <c r="AQ205" i="1" s="1"/>
  <c r="AR205" i="1" s="1"/>
  <c r="AS205" i="1"/>
  <c r="AO563" i="1"/>
  <c r="AP563" i="1" s="1"/>
  <c r="AQ563" i="1" s="1"/>
  <c r="AR563" i="1" s="1"/>
  <c r="AS563" i="1"/>
  <c r="BB304" i="1"/>
  <c r="AZ494" i="1"/>
  <c r="BA494" i="1" s="1"/>
  <c r="AO417" i="1"/>
  <c r="AP417" i="1" s="1"/>
  <c r="AQ417" i="1" s="1"/>
  <c r="AR417" i="1" s="1"/>
  <c r="AS275" i="1"/>
  <c r="AW296" i="1"/>
  <c r="AX296" i="1" s="1"/>
  <c r="AY296" i="1" s="1"/>
  <c r="AZ296" i="1" s="1"/>
  <c r="BA296" i="1" s="1"/>
  <c r="BB239" i="1"/>
  <c r="BB94" i="1"/>
  <c r="AZ393" i="1"/>
  <c r="BA393" i="1" s="1"/>
  <c r="BB546" i="1"/>
  <c r="AS463" i="1"/>
  <c r="AS202" i="1"/>
  <c r="AZ343" i="1"/>
  <c r="BA343" i="1" s="1"/>
  <c r="AX443" i="1"/>
  <c r="AY443" i="1" s="1"/>
  <c r="AZ443" i="1" s="1"/>
  <c r="BA443" i="1" s="1"/>
  <c r="AZ115" i="1"/>
  <c r="BA115" i="1" s="1"/>
  <c r="AS153" i="1"/>
  <c r="AW119" i="1"/>
  <c r="BB119" i="1" s="1"/>
  <c r="AW589" i="1"/>
  <c r="AY390" i="1"/>
  <c r="AZ390" i="1" s="1"/>
  <c r="BA390" i="1" s="1"/>
  <c r="AX83" i="1"/>
  <c r="AY83" i="1" s="1"/>
  <c r="AZ83" i="1" s="1"/>
  <c r="BA83" i="1" s="1"/>
  <c r="BB83" i="1"/>
  <c r="AX417" i="1"/>
  <c r="AY417" i="1" s="1"/>
  <c r="AZ417" i="1" s="1"/>
  <c r="BA417" i="1" s="1"/>
  <c r="BB417" i="1"/>
  <c r="BB287" i="1"/>
  <c r="AX287" i="1"/>
  <c r="AY287" i="1" s="1"/>
  <c r="AZ287" i="1" s="1"/>
  <c r="BA287" i="1" s="1"/>
  <c r="AX159" i="1"/>
  <c r="AY159" i="1" s="1"/>
  <c r="AZ159" i="1" s="1"/>
  <c r="BA159" i="1" s="1"/>
  <c r="BB159" i="1"/>
  <c r="AS459" i="1"/>
  <c r="AO459" i="1"/>
  <c r="AP459" i="1" s="1"/>
  <c r="AQ459" i="1" s="1"/>
  <c r="AR459" i="1" s="1"/>
  <c r="BB470" i="1"/>
  <c r="AZ290" i="1"/>
  <c r="BA290" i="1" s="1"/>
  <c r="AY308" i="1"/>
  <c r="AZ308" i="1" s="1"/>
  <c r="BA308" i="1" s="1"/>
  <c r="AZ448" i="1"/>
  <c r="BA448" i="1" s="1"/>
  <c r="BB520" i="1"/>
  <c r="AS645" i="1"/>
  <c r="AY382" i="1"/>
  <c r="AZ382" i="1" s="1"/>
  <c r="BA382" i="1" s="1"/>
  <c r="BB390" i="1"/>
  <c r="AW584" i="1"/>
  <c r="AW457" i="1"/>
  <c r="AS658" i="1"/>
  <c r="E8" i="1"/>
  <c r="DQ2" i="1" s="1"/>
  <c r="BB102" i="1"/>
  <c r="BB116" i="1"/>
  <c r="AX406" i="1"/>
  <c r="AY406" i="1" s="1"/>
  <c r="AZ406" i="1" s="1"/>
  <c r="BA406" i="1" s="1"/>
  <c r="AS369" i="1"/>
  <c r="BB560" i="1"/>
  <c r="BB455" i="1"/>
  <c r="BB441" i="1"/>
  <c r="BB630" i="1"/>
  <c r="AY235" i="1"/>
  <c r="AZ235" i="1" s="1"/>
  <c r="BA235" i="1" s="1"/>
  <c r="AS326" i="1"/>
  <c r="BB591" i="1"/>
  <c r="BB347" i="1"/>
  <c r="BB451" i="1"/>
  <c r="AS451" i="1"/>
  <c r="BB266" i="1"/>
  <c r="AX530" i="1"/>
  <c r="AY530" i="1" s="1"/>
  <c r="AZ530" i="1" s="1"/>
  <c r="BA530" i="1" s="1"/>
  <c r="BB530" i="1"/>
  <c r="AO329" i="1"/>
  <c r="AP329" i="1" s="1"/>
  <c r="AQ329" i="1" s="1"/>
  <c r="AR329" i="1" s="1"/>
  <c r="AS329" i="1"/>
  <c r="AO89" i="1"/>
  <c r="AP89" i="1" s="1"/>
  <c r="AQ89" i="1" s="1"/>
  <c r="AR89" i="1" s="1"/>
  <c r="AS89" i="1"/>
  <c r="BB435" i="1"/>
  <c r="BB593" i="1"/>
  <c r="AX431" i="1"/>
  <c r="AY431" i="1" s="1"/>
  <c r="AZ431" i="1" s="1"/>
  <c r="BA431" i="1" s="1"/>
  <c r="AS660" i="1"/>
  <c r="BB255" i="1"/>
  <c r="AS599" i="1"/>
  <c r="BB574" i="1"/>
  <c r="BB490" i="1"/>
  <c r="AZ154" i="1"/>
  <c r="BA154" i="1" s="1"/>
  <c r="AW389" i="1"/>
  <c r="AX389" i="1" s="1"/>
  <c r="AY389" i="1" s="1"/>
  <c r="AZ389" i="1" s="1"/>
  <c r="BA389" i="1" s="1"/>
  <c r="AW280" i="1"/>
  <c r="AX280" i="1" s="1"/>
  <c r="AY280" i="1" s="1"/>
  <c r="AZ280" i="1" s="1"/>
  <c r="BA280" i="1" s="1"/>
  <c r="AX357" i="1"/>
  <c r="AY357" i="1" s="1"/>
  <c r="AZ357" i="1" s="1"/>
  <c r="BA357" i="1" s="1"/>
  <c r="BB665" i="1"/>
  <c r="BB171" i="1"/>
  <c r="BB334" i="1"/>
  <c r="AX225" i="1"/>
  <c r="AY225" i="1" s="1"/>
  <c r="AZ225" i="1" s="1"/>
  <c r="BA225" i="1" s="1"/>
  <c r="BB601" i="1"/>
  <c r="BB242" i="1"/>
  <c r="BB236" i="1"/>
  <c r="BB633" i="1"/>
  <c r="BB263" i="1"/>
  <c r="BB662" i="1"/>
  <c r="BB385" i="1"/>
  <c r="AX319" i="1"/>
  <c r="AY319" i="1" s="1"/>
  <c r="AZ319" i="1" s="1"/>
  <c r="BA319" i="1" s="1"/>
  <c r="AX101" i="1"/>
  <c r="AY101" i="1" s="1"/>
  <c r="AZ101" i="1" s="1"/>
  <c r="BA101" i="1" s="1"/>
  <c r="BB422" i="1"/>
  <c r="AX528" i="1"/>
  <c r="AY528" i="1" s="1"/>
  <c r="AZ528" i="1" s="1"/>
  <c r="BA528" i="1" s="1"/>
  <c r="BB570" i="1"/>
  <c r="AX545" i="1"/>
  <c r="AY545" i="1" s="1"/>
  <c r="AZ545" i="1" s="1"/>
  <c r="BA545" i="1" s="1"/>
  <c r="BB175" i="1"/>
  <c r="BB302" i="1"/>
  <c r="BB231" i="1"/>
  <c r="BB609" i="1"/>
  <c r="BB552" i="1"/>
  <c r="BB499" i="1"/>
  <c r="BB527" i="1"/>
  <c r="AX278" i="1"/>
  <c r="AY278" i="1" s="1"/>
  <c r="AZ278" i="1" s="1"/>
  <c r="BA278" i="1" s="1"/>
  <c r="BB153" i="1"/>
  <c r="BB382" i="1"/>
  <c r="BB265" i="1"/>
  <c r="BB89" i="1"/>
  <c r="BB504" i="1"/>
  <c r="BB399" i="1"/>
  <c r="BB176" i="1"/>
  <c r="AX264" i="1"/>
  <c r="AY264" i="1" s="1"/>
  <c r="AZ264" i="1" s="1"/>
  <c r="BA264" i="1" s="1"/>
  <c r="BB373" i="1"/>
  <c r="BB540" i="1"/>
  <c r="BB128" i="1"/>
  <c r="BB149" i="1"/>
  <c r="BB471" i="1"/>
  <c r="BB660" i="1"/>
  <c r="BB376" i="1"/>
  <c r="BB345" i="1"/>
  <c r="BB410" i="1"/>
  <c r="BB639" i="1"/>
  <c r="AX117" i="1"/>
  <c r="AY117" i="1" s="1"/>
  <c r="AZ117" i="1" s="1"/>
  <c r="BA117" i="1" s="1"/>
  <c r="BB139" i="1"/>
  <c r="BB189" i="1"/>
  <c r="BB598" i="1"/>
  <c r="BB223" i="1"/>
  <c r="BB465" i="1"/>
  <c r="BB172" i="1"/>
  <c r="BB105" i="1"/>
  <c r="AX250" i="1"/>
  <c r="AY250" i="1" s="1"/>
  <c r="AZ250" i="1" s="1"/>
  <c r="BA250" i="1" s="1"/>
  <c r="BB372" i="1"/>
  <c r="AX387" i="1"/>
  <c r="AY387" i="1" s="1"/>
  <c r="AZ387" i="1" s="1"/>
  <c r="BA387" i="1" s="1"/>
  <c r="AX364" i="1"/>
  <c r="AY364" i="1" s="1"/>
  <c r="AZ364" i="1" s="1"/>
  <c r="BA364" i="1" s="1"/>
  <c r="BB614" i="1"/>
  <c r="AX532" i="1"/>
  <c r="AY532" i="1" s="1"/>
  <c r="AZ532" i="1" s="1"/>
  <c r="BA532" i="1" s="1"/>
  <c r="BB295" i="1"/>
  <c r="BB400" i="1"/>
  <c r="BB310" i="1"/>
  <c r="BB473" i="1"/>
  <c r="BB84" i="1"/>
  <c r="AX297" i="1"/>
  <c r="AY297" i="1" s="1"/>
  <c r="AZ297" i="1" s="1"/>
  <c r="BA297" i="1" s="1"/>
  <c r="BB483" i="1"/>
  <c r="BB103" i="1"/>
  <c r="BB617" i="1"/>
  <c r="BB649" i="1"/>
  <c r="BB477" i="1"/>
  <c r="BB484" i="1"/>
  <c r="BB493" i="1"/>
  <c r="BB286" i="1"/>
  <c r="AX226" i="1"/>
  <c r="AY226" i="1" s="1"/>
  <c r="AZ226" i="1" s="1"/>
  <c r="BA226" i="1" s="1"/>
  <c r="BB661" i="1"/>
  <c r="BB98" i="1"/>
  <c r="BB196" i="1"/>
  <c r="AX274" i="1"/>
  <c r="AY274" i="1" s="1"/>
  <c r="AZ274" i="1" s="1"/>
  <c r="BA274" i="1" s="1"/>
  <c r="BB521" i="1"/>
  <c r="AX281" i="1"/>
  <c r="AY281" i="1" s="1"/>
  <c r="AZ281" i="1" s="1"/>
  <c r="BA281" i="1" s="1"/>
  <c r="BB90" i="1"/>
  <c r="BB524" i="1"/>
  <c r="BB442" i="1"/>
  <c r="BB369" i="1"/>
  <c r="BB129" i="1"/>
  <c r="BB494" i="1"/>
  <c r="BB267" i="1"/>
  <c r="BB326" i="1"/>
  <c r="AX535" i="1"/>
  <c r="AY535" i="1" s="1"/>
  <c r="AZ535" i="1" s="1"/>
  <c r="BA535" i="1" s="1"/>
  <c r="BB252" i="1"/>
  <c r="BB214" i="1"/>
  <c r="AX325" i="1"/>
  <c r="AY325" i="1" s="1"/>
  <c r="AZ325" i="1" s="1"/>
  <c r="BA325" i="1" s="1"/>
  <c r="BB353" i="1"/>
  <c r="BB627" i="1"/>
  <c r="BB487" i="1"/>
  <c r="BB352" i="1"/>
  <c r="BB658" i="1"/>
  <c r="BB199" i="1"/>
  <c r="BB233" i="1"/>
  <c r="AX384" i="1"/>
  <c r="AY384" i="1" s="1"/>
  <c r="AZ384" i="1" s="1"/>
  <c r="BA384" i="1" s="1"/>
  <c r="AX191" i="1"/>
  <c r="AY191" i="1" s="1"/>
  <c r="AZ191" i="1" s="1"/>
  <c r="BA191" i="1" s="1"/>
  <c r="BB449" i="1"/>
  <c r="BB346" i="1"/>
  <c r="BB428" i="1"/>
  <c r="BB276" i="1"/>
  <c r="BB193" i="1"/>
  <c r="BB147" i="1"/>
  <c r="BB198" i="1"/>
  <c r="BB486" i="1"/>
  <c r="BB209" i="1"/>
  <c r="BB637" i="1"/>
  <c r="BB512" i="1"/>
  <c r="AX634" i="1"/>
  <c r="AY634" i="1" s="1"/>
  <c r="AZ634" i="1" s="1"/>
  <c r="BA634" i="1" s="1"/>
  <c r="BB336" i="1"/>
  <c r="BB643" i="1"/>
  <c r="AX641" i="1"/>
  <c r="AY641" i="1" s="1"/>
  <c r="AZ641" i="1" s="1"/>
  <c r="BA641" i="1" s="1"/>
  <c r="BB559" i="1"/>
  <c r="BB277" i="1"/>
  <c r="BB96" i="1"/>
  <c r="AX160" i="1"/>
  <c r="AY160" i="1" s="1"/>
  <c r="AZ160" i="1" s="1"/>
  <c r="BA160" i="1" s="1"/>
  <c r="AW72" i="1"/>
  <c r="AX72" i="1" s="1"/>
  <c r="AY72" i="1" s="1"/>
  <c r="AZ72" i="1" s="1"/>
  <c r="BA72" i="1" s="1"/>
  <c r="BB316" i="1"/>
  <c r="BB109" i="1"/>
  <c r="BB371" i="1"/>
  <c r="BB629" i="1"/>
  <c r="BB91" i="1"/>
  <c r="BB497" i="1"/>
  <c r="BB461" i="1"/>
  <c r="BB115" i="1"/>
  <c r="BB354" i="1"/>
  <c r="BB200" i="1"/>
  <c r="BB507" i="1"/>
  <c r="BB181" i="1"/>
  <c r="BB218" i="1"/>
  <c r="AX549" i="1"/>
  <c r="AY549" i="1" s="1"/>
  <c r="AZ549" i="1" s="1"/>
  <c r="BA549" i="1" s="1"/>
  <c r="BB248" i="1"/>
  <c r="BB377" i="1"/>
  <c r="BB632" i="1"/>
  <c r="BB323" i="1"/>
  <c r="BB489" i="1"/>
  <c r="BB411" i="1"/>
  <c r="BB404" i="1"/>
  <c r="BB646" i="1"/>
  <c r="BB321" i="1"/>
  <c r="BB179" i="1"/>
  <c r="BB313" i="1"/>
  <c r="BB150" i="1"/>
  <c r="BB122" i="1"/>
  <c r="BB224" i="1"/>
  <c r="BB564" i="1"/>
  <c r="AX478" i="1"/>
  <c r="AY478" i="1" s="1"/>
  <c r="AZ478" i="1" s="1"/>
  <c r="BA478" i="1" s="1"/>
  <c r="BB496" i="1"/>
  <c r="BB166" i="1"/>
  <c r="BB185" i="1"/>
  <c r="BB157" i="1"/>
  <c r="BB161" i="1"/>
  <c r="BB453" i="1"/>
  <c r="BB155" i="1"/>
  <c r="AX491" i="1"/>
  <c r="AY491" i="1" s="1"/>
  <c r="AZ491" i="1" s="1"/>
  <c r="BA491" i="1" s="1"/>
  <c r="BB420" i="1"/>
  <c r="BB235" i="1"/>
  <c r="BB342" i="1"/>
  <c r="BB467" i="1"/>
  <c r="BB622" i="1"/>
  <c r="BB544" i="1"/>
  <c r="BB292" i="1"/>
  <c r="BB456" i="1"/>
  <c r="BB146" i="1"/>
  <c r="BB479" i="1"/>
  <c r="BB555" i="1"/>
  <c r="BB438" i="1"/>
  <c r="BB251" i="1"/>
  <c r="BB87" i="1"/>
  <c r="AX424" i="1"/>
  <c r="AY424" i="1" s="1"/>
  <c r="AZ424" i="1" s="1"/>
  <c r="BA424" i="1" s="1"/>
  <c r="BB308" i="1"/>
  <c r="BB416" i="1"/>
  <c r="BB368" i="1"/>
  <c r="BB454" i="1"/>
  <c r="BB213" i="1"/>
  <c r="BB448" i="1"/>
  <c r="AX268" i="1"/>
  <c r="AY268" i="1" s="1"/>
  <c r="AZ268" i="1" s="1"/>
  <c r="BA268" i="1" s="1"/>
  <c r="BB249" i="1"/>
  <c r="BB378" i="1"/>
  <c r="BB447" i="1"/>
  <c r="AS74" i="1"/>
  <c r="AX123" i="1"/>
  <c r="AY123" i="1" s="1"/>
  <c r="AZ123" i="1" s="1"/>
  <c r="BA123" i="1" s="1"/>
  <c r="BB279" i="1"/>
  <c r="BB562" i="1"/>
  <c r="BB458" i="1"/>
  <c r="BB642" i="1"/>
  <c r="BB608" i="1"/>
  <c r="BB379" i="1"/>
  <c r="BB114" i="1"/>
  <c r="BB294" i="1"/>
  <c r="BB475" i="1"/>
  <c r="AX288" i="1"/>
  <c r="AY288" i="1" s="1"/>
  <c r="AZ288" i="1" s="1"/>
  <c r="BA288" i="1" s="1"/>
  <c r="AX173" i="1"/>
  <c r="AY173" i="1" s="1"/>
  <c r="AZ173" i="1" s="1"/>
  <c r="BA173" i="1" s="1"/>
  <c r="BB511" i="1"/>
  <c r="BB515" i="1"/>
  <c r="BB156" i="1"/>
  <c r="AX514" i="1"/>
  <c r="AY514" i="1" s="1"/>
  <c r="AZ514" i="1" s="1"/>
  <c r="BA514" i="1" s="1"/>
  <c r="BB469" i="1"/>
  <c r="AX100" i="1"/>
  <c r="AY100" i="1" s="1"/>
  <c r="AZ100" i="1" s="1"/>
  <c r="BA100" i="1" s="1"/>
  <c r="AX594" i="1"/>
  <c r="AY594" i="1" s="1"/>
  <c r="AZ594" i="1" s="1"/>
  <c r="BA594" i="1" s="1"/>
  <c r="BB108" i="1"/>
  <c r="AX289" i="1"/>
  <c r="AY289" i="1" s="1"/>
  <c r="AZ289" i="1" s="1"/>
  <c r="BA289" i="1" s="1"/>
  <c r="BB501" i="1"/>
  <c r="BB134" i="1"/>
  <c r="BB269" i="1"/>
  <c r="BB137" i="1"/>
  <c r="AX651" i="1"/>
  <c r="AY651" i="1" s="1"/>
  <c r="AZ651" i="1" s="1"/>
  <c r="BA651" i="1" s="1"/>
  <c r="AO72" i="1"/>
  <c r="AP72" i="1" s="1"/>
  <c r="AQ72" i="1" s="1"/>
  <c r="AR72" i="1" s="1"/>
  <c r="AS81" i="1"/>
  <c r="BB542" i="1"/>
  <c r="BB439" i="1"/>
  <c r="BB659" i="1"/>
  <c r="BB450" i="1"/>
  <c r="BB397" i="1"/>
  <c r="BB398" i="1"/>
  <c r="BB328" i="1"/>
  <c r="BB525" i="1"/>
  <c r="AS76" i="1"/>
  <c r="BB597" i="1"/>
  <c r="BB407" i="1"/>
  <c r="AX222" i="1"/>
  <c r="AY222" i="1" s="1"/>
  <c r="AZ222" i="1" s="1"/>
  <c r="BA222" i="1" s="1"/>
  <c r="AS78" i="1"/>
  <c r="AX650" i="1"/>
  <c r="AY650" i="1" s="1"/>
  <c r="AZ650" i="1" s="1"/>
  <c r="BA650" i="1" s="1"/>
  <c r="BB320" i="1"/>
  <c r="BB492" i="1"/>
  <c r="AX537" i="1"/>
  <c r="AY537" i="1" s="1"/>
  <c r="AZ537" i="1" s="1"/>
  <c r="BA537" i="1" s="1"/>
  <c r="BB557" i="1"/>
  <c r="BB592" i="1"/>
  <c r="BB648" i="1"/>
  <c r="BB202" i="1"/>
  <c r="BB460" i="1"/>
  <c r="BB476" i="1"/>
  <c r="BB567" i="1"/>
  <c r="BB561" i="1"/>
  <c r="BB243" i="1"/>
  <c r="BB132" i="1"/>
  <c r="BB612" i="1"/>
  <c r="AX652" i="1"/>
  <c r="AY652" i="1" s="1"/>
  <c r="AZ652" i="1" s="1"/>
  <c r="BA652" i="1" s="1"/>
  <c r="BB408" i="1"/>
  <c r="BB164" i="1"/>
  <c r="AX656" i="1"/>
  <c r="AY656" i="1" s="1"/>
  <c r="AZ656" i="1" s="1"/>
  <c r="BA656" i="1" s="1"/>
  <c r="BB367" i="1"/>
  <c r="AX445" i="1"/>
  <c r="AY445" i="1" s="1"/>
  <c r="AZ445" i="1" s="1"/>
  <c r="BA445" i="1" s="1"/>
  <c r="BB541" i="1"/>
  <c r="AX462" i="1"/>
  <c r="AY462" i="1" s="1"/>
  <c r="AZ462" i="1" s="1"/>
  <c r="BA462" i="1" s="1"/>
  <c r="BB366" i="1"/>
  <c r="BB254" i="1"/>
  <c r="BB183" i="1"/>
  <c r="BB495" i="1"/>
  <c r="BB169" i="1"/>
  <c r="BB529" i="1"/>
  <c r="BB118" i="1"/>
  <c r="BB508" i="1"/>
  <c r="AX135" i="1"/>
  <c r="AY135" i="1" s="1"/>
  <c r="AZ135" i="1" s="1"/>
  <c r="BA135" i="1" s="1"/>
  <c r="BB300" i="1"/>
  <c r="AX375" i="1"/>
  <c r="AY375" i="1" s="1"/>
  <c r="AZ375" i="1" s="1"/>
  <c r="BA375" i="1" s="1"/>
  <c r="AX349" i="1"/>
  <c r="AY349" i="1" s="1"/>
  <c r="AZ349" i="1" s="1"/>
  <c r="BA349" i="1" s="1"/>
  <c r="BB611" i="1"/>
  <c r="AX309" i="1"/>
  <c r="AY309" i="1" s="1"/>
  <c r="AZ309" i="1" s="1"/>
  <c r="BA309" i="1" s="1"/>
  <c r="BB170" i="1"/>
  <c r="BB113" i="1"/>
  <c r="BB322" i="1"/>
  <c r="BB237" i="1"/>
  <c r="BB415" i="1"/>
  <c r="BB585" i="1"/>
  <c r="AS68" i="1"/>
  <c r="AX613" i="1"/>
  <c r="AY613" i="1" s="1"/>
  <c r="AZ613" i="1" s="1"/>
  <c r="BA613" i="1" s="1"/>
  <c r="AX663" i="1"/>
  <c r="AY663" i="1" s="1"/>
  <c r="AZ663" i="1" s="1"/>
  <c r="BA663" i="1" s="1"/>
  <c r="BB227" i="1"/>
  <c r="BB92" i="1"/>
  <c r="BB444" i="1"/>
  <c r="AX219" i="1"/>
  <c r="AY219" i="1" s="1"/>
  <c r="AZ219" i="1" s="1"/>
  <c r="BA219" i="1" s="1"/>
  <c r="AW76" i="1"/>
  <c r="BB76" i="1" s="1"/>
  <c r="BB503" i="1"/>
  <c r="BB595" i="1"/>
  <c r="BB186" i="1"/>
  <c r="AS71" i="1"/>
  <c r="BB365" i="1"/>
  <c r="BB245" i="1"/>
  <c r="AX440" i="1"/>
  <c r="AY440" i="1" s="1"/>
  <c r="AZ440" i="1" s="1"/>
  <c r="BA440" i="1" s="1"/>
  <c r="BB581" i="1"/>
  <c r="AX463" i="1"/>
  <c r="AY463" i="1" s="1"/>
  <c r="AZ463" i="1" s="1"/>
  <c r="BA463" i="1" s="1"/>
  <c r="BB402" i="1"/>
  <c r="BB370" i="1"/>
  <c r="BB282" i="1"/>
  <c r="AX262" i="1"/>
  <c r="AY262" i="1" s="1"/>
  <c r="AZ262" i="1" s="1"/>
  <c r="BA262" i="1" s="1"/>
  <c r="BB427" i="1"/>
  <c r="BB188" i="1"/>
  <c r="AX556" i="1"/>
  <c r="AY556" i="1" s="1"/>
  <c r="AZ556" i="1" s="1"/>
  <c r="BA556" i="1" s="1"/>
  <c r="BB556" i="1"/>
  <c r="BB547" i="1"/>
  <c r="BB158" i="1"/>
  <c r="AX221" i="1"/>
  <c r="AY221" i="1" s="1"/>
  <c r="AZ221" i="1" s="1"/>
  <c r="BA221" i="1" s="1"/>
  <c r="AX551" i="1"/>
  <c r="AY551" i="1" s="1"/>
  <c r="AZ551" i="1" s="1"/>
  <c r="BA551" i="1" s="1"/>
  <c r="BB238" i="1"/>
  <c r="BB394" i="1"/>
  <c r="BB340" i="1"/>
  <c r="AX602" i="1"/>
  <c r="AY602" i="1" s="1"/>
  <c r="AZ602" i="1" s="1"/>
  <c r="BA602" i="1" s="1"/>
  <c r="BB602" i="1"/>
  <c r="BB270" i="1"/>
  <c r="BB216" i="1"/>
  <c r="BB363" i="1"/>
  <c r="BB603" i="1"/>
  <c r="BB324" i="1"/>
  <c r="BB317" i="1"/>
  <c r="AX607" i="1"/>
  <c r="AY607" i="1" s="1"/>
  <c r="AZ607" i="1" s="1"/>
  <c r="BA607" i="1" s="1"/>
  <c r="BB569" i="1"/>
  <c r="BB192" i="1"/>
  <c r="BB215" i="1"/>
  <c r="BB526" i="1"/>
  <c r="BB566" i="1"/>
  <c r="BB618" i="1"/>
  <c r="BB509" i="1"/>
  <c r="BB606" i="1"/>
  <c r="BB273" i="1"/>
  <c r="AW79" i="1"/>
  <c r="AX79" i="1" s="1"/>
  <c r="AY79" i="1" s="1"/>
  <c r="AZ79" i="1" s="1"/>
  <c r="BA79" i="1" s="1"/>
  <c r="BB148" i="1"/>
  <c r="BB163" i="1"/>
  <c r="BB154" i="1"/>
  <c r="BB168" i="1"/>
  <c r="AX99" i="1"/>
  <c r="AY99" i="1" s="1"/>
  <c r="AZ99" i="1" s="1"/>
  <c r="BA99" i="1" s="1"/>
  <c r="BB99" i="1"/>
  <c r="BB572" i="1"/>
  <c r="AS77" i="1"/>
  <c r="BB388" i="1"/>
  <c r="AW77" i="1"/>
  <c r="AX77" i="1" s="1"/>
  <c r="AY77" i="1" s="1"/>
  <c r="AZ77" i="1" s="1"/>
  <c r="BA77" i="1" s="1"/>
  <c r="BB305" i="1"/>
  <c r="AO70" i="1"/>
  <c r="AP70" i="1" s="1"/>
  <c r="AQ70" i="1" s="1"/>
  <c r="AR70" i="1" s="1"/>
  <c r="BB142" i="1"/>
  <c r="BB412" i="1"/>
  <c r="BB621" i="1"/>
  <c r="BB510" i="1"/>
  <c r="AX510" i="1"/>
  <c r="AY510" i="1" s="1"/>
  <c r="AZ510" i="1" s="1"/>
  <c r="BA510" i="1" s="1"/>
  <c r="BB536" i="1"/>
  <c r="BB212" i="1"/>
  <c r="BB136" i="1"/>
  <c r="BB210" i="1"/>
  <c r="BB548" i="1"/>
  <c r="BB246" i="1"/>
  <c r="BB144" i="1"/>
  <c r="BB393" i="1"/>
  <c r="AX275" i="1"/>
  <c r="AY275" i="1" s="1"/>
  <c r="AZ275" i="1" s="1"/>
  <c r="BA275" i="1" s="1"/>
  <c r="BB275" i="1"/>
  <c r="BB464" i="1"/>
  <c r="AX645" i="1"/>
  <c r="AY645" i="1" s="1"/>
  <c r="AZ645" i="1" s="1"/>
  <c r="BA645" i="1" s="1"/>
  <c r="BB645" i="1"/>
  <c r="AX361" i="1"/>
  <c r="AY361" i="1" s="1"/>
  <c r="AZ361" i="1" s="1"/>
  <c r="BA361" i="1" s="1"/>
  <c r="BB361" i="1"/>
  <c r="BB577" i="1"/>
  <c r="AX580" i="1"/>
  <c r="AY580" i="1" s="1"/>
  <c r="AZ580" i="1" s="1"/>
  <c r="BA580" i="1" s="1"/>
  <c r="BB180" i="1"/>
  <c r="BB655" i="1"/>
  <c r="BB534" i="1"/>
  <c r="BB383" i="1"/>
  <c r="BB543" i="1"/>
  <c r="AX604" i="1"/>
  <c r="AY604" i="1" s="1"/>
  <c r="AZ604" i="1" s="1"/>
  <c r="BA604" i="1" s="1"/>
  <c r="BB604" i="1"/>
  <c r="AX298" i="1"/>
  <c r="AY298" i="1" s="1"/>
  <c r="AZ298" i="1" s="1"/>
  <c r="BA298" i="1" s="1"/>
  <c r="BB298" i="1"/>
  <c r="AX312" i="1"/>
  <c r="AY312" i="1" s="1"/>
  <c r="AZ312" i="1" s="1"/>
  <c r="BA312" i="1" s="1"/>
  <c r="BB312" i="1"/>
  <c r="BB197" i="1"/>
  <c r="BB207" i="1"/>
  <c r="BB194" i="1"/>
  <c r="BB583" i="1"/>
  <c r="AS69" i="1"/>
  <c r="BB472" i="1"/>
  <c r="BB573" i="1"/>
  <c r="BB358" i="1"/>
  <c r="AX358" i="1"/>
  <c r="AY358" i="1" s="1"/>
  <c r="AZ358" i="1" s="1"/>
  <c r="BA358" i="1" s="1"/>
  <c r="BB234" i="1"/>
  <c r="BB337" i="1"/>
  <c r="BB259" i="1"/>
  <c r="BB133" i="1"/>
  <c r="AS75" i="1"/>
  <c r="AW80" i="1"/>
  <c r="AX80" i="1" s="1"/>
  <c r="AY80" i="1" s="1"/>
  <c r="AZ80" i="1" s="1"/>
  <c r="BA80" i="1" s="1"/>
  <c r="BB430" i="1"/>
  <c r="BB217" i="1"/>
  <c r="BB360" i="1"/>
  <c r="AX82" i="1"/>
  <c r="AY82" i="1" s="1"/>
  <c r="AZ82" i="1" s="1"/>
  <c r="BA82" i="1" s="1"/>
  <c r="BB82" i="1"/>
  <c r="AX303" i="1"/>
  <c r="AY303" i="1" s="1"/>
  <c r="AZ303" i="1" s="1"/>
  <c r="BA303" i="1" s="1"/>
  <c r="BB303" i="1"/>
  <c r="AX502" i="1"/>
  <c r="AY502" i="1" s="1"/>
  <c r="AZ502" i="1" s="1"/>
  <c r="BA502" i="1" s="1"/>
  <c r="BB502" i="1"/>
  <c r="BB253" i="1"/>
  <c r="BB395" i="1"/>
  <c r="BB120" i="1"/>
  <c r="AW67" i="1"/>
  <c r="AW74" i="1"/>
  <c r="AX74" i="1" s="1"/>
  <c r="AY74" i="1" s="1"/>
  <c r="AZ74" i="1" s="1"/>
  <c r="BA74" i="1" s="1"/>
  <c r="AW81" i="1"/>
  <c r="AW71" i="1"/>
  <c r="AX71" i="1" s="1"/>
  <c r="AY71" i="1" s="1"/>
  <c r="AZ71" i="1" s="1"/>
  <c r="BA71" i="1" s="1"/>
  <c r="BB644" i="1"/>
  <c r="BB351" i="1"/>
  <c r="BB335" i="1"/>
  <c r="BB307" i="1"/>
  <c r="BB485" i="1"/>
  <c r="AW73" i="1"/>
  <c r="AX73" i="1" s="1"/>
  <c r="AY73" i="1" s="1"/>
  <c r="AZ73" i="1" s="1"/>
  <c r="BA73" i="1" s="1"/>
  <c r="BB568" i="1"/>
  <c r="BB143" i="1"/>
  <c r="AW68" i="1"/>
  <c r="AX68" i="1" s="1"/>
  <c r="AY68" i="1" s="1"/>
  <c r="AZ68" i="1" s="1"/>
  <c r="BA68" i="1" s="1"/>
  <c r="BB229" i="1"/>
  <c r="AX327" i="1"/>
  <c r="AY327" i="1" s="1"/>
  <c r="AZ327" i="1" s="1"/>
  <c r="BA327" i="1" s="1"/>
  <c r="BB327" i="1"/>
  <c r="AS67" i="1"/>
  <c r="AS79" i="1"/>
  <c r="BB232" i="1"/>
  <c r="BB344" i="1"/>
  <c r="AX121" i="1"/>
  <c r="AY121" i="1" s="1"/>
  <c r="AZ121" i="1" s="1"/>
  <c r="BA121" i="1" s="1"/>
  <c r="BB121" i="1"/>
  <c r="BB582" i="1"/>
  <c r="AW69" i="1"/>
  <c r="AW78" i="1"/>
  <c r="AX78" i="1" s="1"/>
  <c r="AY78" i="1" s="1"/>
  <c r="AZ78" i="1" s="1"/>
  <c r="BA78" i="1" s="1"/>
  <c r="AW75" i="1"/>
  <c r="AX75" i="1" s="1"/>
  <c r="AY75" i="1" s="1"/>
  <c r="AZ75" i="1" s="1"/>
  <c r="BA75" i="1" s="1"/>
  <c r="AS73" i="1"/>
  <c r="AW70" i="1"/>
  <c r="AX70" i="1" s="1"/>
  <c r="AY70" i="1" s="1"/>
  <c r="AZ70" i="1" s="1"/>
  <c r="BA70" i="1" s="1"/>
  <c r="BB624" i="1"/>
  <c r="AX85" i="1"/>
  <c r="AY85" i="1" s="1"/>
  <c r="AZ85" i="1" s="1"/>
  <c r="BA85" i="1" s="1"/>
  <c r="BB85" i="1"/>
  <c r="AX107" i="1"/>
  <c r="AY107" i="1" s="1"/>
  <c r="AZ107" i="1" s="1"/>
  <c r="BA107" i="1" s="1"/>
  <c r="BB107" i="1"/>
  <c r="BB666" i="1"/>
  <c r="BB339" i="1"/>
  <c r="BB247" i="1"/>
  <c r="BB386" i="1"/>
  <c r="BB466" i="1"/>
  <c r="AX523" i="1"/>
  <c r="AY523" i="1" s="1"/>
  <c r="AZ523" i="1" s="1"/>
  <c r="BA523" i="1" s="1"/>
  <c r="BB523" i="1"/>
  <c r="AX178" i="1"/>
  <c r="AY178" i="1" s="1"/>
  <c r="AZ178" i="1" s="1"/>
  <c r="BA178" i="1" s="1"/>
  <c r="BB178" i="1"/>
  <c r="BB195" i="1"/>
  <c r="AX195" i="1"/>
  <c r="AY195" i="1" s="1"/>
  <c r="AZ195" i="1" s="1"/>
  <c r="BA195" i="1" s="1"/>
  <c r="BB620" i="1"/>
  <c r="BB95" i="1"/>
  <c r="BB329" i="1"/>
  <c r="BB506" i="1"/>
  <c r="BB539" i="1"/>
  <c r="BB167" i="1"/>
  <c r="BB626" i="1"/>
  <c r="BB554" i="1"/>
  <c r="BB359" i="1"/>
  <c r="BB97" i="1"/>
  <c r="BB563" i="1"/>
  <c r="BB184" i="1"/>
  <c r="BB599" i="1"/>
  <c r="BB201" i="1"/>
  <c r="BB131" i="1"/>
  <c r="BB426" i="1"/>
  <c r="BB315" i="1"/>
  <c r="BB130" i="1"/>
  <c r="BB482" i="1"/>
  <c r="BB481" i="1"/>
  <c r="BB299" i="1"/>
  <c r="BB474" i="1"/>
  <c r="BB558" i="1"/>
  <c r="BB419" i="1"/>
  <c r="BB578" i="1"/>
  <c r="BB516" i="1"/>
  <c r="BB575" i="1" l="1"/>
  <c r="BB380" i="1"/>
  <c r="BB110" i="1"/>
  <c r="BB500" i="1"/>
  <c r="BB165" i="1"/>
  <c r="AX616" i="1"/>
  <c r="AY616" i="1" s="1"/>
  <c r="AZ616" i="1" s="1"/>
  <c r="BA616" i="1" s="1"/>
  <c r="BB553" i="1"/>
  <c r="BB615" i="1"/>
  <c r="BB638" i="1"/>
  <c r="AX468" i="1"/>
  <c r="AY468" i="1" s="1"/>
  <c r="AZ468" i="1" s="1"/>
  <c r="BA468" i="1" s="1"/>
  <c r="BB112" i="1"/>
  <c r="BB425" i="1"/>
  <c r="BB518" i="1"/>
  <c r="BB341" i="1"/>
  <c r="BB162" i="1"/>
  <c r="BB405" i="1"/>
  <c r="AX301" i="1"/>
  <c r="AY301" i="1" s="1"/>
  <c r="AZ301" i="1" s="1"/>
  <c r="BA301" i="1" s="1"/>
  <c r="BB182" i="1"/>
  <c r="BB355" i="1"/>
  <c r="BB124" i="1"/>
  <c r="BB657" i="1"/>
  <c r="BB433" i="1"/>
  <c r="BB241" i="1"/>
  <c r="BB203" i="1"/>
  <c r="BB401" i="1"/>
  <c r="BB333" i="1"/>
  <c r="BB125" i="1"/>
  <c r="BB127" i="1"/>
  <c r="BB636" i="1"/>
  <c r="BB204" i="1"/>
  <c r="BB106" i="1"/>
  <c r="BB230" i="1"/>
  <c r="AX631" i="1"/>
  <c r="AY631" i="1" s="1"/>
  <c r="AZ631" i="1" s="1"/>
  <c r="BA631" i="1" s="1"/>
  <c r="BB429" i="1"/>
  <c r="BB296" i="1"/>
  <c r="BB314" i="1"/>
  <c r="E6" i="1"/>
  <c r="DO2" i="1" s="1"/>
  <c r="BB550" i="1"/>
  <c r="AX538" i="1"/>
  <c r="AY538" i="1" s="1"/>
  <c r="AZ538" i="1" s="1"/>
  <c r="BA538" i="1" s="1"/>
  <c r="BB381" i="1"/>
  <c r="BB392" i="1"/>
  <c r="BB522" i="1"/>
  <c r="E7" i="1"/>
  <c r="DP2" i="1" s="1"/>
  <c r="BB531" i="1"/>
  <c r="BB190" i="1"/>
  <c r="AX228" i="1"/>
  <c r="AY228" i="1" s="1"/>
  <c r="AZ228" i="1" s="1"/>
  <c r="BA228" i="1" s="1"/>
  <c r="F8" i="1"/>
  <c r="DQ3" i="1" s="1"/>
  <c r="BB151" i="1"/>
  <c r="BB625" i="1"/>
  <c r="M2" i="1"/>
  <c r="M3" i="1" s="1"/>
  <c r="E14" i="1"/>
  <c r="E5" i="1" s="1"/>
  <c r="DN2" i="1" s="1"/>
  <c r="F5" i="1"/>
  <c r="DN3" i="1" s="1"/>
  <c r="AX434" i="1"/>
  <c r="AY434" i="1" s="1"/>
  <c r="AZ434" i="1" s="1"/>
  <c r="BA434" i="1" s="1"/>
  <c r="AX119" i="1"/>
  <c r="AY119" i="1" s="1"/>
  <c r="AZ119" i="1" s="1"/>
  <c r="BA119" i="1" s="1"/>
  <c r="BB579" i="1"/>
  <c r="BB623" i="1"/>
  <c r="AX208" i="1"/>
  <c r="AY208" i="1" s="1"/>
  <c r="AZ208" i="1" s="1"/>
  <c r="BA208" i="1" s="1"/>
  <c r="BB208" i="1"/>
  <c r="AX589" i="1"/>
  <c r="AY589" i="1" s="1"/>
  <c r="AZ589" i="1" s="1"/>
  <c r="BA589" i="1" s="1"/>
  <c r="BB589" i="1"/>
  <c r="AX584" i="1"/>
  <c r="AY584" i="1" s="1"/>
  <c r="AZ584" i="1" s="1"/>
  <c r="BA584" i="1" s="1"/>
  <c r="BB584" i="1"/>
  <c r="BB389" i="1"/>
  <c r="BB457" i="1"/>
  <c r="AX457" i="1"/>
  <c r="AY457" i="1" s="1"/>
  <c r="AZ457" i="1" s="1"/>
  <c r="BA457" i="1" s="1"/>
  <c r="BB280" i="1"/>
  <c r="BB77" i="1"/>
  <c r="BB72" i="1"/>
  <c r="AX76" i="1"/>
  <c r="AY76" i="1" s="1"/>
  <c r="AZ76" i="1" s="1"/>
  <c r="BA76" i="1" s="1"/>
  <c r="BB79" i="1"/>
  <c r="BB80" i="1"/>
  <c r="BB74" i="1"/>
  <c r="BB71" i="1"/>
  <c r="AX81" i="1"/>
  <c r="AY81" i="1" s="1"/>
  <c r="AZ81" i="1" s="1"/>
  <c r="BA81" i="1" s="1"/>
  <c r="BB81" i="1"/>
  <c r="BB73" i="1"/>
  <c r="AX67" i="1"/>
  <c r="AY67" i="1" s="1"/>
  <c r="AZ67" i="1" s="1"/>
  <c r="BA67" i="1" s="1"/>
  <c r="BB67" i="1"/>
  <c r="BB70" i="1"/>
  <c r="AX69" i="1"/>
  <c r="AY69" i="1" s="1"/>
  <c r="AZ69" i="1" s="1"/>
  <c r="BA69" i="1" s="1"/>
  <c r="BB69" i="1"/>
  <c r="BB68" i="1"/>
  <c r="BB78" i="1"/>
  <c r="BB75" i="1"/>
  <c r="P2" i="1"/>
  <c r="M4" i="1" l="1"/>
  <c r="AU94" i="1" s="1"/>
  <c r="F6" i="1"/>
  <c r="DO3" i="1" s="1"/>
  <c r="F7" i="1"/>
  <c r="DP3" i="1" s="1"/>
  <c r="DW2" i="1"/>
  <c r="AU785" i="1"/>
  <c r="AT749" i="1"/>
  <c r="AT962" i="1"/>
  <c r="AT510" i="1"/>
  <c r="AT523" i="1"/>
  <c r="AT572" i="1"/>
  <c r="AU303" i="1"/>
  <c r="AT69" i="1"/>
  <c r="AT418" i="1"/>
  <c r="AU755" i="1"/>
  <c r="AU1078" i="1"/>
  <c r="AT1117" i="1"/>
  <c r="AU211" i="1"/>
  <c r="AU697" i="1"/>
  <c r="AU512" i="1"/>
  <c r="AU813" i="1"/>
  <c r="AT879" i="1"/>
  <c r="AU534" i="1"/>
  <c r="AU134" i="1"/>
  <c r="AU801" i="1"/>
  <c r="AT1092" i="1"/>
  <c r="AU500" i="1"/>
  <c r="AT760" i="1"/>
  <c r="AT1160" i="1"/>
  <c r="AT588" i="1"/>
  <c r="AU472" i="1"/>
  <c r="AT1016" i="1"/>
  <c r="AT1039" i="1"/>
  <c r="P4" i="1"/>
  <c r="P3" i="1"/>
  <c r="AU1118" i="1" l="1"/>
  <c r="AU886" i="1"/>
  <c r="AT997" i="1"/>
  <c r="AT512" i="1"/>
  <c r="AT275" i="1"/>
  <c r="AU1076" i="1"/>
  <c r="AT184" i="1"/>
  <c r="AU595" i="1"/>
  <c r="AT160" i="1"/>
  <c r="AT584" i="1"/>
  <c r="AU1100" i="1"/>
  <c r="AU450" i="1"/>
  <c r="AU901" i="1"/>
  <c r="AU301" i="1"/>
  <c r="AU870" i="1"/>
  <c r="AU768" i="1"/>
  <c r="AU328" i="1"/>
  <c r="AT346" i="1"/>
  <c r="AT585" i="1"/>
  <c r="AU594" i="1"/>
  <c r="AT851" i="1"/>
  <c r="AU1116" i="1"/>
  <c r="AU226" i="1"/>
  <c r="AU117" i="1"/>
  <c r="AT741" i="1"/>
  <c r="AT440" i="1"/>
  <c r="AT1043" i="1"/>
  <c r="AT921" i="1"/>
  <c r="AT577" i="1"/>
  <c r="AU370" i="1"/>
  <c r="AT983" i="1"/>
  <c r="AU805" i="1"/>
  <c r="AU222" i="1"/>
  <c r="AU1048" i="1"/>
  <c r="AT349" i="1"/>
  <c r="AU93" i="1"/>
  <c r="AU518" i="1"/>
  <c r="AU849" i="1"/>
  <c r="AT380" i="1"/>
  <c r="AT923" i="1"/>
  <c r="AT1077" i="1"/>
  <c r="AT713" i="1"/>
  <c r="AU278" i="1"/>
  <c r="AU710" i="1"/>
  <c r="AU346" i="1"/>
  <c r="AT1113" i="1"/>
  <c r="AU334" i="1"/>
  <c r="AU892" i="1"/>
  <c r="AT855" i="1"/>
  <c r="AT895" i="1"/>
  <c r="AU203" i="1"/>
  <c r="AT210" i="1"/>
  <c r="AT383" i="1"/>
  <c r="AU127" i="1"/>
  <c r="AT633" i="1"/>
  <c r="AT420" i="1"/>
  <c r="AU217" i="1"/>
  <c r="AT195" i="1"/>
  <c r="AT115" i="1"/>
  <c r="AU269" i="1"/>
  <c r="AT132" i="1"/>
  <c r="AU254" i="1"/>
  <c r="AT1064" i="1"/>
  <c r="AU833" i="1"/>
  <c r="AT927" i="1"/>
  <c r="AU767" i="1"/>
  <c r="AT129" i="1"/>
  <c r="AT709" i="1"/>
  <c r="AT691" i="1"/>
  <c r="AU537" i="1"/>
  <c r="AT436" i="1"/>
  <c r="AU799" i="1"/>
  <c r="AT317" i="1"/>
  <c r="AU588" i="1"/>
  <c r="AT173" i="1"/>
  <c r="AT744" i="1"/>
  <c r="AT477" i="1"/>
  <c r="AU711" i="1"/>
  <c r="AU494" i="1"/>
  <c r="AU504" i="1"/>
  <c r="AU745" i="1"/>
  <c r="AT695" i="1"/>
  <c r="AU74" i="1"/>
  <c r="AU619" i="1"/>
  <c r="AT222" i="1"/>
  <c r="AU326" i="1"/>
  <c r="AT363" i="1"/>
  <c r="AU587" i="1"/>
  <c r="AT413" i="1"/>
  <c r="AU682" i="1"/>
  <c r="AU159" i="1"/>
  <c r="AT905" i="1"/>
  <c r="AT954" i="1"/>
  <c r="AT249" i="1"/>
  <c r="AT712" i="1"/>
  <c r="AT1093" i="1"/>
  <c r="AU259" i="1"/>
  <c r="AT246" i="1"/>
  <c r="AU839" i="1"/>
  <c r="AU69" i="1"/>
  <c r="AT790" i="1"/>
  <c r="AT681" i="1"/>
  <c r="AT144" i="1"/>
  <c r="AT157" i="1"/>
  <c r="AT342" i="1"/>
  <c r="AU398" i="1"/>
  <c r="AU1120" i="1"/>
  <c r="AU750" i="1"/>
  <c r="AU163" i="1"/>
  <c r="AT987" i="1"/>
  <c r="AU70" i="1"/>
  <c r="AT957" i="1"/>
  <c r="AU449" i="1"/>
  <c r="AU347" i="1"/>
  <c r="AU689" i="1"/>
  <c r="AU944" i="1"/>
  <c r="AU656" i="1"/>
  <c r="AU560" i="1"/>
  <c r="AT988" i="1"/>
  <c r="AT471" i="1"/>
  <c r="AU924" i="1"/>
  <c r="AU245" i="1"/>
  <c r="AU788" i="1"/>
  <c r="AT321" i="1"/>
  <c r="AU1066" i="1"/>
  <c r="AU224" i="1"/>
  <c r="AT1000" i="1"/>
  <c r="AU189" i="1"/>
  <c r="AU977" i="1"/>
  <c r="AT350" i="1"/>
  <c r="AT476" i="1"/>
  <c r="AT411" i="1"/>
  <c r="AT518" i="1"/>
  <c r="AU155" i="1"/>
  <c r="AT463" i="1"/>
  <c r="AU626" i="1"/>
  <c r="AT403" i="1"/>
  <c r="AU576" i="1"/>
  <c r="AT388" i="1"/>
  <c r="AU653" i="1"/>
  <c r="AU531" i="1"/>
  <c r="AT874" i="1"/>
  <c r="AT299" i="1"/>
  <c r="AT441" i="1"/>
  <c r="AT1170" i="1"/>
  <c r="AT1141" i="1"/>
  <c r="AU1137" i="1"/>
  <c r="AU865" i="1"/>
  <c r="AU1101" i="1"/>
  <c r="AU147" i="1"/>
  <c r="AU457" i="1"/>
  <c r="AT539" i="1"/>
  <c r="AT227" i="1"/>
  <c r="AT503" i="1"/>
  <c r="AT1151" i="1"/>
  <c r="AU716" i="1"/>
  <c r="AU81" i="1"/>
  <c r="AT779" i="1"/>
  <c r="AT1002" i="1"/>
  <c r="AU444" i="1"/>
  <c r="AU214" i="1"/>
  <c r="AT571" i="1"/>
  <c r="AT345" i="1"/>
  <c r="AU808" i="1"/>
  <c r="AU520" i="1"/>
  <c r="AU662" i="1"/>
  <c r="AT1137" i="1"/>
  <c r="AT469" i="1"/>
  <c r="AT934" i="1"/>
  <c r="AT648" i="1"/>
  <c r="AU380" i="1"/>
  <c r="AT232" i="1"/>
  <c r="AU517" i="1"/>
  <c r="AT1041" i="1"/>
  <c r="AU777" i="1"/>
  <c r="AT778" i="1"/>
  <c r="AT391" i="1"/>
  <c r="AU511" i="1"/>
  <c r="AT92" i="1"/>
  <c r="AU367" i="1"/>
  <c r="AT1055" i="1"/>
  <c r="AT407" i="1"/>
  <c r="AU955" i="1"/>
  <c r="AU167" i="1"/>
  <c r="AT422" i="1"/>
  <c r="AU1009" i="1"/>
  <c r="AT332" i="1"/>
  <c r="AT155" i="1"/>
  <c r="AU935" i="1"/>
  <c r="AU496" i="1"/>
  <c r="AT270" i="1"/>
  <c r="AU166" i="1"/>
  <c r="AU623" i="1"/>
  <c r="AT400" i="1"/>
  <c r="AT353" i="1"/>
  <c r="AT708" i="1"/>
  <c r="AT842" i="1"/>
  <c r="AT198" i="1"/>
  <c r="AU1058" i="1"/>
  <c r="AU719" i="1"/>
  <c r="AU657" i="1"/>
  <c r="AU108" i="1"/>
  <c r="AT337" i="1"/>
  <c r="AT818" i="1"/>
  <c r="AT483" i="1"/>
  <c r="AU230" i="1"/>
  <c r="AT98" i="1"/>
  <c r="AT731" i="1"/>
  <c r="AU417" i="1"/>
  <c r="AT409" i="1"/>
  <c r="AU162" i="1"/>
  <c r="AU132" i="1"/>
  <c r="AU666" i="1"/>
  <c r="AU433" i="1"/>
  <c r="AT215" i="1"/>
  <c r="AU442" i="1"/>
  <c r="AU418" i="1"/>
  <c r="AU198" i="1"/>
  <c r="AU321" i="1"/>
  <c r="AU897" i="1"/>
  <c r="AT457" i="1"/>
  <c r="AU994" i="1"/>
  <c r="AT862" i="1"/>
  <c r="AU184" i="1"/>
  <c r="AU412" i="1"/>
  <c r="AT239" i="1"/>
  <c r="AT496" i="1"/>
  <c r="AU205" i="1"/>
  <c r="AT643" i="1"/>
  <c r="AU545" i="1"/>
  <c r="AU105" i="1"/>
  <c r="AU498" i="1"/>
  <c r="AU487" i="1"/>
  <c r="AT450" i="1"/>
  <c r="AU597" i="1"/>
  <c r="AT196" i="1"/>
  <c r="AU135" i="1"/>
  <c r="AT836" i="1"/>
  <c r="AU686" i="1"/>
  <c r="AU271" i="1"/>
  <c r="AU1123" i="1"/>
  <c r="AU990" i="1"/>
  <c r="AU664" i="1"/>
  <c r="AT865" i="1"/>
  <c r="AT254" i="1"/>
  <c r="AU1025" i="1"/>
  <c r="AT872" i="1"/>
  <c r="AT597" i="1"/>
  <c r="AU469" i="1"/>
  <c r="AU1047" i="1"/>
  <c r="AT322" i="1"/>
  <c r="AU1124" i="1"/>
  <c r="AU787" i="1"/>
  <c r="AT429" i="1"/>
  <c r="AT1145" i="1"/>
  <c r="AU995" i="1"/>
  <c r="AU878" i="1"/>
  <c r="AU1070" i="1"/>
  <c r="AU978" i="1"/>
  <c r="AT397" i="1"/>
  <c r="AT278" i="1"/>
  <c r="AU323" i="1"/>
  <c r="AU76" i="1"/>
  <c r="AT465" i="1"/>
  <c r="AT528" i="1"/>
  <c r="AT972" i="1"/>
  <c r="AT498" i="1"/>
  <c r="AT995" i="1"/>
  <c r="AT555" i="1"/>
  <c r="AT461" i="1"/>
  <c r="AT1099" i="1"/>
  <c r="AT181" i="1"/>
  <c r="AU966" i="1"/>
  <c r="AU1032" i="1"/>
  <c r="AT167" i="1"/>
  <c r="AU565" i="1"/>
  <c r="AU651" i="1"/>
  <c r="AT340" i="1"/>
  <c r="AU289" i="1"/>
  <c r="AT599" i="1"/>
  <c r="AT381" i="1"/>
  <c r="AT85" i="1"/>
  <c r="AU1026" i="1"/>
  <c r="AT95" i="1"/>
  <c r="AT1146" i="1"/>
  <c r="AU231" i="1"/>
  <c r="AT487" i="1"/>
  <c r="AT1026" i="1"/>
  <c r="AT234" i="1"/>
  <c r="AT538" i="1"/>
  <c r="AT382" i="1"/>
  <c r="AT1182" i="1"/>
  <c r="AT370" i="1"/>
  <c r="AU479" i="1"/>
  <c r="AU201" i="1"/>
  <c r="AT170" i="1"/>
  <c r="AT490" i="1"/>
  <c r="AT1120" i="1"/>
  <c r="AU190" i="1"/>
  <c r="AU121" i="1"/>
  <c r="AT253" i="1"/>
  <c r="AU613" i="1"/>
  <c r="AU91" i="1"/>
  <c r="AU743" i="1"/>
  <c r="AU807" i="1"/>
  <c r="AT1115" i="1"/>
  <c r="AT1181" i="1"/>
  <c r="AT396" i="1"/>
  <c r="AU721" i="1"/>
  <c r="AT625" i="1"/>
  <c r="AU563" i="1"/>
  <c r="AT601" i="1"/>
  <c r="AU151" i="1"/>
  <c r="AU639" i="1"/>
  <c r="AU643" i="1"/>
  <c r="AT117" i="1"/>
  <c r="AU176" i="1"/>
  <c r="AT298" i="1"/>
  <c r="AU605" i="1"/>
  <c r="AU475" i="1"/>
  <c r="AT105" i="1"/>
  <c r="AU173" i="1"/>
  <c r="AT663" i="1"/>
  <c r="AU699" i="1"/>
  <c r="AT735" i="1"/>
  <c r="AU298" i="1"/>
  <c r="AU893" i="1"/>
  <c r="AT831" i="1"/>
  <c r="AT199" i="1"/>
  <c r="AT162" i="1"/>
  <c r="AU779" i="1"/>
  <c r="AU1119" i="1"/>
  <c r="AU726" i="1"/>
  <c r="AU770" i="1"/>
  <c r="AU795" i="1"/>
  <c r="AT134" i="1"/>
  <c r="AT982" i="1"/>
  <c r="AU197" i="1"/>
  <c r="AU415" i="1"/>
  <c r="AU1107" i="1"/>
  <c r="AT990" i="1"/>
  <c r="AT664" i="1"/>
  <c r="AU577" i="1"/>
  <c r="AU1179" i="1"/>
  <c r="AU158" i="1"/>
  <c r="AU895" i="1"/>
  <c r="AT307" i="1"/>
  <c r="AT309" i="1"/>
  <c r="AU131" i="1"/>
  <c r="AT786" i="1"/>
  <c r="AT335" i="1"/>
  <c r="AU154" i="1"/>
  <c r="AU180" i="1"/>
  <c r="AT981" i="1"/>
  <c r="AU541" i="1"/>
  <c r="AU373" i="1"/>
  <c r="AT333" i="1"/>
  <c r="AU287" i="1"/>
  <c r="AT807" i="1"/>
  <c r="AU427" i="1"/>
  <c r="AU238" i="1"/>
  <c r="AU350" i="1"/>
  <c r="AT96" i="1"/>
  <c r="AU363" i="1"/>
  <c r="AU182" i="1"/>
  <c r="AU982" i="1"/>
  <c r="AT720" i="1"/>
  <c r="AT659" i="1"/>
  <c r="AU618" i="1"/>
  <c r="AU191" i="1"/>
  <c r="AT206" i="1"/>
  <c r="AT622" i="1"/>
  <c r="AU599" i="1"/>
  <c r="AT1089" i="1"/>
  <c r="AT976" i="1"/>
  <c r="AU261" i="1"/>
  <c r="AT106" i="1"/>
  <c r="AU251" i="1"/>
  <c r="AU318" i="1"/>
  <c r="AU137" i="1"/>
  <c r="AU317" i="1"/>
  <c r="AT101" i="1"/>
  <c r="AT544" i="1"/>
  <c r="AT970" i="1"/>
  <c r="AU712" i="1"/>
  <c r="AT653" i="1"/>
  <c r="AU440" i="1"/>
  <c r="AU273" i="1"/>
  <c r="AT250" i="1"/>
  <c r="AU409" i="1"/>
  <c r="AU481" i="1"/>
  <c r="AU138" i="1"/>
  <c r="AT172" i="1"/>
  <c r="AU410" i="1"/>
  <c r="AT150" i="1"/>
  <c r="AU181" i="1"/>
  <c r="AU542" i="1"/>
  <c r="AU1014" i="1"/>
  <c r="AT530" i="1"/>
  <c r="AT817" i="1"/>
  <c r="AT944" i="1"/>
  <c r="AT710" i="1"/>
  <c r="AU204" i="1"/>
  <c r="AU1038" i="1"/>
  <c r="AT294" i="1"/>
  <c r="AU304" i="1"/>
  <c r="AU343" i="1"/>
  <c r="AT721" i="1"/>
  <c r="AT991" i="1"/>
  <c r="AU1004" i="1"/>
  <c r="AT103" i="1"/>
  <c r="AT672" i="1"/>
  <c r="AU1104" i="1"/>
  <c r="AU128" i="1"/>
  <c r="AT1153" i="1"/>
  <c r="AT994" i="1"/>
  <c r="AT385" i="1"/>
  <c r="AT263" i="1"/>
  <c r="AT942" i="1"/>
  <c r="AU616" i="1"/>
  <c r="AU1131" i="1"/>
  <c r="AU316" i="1"/>
  <c r="AT305" i="1"/>
  <c r="AU596" i="1"/>
  <c r="AU1095" i="1"/>
  <c r="AU635" i="1"/>
  <c r="AU405" i="1"/>
  <c r="AT607" i="1"/>
  <c r="AU196" i="1"/>
  <c r="AT1061" i="1"/>
  <c r="AT889" i="1"/>
  <c r="AT497" i="1"/>
  <c r="AU471" i="1"/>
  <c r="AU342" i="1"/>
  <c r="AT205" i="1"/>
  <c r="AT618" i="1"/>
  <c r="AU665" i="1"/>
  <c r="AU438" i="1"/>
  <c r="AU107" i="1"/>
  <c r="AT473" i="1"/>
  <c r="AT110" i="1"/>
  <c r="AU562" i="1"/>
  <c r="AT884" i="1"/>
  <c r="AU601" i="1"/>
  <c r="AU624" i="1"/>
  <c r="AT126" i="1"/>
  <c r="AT180" i="1"/>
  <c r="AU463" i="1"/>
  <c r="AU368" i="1"/>
  <c r="AT444" i="1"/>
  <c r="AU1129" i="1"/>
  <c r="AU333" i="1"/>
  <c r="AT549" i="1"/>
  <c r="AU406" i="1"/>
  <c r="AT1194" i="1"/>
  <c r="AT414" i="1"/>
  <c r="AU1046" i="1"/>
  <c r="AT581" i="1"/>
  <c r="AU690" i="1"/>
  <c r="AU679" i="1"/>
  <c r="AT565" i="1"/>
  <c r="AT646" i="1"/>
  <c r="AU239" i="1"/>
  <c r="AU116" i="1"/>
  <c r="AU393" i="1"/>
  <c r="AU581" i="1"/>
  <c r="AU652" i="1"/>
  <c r="AU384" i="1"/>
  <c r="AT553" i="1"/>
  <c r="AU110" i="1"/>
  <c r="AT529" i="1"/>
  <c r="AT647" i="1"/>
  <c r="AU961" i="1"/>
  <c r="AU1091" i="1"/>
  <c r="AU1122" i="1"/>
  <c r="AU391" i="1"/>
  <c r="AT1056" i="1"/>
  <c r="AU464" i="1"/>
  <c r="AU170" i="1"/>
  <c r="AT91" i="1"/>
  <c r="AT700" i="1"/>
  <c r="AT603" i="1"/>
  <c r="AT888" i="1"/>
  <c r="AT313" i="1"/>
  <c r="AU728" i="1"/>
  <c r="AU262" i="1"/>
  <c r="AU896" i="1"/>
  <c r="AU925" i="1"/>
  <c r="AU909" i="1"/>
  <c r="AT378" i="1"/>
  <c r="AU1151" i="1"/>
  <c r="AU1077" i="1"/>
  <c r="AU462" i="1"/>
  <c r="AT868" i="1"/>
  <c r="AT808" i="1"/>
  <c r="AU786" i="1"/>
  <c r="AT662" i="1"/>
  <c r="AT75" i="1"/>
  <c r="AT821" i="1"/>
  <c r="AT377" i="1"/>
  <c r="AT223" i="1"/>
  <c r="AT623" i="1"/>
  <c r="AT466" i="1"/>
  <c r="AT384" i="1"/>
  <c r="AT311" i="1"/>
  <c r="AU308" i="1"/>
  <c r="AT218" i="1"/>
  <c r="AU403" i="1"/>
  <c r="AU607" i="1"/>
  <c r="AU291" i="1"/>
  <c r="AU843" i="1"/>
  <c r="AU429" i="1"/>
  <c r="AT266" i="1"/>
  <c r="AT526" i="1"/>
  <c r="AU71" i="1"/>
  <c r="AU1113" i="1"/>
  <c r="AT116" i="1"/>
  <c r="AU148" i="1"/>
  <c r="AT532" i="1"/>
  <c r="AU456" i="1"/>
  <c r="AT515" i="1"/>
  <c r="AU282" i="1"/>
  <c r="AT979" i="1"/>
  <c r="AU78" i="1"/>
  <c r="AT1144" i="1"/>
  <c r="AT183" i="1"/>
  <c r="AT354" i="1"/>
  <c r="AU636" i="1"/>
  <c r="AU473" i="1"/>
  <c r="AU448" i="1"/>
  <c r="AU430" i="1"/>
  <c r="AU1075" i="1"/>
  <c r="AU210" i="1"/>
  <c r="AT306" i="1"/>
  <c r="AT541" i="1"/>
  <c r="AU841" i="1"/>
  <c r="AU1147" i="1"/>
  <c r="AT427" i="1"/>
  <c r="AU1135" i="1"/>
  <c r="AU1063" i="1"/>
  <c r="AU645" i="1"/>
  <c r="AU744" i="1"/>
  <c r="AU341" i="1"/>
  <c r="AT701" i="1"/>
  <c r="AU1153" i="1"/>
  <c r="AU940" i="1"/>
  <c r="AU1039" i="1"/>
  <c r="AU739" i="1"/>
  <c r="AU776" i="1"/>
  <c r="AT775" i="1"/>
  <c r="AT900" i="1"/>
  <c r="AT1123" i="1"/>
  <c r="AT189" i="1"/>
  <c r="AU692" i="1"/>
  <c r="AU358" i="1"/>
  <c r="AT168" i="1"/>
  <c r="AU129" i="1"/>
  <c r="AU299" i="1"/>
  <c r="AT1073" i="1"/>
  <c r="AT612" i="1"/>
  <c r="AT1171" i="1"/>
  <c r="AU762" i="1"/>
  <c r="AU397" i="1"/>
  <c r="AU696" i="1"/>
  <c r="AT658" i="1"/>
  <c r="AT811" i="1"/>
  <c r="AT886" i="1"/>
  <c r="AU497" i="1"/>
  <c r="AT1024" i="1"/>
  <c r="AT1173" i="1"/>
  <c r="AT706" i="1"/>
  <c r="AU144" i="1"/>
  <c r="AT739" i="1"/>
  <c r="AU516" i="1"/>
  <c r="AT1140" i="1"/>
  <c r="AU861" i="1"/>
  <c r="AT780" i="1"/>
  <c r="AU804" i="1"/>
  <c r="AT878" i="1"/>
  <c r="AU1062" i="1"/>
  <c r="AU951" i="1"/>
  <c r="AT372" i="1"/>
  <c r="AT1051" i="1"/>
  <c r="AT272" i="1"/>
  <c r="AT1079" i="1"/>
  <c r="AT892" i="1"/>
  <c r="AU1034" i="1"/>
  <c r="AU426" i="1"/>
  <c r="AU1162" i="1"/>
  <c r="AT373" i="1"/>
  <c r="AU513" i="1"/>
  <c r="AU929" i="1"/>
  <c r="AT1091" i="1"/>
  <c r="AT793" i="1"/>
  <c r="AT1050" i="1"/>
  <c r="AT798" i="1"/>
  <c r="AT573" i="1"/>
  <c r="AU195" i="1"/>
  <c r="AU428" i="1"/>
  <c r="AU823" i="1"/>
  <c r="AT1176" i="1"/>
  <c r="AT268" i="1"/>
  <c r="AT426" i="1"/>
  <c r="AU1057" i="1"/>
  <c r="AT1121" i="1"/>
  <c r="AU754" i="1"/>
  <c r="AU1111" i="1"/>
  <c r="AU749" i="1"/>
  <c r="AT694" i="1"/>
  <c r="AT1025" i="1"/>
  <c r="AU973" i="1"/>
  <c r="AU152" i="1"/>
  <c r="AT848" i="1"/>
  <c r="AU668" i="1"/>
  <c r="AT462" i="1"/>
  <c r="AT834" i="1"/>
  <c r="AT909" i="1"/>
  <c r="AU883" i="1"/>
  <c r="AU1019" i="1"/>
  <c r="AT683" i="1"/>
  <c r="AT240" i="1"/>
  <c r="AT698" i="1"/>
  <c r="AU1198" i="1"/>
  <c r="AU361" i="1"/>
  <c r="AT791" i="1"/>
  <c r="AU212" i="1"/>
  <c r="AT394" i="1"/>
  <c r="AU1182" i="1"/>
  <c r="AU1125" i="1"/>
  <c r="AU953" i="1"/>
  <c r="AT950" i="1"/>
  <c r="AU1044" i="1"/>
  <c r="AT697" i="1"/>
  <c r="AT727" i="1"/>
  <c r="AT76" i="1"/>
  <c r="AU447" i="1"/>
  <c r="AU86" i="1"/>
  <c r="AU376" i="1"/>
  <c r="AT724" i="1"/>
  <c r="AU300" i="1"/>
  <c r="AU674" i="1"/>
  <c r="AU678" i="1"/>
  <c r="AU486" i="1"/>
  <c r="AU432" i="1"/>
  <c r="AT752" i="1"/>
  <c r="AU967" i="1"/>
  <c r="AU499" i="1"/>
  <c r="AU145" i="1"/>
  <c r="AU514" i="1"/>
  <c r="AT985" i="1"/>
  <c r="AT504" i="1"/>
  <c r="AT833" i="1"/>
  <c r="AU419" i="1"/>
  <c r="AU194" i="1"/>
  <c r="AU1028" i="1"/>
  <c r="AU232" i="1"/>
  <c r="AT235" i="1"/>
  <c r="AT519" i="1"/>
  <c r="AT107" i="1"/>
  <c r="AT303" i="1"/>
  <c r="AU844" i="1"/>
  <c r="AT415" i="1"/>
  <c r="AU758" i="1"/>
  <c r="AU1155" i="1"/>
  <c r="AU1081" i="1"/>
  <c r="AT280" i="1"/>
  <c r="AU327" i="1"/>
  <c r="AT80" i="1"/>
  <c r="AT806" i="1"/>
  <c r="AT1104" i="1"/>
  <c r="AU567" i="1"/>
  <c r="AT304" i="1"/>
  <c r="AU266" i="1"/>
  <c r="AU1024" i="1"/>
  <c r="AT113" i="1"/>
  <c r="AT732" i="1"/>
  <c r="AT366" i="1"/>
  <c r="AU812" i="1"/>
  <c r="AU1197" i="1"/>
  <c r="AT286" i="1"/>
  <c r="AT1114" i="1"/>
  <c r="AT174" i="1"/>
  <c r="AT220" i="1"/>
  <c r="AT668" i="1"/>
  <c r="AT188" i="1"/>
  <c r="AT87" i="1"/>
  <c r="AT244" i="1"/>
  <c r="AT364" i="1"/>
  <c r="AT1033" i="1"/>
  <c r="AU975" i="1"/>
  <c r="AT973" i="1"/>
  <c r="AT315" i="1"/>
  <c r="AT989" i="1"/>
  <c r="AT869" i="1"/>
  <c r="AT924" i="1"/>
  <c r="AT374" i="1"/>
  <c r="AU1185" i="1"/>
  <c r="AT1187" i="1"/>
  <c r="AU1136" i="1"/>
  <c r="AU1080" i="1"/>
  <c r="AU943" i="1"/>
  <c r="AT773" i="1"/>
  <c r="AU1127" i="1"/>
  <c r="AU1054" i="1"/>
  <c r="AU923" i="1"/>
  <c r="AU838" i="1"/>
  <c r="AT703" i="1"/>
  <c r="AU998" i="1"/>
  <c r="AU586" i="1"/>
  <c r="AT1005" i="1"/>
  <c r="AU549" i="1"/>
  <c r="AU765" i="1"/>
  <c r="AT723" i="1"/>
  <c r="AU284" i="1"/>
  <c r="AT1057" i="1"/>
  <c r="AU934" i="1"/>
  <c r="AU345" i="1"/>
  <c r="AU366" i="1"/>
  <c r="AT127" i="1"/>
  <c r="AT123" i="1"/>
  <c r="AT999" i="1"/>
  <c r="AU79" i="1"/>
  <c r="AU584" i="1"/>
  <c r="AT282" i="1"/>
  <c r="AT358" i="1"/>
  <c r="AU1110" i="1"/>
  <c r="AT287" i="1"/>
  <c r="AT431" i="1"/>
  <c r="AT707" i="1"/>
  <c r="AT1185" i="1"/>
  <c r="AU1161" i="1"/>
  <c r="AT609" i="1"/>
  <c r="AU638" i="1"/>
  <c r="AU1181" i="1"/>
  <c r="AT734" i="1"/>
  <c r="AU718" i="1"/>
  <c r="AT1169" i="1"/>
  <c r="AT1022" i="1"/>
  <c r="AU884" i="1"/>
  <c r="AU930" i="1"/>
  <c r="AU348" i="1"/>
  <c r="AU272" i="1"/>
  <c r="AU885" i="1"/>
  <c r="AT795" i="1"/>
  <c r="AT910" i="1"/>
  <c r="AU178" i="1"/>
  <c r="AU850" i="1"/>
  <c r="AU986" i="1"/>
  <c r="AU780" i="1"/>
  <c r="AT740" i="1"/>
  <c r="AT1108" i="1"/>
  <c r="AT288" i="1"/>
  <c r="AU413" i="1"/>
  <c r="AT675" i="1"/>
  <c r="AU356" i="1"/>
  <c r="AU102" i="1"/>
  <c r="AT119" i="1"/>
  <c r="AT1103" i="1"/>
  <c r="AT844" i="1"/>
  <c r="AU1134" i="1"/>
  <c r="AU793" i="1"/>
  <c r="AU900" i="1"/>
  <c r="AU1138" i="1"/>
  <c r="AU1145" i="1"/>
  <c r="AT1150" i="1"/>
  <c r="AT86" i="1"/>
  <c r="AT1186" i="1"/>
  <c r="AU960" i="1"/>
  <c r="AU851" i="1"/>
  <c r="AU894" i="1"/>
  <c r="AT1038" i="1"/>
  <c r="AT715" i="1"/>
  <c r="AU859" i="1"/>
  <c r="AT932" i="1"/>
  <c r="AT767" i="1"/>
  <c r="AU1102" i="1"/>
  <c r="AU280" i="1"/>
  <c r="AT805" i="1"/>
  <c r="AT94" i="1"/>
  <c r="AT293" i="1"/>
  <c r="AU458" i="1"/>
  <c r="AU983" i="1"/>
  <c r="AT1071" i="1"/>
  <c r="AT788" i="1"/>
  <c r="AT1054" i="1"/>
  <c r="AT1060" i="1"/>
  <c r="AT1157" i="1"/>
  <c r="AT809" i="1"/>
  <c r="AT114" i="1"/>
  <c r="AT852" i="1"/>
  <c r="AT219" i="1"/>
  <c r="AU947" i="1"/>
  <c r="AT334" i="1"/>
  <c r="AT1132" i="1"/>
  <c r="AT1128" i="1"/>
  <c r="AU460" i="1"/>
  <c r="AT859" i="1"/>
  <c r="AU985" i="1"/>
  <c r="AU828" i="1"/>
  <c r="AT164" i="1"/>
  <c r="AU819" i="1"/>
  <c r="AU104" i="1"/>
  <c r="AT1096" i="1"/>
  <c r="AU603" i="1"/>
  <c r="AU394" i="1"/>
  <c r="AT552" i="1"/>
  <c r="AT261" i="1"/>
  <c r="AT1118" i="1"/>
  <c r="AU352" i="1"/>
  <c r="AU1140" i="1"/>
  <c r="AT568" i="1"/>
  <c r="AU139" i="1"/>
  <c r="AU522" i="1"/>
  <c r="AU846" i="1"/>
  <c r="AT438" i="1"/>
  <c r="AT264" i="1"/>
  <c r="AU389" i="1"/>
  <c r="AU461" i="1"/>
  <c r="AT907" i="1"/>
  <c r="AU709" i="1"/>
  <c r="AT281" i="1"/>
  <c r="AU698" i="1"/>
  <c r="AU1117" i="1"/>
  <c r="AU294" i="1"/>
  <c r="AU561" i="1"/>
  <c r="AU821" i="1"/>
  <c r="AU877" i="1"/>
  <c r="AT753" i="1"/>
  <c r="AT419" i="1"/>
  <c r="AU237" i="1"/>
  <c r="AT726" i="1"/>
  <c r="AU314" i="1"/>
  <c r="AU996" i="1"/>
  <c r="AT395" i="1"/>
  <c r="AU1186" i="1"/>
  <c r="AU1035" i="1"/>
  <c r="AT838" i="1"/>
  <c r="AT750" i="1"/>
  <c r="AT827" i="1"/>
  <c r="AT1154" i="1"/>
  <c r="AU855" i="1"/>
  <c r="AU1098" i="1"/>
  <c r="AU675" i="1"/>
  <c r="AT971" i="1"/>
  <c r="AT931" i="1"/>
  <c r="AT371" i="1"/>
  <c r="AU881" i="1"/>
  <c r="AT1126" i="1"/>
  <c r="AT521" i="1"/>
  <c r="AU1160" i="1"/>
  <c r="AU111" i="1"/>
  <c r="AU260" i="1"/>
  <c r="AU437" i="1"/>
  <c r="AT619" i="1"/>
  <c r="AU766" i="1"/>
  <c r="AT765" i="1"/>
  <c r="AT455" i="1"/>
  <c r="AT1015" i="1"/>
  <c r="AT640" i="1"/>
  <c r="AT628" i="1"/>
  <c r="AT551" i="1"/>
  <c r="AT629" i="1"/>
  <c r="AU1149" i="1"/>
  <c r="AU1074" i="1"/>
  <c r="AU219" i="1"/>
  <c r="AT996" i="1"/>
  <c r="AT1101" i="1"/>
  <c r="AT187" i="1"/>
  <c r="AT867" i="1"/>
  <c r="AT940" i="1"/>
  <c r="AU1157" i="1"/>
  <c r="AT880" i="1"/>
  <c r="AT1019" i="1"/>
  <c r="AU1084" i="1"/>
  <c r="AU781" i="1"/>
  <c r="AU1173" i="1"/>
  <c r="AU756" i="1"/>
  <c r="AT814" i="1"/>
  <c r="AT602" i="1"/>
  <c r="AU658" i="1"/>
  <c r="AU939" i="1"/>
  <c r="AT974" i="1"/>
  <c r="AT631" i="1"/>
  <c r="AU1156" i="1"/>
  <c r="AU382" i="1"/>
  <c r="AU551" i="1"/>
  <c r="AT312" i="1"/>
  <c r="AT1063" i="1"/>
  <c r="AU625" i="1"/>
  <c r="AU1018" i="1"/>
  <c r="AU1090" i="1"/>
  <c r="AT1124" i="1"/>
  <c r="AT877" i="1"/>
  <c r="AT885" i="1"/>
  <c r="AU1096" i="1"/>
  <c r="AU395" i="1"/>
  <c r="AT816" i="1"/>
  <c r="AT230" i="1"/>
  <c r="AU898" i="1"/>
  <c r="AU1068" i="1"/>
  <c r="AT690" i="1"/>
  <c r="AU834" i="1"/>
  <c r="AT74" i="1"/>
  <c r="AU1089" i="1"/>
  <c r="AT1095" i="1"/>
  <c r="AU933" i="1"/>
  <c r="AU554" i="1"/>
  <c r="AU963" i="1"/>
  <c r="AU1049" i="1"/>
  <c r="AT316" i="1"/>
  <c r="AU737" i="1"/>
  <c r="AT589" i="1"/>
  <c r="AT829" i="1"/>
  <c r="AT1148" i="1"/>
  <c r="AT1107" i="1"/>
  <c r="AT1149" i="1"/>
  <c r="AU989" i="1"/>
  <c r="AT747" i="1"/>
  <c r="AU490" i="1"/>
  <c r="AT792" i="1"/>
  <c r="AU818" i="1"/>
  <c r="AU168" i="1"/>
  <c r="AU82" i="1"/>
  <c r="AU396" i="1"/>
  <c r="AT439" i="1"/>
  <c r="AT453" i="1"/>
  <c r="AU733" i="1"/>
  <c r="AT1192" i="1"/>
  <c r="AT645" i="1"/>
  <c r="AU1022" i="1"/>
  <c r="AU972" i="1"/>
  <c r="AU771" i="1"/>
  <c r="AT687" i="1"/>
  <c r="AT810" i="1"/>
  <c r="AU631" i="1"/>
  <c r="AU543" i="1"/>
  <c r="AU1175" i="1"/>
  <c r="AU1105" i="1"/>
  <c r="AT1163" i="1"/>
  <c r="AU1200" i="1"/>
  <c r="AU364" i="1"/>
  <c r="AT692" i="1"/>
  <c r="AT111" i="1"/>
  <c r="AU706" i="1"/>
  <c r="AU663" i="1"/>
  <c r="AT1032" i="1"/>
  <c r="AU240" i="1"/>
  <c r="AT204" i="1"/>
  <c r="AU544" i="1"/>
  <c r="AU215" i="1"/>
  <c r="AU459" i="1"/>
  <c r="AT393" i="1"/>
  <c r="AT217" i="1"/>
  <c r="AU646" i="1"/>
  <c r="AT319" i="1"/>
  <c r="AT591" i="1"/>
  <c r="AT207" i="1"/>
  <c r="AT131" i="1"/>
  <c r="AU335" i="1"/>
  <c r="AU420" i="1"/>
  <c r="AT389" i="1"/>
  <c r="AT327" i="1"/>
  <c r="AU400" i="1"/>
  <c r="AT410" i="1"/>
  <c r="AT154" i="1"/>
  <c r="AT478" i="1"/>
  <c r="AU622" i="1"/>
  <c r="AT392" i="1"/>
  <c r="AT348" i="1"/>
  <c r="AT613" i="1"/>
  <c r="AT580" i="1"/>
  <c r="AT605" i="1"/>
  <c r="AT297" i="1"/>
  <c r="AT736" i="1"/>
  <c r="AT151" i="1"/>
  <c r="AT860" i="1"/>
  <c r="AT145" i="1"/>
  <c r="AU761" i="1"/>
  <c r="AT121" i="1"/>
  <c r="AU648" i="1"/>
  <c r="AT404" i="1"/>
  <c r="AT887" i="1"/>
  <c r="AU92" i="1"/>
  <c r="AT284" i="1"/>
  <c r="AU305" i="1"/>
  <c r="AT559" i="1"/>
  <c r="AU540" i="1"/>
  <c r="AT689" i="1"/>
  <c r="AU375" i="1"/>
  <c r="AT242" i="1"/>
  <c r="AU338" i="1"/>
  <c r="AU103" i="1"/>
  <c r="AU445" i="1"/>
  <c r="AU524" i="1"/>
  <c r="AU997" i="1"/>
  <c r="AT118" i="1"/>
  <c r="AU1056" i="1"/>
  <c r="AU811" i="1"/>
  <c r="AT920" i="1"/>
  <c r="AT785" i="1"/>
  <c r="AU962" i="1"/>
  <c r="AU436" i="1"/>
  <c r="AT696" i="1"/>
  <c r="AT575" i="1"/>
  <c r="AT936" i="1"/>
  <c r="AU1139" i="1"/>
  <c r="AT1059" i="1"/>
  <c r="AU85" i="1"/>
  <c r="AT522" i="1"/>
  <c r="AT815" i="1"/>
  <c r="AT772" i="1"/>
  <c r="AT686" i="1"/>
  <c r="AU847" i="1"/>
  <c r="AU1043" i="1"/>
  <c r="AT1175" i="1"/>
  <c r="AT956" i="1"/>
  <c r="AT725" i="1"/>
  <c r="AU1030" i="1"/>
  <c r="AT252" i="1"/>
  <c r="AU602" i="1"/>
  <c r="AT1004" i="1"/>
  <c r="AU483" i="1"/>
  <c r="AT685" i="1"/>
  <c r="AU936" i="1"/>
  <c r="AT1074" i="1"/>
  <c r="AU1165" i="1"/>
  <c r="AT343" i="1"/>
  <c r="AT494" i="1"/>
  <c r="AU810" i="1"/>
  <c r="AU1086" i="1"/>
  <c r="AT133" i="1"/>
  <c r="AT362" i="1"/>
  <c r="AU374" i="1"/>
  <c r="AT615" i="1"/>
  <c r="AU225" i="1"/>
  <c r="AT225" i="1"/>
  <c r="AT804" i="1"/>
  <c r="AU941" i="1"/>
  <c r="AT1034" i="1"/>
  <c r="AT1081" i="1"/>
  <c r="AT1127" i="1"/>
  <c r="AT742" i="1"/>
  <c r="AT671" i="1"/>
  <c r="AU489" i="1"/>
  <c r="AU791" i="1"/>
  <c r="AU257" i="1"/>
  <c r="AU814" i="1"/>
  <c r="AT1082" i="1"/>
  <c r="AT711" i="1"/>
  <c r="AU233" i="1"/>
  <c r="AT839" i="1"/>
  <c r="AU816" i="1"/>
  <c r="AU297" i="1"/>
  <c r="AT1164" i="1"/>
  <c r="AT673" i="1"/>
  <c r="AT1109" i="1"/>
  <c r="AU927" i="1"/>
  <c r="AT590" i="1"/>
  <c r="AU175" i="1"/>
  <c r="AT949" i="1"/>
  <c r="AT796" i="1"/>
  <c r="AU1027" i="1"/>
  <c r="AU1172" i="1"/>
  <c r="AU905" i="1"/>
  <c r="AT966" i="1"/>
  <c r="AT763" i="1"/>
  <c r="AU725" i="1"/>
  <c r="AT1097" i="1"/>
  <c r="AT835" i="1"/>
  <c r="AT946" i="1"/>
  <c r="AT730" i="1"/>
  <c r="AU1072" i="1"/>
  <c r="AU1045" i="1"/>
  <c r="AU1093" i="1"/>
  <c r="AT165" i="1"/>
  <c r="AT617" i="1"/>
  <c r="AT1031" i="1"/>
  <c r="AU722" i="1"/>
  <c r="AU677" i="1"/>
  <c r="AU80" i="1"/>
  <c r="AU209" i="1"/>
  <c r="AU945" i="1"/>
  <c r="AU157" i="1"/>
  <c r="AT484" i="1"/>
  <c r="AT916" i="1"/>
  <c r="AT433" i="1"/>
  <c r="AU307" i="1"/>
  <c r="AU123" i="1"/>
  <c r="AT558" i="1"/>
  <c r="AU822" i="1"/>
  <c r="AT470" i="1"/>
  <c r="AT398" i="1"/>
  <c r="AU702" i="1"/>
  <c r="AU130" i="1"/>
  <c r="AT531" i="1"/>
  <c r="AT1066" i="1"/>
  <c r="AT914" i="1"/>
  <c r="AU1005" i="1"/>
  <c r="AU1021" i="1"/>
  <c r="AU546" i="1"/>
  <c r="AT890" i="1"/>
  <c r="AT898" i="1"/>
  <c r="AU715" i="1"/>
  <c r="AT768" i="1"/>
  <c r="AU179" i="1"/>
  <c r="AU829" i="1"/>
  <c r="AU538" i="1"/>
  <c r="AU952" i="1"/>
  <c r="AU1150" i="1"/>
  <c r="AU879" i="1"/>
  <c r="AU474" i="1"/>
  <c r="AU322" i="1"/>
  <c r="AT1036" i="1"/>
  <c r="AT919" i="1"/>
  <c r="AT1045" i="1"/>
  <c r="AT1012" i="1"/>
  <c r="AU1059" i="1"/>
  <c r="AT676" i="1"/>
  <c r="AU98" i="1"/>
  <c r="AT386" i="1"/>
  <c r="AT320" i="1"/>
  <c r="AT586" i="1"/>
  <c r="AU315" i="1"/>
  <c r="AT454" i="1"/>
  <c r="AT1014" i="1"/>
  <c r="AT314" i="1"/>
  <c r="AT1013" i="1"/>
  <c r="AU918" i="1"/>
  <c r="AT992" i="1"/>
  <c r="AT139" i="1"/>
  <c r="AT228" i="1"/>
  <c r="AT1067" i="1"/>
  <c r="AU824" i="1"/>
  <c r="AT77" i="1"/>
  <c r="AU1002" i="1"/>
  <c r="AT600" i="1"/>
  <c r="AT1147" i="1"/>
  <c r="AT564" i="1"/>
  <c r="AU763" i="1"/>
  <c r="AU671" i="1"/>
  <c r="AT338" i="1"/>
  <c r="AT843" i="1"/>
  <c r="AU330" i="1"/>
  <c r="AT1110" i="1"/>
  <c r="AU281" i="1"/>
  <c r="AU789" i="1"/>
  <c r="AU853" i="1"/>
  <c r="AU959" i="1"/>
  <c r="AU695" i="1"/>
  <c r="AU608" i="1"/>
  <c r="AT99" i="1"/>
  <c r="AT152" i="1"/>
  <c r="AU1087" i="1"/>
  <c r="AT1189" i="1"/>
  <c r="AU974" i="1"/>
  <c r="AU842" i="1"/>
  <c r="AU1189" i="1"/>
  <c r="AT873" i="1"/>
  <c r="AU659" i="1"/>
  <c r="AU247" i="1"/>
  <c r="AT344" i="1"/>
  <c r="AT88" i="1"/>
  <c r="AU354" i="1"/>
  <c r="AT576" i="1"/>
  <c r="AT84" i="1"/>
  <c r="AU243" i="1"/>
  <c r="AU443" i="1"/>
  <c r="AT238" i="1"/>
  <c r="AT158" i="1"/>
  <c r="AT376" i="1"/>
  <c r="AT514" i="1"/>
  <c r="AT449" i="1"/>
  <c r="AT535" i="1"/>
  <c r="AT554" i="1"/>
  <c r="AU285" i="1"/>
  <c r="AU422" i="1"/>
  <c r="AU381" i="1"/>
  <c r="AT325" i="1"/>
  <c r="AU485" i="1"/>
  <c r="AU1011" i="1"/>
  <c r="AU295" i="1"/>
  <c r="AU782" i="1"/>
  <c r="AU872" i="1"/>
  <c r="AU1121" i="1"/>
  <c r="AT423" i="1"/>
  <c r="AT894" i="1"/>
  <c r="AU970" i="1"/>
  <c r="AU88" i="1"/>
  <c r="AT130" i="1"/>
  <c r="AU976" i="1"/>
  <c r="AU820" i="1"/>
  <c r="AU920" i="1"/>
  <c r="AT368" i="1"/>
  <c r="AT769" i="1"/>
  <c r="AU455" i="1"/>
  <c r="AU1029" i="1"/>
  <c r="AU553" i="1"/>
  <c r="AU723" i="1"/>
  <c r="AU143" i="1"/>
  <c r="AT800" i="1"/>
  <c r="AU177" i="1"/>
  <c r="AT153" i="1"/>
  <c r="AU340" i="1"/>
  <c r="AT652" i="1"/>
  <c r="AU229" i="1"/>
  <c r="AU555" i="1"/>
  <c r="AU408" i="1"/>
  <c r="AT614" i="1"/>
  <c r="AT283" i="1"/>
  <c r="AT906" i="1"/>
  <c r="AT90" i="1"/>
  <c r="AT520" i="1"/>
  <c r="AT122" i="1"/>
  <c r="AT896" i="1"/>
  <c r="AT175" i="1"/>
  <c r="AT185" i="1"/>
  <c r="AT1003" i="1"/>
  <c r="AT770" i="1"/>
  <c r="AT967" i="1"/>
  <c r="AT534" i="1"/>
  <c r="AU293" i="1"/>
  <c r="AU1196" i="1"/>
  <c r="AU835" i="1"/>
  <c r="AT850" i="1"/>
  <c r="AU218" i="1"/>
  <c r="AT194" i="1"/>
  <c r="AU523" i="1"/>
  <c r="AU836" i="1"/>
  <c r="AT679" i="1"/>
  <c r="AU1169" i="1"/>
  <c r="AU399" i="1"/>
  <c r="AU979" i="1"/>
  <c r="AT598" i="1"/>
  <c r="AU694" i="1"/>
  <c r="AU965" i="1"/>
  <c r="AT858" i="1"/>
  <c r="AU566" i="1"/>
  <c r="AT774" i="1"/>
  <c r="AT978" i="1"/>
  <c r="AU956" i="1"/>
  <c r="AU1130" i="1"/>
  <c r="AT1098" i="1"/>
  <c r="AU693" i="1"/>
  <c r="AU915" i="1"/>
  <c r="AU993" i="1"/>
  <c r="AU593" i="1"/>
  <c r="AU1051" i="1"/>
  <c r="AU760" i="1"/>
  <c r="AT784" i="1"/>
  <c r="AU683" i="1"/>
  <c r="AT1136" i="1"/>
  <c r="AU628" i="1"/>
  <c r="AT112" i="1"/>
  <c r="AU592" i="1"/>
  <c r="AT951" i="1"/>
  <c r="AT797" i="1"/>
  <c r="AU910" i="1"/>
  <c r="AU903" i="1"/>
  <c r="AT78" i="1"/>
  <c r="AU875" i="1"/>
  <c r="AT1070" i="1"/>
  <c r="AT291" i="1"/>
  <c r="AT329" i="1"/>
  <c r="AT357" i="1"/>
  <c r="AU491" i="1"/>
  <c r="AU286" i="1"/>
  <c r="AT781" i="1"/>
  <c r="AT560" i="1"/>
  <c r="AU1159" i="1"/>
  <c r="AT1090" i="1"/>
  <c r="AT508" i="1"/>
  <c r="AU1097" i="1"/>
  <c r="AT722" i="1"/>
  <c r="AT100" i="1"/>
  <c r="AU815" i="1"/>
  <c r="AU351" i="1"/>
  <c r="AU796" i="1"/>
  <c r="AT1191" i="1"/>
  <c r="AT274" i="1"/>
  <c r="AT231" i="1"/>
  <c r="AU77" i="1"/>
  <c r="AU809" i="1"/>
  <c r="AU208" i="1"/>
  <c r="AT511" i="1"/>
  <c r="AU270" i="1"/>
  <c r="AU526" i="1"/>
  <c r="AT434" i="1"/>
  <c r="AU279" i="1"/>
  <c r="AU309" i="1"/>
  <c r="AU207" i="1"/>
  <c r="AT665" i="1"/>
  <c r="AU206" i="1"/>
  <c r="AU423" i="1"/>
  <c r="AT213" i="1"/>
  <c r="AU141" i="1"/>
  <c r="AU118" i="1"/>
  <c r="AT259" i="1"/>
  <c r="AT481" i="1"/>
  <c r="AU506" i="1"/>
  <c r="AT493" i="1"/>
  <c r="AU451" i="1"/>
  <c r="AU752" i="1"/>
  <c r="AT935" i="1"/>
  <c r="AU864" i="1"/>
  <c r="AT295" i="1"/>
  <c r="AU501" i="1"/>
  <c r="AT1112" i="1"/>
  <c r="AU1128" i="1"/>
  <c r="AU1071" i="1"/>
  <c r="AT1010" i="1"/>
  <c r="AU688" i="1"/>
  <c r="AT1142" i="1"/>
  <c r="AT799" i="1"/>
  <c r="AU931" i="1"/>
  <c r="AU1112" i="1"/>
  <c r="AU704" i="1"/>
  <c r="AT324" i="1"/>
  <c r="AT751" i="1"/>
  <c r="AT854" i="1"/>
  <c r="AT1049" i="1"/>
  <c r="AU1184" i="1"/>
  <c r="AU115" i="1"/>
  <c r="AU1195" i="1"/>
  <c r="AT301" i="1"/>
  <c r="AT719" i="1"/>
  <c r="AU759" i="1"/>
  <c r="AT1006" i="1"/>
  <c r="AU124" i="1"/>
  <c r="AT801" i="1"/>
  <c r="AT897" i="1"/>
  <c r="AU371" i="1"/>
  <c r="AT446" i="1"/>
  <c r="AU492" i="1"/>
  <c r="AU907" i="1"/>
  <c r="AT447" i="1"/>
  <c r="AU470" i="1"/>
  <c r="AT1020" i="1"/>
  <c r="AT738" i="1"/>
  <c r="AT678" i="1"/>
  <c r="AU1152" i="1"/>
  <c r="AU564" i="1"/>
  <c r="AT416" i="1"/>
  <c r="AT977" i="1"/>
  <c r="AT904" i="1"/>
  <c r="AT258" i="1"/>
  <c r="AU164" i="1"/>
  <c r="AT716" i="1"/>
  <c r="AT1087" i="1"/>
  <c r="AT248" i="1"/>
  <c r="AT1078" i="1"/>
  <c r="AU988" i="1"/>
  <c r="AT861" i="1"/>
  <c r="AU571" i="1"/>
  <c r="AU680" i="1"/>
  <c r="AT169" i="1"/>
  <c r="AU863" i="1"/>
  <c r="AU707" i="1"/>
  <c r="AU431" i="1"/>
  <c r="AU928" i="1"/>
  <c r="AT507" i="1"/>
  <c r="AT579" i="1"/>
  <c r="AU302" i="1"/>
  <c r="AT79" i="1"/>
  <c r="AT993" i="1"/>
  <c r="AU1013" i="1"/>
  <c r="AT524" i="1"/>
  <c r="AU630" i="1"/>
  <c r="AU547" i="1"/>
  <c r="AU582" i="1"/>
  <c r="AT1100" i="1"/>
  <c r="AT124" i="1"/>
  <c r="AU192" i="1"/>
  <c r="AU612" i="1"/>
  <c r="AU917" i="1"/>
  <c r="AU817" i="1"/>
  <c r="AT980" i="1"/>
  <c r="AT1165" i="1"/>
  <c r="AU778" i="1"/>
  <c r="AT748" i="1"/>
  <c r="AT871" i="1"/>
  <c r="AT533" i="1"/>
  <c r="AU1042" i="1"/>
  <c r="AU620" i="1"/>
  <c r="AU68" i="1"/>
  <c r="AU349" i="1"/>
  <c r="AT1018" i="1"/>
  <c r="AT870" i="1"/>
  <c r="AU621" i="1"/>
  <c r="AU392" i="1"/>
  <c r="AT136" i="1"/>
  <c r="AT883" i="1"/>
  <c r="AU465" i="1"/>
  <c r="AT634" i="1"/>
  <c r="AU242" i="1"/>
  <c r="AU202" i="1"/>
  <c r="AU372" i="1"/>
  <c r="AU991" i="1"/>
  <c r="AT104" i="1"/>
  <c r="AT480" i="1"/>
  <c r="AT479" i="1"/>
  <c r="AT417" i="1"/>
  <c r="AT147" i="1"/>
  <c r="AU964" i="1"/>
  <c r="AU402" i="1"/>
  <c r="AU1191" i="1"/>
  <c r="AU424" i="1"/>
  <c r="AU746" i="1"/>
  <c r="AT328" i="1"/>
  <c r="AT536" i="1"/>
  <c r="AT241" i="1"/>
  <c r="AT1058" i="1"/>
  <c r="AU731" i="1"/>
  <c r="AU1064" i="1"/>
  <c r="AU1050" i="1"/>
  <c r="AU708" i="1"/>
  <c r="AT1158" i="1"/>
  <c r="AU246" i="1"/>
  <c r="AT82" i="1"/>
  <c r="AU629" i="1"/>
  <c r="AU1178" i="1"/>
  <c r="AT702" i="1"/>
  <c r="AU774" i="1"/>
  <c r="AU889" i="1"/>
  <c r="AT728" i="1"/>
  <c r="AT857" i="1"/>
  <c r="AT369" i="1"/>
  <c r="AT308" i="1"/>
  <c r="AT682" i="1"/>
  <c r="AT260" i="1"/>
  <c r="AU764" i="1"/>
  <c r="AU644" i="1"/>
  <c r="AU1144" i="1"/>
  <c r="AU539" i="1"/>
  <c r="AU1003" i="1"/>
  <c r="AU1060" i="1"/>
  <c r="AT570" i="1"/>
  <c r="AT93" i="1"/>
  <c r="AT677" i="1"/>
  <c r="AT1139" i="1"/>
  <c r="AT922" i="1"/>
  <c r="AT958" i="1"/>
  <c r="AU913" i="1"/>
  <c r="AU670" i="1"/>
  <c r="AU946" i="1"/>
  <c r="AU1001" i="1"/>
  <c r="AU911" i="1"/>
  <c r="AT819" i="1"/>
  <c r="AU914" i="1"/>
  <c r="AU383" i="1"/>
  <c r="AU685" i="1"/>
  <c r="AT620" i="1"/>
  <c r="AU981" i="1"/>
  <c r="AU660" i="1"/>
  <c r="AU283" i="1"/>
  <c r="AU156" i="1"/>
  <c r="AT984" i="1"/>
  <c r="AT491" i="1"/>
  <c r="AU740" i="1"/>
  <c r="AU439" i="1"/>
  <c r="AU1017" i="1"/>
  <c r="AT621" i="1"/>
  <c r="AU1190" i="1"/>
  <c r="AU684" i="1"/>
  <c r="AT965" i="1"/>
  <c r="AU573" i="1"/>
  <c r="AT492" i="1"/>
  <c r="AU637" i="1"/>
  <c r="AT1037" i="1"/>
  <c r="AU324" i="1"/>
  <c r="AU414" i="1"/>
  <c r="AU530" i="1"/>
  <c r="AT948" i="1"/>
  <c r="AT650" i="1"/>
  <c r="AU1092" i="1"/>
  <c r="AT236" i="1"/>
  <c r="AT237" i="1"/>
  <c r="AU1188" i="1"/>
  <c r="AT846" i="1"/>
  <c r="AT822" i="1"/>
  <c r="AT1197" i="1"/>
  <c r="AT149" i="1"/>
  <c r="AT651" i="1"/>
  <c r="AU311" i="1"/>
  <c r="AT500" i="1"/>
  <c r="AT1138" i="1"/>
  <c r="AT828" i="1"/>
  <c r="AU600" i="1"/>
  <c r="AU949" i="1"/>
  <c r="AU556" i="1"/>
  <c r="AU980" i="1"/>
  <c r="AT1133" i="1"/>
  <c r="AU112" i="1"/>
  <c r="AU1192" i="1"/>
  <c r="AT505" i="1"/>
  <c r="AU1065" i="1"/>
  <c r="AT875" i="1"/>
  <c r="AU122" i="1"/>
  <c r="AT229" i="1"/>
  <c r="AT1065" i="1"/>
  <c r="AU296" i="1"/>
  <c r="AU1012" i="1"/>
  <c r="AT688" i="1"/>
  <c r="AT975" i="1"/>
  <c r="AT120" i="1"/>
  <c r="AU84" i="1"/>
  <c r="AU632" i="1"/>
  <c r="AT624" i="1"/>
  <c r="AU325" i="1"/>
  <c r="AU528" i="1"/>
  <c r="AU480" i="1"/>
  <c r="AU213" i="1"/>
  <c r="AU87" i="1"/>
  <c r="AU606" i="1"/>
  <c r="AU401" i="1"/>
  <c r="AU169" i="1"/>
  <c r="AU255" i="1"/>
  <c r="AT502" i="1"/>
  <c r="AU717" i="1"/>
  <c r="AT918" i="1"/>
  <c r="AT1198" i="1"/>
  <c r="AU142" i="1"/>
  <c r="AU275" i="1"/>
  <c r="AT509" i="1"/>
  <c r="AU1000" i="1"/>
  <c r="AT226" i="1"/>
  <c r="AT776" i="1"/>
  <c r="AT939" i="1"/>
  <c r="AT1184" i="1"/>
  <c r="AU882" i="1"/>
  <c r="AT161" i="1"/>
  <c r="AT277" i="1"/>
  <c r="AT1183" i="1"/>
  <c r="AU507" i="1"/>
  <c r="AT627" i="1"/>
  <c r="AU227" i="1"/>
  <c r="AU172" i="1"/>
  <c r="AU467" i="1"/>
  <c r="AT762" i="1"/>
  <c r="AU160" i="1"/>
  <c r="AU992" i="1"/>
  <c r="AU852" i="1"/>
  <c r="AU734" i="1"/>
  <c r="AT812" i="1"/>
  <c r="AU876" i="1"/>
  <c r="AU1168" i="1"/>
  <c r="AU1008" i="1"/>
  <c r="AU360" i="1"/>
  <c r="AU329" i="1"/>
  <c r="AT606" i="1"/>
  <c r="AU938" i="1"/>
  <c r="AT292" i="1"/>
  <c r="AT925" i="1"/>
  <c r="AT365" i="1"/>
  <c r="AU256" i="1"/>
  <c r="AT1102" i="1"/>
  <c r="AT527" i="1"/>
  <c r="AT178" i="1"/>
  <c r="AU288" i="1"/>
  <c r="AU1199" i="1"/>
  <c r="AT1129" i="1"/>
  <c r="AU757" i="1"/>
  <c r="AU1036" i="1"/>
  <c r="AT146" i="1"/>
  <c r="AU362" i="1"/>
  <c r="AT474" i="1"/>
  <c r="AU700" i="1"/>
  <c r="AT1080" i="1"/>
  <c r="AU1163" i="1"/>
  <c r="AU1126" i="1"/>
  <c r="AT109" i="1"/>
  <c r="AT1166" i="1"/>
  <c r="AT841" i="1"/>
  <c r="AU701" i="1"/>
  <c r="AT495" i="1"/>
  <c r="AU379" i="1"/>
  <c r="AT421" i="1"/>
  <c r="AT733" i="1"/>
  <c r="AT901" i="1"/>
  <c r="AU806" i="1"/>
  <c r="AU515" i="1"/>
  <c r="AU880" i="1"/>
  <c r="AU1041" i="1"/>
  <c r="AT425" i="1"/>
  <c r="AT269" i="1"/>
  <c r="AU575" i="1"/>
  <c r="AT1029" i="1"/>
  <c r="AU1069" i="1"/>
  <c r="AT221" i="1"/>
  <c r="AT933" i="1"/>
  <c r="AU720" i="1"/>
  <c r="AU1141" i="1"/>
  <c r="AT1178" i="1"/>
  <c r="AU617" i="1"/>
  <c r="AT1044" i="1"/>
  <c r="AU244" i="1"/>
  <c r="AT952" i="1"/>
  <c r="AU466" i="1"/>
  <c r="AU377" i="1"/>
  <c r="AT517" i="1"/>
  <c r="AU1177" i="1"/>
  <c r="AU968" i="1"/>
  <c r="AU908" i="1"/>
  <c r="AU919" i="1"/>
  <c r="AT548" i="1"/>
  <c r="AU1052" i="1"/>
  <c r="AU705" i="1"/>
  <c r="AT578" i="1"/>
  <c r="AT845" i="1"/>
  <c r="AU1132" i="1"/>
  <c r="AT1106" i="1"/>
  <c r="AU891" i="1"/>
  <c r="AT399" i="1"/>
  <c r="AU773" i="1"/>
  <c r="AT456" i="1"/>
  <c r="AT71" i="1"/>
  <c r="AU378" i="1"/>
  <c r="AT192" i="1"/>
  <c r="AT943" i="1"/>
  <c r="AU421" i="1"/>
  <c r="AU1187" i="1"/>
  <c r="AU858" i="1"/>
  <c r="AU798" i="1"/>
  <c r="AT102" i="1"/>
  <c r="AT97" i="1"/>
  <c r="AU568" i="1"/>
  <c r="AT191" i="1"/>
  <c r="AT166" i="1"/>
  <c r="AU235" i="1"/>
  <c r="AT459" i="1"/>
  <c r="AU572" i="1"/>
  <c r="AT243" i="1"/>
  <c r="AU96" i="1"/>
  <c r="AU250" i="1"/>
  <c r="AT485" i="1"/>
  <c r="AT556" i="1"/>
  <c r="AT177" i="1"/>
  <c r="AT72" i="1"/>
  <c r="AT138" i="1"/>
  <c r="AU532" i="1"/>
  <c r="AU535" i="1"/>
  <c r="AT604" i="1"/>
  <c r="AT379" i="1"/>
  <c r="AT401" i="1"/>
  <c r="AU407" i="1"/>
  <c r="AU478" i="1"/>
  <c r="AU276" i="1"/>
  <c r="AT390" i="1"/>
  <c r="AU867" i="1"/>
  <c r="AU369" i="1"/>
  <c r="AT336" i="1"/>
  <c r="AT257" i="1"/>
  <c r="AT547" i="1"/>
  <c r="AU446" i="1"/>
  <c r="AU681" i="1"/>
  <c r="AT352" i="1"/>
  <c r="AT182" i="1"/>
  <c r="AT667" i="1"/>
  <c r="AT569" i="1"/>
  <c r="AU747" i="1"/>
  <c r="AT1069" i="1"/>
  <c r="AT1179" i="1"/>
  <c r="AU1194" i="1"/>
  <c r="AU830" i="1"/>
  <c r="AT1009" i="1"/>
  <c r="AU425" i="1"/>
  <c r="AT705" i="1"/>
  <c r="AU868" i="1"/>
  <c r="AU958" i="1"/>
  <c r="AU1103" i="1"/>
  <c r="AU387" i="1"/>
  <c r="AT1111" i="1"/>
  <c r="AU837" i="1"/>
  <c r="AT1199" i="1"/>
  <c r="AU521" i="1"/>
  <c r="AU119" i="1"/>
  <c r="AU404" i="1"/>
  <c r="AU591" i="1"/>
  <c r="AU153" i="1"/>
  <c r="AT140" i="1"/>
  <c r="AT448" i="1"/>
  <c r="AU519" i="1"/>
  <c r="AU583" i="1"/>
  <c r="AU790" i="1"/>
  <c r="AT216" i="1"/>
  <c r="AU337" i="1"/>
  <c r="AT1135" i="1"/>
  <c r="AU187" i="1"/>
  <c r="AU831" i="1"/>
  <c r="AT435" i="1"/>
  <c r="AT359" i="1"/>
  <c r="AT437" i="1"/>
  <c r="AT649" i="1"/>
  <c r="AT654" i="1"/>
  <c r="AU736" i="1"/>
  <c r="AT908" i="1"/>
  <c r="AU241" i="1"/>
  <c r="AU661" i="1"/>
  <c r="AU921" i="1"/>
  <c r="AU310" i="1"/>
  <c r="AU265" i="1"/>
  <c r="AU558" i="1"/>
  <c r="AU954" i="1"/>
  <c r="AU1164" i="1"/>
  <c r="AT516" i="1"/>
  <c r="AU866" i="1"/>
  <c r="AT911" i="1"/>
  <c r="AT938" i="1"/>
  <c r="AU95" i="1"/>
  <c r="AT537" i="1"/>
  <c r="AU714" i="1"/>
  <c r="AT285" i="1"/>
  <c r="AT840" i="1"/>
  <c r="AT592" i="1"/>
  <c r="AT882" i="1"/>
  <c r="AT802" i="1"/>
  <c r="AU589" i="1"/>
  <c r="AU416" i="1"/>
  <c r="AU125" i="1"/>
  <c r="AU1170" i="1"/>
  <c r="AT1046" i="1"/>
  <c r="AT959" i="1"/>
  <c r="AT557" i="1"/>
  <c r="AU1031" i="1"/>
  <c r="AT684" i="1"/>
  <c r="AT969" i="1"/>
  <c r="AT764" i="1"/>
  <c r="AT159" i="1"/>
  <c r="AT1053" i="1"/>
  <c r="AT1155" i="1"/>
  <c r="AT209" i="1"/>
  <c r="AT464" i="1"/>
  <c r="AT714" i="1"/>
  <c r="AU738" i="1"/>
  <c r="AU1133" i="1"/>
  <c r="AT1143" i="1"/>
  <c r="AU100" i="1"/>
  <c r="AT630" i="1"/>
  <c r="AT452" i="1"/>
  <c r="AU641" i="1"/>
  <c r="AU856" i="1"/>
  <c r="AT847" i="1"/>
  <c r="AU1108" i="1"/>
  <c r="AT745" i="1"/>
  <c r="AU634" i="1"/>
  <c r="AT849" i="1"/>
  <c r="AU826" i="1"/>
  <c r="AT963" i="1"/>
  <c r="AT913" i="1"/>
  <c r="AU727" i="1"/>
  <c r="AT699" i="1"/>
  <c r="AT542" i="1"/>
  <c r="AT960" i="1"/>
  <c r="AU223" i="1"/>
  <c r="AU642" i="1"/>
  <c r="AU1143" i="1"/>
  <c r="AU640" i="1"/>
  <c r="AU729" i="1"/>
  <c r="AT233" i="1"/>
  <c r="AU146" i="1"/>
  <c r="AT1172" i="1"/>
  <c r="AT1094" i="1"/>
  <c r="AT200" i="1"/>
  <c r="AU753" i="1"/>
  <c r="AT881" i="1"/>
  <c r="AT262" i="1"/>
  <c r="AT408" i="1"/>
  <c r="AT1088" i="1"/>
  <c r="AU510" i="1"/>
  <c r="AU775" i="1"/>
  <c r="AU509" i="1"/>
  <c r="AT70" i="1"/>
  <c r="AT1085" i="1"/>
  <c r="AU1079" i="1"/>
  <c r="AT1042" i="1"/>
  <c r="AU1083" i="1"/>
  <c r="AT265" i="1"/>
  <c r="AU441" i="1"/>
  <c r="AU344" i="1"/>
  <c r="AU667" i="1"/>
  <c r="AU971" i="1"/>
  <c r="AT458" i="1"/>
  <c r="AT1156" i="1"/>
  <c r="AT998" i="1"/>
  <c r="AT837" i="1"/>
  <c r="AT482" i="1"/>
  <c r="AT661" i="1"/>
  <c r="AT273" i="1"/>
  <c r="AU724" i="1"/>
  <c r="AU570" i="1"/>
  <c r="AT642" i="1"/>
  <c r="AT1030" i="1"/>
  <c r="AU1061" i="1"/>
  <c r="AT488" i="1"/>
  <c r="AU1167" i="1"/>
  <c r="AT1023" i="1"/>
  <c r="AU120" i="1"/>
  <c r="AT761" i="1"/>
  <c r="AU1088" i="1"/>
  <c r="AU258" i="1"/>
  <c r="AU1148" i="1"/>
  <c r="AU495" i="1"/>
  <c r="AT468" i="1"/>
  <c r="AU468" i="1"/>
  <c r="AT783" i="1"/>
  <c r="AT863" i="1"/>
  <c r="AU655" i="1"/>
  <c r="AU267" i="1"/>
  <c r="AU97" i="1"/>
  <c r="AT632" i="1"/>
  <c r="AT290" i="1"/>
  <c r="AU484" i="1"/>
  <c r="AT611" i="1"/>
  <c r="AU580" i="1"/>
  <c r="AT405" i="1"/>
  <c r="AU614" i="1"/>
  <c r="AU312" i="1"/>
  <c r="AU713" i="1"/>
  <c r="AT1116" i="1"/>
  <c r="AT824" i="1"/>
  <c r="AU1094" i="1"/>
  <c r="AU477" i="1"/>
  <c r="AT561" i="1"/>
  <c r="AT331" i="1"/>
  <c r="AT276" i="1"/>
  <c r="AU922" i="1"/>
  <c r="AU797" i="1"/>
  <c r="AT193" i="1"/>
  <c r="AU672" i="1"/>
  <c r="AU306" i="1"/>
  <c r="AT256" i="1"/>
  <c r="AU1006" i="1"/>
  <c r="AU1067" i="1"/>
  <c r="AU331" i="1"/>
  <c r="AU503" i="1"/>
  <c r="AT693" i="1"/>
  <c r="AU1037" i="1"/>
  <c r="AT137" i="1"/>
  <c r="AT486" i="1"/>
  <c r="AU193" i="1"/>
  <c r="AT929" i="1"/>
  <c r="AU200" i="1"/>
  <c r="AU899" i="1"/>
  <c r="AU268" i="1"/>
  <c r="AU854" i="1"/>
  <c r="AT361" i="1"/>
  <c r="AU1085" i="1"/>
  <c r="AU633" i="1"/>
  <c r="AU691" i="1"/>
  <c r="AU1073" i="1"/>
  <c r="AT823" i="1"/>
  <c r="AT853" i="1"/>
  <c r="AU783" i="1"/>
  <c r="AU1053" i="1"/>
  <c r="AU1109" i="1"/>
  <c r="AT67" i="1"/>
  <c r="AU669" i="1"/>
  <c r="AT1188" i="1"/>
  <c r="AU385" i="1"/>
  <c r="AU174" i="1"/>
  <c r="AT1119" i="1"/>
  <c r="AU857" i="1"/>
  <c r="AT787" i="1"/>
  <c r="AT1125" i="1"/>
  <c r="AT594" i="1"/>
  <c r="AT947" i="1"/>
  <c r="AT1072" i="1"/>
  <c r="AT203" i="1"/>
  <c r="AU832" i="1"/>
  <c r="AT566" i="1"/>
  <c r="AT356" i="1"/>
  <c r="AU114" i="1"/>
  <c r="AT330" i="1"/>
  <c r="AU987" i="1"/>
  <c r="AT445" i="1"/>
  <c r="AU611" i="1"/>
  <c r="AU1158" i="1"/>
  <c r="AT1168" i="1"/>
  <c r="AU871" i="1"/>
  <c r="AT135" i="1"/>
  <c r="AU827" i="1"/>
  <c r="AT737" i="1"/>
  <c r="AT341" i="1"/>
  <c r="AU794" i="1"/>
  <c r="AT424" i="1"/>
  <c r="AT1035" i="1"/>
  <c r="AU552" i="1"/>
  <c r="AU792" i="1"/>
  <c r="AU912" i="1"/>
  <c r="AT593" i="1"/>
  <c r="AU453" i="1"/>
  <c r="AU67" i="1"/>
  <c r="AU220" i="1"/>
  <c r="AU647" i="1"/>
  <c r="AU873" i="1"/>
  <c r="AT1122" i="1"/>
  <c r="AU75" i="1"/>
  <c r="AU860" i="1"/>
  <c r="AU277" i="1"/>
  <c r="AT830" i="1"/>
  <c r="AT1162" i="1"/>
  <c r="AU748" i="1"/>
  <c r="AT412" i="1"/>
  <c r="AU609" i="1"/>
  <c r="AU969" i="1"/>
  <c r="AT360" i="1"/>
  <c r="AT674" i="1"/>
  <c r="AT917" i="1"/>
  <c r="AU888" i="1"/>
  <c r="AU365" i="1"/>
  <c r="AU106" i="1"/>
  <c r="AU1033" i="1"/>
  <c r="AT1174" i="1"/>
  <c r="AT777" i="1"/>
  <c r="AU887" i="1"/>
  <c r="AU249" i="1"/>
  <c r="AU902" i="1"/>
  <c r="AT656" i="1"/>
  <c r="AT644" i="1"/>
  <c r="AU932" i="1"/>
  <c r="AU1115" i="1"/>
  <c r="AU353" i="1"/>
  <c r="AT1190" i="1"/>
  <c r="AT143" i="1"/>
  <c r="AU1176" i="1"/>
  <c r="AU336" i="1"/>
  <c r="AT563" i="1"/>
  <c r="AT443" i="1"/>
  <c r="AT545" i="1"/>
  <c r="AU183" i="1"/>
  <c r="AT635" i="1"/>
  <c r="AU149" i="1"/>
  <c r="AT201" i="1"/>
  <c r="AT432" i="1"/>
  <c r="AT323" i="1"/>
  <c r="AT355" i="1"/>
  <c r="AT501" i="1"/>
  <c r="AT148" i="1"/>
  <c r="AU136" i="1"/>
  <c r="AU529" i="1"/>
  <c r="AT289" i="1"/>
  <c r="AT616" i="1"/>
  <c r="AT176" i="1"/>
  <c r="AT402" i="1"/>
  <c r="AT367" i="1"/>
  <c r="AU574" i="1"/>
  <c r="AT224" i="1"/>
  <c r="AT326" i="1"/>
  <c r="AU126" i="1"/>
  <c r="AU1166" i="1"/>
  <c r="AU454" i="1"/>
  <c r="AT1167" i="1"/>
  <c r="AU476" i="1"/>
  <c r="AT1177" i="1"/>
  <c r="AT789" i="1"/>
  <c r="AT1084" i="1"/>
  <c r="AT125" i="1"/>
  <c r="AU769" i="1"/>
  <c r="AT1105" i="1"/>
  <c r="AT1040" i="1"/>
  <c r="AT759" i="1"/>
  <c r="AU598" i="1"/>
  <c r="AU650" i="1"/>
  <c r="AU906" i="1"/>
  <c r="AU228" i="1"/>
  <c r="AU133" i="1"/>
  <c r="AU339" i="1"/>
  <c r="AU1174" i="1"/>
  <c r="AT1007" i="1"/>
  <c r="AU548" i="1"/>
  <c r="AT729" i="1"/>
  <c r="AU101" i="1"/>
  <c r="AU502" i="1"/>
  <c r="AT211" i="1"/>
  <c r="AT296" i="1"/>
  <c r="AT255" i="1"/>
  <c r="AU825" i="1"/>
  <c r="AT387" i="1"/>
  <c r="AT1195" i="1"/>
  <c r="AU452" i="1"/>
  <c r="AT1047" i="1"/>
  <c r="AU845" i="1"/>
  <c r="AU1180" i="1"/>
  <c r="AT310" i="1"/>
  <c r="AU1193" i="1"/>
  <c r="AU948" i="1"/>
  <c r="AU525" i="1"/>
  <c r="AU150" i="1"/>
  <c r="AT638" i="1"/>
  <c r="AT251" i="1"/>
  <c r="AT899" i="1"/>
  <c r="AT1011" i="1"/>
  <c r="AU264" i="1"/>
  <c r="AU803" i="1"/>
  <c r="AU1023" i="1"/>
  <c r="AU140" i="1"/>
  <c r="AT856" i="1"/>
  <c r="AU1183" i="1"/>
  <c r="AU320" i="1"/>
  <c r="AT596" i="1"/>
  <c r="AT142" i="1"/>
  <c r="AT825" i="1"/>
  <c r="AU957" i="1"/>
  <c r="AT1134" i="1"/>
  <c r="AT583" i="1"/>
  <c r="AU802" i="1"/>
  <c r="AT1075" i="1"/>
  <c r="AU735" i="1"/>
  <c r="AU1154" i="1"/>
  <c r="AT1130" i="1"/>
  <c r="AU784" i="1"/>
  <c r="AT68" i="1"/>
  <c r="AT820" i="1"/>
  <c r="AU904" i="1"/>
  <c r="AT608" i="1"/>
  <c r="AT718" i="1"/>
  <c r="AT73" i="1"/>
  <c r="AU221" i="1"/>
  <c r="AU1142" i="1"/>
  <c r="AT546" i="1"/>
  <c r="AU411" i="1"/>
  <c r="AT472" i="1"/>
  <c r="AT961" i="1"/>
  <c r="AU536" i="1"/>
  <c r="AU188" i="1"/>
  <c r="AT704" i="1"/>
  <c r="AU165" i="1"/>
  <c r="AU984" i="1"/>
  <c r="AT186" i="1"/>
  <c r="AU505" i="1"/>
  <c r="AU1007" i="1"/>
  <c r="AT636" i="1"/>
  <c r="AT876" i="1"/>
  <c r="AT1196" i="1"/>
  <c r="AT680" i="1"/>
  <c r="AU236" i="1"/>
  <c r="AT595" i="1"/>
  <c r="AU926" i="1"/>
  <c r="AT1062" i="1"/>
  <c r="AU1146" i="1"/>
  <c r="AT1086" i="1"/>
  <c r="AU890" i="1"/>
  <c r="AT467" i="1"/>
  <c r="AT937" i="1"/>
  <c r="AT610" i="1"/>
  <c r="AT1008" i="1"/>
  <c r="AU99" i="1"/>
  <c r="AT460" i="1"/>
  <c r="AU1020" i="1"/>
  <c r="AU772" i="1"/>
  <c r="AT442" i="1"/>
  <c r="AU569" i="1"/>
  <c r="AU186" i="1"/>
  <c r="AU942" i="1"/>
  <c r="AU274" i="1"/>
  <c r="AT717" i="1"/>
  <c r="AU1099" i="1"/>
  <c r="AU533" i="1"/>
  <c r="AT903" i="1"/>
  <c r="AT375" i="1"/>
  <c r="AU199" i="1"/>
  <c r="AU937" i="1"/>
  <c r="AU482" i="1"/>
  <c r="AT489" i="1"/>
  <c r="AT245" i="1"/>
  <c r="AT813" i="1"/>
  <c r="AT81" i="1"/>
  <c r="AU557" i="1"/>
  <c r="AU1010" i="1"/>
  <c r="AT926" i="1"/>
  <c r="AU703" i="1"/>
  <c r="AU248" i="1"/>
  <c r="AU615" i="1"/>
  <c r="AT156" i="1"/>
  <c r="AU216" i="1"/>
  <c r="AT582" i="1"/>
  <c r="AT550" i="1"/>
  <c r="AT1027" i="1"/>
  <c r="AT758" i="1"/>
  <c r="AT915" i="1"/>
  <c r="AT525" i="1"/>
  <c r="AU386" i="1"/>
  <c r="AU332" i="1"/>
  <c r="AT540" i="1"/>
  <c r="AT141" i="1"/>
  <c r="AT666" i="1"/>
  <c r="AT279" i="1"/>
  <c r="AT626" i="1"/>
  <c r="AT267" i="1"/>
  <c r="AT587" i="1"/>
  <c r="AU434" i="1"/>
  <c r="AU313" i="1"/>
  <c r="AT202" i="1"/>
  <c r="AU185" i="1"/>
  <c r="AU874" i="1"/>
  <c r="AU550" i="1"/>
  <c r="AT945" i="1"/>
  <c r="AT351" i="1"/>
  <c r="AU488" i="1"/>
  <c r="AT1068" i="1"/>
  <c r="AU527" i="1"/>
  <c r="AT902" i="1"/>
  <c r="AU673" i="1"/>
  <c r="AU590" i="1"/>
  <c r="AU741" i="1"/>
  <c r="AT766" i="1"/>
  <c r="AU161" i="1"/>
  <c r="AU848" i="1"/>
  <c r="AT163" i="1"/>
  <c r="AT893" i="1"/>
  <c r="AT964" i="1"/>
  <c r="AT637" i="1"/>
  <c r="AT475" i="1"/>
  <c r="AU585" i="1"/>
  <c r="AT953" i="1"/>
  <c r="AU1114" i="1"/>
  <c r="AU1055" i="1"/>
  <c r="AU649" i="1"/>
  <c r="AT866" i="1"/>
  <c r="AT657" i="1"/>
  <c r="AT214" i="1"/>
  <c r="AU72" i="1"/>
  <c r="AT639" i="1"/>
  <c r="AU610" i="1"/>
  <c r="AT1052" i="1"/>
  <c r="AT1159" i="1"/>
  <c r="AT406" i="1"/>
  <c r="AT451" i="1"/>
  <c r="AT655" i="1"/>
  <c r="AU869" i="1"/>
  <c r="AU1106" i="1"/>
  <c r="AU687" i="1"/>
  <c r="AU90" i="1"/>
  <c r="AU357" i="1"/>
  <c r="AT1200" i="1"/>
  <c r="AT641" i="1"/>
  <c r="AU751" i="1"/>
  <c r="AU435" i="1"/>
  <c r="AU1171" i="1"/>
  <c r="AU89" i="1"/>
  <c r="AU578" i="1"/>
  <c r="AU83" i="1"/>
  <c r="AT1180" i="1"/>
  <c r="AT891" i="1"/>
  <c r="AU1082" i="1"/>
  <c r="AT347" i="1"/>
  <c r="AT428" i="1"/>
  <c r="AU493" i="1"/>
  <c r="AT1021" i="1"/>
  <c r="AT660" i="1"/>
  <c r="AT782" i="1"/>
  <c r="AT171" i="1"/>
  <c r="AT339" i="1"/>
  <c r="AT300" i="1"/>
  <c r="AT670" i="1"/>
  <c r="AU234" i="1"/>
  <c r="AT1152" i="1"/>
  <c r="AT212" i="1"/>
  <c r="AU73" i="1"/>
  <c r="AT1193" i="1"/>
  <c r="AT1048" i="1"/>
  <c r="AU730" i="1"/>
  <c r="AU263" i="1"/>
  <c r="AT832" i="1"/>
  <c r="AT1076" i="1"/>
  <c r="AT513" i="1"/>
  <c r="AT562" i="1"/>
  <c r="AT928" i="1"/>
  <c r="AU1040" i="1"/>
  <c r="AT986" i="1"/>
  <c r="AT803" i="1"/>
  <c r="AU290" i="1"/>
  <c r="AT757" i="1"/>
  <c r="AU252" i="1"/>
  <c r="AU109" i="1"/>
  <c r="AU604" i="1"/>
  <c r="AT826" i="1"/>
  <c r="AT247" i="1"/>
  <c r="AT669" i="1"/>
  <c r="AT302" i="1"/>
  <c r="AT567" i="1"/>
  <c r="AT743" i="1"/>
  <c r="AT83" i="1"/>
  <c r="AT318" i="1"/>
  <c r="AU1015" i="1"/>
  <c r="AT771" i="1"/>
  <c r="AU654" i="1"/>
  <c r="AU579" i="1"/>
  <c r="AU950" i="1"/>
  <c r="AU916" i="1"/>
  <c r="AT941" i="1"/>
  <c r="AT1017" i="1"/>
  <c r="AT108" i="1"/>
  <c r="AT506" i="1"/>
  <c r="AU559" i="1"/>
  <c r="AT543" i="1"/>
  <c r="AU627" i="1"/>
  <c r="AT574" i="1"/>
  <c r="AT499" i="1"/>
  <c r="AU355" i="1"/>
  <c r="AT208" i="1"/>
  <c r="AU388" i="1"/>
  <c r="AU319" i="1"/>
  <c r="AT746" i="1"/>
  <c r="AT968" i="1"/>
  <c r="AT89" i="1"/>
  <c r="AU840" i="1"/>
  <c r="AU862" i="1"/>
  <c r="AU292" i="1"/>
  <c r="AT755" i="1"/>
  <c r="AT430" i="1"/>
  <c r="AT1083" i="1"/>
  <c r="AU390" i="1"/>
  <c r="AU676" i="1"/>
  <c r="AT754" i="1"/>
  <c r="AT930" i="1"/>
  <c r="AT1131" i="1"/>
  <c r="AT794" i="1"/>
  <c r="AT756" i="1"/>
  <c r="AU171" i="1"/>
  <c r="AT1001" i="1"/>
  <c r="AT271" i="1"/>
  <c r="AU113" i="1"/>
  <c r="AT955" i="1"/>
  <c r="AU800" i="1"/>
  <c r="AU1016" i="1"/>
  <c r="AT128" i="1"/>
  <c r="AU732" i="1"/>
  <c r="AT912" i="1"/>
  <c r="AT179" i="1"/>
  <c r="AU253" i="1"/>
  <c r="AT1161" i="1"/>
  <c r="AU359" i="1"/>
  <c r="AT197" i="1"/>
  <c r="AT190" i="1"/>
  <c r="AU999" i="1"/>
  <c r="AU742" i="1"/>
  <c r="AT864" i="1"/>
  <c r="AT1028" i="1"/>
  <c r="AU508" i="1"/>
  <c r="BD920" i="1"/>
  <c r="BD915" i="1"/>
  <c r="BD1020" i="1"/>
  <c r="BC776" i="1"/>
  <c r="BC764" i="1"/>
  <c r="BD746" i="1"/>
  <c r="BD1112" i="1"/>
  <c r="BC701" i="1"/>
  <c r="BC705" i="1"/>
  <c r="BC556" i="1"/>
  <c r="BC672" i="1"/>
  <c r="BC683" i="1"/>
  <c r="BD454" i="1"/>
  <c r="BD898" i="1"/>
  <c r="BD1097" i="1"/>
  <c r="BC1020" i="1"/>
  <c r="BC736" i="1"/>
  <c r="BD1180" i="1"/>
  <c r="BD743" i="1"/>
  <c r="BD732" i="1"/>
  <c r="BC824" i="1"/>
  <c r="BD979" i="1"/>
  <c r="BD1126" i="1"/>
  <c r="BD772" i="1"/>
  <c r="BD892" i="1"/>
  <c r="BD815" i="1"/>
  <c r="BD1150" i="1"/>
  <c r="BD974" i="1"/>
  <c r="BC807" i="1"/>
  <c r="BC1085" i="1"/>
  <c r="BD1005" i="1"/>
  <c r="BD683" i="1"/>
  <c r="BD1006" i="1"/>
  <c r="BD961" i="1"/>
  <c r="BC1173" i="1"/>
  <c r="BD1058" i="1"/>
  <c r="BC1171" i="1"/>
  <c r="BC822" i="1"/>
  <c r="BD781" i="1"/>
  <c r="BD678" i="1"/>
  <c r="BD806" i="1"/>
  <c r="BD721" i="1"/>
  <c r="BD1158" i="1"/>
  <c r="BC104" i="1"/>
  <c r="BD1063" i="1"/>
  <c r="BC1144" i="1"/>
  <c r="BC810" i="1"/>
  <c r="BD1131" i="1"/>
  <c r="BD145" i="1"/>
  <c r="BC1061" i="1"/>
  <c r="BC926" i="1"/>
  <c r="BD725" i="1"/>
  <c r="BC848" i="1"/>
  <c r="BD730" i="1"/>
  <c r="BC1050" i="1"/>
  <c r="BD894" i="1"/>
  <c r="BD742" i="1"/>
  <c r="BD1084" i="1"/>
  <c r="BD727" i="1"/>
  <c r="BD1091" i="1"/>
  <c r="BD699" i="1"/>
  <c r="BD761" i="1"/>
  <c r="BC949" i="1"/>
  <c r="BC741" i="1"/>
  <c r="BC851" i="1"/>
  <c r="BD1078" i="1"/>
  <c r="BC711" i="1"/>
  <c r="BC930" i="1"/>
  <c r="BC1093" i="1"/>
  <c r="BC484" i="1"/>
  <c r="BD884" i="1"/>
  <c r="BC868" i="1"/>
  <c r="BC1177" i="1"/>
  <c r="BC1105" i="1"/>
  <c r="BD1163" i="1"/>
  <c r="BC785" i="1"/>
  <c r="BC674" i="1"/>
  <c r="BC981" i="1"/>
  <c r="BD1172" i="1"/>
  <c r="BC983" i="1"/>
  <c r="BD936" i="1"/>
  <c r="BD903" i="1"/>
  <c r="BD913" i="1"/>
  <c r="BC995" i="1"/>
  <c r="BD719" i="1"/>
  <c r="BD985" i="1"/>
  <c r="BD824" i="1"/>
  <c r="BC1080" i="1"/>
  <c r="BC670" i="1"/>
  <c r="BD971" i="1"/>
  <c r="BD1146" i="1"/>
  <c r="BC768" i="1"/>
  <c r="BD852" i="1"/>
  <c r="BC704" i="1"/>
  <c r="BD1161" i="1"/>
  <c r="BD1055" i="1"/>
  <c r="BC1000" i="1"/>
  <c r="BD1002" i="1"/>
  <c r="BC729" i="1"/>
  <c r="BD907" i="1"/>
  <c r="BD988" i="1"/>
  <c r="BC999" i="1"/>
  <c r="BD674" i="1"/>
  <c r="BC879" i="1"/>
  <c r="BD484" i="1"/>
  <c r="BC737" i="1"/>
  <c r="BC748" i="1"/>
  <c r="BC934" i="1"/>
  <c r="BD1028" i="1"/>
  <c r="BD873" i="1"/>
  <c r="BD1125" i="1"/>
  <c r="BC843" i="1"/>
  <c r="BC832" i="1"/>
  <c r="BD1115" i="1"/>
  <c r="BD1168" i="1"/>
  <c r="BC1094" i="1"/>
  <c r="BC860" i="1"/>
  <c r="BD818" i="1"/>
  <c r="BD978" i="1"/>
  <c r="BC1191" i="1"/>
  <c r="BD855" i="1"/>
  <c r="BC314" i="1"/>
  <c r="BD980" i="1"/>
  <c r="BD1001" i="1"/>
  <c r="BD747" i="1"/>
  <c r="BD710" i="1"/>
  <c r="BD670" i="1"/>
  <c r="BD834" i="1"/>
  <c r="BD1027" i="1"/>
  <c r="BD1185" i="1"/>
  <c r="BD841" i="1"/>
  <c r="BC1098" i="1"/>
  <c r="BC976" i="1"/>
  <c r="BD161" i="1"/>
  <c r="BD1181" i="1"/>
  <c r="BC740" i="1"/>
  <c r="BD1192" i="1"/>
  <c r="BD557" i="1"/>
  <c r="BD820" i="1"/>
  <c r="BC694" i="1"/>
  <c r="BD671" i="1"/>
  <c r="BD602" i="1"/>
  <c r="BD940" i="1"/>
  <c r="BC1024" i="1"/>
  <c r="BC937" i="1"/>
  <c r="BD1102" i="1"/>
  <c r="BC775" i="1"/>
  <c r="BC356" i="1"/>
  <c r="BD904" i="1"/>
  <c r="BD1066" i="1"/>
  <c r="BD1098" i="1"/>
  <c r="BC1127" i="1"/>
  <c r="BD1152" i="1"/>
  <c r="BD720" i="1"/>
  <c r="BC942" i="1"/>
  <c r="BC1181" i="1"/>
  <c r="BC992" i="1"/>
  <c r="BD194" i="1"/>
  <c r="BD168" i="1"/>
  <c r="BC124" i="1"/>
  <c r="BD1045" i="1"/>
  <c r="BC1015" i="1"/>
  <c r="BD956" i="1"/>
  <c r="BD1024" i="1"/>
  <c r="BC973" i="1"/>
  <c r="BC948" i="1"/>
  <c r="BC1063" i="1"/>
  <c r="BC806" i="1"/>
  <c r="BD786" i="1"/>
  <c r="BD696" i="1"/>
  <c r="BC1044" i="1"/>
  <c r="BC1176" i="1"/>
  <c r="BC836" i="1"/>
  <c r="BC557" i="1"/>
  <c r="BC143" i="1"/>
  <c r="BC1155" i="1"/>
  <c r="BD751" i="1"/>
  <c r="BD754" i="1"/>
  <c r="BC344" i="1"/>
  <c r="BC1074" i="1"/>
  <c r="BC602" i="1"/>
  <c r="BD934" i="1"/>
  <c r="BC1102" i="1"/>
  <c r="BD964" i="1"/>
  <c r="BC1123" i="1"/>
  <c r="BD752" i="1"/>
  <c r="BD951" i="1"/>
  <c r="BD1032" i="1"/>
  <c r="BD251" i="1"/>
  <c r="BD142" i="1"/>
  <c r="BD357" i="1"/>
  <c r="BD178" i="1"/>
  <c r="BC432" i="1"/>
  <c r="BC269" i="1"/>
  <c r="BC499" i="1"/>
  <c r="BC845" i="1"/>
  <c r="BD996" i="1"/>
  <c r="BD1198" i="1"/>
  <c r="BC935" i="1"/>
  <c r="BC1154" i="1"/>
  <c r="BD916" i="1"/>
  <c r="BC1168" i="1"/>
  <c r="BC1035" i="1"/>
  <c r="BC899" i="1"/>
  <c r="BD889" i="1"/>
  <c r="BC1153" i="1"/>
  <c r="BD1046" i="1"/>
  <c r="BD1048" i="1"/>
  <c r="BD726" i="1"/>
  <c r="BD925" i="1"/>
  <c r="BC760" i="1"/>
  <c r="BC1047" i="1"/>
  <c r="BD1065" i="1"/>
  <c r="BC841" i="1"/>
  <c r="BC964" i="1"/>
  <c r="BC1065" i="1"/>
  <c r="BC1069" i="1"/>
  <c r="BC539" i="1"/>
  <c r="BD708" i="1"/>
  <c r="BC755" i="1"/>
  <c r="BD1179" i="1"/>
  <c r="BC1027" i="1"/>
  <c r="BC1018" i="1"/>
  <c r="BC932" i="1"/>
  <c r="BD1053" i="1"/>
  <c r="BC411" i="1"/>
  <c r="BC1195" i="1"/>
  <c r="BD1073" i="1"/>
  <c r="BD222" i="1"/>
  <c r="BD908" i="1"/>
  <c r="BD508" i="1"/>
  <c r="BC984" i="1"/>
  <c r="BD1153" i="1"/>
  <c r="BC462" i="1"/>
  <c r="BD266" i="1"/>
  <c r="BD415" i="1"/>
  <c r="BD645" i="1"/>
  <c r="BD209" i="1"/>
  <c r="BC252" i="1"/>
  <c r="BC209" i="1"/>
  <c r="BD300" i="1"/>
  <c r="BC528" i="1"/>
  <c r="BC1009" i="1"/>
  <c r="BD1119" i="1"/>
  <c r="BC412" i="1"/>
  <c r="BD827" i="1"/>
  <c r="BC773" i="1"/>
  <c r="BD1124" i="1"/>
  <c r="BC671" i="1"/>
  <c r="BD1151" i="1"/>
  <c r="BC746" i="1"/>
  <c r="BC963" i="1"/>
  <c r="BD968" i="1"/>
  <c r="BD1049" i="1"/>
  <c r="BD1137" i="1"/>
  <c r="BC977" i="1"/>
  <c r="BC1197" i="1"/>
  <c r="BD713" i="1"/>
  <c r="BC355" i="1"/>
  <c r="BD1200" i="1"/>
  <c r="BD757" i="1"/>
  <c r="BC1185" i="1"/>
  <c r="BD1174" i="1"/>
  <c r="BD243" i="1"/>
  <c r="BD928" i="1"/>
  <c r="BC850" i="1"/>
  <c r="BD517" i="1"/>
  <c r="BC969" i="1"/>
  <c r="BC750" i="1"/>
  <c r="BD865" i="1"/>
  <c r="BD1042" i="1"/>
  <c r="BD1007" i="1"/>
  <c r="BD967" i="1"/>
  <c r="BD1087" i="1"/>
  <c r="BD854" i="1"/>
  <c r="BC853" i="1"/>
  <c r="BC145" i="1"/>
  <c r="BD777" i="1"/>
  <c r="BD778" i="1"/>
  <c r="BC1199" i="1"/>
  <c r="BD1199" i="1"/>
  <c r="BC164" i="1"/>
  <c r="BD521" i="1"/>
  <c r="BC393" i="1"/>
  <c r="BD184" i="1"/>
  <c r="BC648" i="1"/>
  <c r="BD581" i="1"/>
  <c r="BC213" i="1"/>
  <c r="BC416" i="1"/>
  <c r="BD987" i="1"/>
  <c r="BC756" i="1"/>
  <c r="BD412" i="1"/>
  <c r="BC902" i="1"/>
  <c r="BD858" i="1"/>
  <c r="BC702" i="1"/>
  <c r="BD750" i="1"/>
  <c r="BC397" i="1"/>
  <c r="BC357" i="1"/>
  <c r="BD634" i="1"/>
  <c r="BC693" i="1"/>
  <c r="BD982" i="1"/>
  <c r="BD704" i="1"/>
  <c r="BC1083" i="1"/>
  <c r="BC544" i="1"/>
  <c r="BD694" i="1"/>
  <c r="BD986" i="1"/>
  <c r="BC1187" i="1"/>
  <c r="BC872" i="1"/>
  <c r="BD1010" i="1"/>
  <c r="BC909" i="1"/>
  <c r="BD669" i="1"/>
  <c r="BC720" i="1"/>
  <c r="BC982" i="1"/>
  <c r="BC714" i="1"/>
  <c r="BD846" i="1"/>
  <c r="BC866" i="1"/>
  <c r="BD1085" i="1"/>
  <c r="BC880" i="1"/>
  <c r="BD870" i="1"/>
  <c r="BC1062" i="1"/>
  <c r="BD808" i="1"/>
  <c r="BD740" i="1"/>
  <c r="BD1054" i="1"/>
  <c r="BC1183" i="1"/>
  <c r="BC936" i="1"/>
  <c r="BC784" i="1"/>
  <c r="BC713" i="1"/>
  <c r="BC987" i="1"/>
  <c r="BC1059" i="1"/>
  <c r="BC1198" i="1"/>
  <c r="BD792" i="1"/>
  <c r="BD896" i="1"/>
  <c r="BC800" i="1"/>
  <c r="BD910" i="1"/>
  <c r="BC959" i="1"/>
  <c r="BD909" i="1"/>
  <c r="BD809" i="1"/>
  <c r="BD1074" i="1"/>
  <c r="BD1092" i="1"/>
  <c r="BC673" i="1"/>
  <c r="BC833" i="1"/>
  <c r="BC989" i="1"/>
  <c r="BD962" i="1"/>
  <c r="BC686" i="1"/>
  <c r="BD1155" i="1"/>
  <c r="BC682" i="1"/>
  <c r="BC950" i="1"/>
  <c r="BD636" i="1"/>
  <c r="BD783" i="1"/>
  <c r="BD1147" i="1"/>
  <c r="BD1117" i="1"/>
  <c r="BC1165" i="1"/>
  <c r="BC913" i="1"/>
  <c r="BD679" i="1"/>
  <c r="BD758" i="1"/>
  <c r="BD579" i="1"/>
  <c r="BD883" i="1"/>
  <c r="BC1092" i="1"/>
  <c r="BC767" i="1"/>
  <c r="BC696" i="1"/>
  <c r="BD684" i="1"/>
  <c r="BD733" i="1"/>
  <c r="BC911" i="1"/>
  <c r="BC409" i="1"/>
  <c r="BD687" i="1"/>
  <c r="BC862" i="1"/>
  <c r="BC1038" i="1"/>
  <c r="BC1189" i="1"/>
  <c r="BD734" i="1"/>
  <c r="BC861" i="1"/>
  <c r="BD1012" i="1"/>
  <c r="BD969" i="1"/>
  <c r="BD836" i="1"/>
  <c r="BD958" i="1"/>
  <c r="BD1056" i="1"/>
  <c r="BD828" i="1"/>
  <c r="BD825" i="1"/>
  <c r="BD995" i="1"/>
  <c r="BD1127" i="1"/>
  <c r="BC1054" i="1"/>
  <c r="BC918" i="1"/>
  <c r="BC779" i="1"/>
  <c r="BD994" i="1"/>
  <c r="BD804" i="1"/>
  <c r="BC727" i="1"/>
  <c r="BC994" i="1"/>
  <c r="BC927" i="1"/>
  <c r="BC749" i="1"/>
  <c r="BD1106" i="1"/>
  <c r="BD1113" i="1"/>
  <c r="BC957" i="1"/>
  <c r="BC1159" i="1"/>
  <c r="BD692" i="1"/>
  <c r="BD246" i="1"/>
  <c r="BD705" i="1"/>
  <c r="BD1139" i="1"/>
  <c r="BC1030" i="1"/>
  <c r="BD701" i="1"/>
  <c r="BD842" i="1"/>
  <c r="BC869" i="1"/>
  <c r="BC944" i="1"/>
  <c r="BD810" i="1"/>
  <c r="BC246" i="1"/>
  <c r="BC971" i="1"/>
  <c r="BC821" i="1"/>
  <c r="BD868" i="1"/>
  <c r="BD1105" i="1"/>
  <c r="BD686" i="1"/>
  <c r="BC1003" i="1"/>
  <c r="BD1060" i="1"/>
  <c r="BD886" i="1"/>
  <c r="BC1071" i="1"/>
  <c r="BC815" i="1"/>
  <c r="BD1089" i="1"/>
  <c r="BD749" i="1"/>
  <c r="BD801" i="1"/>
  <c r="BC1104" i="1"/>
  <c r="BD960" i="1"/>
  <c r="BD1018" i="1"/>
  <c r="BD799" i="1"/>
  <c r="BD773" i="1"/>
  <c r="BD1077" i="1"/>
  <c r="BC1032" i="1"/>
  <c r="BC1113" i="1"/>
  <c r="BD1099" i="1"/>
  <c r="BC1132" i="1"/>
  <c r="BD1103" i="1"/>
  <c r="BD797" i="1"/>
  <c r="BD342" i="1"/>
  <c r="BC886" i="1"/>
  <c r="BD885" i="1"/>
  <c r="BD728" i="1"/>
  <c r="BC1073" i="1"/>
  <c r="BD1122" i="1"/>
  <c r="BC1055" i="1"/>
  <c r="BC940" i="1"/>
  <c r="BD506" i="1"/>
  <c r="BC1156" i="1"/>
  <c r="BD444" i="1"/>
  <c r="BC374" i="1"/>
  <c r="BD1083" i="1"/>
  <c r="BC791" i="1"/>
  <c r="BD1038" i="1"/>
  <c r="BD1039" i="1"/>
  <c r="BD296" i="1"/>
  <c r="BD927" i="1"/>
  <c r="BD1108" i="1"/>
  <c r="BC1184" i="1"/>
  <c r="BD983" i="1"/>
  <c r="BC893" i="1"/>
  <c r="BC990" i="1"/>
  <c r="BC1162" i="1"/>
  <c r="BD215" i="1"/>
  <c r="BC814" i="1"/>
  <c r="BC724" i="1"/>
  <c r="BD1014" i="1"/>
  <c r="BC103" i="1"/>
  <c r="BC601" i="1"/>
  <c r="BC669" i="1"/>
  <c r="BD1160" i="1"/>
  <c r="BD224" i="1"/>
  <c r="BC692" i="1"/>
  <c r="BD879" i="1"/>
  <c r="BD1009" i="1"/>
  <c r="BC1101" i="1"/>
  <c r="BC966" i="1"/>
  <c r="BC895" i="1"/>
  <c r="BC697" i="1"/>
  <c r="BC177" i="1"/>
  <c r="BD771" i="1"/>
  <c r="BC1136" i="1"/>
  <c r="BC708" i="1"/>
  <c r="BD693" i="1"/>
  <c r="BC723" i="1"/>
  <c r="BC1166" i="1"/>
  <c r="BD712" i="1"/>
  <c r="BD959" i="1"/>
  <c r="BC1090" i="1"/>
  <c r="BC906" i="1"/>
  <c r="BD682" i="1"/>
  <c r="BD785" i="1"/>
  <c r="BD709" i="1"/>
  <c r="BD782" i="1"/>
  <c r="BC1031" i="1"/>
  <c r="BD716" i="1"/>
  <c r="BC699" i="1"/>
  <c r="BD947" i="1"/>
  <c r="BC1012" i="1"/>
  <c r="BC73" i="1"/>
  <c r="BD1062" i="1"/>
  <c r="BD238" i="1"/>
  <c r="BD902" i="1"/>
  <c r="BD899" i="1"/>
  <c r="BD493" i="1"/>
  <c r="BC827" i="1"/>
  <c r="BD941" i="1"/>
  <c r="BC752" i="1"/>
  <c r="BD1043" i="1"/>
  <c r="BC925" i="1"/>
  <c r="BD1004" i="1"/>
  <c r="BD356" i="1"/>
  <c r="BC508" i="1"/>
  <c r="BD371" i="1"/>
  <c r="BC311" i="1"/>
  <c r="BC120" i="1"/>
  <c r="BD206" i="1"/>
  <c r="BD416" i="1"/>
  <c r="BD1072" i="1"/>
  <c r="BC680" i="1"/>
  <c r="BC1028" i="1"/>
  <c r="BD685" i="1"/>
  <c r="BD893" i="1"/>
  <c r="BC1164" i="1"/>
  <c r="BC703" i="1"/>
  <c r="BC834" i="1"/>
  <c r="BD1111" i="1"/>
  <c r="BC1097" i="1"/>
  <c r="BC762" i="1"/>
  <c r="BC799" i="1"/>
  <c r="BD368" i="1"/>
  <c r="BC901" i="1"/>
  <c r="BC941" i="1"/>
  <c r="BD975" i="1"/>
  <c r="BD1189" i="1"/>
  <c r="BC747" i="1"/>
  <c r="BC1192" i="1"/>
  <c r="BD143" i="1"/>
  <c r="BC1103" i="1"/>
  <c r="BD1082" i="1"/>
  <c r="BD924" i="1"/>
  <c r="BC781" i="1"/>
  <c r="BC249" i="1"/>
  <c r="BD1061" i="1"/>
  <c r="BD745" i="1"/>
  <c r="BC978" i="1"/>
  <c r="BD689" i="1"/>
  <c r="BC996" i="1"/>
  <c r="BC844" i="1"/>
  <c r="BC865" i="1"/>
  <c r="BC410" i="1"/>
  <c r="BD452" i="1"/>
  <c r="BD400" i="1"/>
  <c r="BD120" i="1"/>
  <c r="BC93" i="1"/>
  <c r="BC80" i="1"/>
  <c r="BC634" i="1"/>
  <c r="BC600" i="1"/>
  <c r="BD324" i="1"/>
  <c r="BD844" i="1"/>
  <c r="BC830" i="1"/>
  <c r="BC1170" i="1"/>
  <c r="BD1016" i="1"/>
  <c r="BC717" i="1"/>
  <c r="BC1124" i="1"/>
  <c r="BC892" i="1"/>
  <c r="BC946" i="1"/>
  <c r="BD1093" i="1"/>
  <c r="BD1118" i="1"/>
  <c r="BC839" i="1"/>
  <c r="BC698" i="1"/>
  <c r="BC700" i="1"/>
  <c r="BC1119" i="1"/>
  <c r="BC1089" i="1"/>
  <c r="BC991" i="1"/>
  <c r="BD642" i="1"/>
  <c r="BD177" i="1"/>
  <c r="BD973" i="1"/>
  <c r="BC933" i="1"/>
  <c r="BD1068" i="1"/>
  <c r="BC1129" i="1"/>
  <c r="BD676" i="1"/>
  <c r="BD668" i="1"/>
  <c r="BD768" i="1"/>
  <c r="BD1052" i="1"/>
  <c r="BC910" i="1"/>
  <c r="BD901" i="1"/>
  <c r="BD829" i="1"/>
  <c r="BC1048" i="1"/>
  <c r="BD1026" i="1"/>
  <c r="BD552" i="1"/>
  <c r="BC514" i="1"/>
  <c r="BC102" i="1"/>
  <c r="BD278" i="1"/>
  <c r="BC371" i="1"/>
  <c r="BD140" i="1"/>
  <c r="BD252" i="1"/>
  <c r="BC178" i="1"/>
  <c r="BD193" i="1"/>
  <c r="BD528" i="1"/>
  <c r="BC917" i="1"/>
  <c r="BD874" i="1"/>
  <c r="BC730" i="1"/>
  <c r="BC1041" i="1"/>
  <c r="BC1121" i="1"/>
  <c r="BD1075" i="1"/>
  <c r="BD1120" i="1"/>
  <c r="BC759" i="1"/>
  <c r="BD787" i="1"/>
  <c r="BC645" i="1"/>
  <c r="BC923" i="1"/>
  <c r="BD1090" i="1"/>
  <c r="BC793" i="1"/>
  <c r="BD1095" i="1"/>
  <c r="BD718" i="1"/>
  <c r="BC716" i="1"/>
  <c r="BD1140" i="1"/>
  <c r="BD1021" i="1"/>
  <c r="BC1130" i="1"/>
  <c r="BD680" i="1"/>
  <c r="BD1176" i="1"/>
  <c r="BC743" i="1"/>
  <c r="BC884" i="1"/>
  <c r="BC1152" i="1"/>
  <c r="BC900" i="1"/>
  <c r="BD802" i="1"/>
  <c r="BC712" i="1"/>
  <c r="BD1094" i="1"/>
  <c r="BD991" i="1"/>
  <c r="BC1148" i="1"/>
  <c r="BC637" i="1"/>
  <c r="BC864" i="1"/>
  <c r="BC835" i="1"/>
  <c r="BC1180" i="1"/>
  <c r="BD869" i="1"/>
  <c r="BD1034" i="1"/>
  <c r="BC684" i="1"/>
  <c r="BC1019" i="1"/>
  <c r="BC975" i="1"/>
  <c r="BD425" i="1"/>
  <c r="BC771" i="1"/>
  <c r="BC476" i="1"/>
  <c r="BD966" i="1"/>
  <c r="BD1173" i="1"/>
  <c r="BD835" i="1"/>
  <c r="BC754" i="1"/>
  <c r="BD857" i="1"/>
  <c r="BC956" i="1"/>
  <c r="BD905" i="1"/>
  <c r="BC497" i="1"/>
  <c r="BD926" i="1"/>
  <c r="BD830" i="1"/>
  <c r="BC819" i="1"/>
  <c r="BD860" i="1"/>
  <c r="BD1064" i="1"/>
  <c r="BD703" i="1"/>
  <c r="BD530" i="1"/>
  <c r="BD1171" i="1"/>
  <c r="BD821" i="1"/>
  <c r="BC955" i="1"/>
  <c r="BD1033" i="1"/>
  <c r="BD805" i="1"/>
  <c r="BD744" i="1"/>
  <c r="BC1014" i="1"/>
  <c r="BD931" i="1"/>
  <c r="BD784" i="1"/>
  <c r="BC1017" i="1"/>
  <c r="BD921" i="1"/>
  <c r="BD919" i="1"/>
  <c r="BD949" i="1"/>
  <c r="BD813" i="1"/>
  <c r="BD667" i="1"/>
  <c r="BC904" i="1"/>
  <c r="BD738" i="1"/>
  <c r="BC1128" i="1"/>
  <c r="BD767" i="1"/>
  <c r="BD837" i="1"/>
  <c r="BD831" i="1"/>
  <c r="BD1149" i="1"/>
  <c r="BC1120" i="1"/>
  <c r="BC1178" i="1"/>
  <c r="BC831" i="1"/>
  <c r="BC691" i="1"/>
  <c r="BC734" i="1"/>
  <c r="BC1081" i="1"/>
  <c r="BD569" i="1"/>
  <c r="BC1157" i="1"/>
  <c r="BD476" i="1"/>
  <c r="BD859" i="1"/>
  <c r="BD766" i="1"/>
  <c r="BD1141" i="1"/>
  <c r="BC1051" i="1"/>
  <c r="BC1087" i="1"/>
  <c r="BD1133" i="1"/>
  <c r="BD756" i="1"/>
  <c r="BC238" i="1"/>
  <c r="BD514" i="1"/>
  <c r="BD1154" i="1"/>
  <c r="BC1095" i="1"/>
  <c r="BC1002" i="1"/>
  <c r="BC342" i="1"/>
  <c r="BD697" i="1"/>
  <c r="BD104" i="1"/>
  <c r="BC643" i="1"/>
  <c r="BD1142" i="1"/>
  <c r="BD1182" i="1"/>
  <c r="BC908" i="1"/>
  <c r="BD765" i="1"/>
  <c r="BC924" i="1"/>
  <c r="BD681" i="1"/>
  <c r="BD1114" i="1"/>
  <c r="BC564" i="1"/>
  <c r="BD1183" i="1"/>
  <c r="BD1088" i="1"/>
  <c r="BC761" i="1"/>
  <c r="BC855" i="1"/>
  <c r="BC1194" i="1"/>
  <c r="BD237" i="1"/>
  <c r="BD396" i="1"/>
  <c r="BC820" i="1"/>
  <c r="BD812" i="1"/>
  <c r="BC215" i="1"/>
  <c r="BC614" i="1"/>
  <c r="BD285" i="1"/>
  <c r="BC245" i="1"/>
  <c r="BD93" i="1"/>
  <c r="BC521" i="1"/>
  <c r="BC347" i="1"/>
  <c r="BD632" i="1"/>
  <c r="BD776" i="1"/>
  <c r="BC454" i="1"/>
  <c r="BC742" i="1"/>
  <c r="BD1159" i="1"/>
  <c r="BD989" i="1"/>
  <c r="BC765" i="1"/>
  <c r="BD780" i="1"/>
  <c r="BC709" i="1"/>
  <c r="BC477" i="1"/>
  <c r="BD1145" i="1"/>
  <c r="BC237" i="1"/>
  <c r="BC492" i="1"/>
  <c r="BC1099" i="1"/>
  <c r="BD943" i="1"/>
  <c r="BD135" i="1"/>
  <c r="BD122" i="1"/>
  <c r="BD447" i="1"/>
  <c r="BC214" i="1"/>
  <c r="BC1096" i="1"/>
  <c r="BC718" i="1"/>
  <c r="BD1116" i="1"/>
  <c r="BC1005" i="1"/>
  <c r="BC813" i="1"/>
  <c r="BC1186" i="1"/>
  <c r="BC943" i="1"/>
  <c r="BC792" i="1"/>
  <c r="BC1042" i="1"/>
  <c r="BC812" i="1"/>
  <c r="BD735" i="1"/>
  <c r="BC753" i="1"/>
  <c r="BD358" i="1"/>
  <c r="BD888" i="1"/>
  <c r="BD753" i="1"/>
  <c r="BD1011" i="1"/>
  <c r="BD922" i="1"/>
  <c r="BC161" i="1"/>
  <c r="BD698" i="1"/>
  <c r="BC135" i="1"/>
  <c r="BC415" i="1"/>
  <c r="BD164" i="1"/>
  <c r="BC291" i="1"/>
  <c r="BD180" i="1"/>
  <c r="BC565" i="1"/>
  <c r="BD648" i="1"/>
  <c r="BD992" i="1"/>
  <c r="BC159" i="1"/>
  <c r="BC1141" i="1"/>
  <c r="BC766" i="1"/>
  <c r="BC266" i="1"/>
  <c r="BC563" i="1"/>
  <c r="BC1036" i="1"/>
  <c r="BC722" i="1"/>
  <c r="BC324" i="1"/>
  <c r="BC1143" i="1"/>
  <c r="BC919" i="1"/>
  <c r="BC1145" i="1"/>
  <c r="BC1138" i="1"/>
  <c r="BC1013" i="1"/>
  <c r="BD774" i="1"/>
  <c r="BC798" i="1"/>
  <c r="BC873" i="1"/>
  <c r="BC211" i="1"/>
  <c r="BC661" i="1"/>
  <c r="BD280" i="1"/>
  <c r="BD722" i="1"/>
  <c r="BC745" i="1"/>
  <c r="BD791" i="1"/>
  <c r="BC168" i="1"/>
  <c r="BC889" i="1"/>
  <c r="BD276" i="1"/>
  <c r="BD601" i="1"/>
  <c r="BD811" i="1"/>
  <c r="BC1052" i="1"/>
  <c r="BD73" i="1"/>
  <c r="BD1022" i="1"/>
  <c r="BC449" i="1"/>
  <c r="BD213" i="1"/>
  <c r="BC735" i="1"/>
  <c r="BC666" i="1"/>
  <c r="BC1149" i="1"/>
  <c r="BC335" i="1"/>
  <c r="BC111" i="1"/>
  <c r="BD520" i="1"/>
  <c r="BC320" i="1"/>
  <c r="BC501" i="1"/>
  <c r="BD345" i="1"/>
  <c r="BD364" i="1"/>
  <c r="BD111" i="1"/>
  <c r="BD410" i="1"/>
  <c r="BC304" i="1"/>
  <c r="BD148" i="1"/>
  <c r="BD304" i="1"/>
  <c r="BC520" i="1"/>
  <c r="BD183" i="1"/>
  <c r="BC298" i="1"/>
  <c r="BC591" i="1"/>
  <c r="BD591" i="1"/>
  <c r="BC265" i="1"/>
  <c r="BD234" i="1"/>
  <c r="BD151" i="1"/>
  <c r="BD573" i="1"/>
  <c r="BC417" i="1"/>
  <c r="BD547" i="1"/>
  <c r="BC205" i="1"/>
  <c r="BC331" i="1"/>
  <c r="BD360" i="1"/>
  <c r="BC512" i="1"/>
  <c r="BC260" i="1"/>
  <c r="BD90" i="1"/>
  <c r="BC394" i="1"/>
  <c r="BC115" i="1"/>
  <c r="BC98" i="1"/>
  <c r="BC470" i="1"/>
  <c r="BC623" i="1"/>
  <c r="BD394" i="1"/>
  <c r="BD496" i="1"/>
  <c r="BD512" i="1"/>
  <c r="BD543" i="1"/>
  <c r="BD653" i="1"/>
  <c r="BD331" i="1"/>
  <c r="BC617" i="1"/>
  <c r="BD260" i="1"/>
  <c r="BC167" i="1"/>
  <c r="BC513" i="1"/>
  <c r="BD323" i="1"/>
  <c r="BD662" i="1"/>
  <c r="BC323" i="1"/>
  <c r="BD199" i="1"/>
  <c r="BC457" i="1"/>
  <c r="BD188" i="1"/>
  <c r="BD74" i="1"/>
  <c r="BD550" i="1"/>
  <c r="BD1019" i="1"/>
  <c r="BD731" i="1"/>
  <c r="BC871" i="1"/>
  <c r="BC695" i="1"/>
  <c r="BD381" i="1"/>
  <c r="BD822" i="1"/>
  <c r="BD990" i="1"/>
  <c r="BC1023" i="1"/>
  <c r="BC1108" i="1"/>
  <c r="BC838" i="1"/>
  <c r="BC1188" i="1"/>
  <c r="BC998" i="1"/>
  <c r="BC1196" i="1"/>
  <c r="BC1076" i="1"/>
  <c r="BC217" i="1"/>
  <c r="BD741" i="1"/>
  <c r="BC690" i="1"/>
  <c r="BC139" i="1"/>
  <c r="BD739" i="1"/>
  <c r="BC517" i="1"/>
  <c r="BC1160" i="1"/>
  <c r="BD631" i="1"/>
  <c r="BD1023" i="1"/>
  <c r="BC898" i="1"/>
  <c r="BC783" i="1"/>
  <c r="BC579" i="1"/>
  <c r="BC447" i="1"/>
  <c r="BC1021" i="1"/>
  <c r="BD702" i="1"/>
  <c r="BD1186" i="1"/>
  <c r="BC300" i="1"/>
  <c r="BC203" i="1"/>
  <c r="BD790" i="1"/>
  <c r="BC857" i="1"/>
  <c r="BD600" i="1"/>
  <c r="BC475" i="1"/>
  <c r="BD977" i="1"/>
  <c r="BD153" i="1"/>
  <c r="BD549" i="1"/>
  <c r="BC618" i="1"/>
  <c r="BD229" i="1"/>
  <c r="BC293" i="1"/>
  <c r="BC89" i="1"/>
  <c r="BC302" i="1"/>
  <c r="BC365" i="1"/>
  <c r="BD775" i="1"/>
  <c r="BC685" i="1"/>
  <c r="BD800" i="1"/>
  <c r="BD816" i="1"/>
  <c r="BD1190" i="1"/>
  <c r="BC951" i="1"/>
  <c r="BC825" i="1"/>
  <c r="BD1000" i="1"/>
  <c r="BD1101" i="1"/>
  <c r="BC811" i="1"/>
  <c r="BC1115" i="1"/>
  <c r="BC883" i="1"/>
  <c r="BD430" i="1"/>
  <c r="BD945" i="1"/>
  <c r="BC688" i="1"/>
  <c r="BD409" i="1"/>
  <c r="BC922" i="1"/>
  <c r="BC1078" i="1"/>
  <c r="BC549" i="1"/>
  <c r="BC939" i="1"/>
  <c r="BC710" i="1"/>
  <c r="BC786" i="1"/>
  <c r="BC352" i="1"/>
  <c r="BD976" i="1"/>
  <c r="BC738" i="1"/>
  <c r="BD248" i="1"/>
  <c r="BC254" i="1"/>
  <c r="BC763" i="1"/>
  <c r="BC142" i="1"/>
  <c r="BD487" i="1"/>
  <c r="BC676" i="1"/>
  <c r="BD298" i="1"/>
  <c r="BD871" i="1"/>
  <c r="BC511" i="1"/>
  <c r="BD565" i="1"/>
  <c r="BD103" i="1"/>
  <c r="BC79" i="1"/>
  <c r="BD218" i="1"/>
  <c r="BC364" i="1"/>
  <c r="BD235" i="1"/>
  <c r="BD623" i="1"/>
  <c r="BC319" i="1"/>
  <c r="BC550" i="1"/>
  <c r="BC790" i="1"/>
  <c r="BC885" i="1"/>
  <c r="BC726" i="1"/>
  <c r="BD556" i="1"/>
  <c r="BD769" i="1"/>
  <c r="BD217" i="1"/>
  <c r="BC842" i="1"/>
  <c r="BD877" i="1"/>
  <c r="BC777" i="1"/>
  <c r="BC1142" i="1"/>
  <c r="BC896" i="1"/>
  <c r="BC1026" i="1"/>
  <c r="BD707" i="1"/>
  <c r="BD933" i="1"/>
  <c r="BD862" i="1"/>
  <c r="BC897" i="1"/>
  <c r="BC863" i="1"/>
  <c r="BD755" i="1"/>
  <c r="BD993" i="1"/>
  <c r="BC1200" i="1"/>
  <c r="BD518" i="1"/>
  <c r="BD843" i="1"/>
  <c r="BD803" i="1"/>
  <c r="BC1106" i="1"/>
  <c r="BD851" i="1"/>
  <c r="BC852" i="1"/>
  <c r="BC1174" i="1"/>
  <c r="BD1104" i="1"/>
  <c r="BC876" i="1"/>
  <c r="BC789" i="1"/>
  <c r="BD946" i="1"/>
  <c r="BC849" i="1"/>
  <c r="BC1075" i="1"/>
  <c r="BC952" i="1"/>
  <c r="BC1064" i="1"/>
  <c r="BD942" i="1"/>
  <c r="BC856" i="1"/>
  <c r="BD788" i="1"/>
  <c r="BC787" i="1"/>
  <c r="BC1126" i="1"/>
  <c r="BC1146" i="1"/>
  <c r="BC715" i="1"/>
  <c r="BC961" i="1"/>
  <c r="BC1010" i="1"/>
  <c r="BD955" i="1"/>
  <c r="BC796" i="1"/>
  <c r="BD1044" i="1"/>
  <c r="BC1056" i="1"/>
  <c r="BC1066" i="1"/>
  <c r="BD1025" i="1"/>
  <c r="BC1109" i="1"/>
  <c r="BC1082" i="1"/>
  <c r="BC1150" i="1"/>
  <c r="BC667" i="1"/>
  <c r="BD1071" i="1"/>
  <c r="BC837" i="1"/>
  <c r="BC1049" i="1"/>
  <c r="BD1030" i="1"/>
  <c r="BD845" i="1"/>
  <c r="BC689" i="1"/>
  <c r="BC1072" i="1"/>
  <c r="BD431" i="1"/>
  <c r="BD881" i="1"/>
  <c r="BC1045" i="1"/>
  <c r="BC823" i="1"/>
  <c r="BD798" i="1"/>
  <c r="BC719" i="1"/>
  <c r="BD637" i="1"/>
  <c r="BD607" i="1"/>
  <c r="BD912" i="1"/>
  <c r="BD729" i="1"/>
  <c r="BC506" i="1"/>
  <c r="BC847" i="1"/>
  <c r="BC687" i="1"/>
  <c r="BD998" i="1"/>
  <c r="BC413" i="1"/>
  <c r="BC675" i="1"/>
  <c r="BD76" i="1"/>
  <c r="BC248" i="1"/>
  <c r="BC1046" i="1"/>
  <c r="BC1011" i="1"/>
  <c r="BC1060" i="1"/>
  <c r="BC307" i="1"/>
  <c r="BC958" i="1"/>
  <c r="BC1163" i="1"/>
  <c r="BD882" i="1"/>
  <c r="BC112" i="1"/>
  <c r="BC518" i="1"/>
  <c r="BC772" i="1"/>
  <c r="BC888" i="1"/>
  <c r="BD929" i="1"/>
  <c r="BC1161" i="1"/>
  <c r="BC828" i="1"/>
  <c r="BC859" i="1"/>
  <c r="BC938" i="1"/>
  <c r="BD1178" i="1"/>
  <c r="BD344" i="1"/>
  <c r="BC1182" i="1"/>
  <c r="BD932" i="1"/>
  <c r="BD495" i="1"/>
  <c r="BD92" i="1"/>
  <c r="BD379" i="1"/>
  <c r="BD311" i="1"/>
  <c r="BC582" i="1"/>
  <c r="BD317" i="1"/>
  <c r="BC278" i="1"/>
  <c r="BD214" i="1"/>
  <c r="BC193" i="1"/>
  <c r="BC846" i="1"/>
  <c r="BC744" i="1"/>
  <c r="BD762" i="1"/>
  <c r="BC826" i="1"/>
  <c r="BD849" i="1"/>
  <c r="BD1196" i="1"/>
  <c r="BD411" i="1"/>
  <c r="BD377" i="1"/>
  <c r="BD1037" i="1"/>
  <c r="BD544" i="1"/>
  <c r="BC808" i="1"/>
  <c r="BD930" i="1"/>
  <c r="BD950" i="1"/>
  <c r="BD644" i="1"/>
  <c r="BD163" i="1"/>
  <c r="BC1118" i="1"/>
  <c r="BC774" i="1"/>
  <c r="BC960" i="1"/>
  <c r="BD1076" i="1"/>
  <c r="BC840" i="1"/>
  <c r="BD374" i="1"/>
  <c r="BD997" i="1"/>
  <c r="BD1081" i="1"/>
  <c r="BD203" i="1"/>
  <c r="BC751" i="1"/>
  <c r="BC396" i="1"/>
  <c r="BD1188" i="1"/>
  <c r="BD839" i="1"/>
  <c r="BD1143" i="1"/>
  <c r="BC493" i="1"/>
  <c r="BD354" i="1"/>
  <c r="BD866" i="1"/>
  <c r="BC194" i="1"/>
  <c r="BC286" i="1"/>
  <c r="BD524" i="1"/>
  <c r="BD533" i="1"/>
  <c r="BC200" i="1"/>
  <c r="BD102" i="1"/>
  <c r="BC905" i="1"/>
  <c r="BD706" i="1"/>
  <c r="BD1047" i="1"/>
  <c r="BC76" i="1"/>
  <c r="BD1110" i="1"/>
  <c r="BC721" i="1"/>
  <c r="BC668" i="1"/>
  <c r="BC858" i="1"/>
  <c r="BD582" i="1"/>
  <c r="BD1166" i="1"/>
  <c r="BD1121" i="1"/>
  <c r="BD999" i="1"/>
  <c r="BC1158" i="1"/>
  <c r="BC1147" i="1"/>
  <c r="BC803" i="1"/>
  <c r="BC770" i="1"/>
  <c r="BD917" i="1"/>
  <c r="BD723" i="1"/>
  <c r="BC348" i="1"/>
  <c r="BD290" i="1"/>
  <c r="BD661" i="1"/>
  <c r="BC649" i="1"/>
  <c r="BC485" i="1"/>
  <c r="BD355" i="1"/>
  <c r="BD677" i="1"/>
  <c r="BC881" i="1"/>
  <c r="BD1156" i="1"/>
  <c r="BD878" i="1"/>
  <c r="BD953" i="1"/>
  <c r="BD867" i="1"/>
  <c r="BD1128" i="1"/>
  <c r="BD112" i="1"/>
  <c r="BC452" i="1"/>
  <c r="BD437" i="1"/>
  <c r="BD563" i="1"/>
  <c r="BD861" i="1"/>
  <c r="BC569" i="1"/>
  <c r="BC1016" i="1"/>
  <c r="BD1100" i="1"/>
  <c r="BD814" i="1"/>
  <c r="BC206" i="1"/>
  <c r="BD585" i="1"/>
  <c r="BD339" i="1"/>
  <c r="BD618" i="1"/>
  <c r="BC113" i="1"/>
  <c r="BC222" i="1"/>
  <c r="BC276" i="1"/>
  <c r="BC119" i="1"/>
  <c r="BD343" i="1"/>
  <c r="BD320" i="1"/>
  <c r="BC148" i="1"/>
  <c r="BC343" i="1"/>
  <c r="BC524" i="1"/>
  <c r="BC585" i="1"/>
  <c r="BC345" i="1"/>
  <c r="BD113" i="1"/>
  <c r="BC229" i="1"/>
  <c r="BD537" i="1"/>
  <c r="BD256" i="1"/>
  <c r="BC282" i="1"/>
  <c r="BD627" i="1"/>
  <c r="BD513" i="1"/>
  <c r="BD98" i="1"/>
  <c r="BC590" i="1"/>
  <c r="BC653" i="1"/>
  <c r="BC573" i="1"/>
  <c r="BD417" i="1"/>
  <c r="BC151" i="1"/>
  <c r="BD593" i="1"/>
  <c r="BD592" i="1"/>
  <c r="BC90" i="1"/>
  <c r="BC173" i="1"/>
  <c r="BC502" i="1"/>
  <c r="BD115" i="1"/>
  <c r="BC340" i="1"/>
  <c r="BC231" i="1"/>
  <c r="BD302" i="1"/>
  <c r="BC592" i="1"/>
  <c r="BD173" i="1"/>
  <c r="BD596" i="1"/>
  <c r="BC611" i="1"/>
  <c r="BD574" i="1"/>
  <c r="BC199" i="1"/>
  <c r="BD640" i="1"/>
  <c r="BD318" i="1"/>
  <c r="BC986" i="1"/>
  <c r="BC912" i="1"/>
  <c r="BC894" i="1"/>
  <c r="BC1100" i="1"/>
  <c r="BD1069" i="1"/>
  <c r="BD1191" i="1"/>
  <c r="BC232" i="1"/>
  <c r="BD700" i="1"/>
  <c r="BC968" i="1"/>
  <c r="BD880" i="1"/>
  <c r="BC795" i="1"/>
  <c r="BC1068" i="1"/>
  <c r="BD847" i="1"/>
  <c r="BD952" i="1"/>
  <c r="BD1070" i="1"/>
  <c r="BD406" i="1"/>
  <c r="BC1001" i="1"/>
  <c r="BC1172" i="1"/>
  <c r="BC1190" i="1"/>
  <c r="BC993" i="1"/>
  <c r="BD1187" i="1"/>
  <c r="BC954" i="1"/>
  <c r="BD736" i="1"/>
  <c r="BC1114" i="1"/>
  <c r="BC874" i="1"/>
  <c r="BD539" i="1"/>
  <c r="BC829" i="1"/>
  <c r="BC788" i="1"/>
  <c r="BC1139" i="1"/>
  <c r="BC914" i="1"/>
  <c r="BC296" i="1"/>
  <c r="BD748" i="1"/>
  <c r="BC430" i="1"/>
  <c r="BC1006" i="1"/>
  <c r="BC725" i="1"/>
  <c r="BD675" i="1"/>
  <c r="BD1036" i="1"/>
  <c r="BC1116" i="1"/>
  <c r="BD159" i="1"/>
  <c r="BD1197" i="1"/>
  <c r="BD939" i="1"/>
  <c r="BC228" i="1"/>
  <c r="BC285" i="1"/>
  <c r="BD672" i="1"/>
  <c r="BD1015" i="1"/>
  <c r="BC907" i="1"/>
  <c r="BC972" i="1"/>
  <c r="BD984" i="1"/>
  <c r="BC444" i="1"/>
  <c r="BD284" i="1"/>
  <c r="BC997" i="1"/>
  <c r="BC1111" i="1"/>
  <c r="BC109" i="1"/>
  <c r="BD895" i="1"/>
  <c r="BC678" i="1"/>
  <c r="BC275" i="1"/>
  <c r="BC607" i="1"/>
  <c r="BD561" i="1"/>
  <c r="BD436" i="1"/>
  <c r="BC317" i="1"/>
  <c r="BC632" i="1"/>
  <c r="BC358" i="1"/>
  <c r="BC797" i="1"/>
  <c r="BD286" i="1"/>
  <c r="BD1107" i="1"/>
  <c r="BC140" i="1"/>
  <c r="BD796" i="1"/>
  <c r="BC967" i="1"/>
  <c r="BD1129" i="1"/>
  <c r="BC147" i="1"/>
  <c r="BD1195" i="1"/>
  <c r="BC122" i="1"/>
  <c r="BC679" i="1"/>
  <c r="BC965" i="1"/>
  <c r="BC947" i="1"/>
  <c r="BC1088" i="1"/>
  <c r="BC782" i="1"/>
  <c r="BD128" i="1"/>
  <c r="BD80" i="1"/>
  <c r="BC284" i="1"/>
  <c r="BD887" i="1"/>
  <c r="BC707" i="1"/>
  <c r="BC297" i="1"/>
  <c r="BD392" i="1"/>
  <c r="BC125" i="1"/>
  <c r="BC428" i="1"/>
  <c r="BD590" i="1"/>
  <c r="BC540" i="1"/>
  <c r="BD89" i="1"/>
  <c r="BC235" i="1"/>
  <c r="BD282" i="1"/>
  <c r="BC627" i="1"/>
  <c r="BD91" i="1"/>
  <c r="BC418" i="1"/>
  <c r="BC71" i="1"/>
  <c r="BC360" i="1"/>
  <c r="BC108" i="1"/>
  <c r="BD651" i="1"/>
  <c r="BC574" i="1"/>
  <c r="BD365" i="1"/>
  <c r="BD911" i="1"/>
  <c r="BD863" i="1"/>
  <c r="BD1177" i="1"/>
  <c r="BC1004" i="1"/>
  <c r="BD823" i="1"/>
  <c r="BC156" i="1"/>
  <c r="BD891" i="1"/>
  <c r="BC1025" i="1"/>
  <c r="BD1059" i="1"/>
  <c r="BC706" i="1"/>
  <c r="BD249" i="1"/>
  <c r="BD1003" i="1"/>
  <c r="BC251" i="1"/>
  <c r="BD1194" i="1"/>
  <c r="BD1050" i="1"/>
  <c r="BC1043" i="1"/>
  <c r="BC1084" i="1"/>
  <c r="BC780" i="1"/>
  <c r="BC731" i="1"/>
  <c r="BC1135" i="1"/>
  <c r="BC854" i="1"/>
  <c r="BD793" i="1"/>
  <c r="BD1035" i="1"/>
  <c r="BC809" i="1"/>
  <c r="BD1175" i="1"/>
  <c r="BD1057" i="1"/>
  <c r="BD1096" i="1"/>
  <c r="BC890" i="1"/>
  <c r="BD1008" i="1"/>
  <c r="BD695" i="1"/>
  <c r="BC988" i="1"/>
  <c r="BD1017" i="1"/>
  <c r="BD1164" i="1"/>
  <c r="BC801" i="1"/>
  <c r="BD397" i="1"/>
  <c r="BC877" i="1"/>
  <c r="BC606" i="1"/>
  <c r="BC1122" i="1"/>
  <c r="BD690" i="1"/>
  <c r="BC882" i="1"/>
  <c r="BC1175" i="1"/>
  <c r="BD306" i="1"/>
  <c r="BC280" i="1"/>
  <c r="BD485" i="1"/>
  <c r="BD519" i="1"/>
  <c r="BC1037" i="1"/>
  <c r="BC406" i="1"/>
  <c r="BC916" i="1"/>
  <c r="BD1123" i="1"/>
  <c r="BC224" i="1"/>
  <c r="BC903" i="1"/>
  <c r="BD666" i="1"/>
  <c r="BD850" i="1"/>
  <c r="BD204" i="1"/>
  <c r="BD413" i="1"/>
  <c r="BC163" i="1"/>
  <c r="BD897" i="1"/>
  <c r="BD1165" i="1"/>
  <c r="BD125" i="1"/>
  <c r="BC1058" i="1"/>
  <c r="BD900" i="1"/>
  <c r="BD970" i="1"/>
  <c r="BD1130" i="1"/>
  <c r="BC1057" i="1"/>
  <c r="BC816" i="1"/>
  <c r="BD348" i="1"/>
  <c r="BC157" i="1"/>
  <c r="BC625" i="1"/>
  <c r="BD432" i="1"/>
  <c r="BC652" i="1"/>
  <c r="BC804" i="1"/>
  <c r="BC1053" i="1"/>
  <c r="BC802" i="1"/>
  <c r="BD954" i="1"/>
  <c r="BD981" i="1"/>
  <c r="BC1134" i="1"/>
  <c r="BC1193" i="1"/>
  <c r="BD211" i="1"/>
  <c r="BD228" i="1"/>
  <c r="BC581" i="1"/>
  <c r="BC733" i="1"/>
  <c r="BC1117" i="1"/>
  <c r="BD1040" i="1"/>
  <c r="BD1157" i="1"/>
  <c r="BD156" i="1"/>
  <c r="BC313" i="1"/>
  <c r="BC1008" i="1"/>
  <c r="BC728" i="1"/>
  <c r="BD139" i="1"/>
  <c r="BD291" i="1"/>
  <c r="BD346" i="1"/>
  <c r="BC146" i="1"/>
  <c r="BC609" i="1"/>
  <c r="BD490" i="1"/>
  <c r="BC448" i="1"/>
  <c r="BD428" i="1"/>
  <c r="BC368" i="1"/>
  <c r="BD71" i="1"/>
  <c r="BC227" i="1"/>
  <c r="BC91" i="1"/>
  <c r="BC256" i="1"/>
  <c r="BC537" i="1"/>
  <c r="BD540" i="1"/>
  <c r="BD401" i="1"/>
  <c r="BC547" i="1"/>
  <c r="BD265" i="1"/>
  <c r="BD167" i="1"/>
  <c r="BC596" i="1"/>
  <c r="BD470" i="1"/>
  <c r="BD319" i="1"/>
  <c r="BC188" i="1"/>
  <c r="BD326" i="1"/>
  <c r="BD457" i="1"/>
  <c r="BD794" i="1"/>
  <c r="BD314" i="1"/>
  <c r="BC757" i="1"/>
  <c r="BC1029" i="1"/>
  <c r="BC615" i="1"/>
  <c r="BD764" i="1"/>
  <c r="BC739" i="1"/>
  <c r="BD715" i="1"/>
  <c r="BD935" i="1"/>
  <c r="BD890" i="1"/>
  <c r="BC891" i="1"/>
  <c r="BD1193" i="1"/>
  <c r="BC867" i="1"/>
  <c r="BD1167" i="1"/>
  <c r="BD864" i="1"/>
  <c r="BC794" i="1"/>
  <c r="BC817" i="1"/>
  <c r="BC974" i="1"/>
  <c r="BD779" i="1"/>
  <c r="BC1131" i="1"/>
  <c r="BC887" i="1"/>
  <c r="BD833" i="1"/>
  <c r="BC1079" i="1"/>
  <c r="BD938" i="1"/>
  <c r="BD307" i="1"/>
  <c r="BD688" i="1"/>
  <c r="BC1086" i="1"/>
  <c r="BC681" i="1"/>
  <c r="BC778" i="1"/>
  <c r="BD1132" i="1"/>
  <c r="BD189" i="1"/>
  <c r="BD492" i="1"/>
  <c r="BC642" i="1"/>
  <c r="BC985" i="1"/>
  <c r="BD965" i="1"/>
  <c r="BD918" i="1"/>
  <c r="BC1039" i="1"/>
  <c r="BD1136" i="1"/>
  <c r="BD856" i="1"/>
  <c r="BC1022" i="1"/>
  <c r="BD906" i="1"/>
  <c r="BD673" i="1"/>
  <c r="BC920" i="1"/>
  <c r="BC568" i="1"/>
  <c r="BD297" i="1"/>
  <c r="BD499" i="1"/>
  <c r="BC1034" i="1"/>
  <c r="BC1040" i="1"/>
  <c r="BC1169" i="1"/>
  <c r="BD1013" i="1"/>
  <c r="BD948" i="1"/>
  <c r="BC377" i="1"/>
  <c r="BC1133" i="1"/>
  <c r="BC818" i="1"/>
  <c r="BC928" i="1"/>
  <c r="BD819" i="1"/>
  <c r="BC962" i="1"/>
  <c r="BD477" i="1"/>
  <c r="BD840" i="1"/>
  <c r="BC243" i="1"/>
  <c r="BC1167" i="1"/>
  <c r="BC915" i="1"/>
  <c r="BC1110" i="1"/>
  <c r="BC92" i="1"/>
  <c r="BD937" i="1"/>
  <c r="BD1184" i="1"/>
  <c r="BD435" i="1"/>
  <c r="BC953" i="1"/>
  <c r="BD313" i="1"/>
  <c r="BD724" i="1"/>
  <c r="BC980" i="1"/>
  <c r="BD944" i="1"/>
  <c r="BC1125" i="1"/>
  <c r="BC290" i="1"/>
  <c r="BD269" i="1"/>
  <c r="BC392" i="1"/>
  <c r="BC1137" i="1"/>
  <c r="BD832" i="1"/>
  <c r="BD717" i="1"/>
  <c r="BC1107" i="1"/>
  <c r="BC561" i="1"/>
  <c r="BD200" i="1"/>
  <c r="BD760" i="1"/>
  <c r="BC870" i="1"/>
  <c r="BC218" i="1"/>
  <c r="BC339" i="1"/>
  <c r="BD462" i="1"/>
  <c r="BD611" i="1"/>
  <c r="BD155" i="1"/>
  <c r="BD231" i="1"/>
  <c r="BD108" i="1"/>
  <c r="BC496" i="1"/>
  <c r="BC651" i="1"/>
  <c r="BC593" i="1"/>
  <c r="BD617" i="1"/>
  <c r="BC318" i="1"/>
  <c r="BC640" i="1"/>
  <c r="BC165" i="1"/>
  <c r="BC931" i="1"/>
  <c r="BD795" i="1"/>
  <c r="BD261" i="1"/>
  <c r="BD1109" i="1"/>
  <c r="BD737" i="1"/>
  <c r="BD957" i="1"/>
  <c r="BD1029" i="1"/>
  <c r="BD872" i="1"/>
  <c r="BD1144" i="1"/>
  <c r="BC495" i="1"/>
  <c r="BC1007" i="1"/>
  <c r="BD807" i="1"/>
  <c r="BD1031" i="1"/>
  <c r="BC805" i="1"/>
  <c r="BC1070" i="1"/>
  <c r="BD763" i="1"/>
  <c r="BD826" i="1"/>
  <c r="BD1148" i="1"/>
  <c r="BD972" i="1"/>
  <c r="BD1134" i="1"/>
  <c r="BC758" i="1"/>
  <c r="BC1179" i="1"/>
  <c r="BC732" i="1"/>
  <c r="BC769" i="1"/>
  <c r="BD963" i="1"/>
  <c r="BD770" i="1"/>
  <c r="BC530" i="1"/>
  <c r="BD759" i="1"/>
  <c r="BC636" i="1"/>
  <c r="BD1169" i="1"/>
  <c r="BC979" i="1"/>
  <c r="BC197" i="1"/>
  <c r="BD711" i="1"/>
  <c r="BD665" i="1"/>
  <c r="BD691" i="1"/>
  <c r="BD1067" i="1"/>
  <c r="BC1112" i="1"/>
  <c r="BC875" i="1"/>
  <c r="BC921" i="1"/>
  <c r="BC677" i="1"/>
  <c r="BC970" i="1"/>
  <c r="BD124" i="1"/>
  <c r="BC400" i="1"/>
  <c r="BD876" i="1"/>
  <c r="BC1067" i="1"/>
  <c r="BD1135" i="1"/>
  <c r="BC945" i="1"/>
  <c r="BC929" i="1"/>
  <c r="BD789" i="1"/>
  <c r="BD817" i="1"/>
  <c r="BD275" i="1"/>
  <c r="BC437" i="1"/>
  <c r="BD393" i="1"/>
  <c r="BC519" i="1"/>
  <c r="BC1140" i="1"/>
  <c r="BD853" i="1"/>
  <c r="BD875" i="1"/>
  <c r="BD1138" i="1"/>
  <c r="BC1033" i="1"/>
  <c r="BD923" i="1"/>
  <c r="BC1077" i="1"/>
  <c r="BD914" i="1"/>
  <c r="BD614" i="1"/>
  <c r="BD245" i="1"/>
  <c r="BD1051" i="1"/>
  <c r="BD1162" i="1"/>
  <c r="BC1091" i="1"/>
  <c r="BD1079" i="1"/>
  <c r="BD1080" i="1"/>
  <c r="BC878" i="1"/>
  <c r="BD848" i="1"/>
  <c r="BD1086" i="1"/>
  <c r="BC552" i="1"/>
  <c r="BC153" i="1"/>
  <c r="BD633" i="1"/>
  <c r="BD1041" i="1"/>
  <c r="BD838" i="1"/>
  <c r="BD1170" i="1"/>
  <c r="BC1151" i="1"/>
  <c r="BC270" i="1"/>
  <c r="BC306" i="1"/>
  <c r="BC436" i="1"/>
  <c r="BD584" i="1"/>
  <c r="BD714" i="1"/>
  <c r="BC183" i="1"/>
  <c r="BD621" i="1"/>
  <c r="BD119" i="1"/>
  <c r="BC346" i="1"/>
  <c r="BC155" i="1"/>
  <c r="BD293" i="1"/>
  <c r="BD340" i="1"/>
  <c r="BD502" i="1"/>
  <c r="BC295" i="1"/>
  <c r="BC543" i="1"/>
  <c r="BD418" i="1"/>
  <c r="BD205" i="1"/>
  <c r="BC630" i="1"/>
  <c r="BD295" i="1"/>
  <c r="BC234" i="1"/>
  <c r="BC662" i="1"/>
  <c r="BC74" i="1"/>
  <c r="BD165" i="1"/>
  <c r="BD589" i="1"/>
  <c r="BC401" i="1"/>
  <c r="BD625" i="1"/>
  <c r="BD263" i="1"/>
  <c r="BD146" i="1"/>
  <c r="BD635" i="1"/>
  <c r="BC427" i="1"/>
  <c r="BC469" i="1"/>
  <c r="BD423" i="1"/>
  <c r="BD408" i="1"/>
  <c r="BD350" i="1"/>
  <c r="BD294" i="1"/>
  <c r="BC621" i="1"/>
  <c r="BC633" i="1"/>
  <c r="BC467" i="1"/>
  <c r="BC321" i="1"/>
  <c r="BC283" i="1"/>
  <c r="BD464" i="1"/>
  <c r="BD197" i="1"/>
  <c r="BD157" i="1"/>
  <c r="BC263" i="1"/>
  <c r="BC584" i="1"/>
  <c r="BC334" i="1"/>
  <c r="BC598" i="1"/>
  <c r="BD465" i="1"/>
  <c r="BC560" i="1"/>
  <c r="BC425" i="1"/>
  <c r="BD473" i="1"/>
  <c r="BC72" i="1"/>
  <c r="BC473" i="1"/>
  <c r="BC435" i="1"/>
  <c r="BC341" i="1"/>
  <c r="BD81" i="1"/>
  <c r="BC533" i="1"/>
  <c r="BD449" i="1"/>
  <c r="BD147" i="1"/>
  <c r="BC128" i="1"/>
  <c r="BC631" i="1"/>
  <c r="BC655" i="1"/>
  <c r="BC262" i="1"/>
  <c r="BD366" i="1"/>
  <c r="BD378" i="1"/>
  <c r="BD649" i="1"/>
  <c r="BD141" i="1"/>
  <c r="BD609" i="1"/>
  <c r="BD337" i="1"/>
  <c r="BC259" i="1"/>
  <c r="BC510" i="1"/>
  <c r="BD448" i="1"/>
  <c r="BC338" i="1"/>
  <c r="BD334" i="1"/>
  <c r="BD598" i="1"/>
  <c r="BC465" i="1"/>
  <c r="BD560" i="1"/>
  <c r="BC337" i="1"/>
  <c r="BC294" i="1"/>
  <c r="BD467" i="1"/>
  <c r="BD277" i="1"/>
  <c r="BD270" i="1"/>
  <c r="BD335" i="1"/>
  <c r="BC431" i="1"/>
  <c r="BC589" i="1"/>
  <c r="BC588" i="1"/>
  <c r="BD79" i="1"/>
  <c r="BC189" i="1"/>
  <c r="BC635" i="1"/>
  <c r="BD427" i="1"/>
  <c r="BD469" i="1"/>
  <c r="BC87" i="1"/>
  <c r="BD383" i="1"/>
  <c r="BD341" i="1"/>
  <c r="BD352" i="1"/>
  <c r="BC404" i="1"/>
  <c r="BC546" i="1"/>
  <c r="BD333" i="1"/>
  <c r="BD522" i="1"/>
  <c r="BD87" i="1"/>
  <c r="BC261" i="1"/>
  <c r="BC422" i="1"/>
  <c r="BC184" i="1"/>
  <c r="BD461" i="1"/>
  <c r="BC329" i="1"/>
  <c r="BC456" i="1"/>
  <c r="BC464" i="1"/>
  <c r="BD588" i="1"/>
  <c r="BD422" i="1"/>
  <c r="BC478" i="1"/>
  <c r="BD254" i="1"/>
  <c r="BC644" i="1"/>
  <c r="BD655" i="1"/>
  <c r="BD262" i="1"/>
  <c r="BC350" i="1"/>
  <c r="BC379" i="1"/>
  <c r="BD568" i="1"/>
  <c r="BD109" i="1"/>
  <c r="BD110" i="1"/>
  <c r="BC542" i="1"/>
  <c r="BC141" i="1"/>
  <c r="BC110" i="1"/>
  <c r="BC490" i="1"/>
  <c r="BC583" i="1"/>
  <c r="BD259" i="1"/>
  <c r="BD181" i="1"/>
  <c r="BD510" i="1"/>
  <c r="BD660" i="1"/>
  <c r="BD511" i="1"/>
  <c r="BD630" i="1"/>
  <c r="BD227" i="1"/>
  <c r="BD289" i="1"/>
  <c r="BD85" i="1"/>
  <c r="BC366" i="1"/>
  <c r="BD546" i="1"/>
  <c r="BC333" i="1"/>
  <c r="BD525" i="1"/>
  <c r="BC81" i="1"/>
  <c r="BC383" i="1"/>
  <c r="BC180" i="1"/>
  <c r="BC461" i="1"/>
  <c r="BD329" i="1"/>
  <c r="BC423" i="1"/>
  <c r="BC487" i="1"/>
  <c r="BC204" i="1"/>
  <c r="BD456" i="1"/>
  <c r="BD404" i="1"/>
  <c r="BC408" i="1"/>
  <c r="BC525" i="1"/>
  <c r="BD232" i="1"/>
  <c r="BD497" i="1"/>
  <c r="BD479" i="1"/>
  <c r="BC277" i="1"/>
  <c r="BD628" i="1"/>
  <c r="BD475" i="1"/>
  <c r="BC354" i="1"/>
  <c r="BD615" i="1"/>
  <c r="BD542" i="1"/>
  <c r="BC326" i="1"/>
  <c r="BC181" i="1"/>
  <c r="BC660" i="1"/>
  <c r="BC628" i="1"/>
  <c r="BD338" i="1"/>
  <c r="BC381" i="1"/>
  <c r="BC85" i="1"/>
  <c r="BC665" i="1"/>
  <c r="BD321" i="1"/>
  <c r="BD283" i="1"/>
  <c r="BD478" i="1"/>
  <c r="BC378" i="1"/>
  <c r="BD583" i="1"/>
  <c r="BC289" i="1"/>
  <c r="BD652" i="1"/>
  <c r="BD501" i="1"/>
  <c r="BD347" i="1"/>
  <c r="BC479" i="1"/>
  <c r="BD72" i="1"/>
  <c r="BC522" i="1"/>
  <c r="BD643" i="1"/>
  <c r="BD564" i="1"/>
  <c r="BD606" i="1"/>
  <c r="BD303" i="1"/>
  <c r="BC488" i="1"/>
  <c r="BD566" i="1"/>
  <c r="BD172" i="1"/>
  <c r="BD376" i="1"/>
  <c r="BD152" i="1"/>
  <c r="BD442" i="1"/>
  <c r="BD429" i="1"/>
  <c r="BC438" i="1"/>
  <c r="BD106" i="1"/>
  <c r="BC657" i="1"/>
  <c r="BD529" i="1"/>
  <c r="BD117" i="1"/>
  <c r="BC99" i="1"/>
  <c r="BD169" i="1"/>
  <c r="BC127" i="1"/>
  <c r="BD257" i="1"/>
  <c r="BD572" i="1"/>
  <c r="BC244" i="1"/>
  <c r="BC190" i="1"/>
  <c r="BC170" i="1"/>
  <c r="BC407" i="1"/>
  <c r="BC332" i="1"/>
  <c r="BD247" i="1"/>
  <c r="BC527" i="1"/>
  <c r="BC380" i="1"/>
  <c r="BC242" i="1"/>
  <c r="BD312" i="1"/>
  <c r="BD287" i="1"/>
  <c r="BC308" i="1"/>
  <c r="BD385" i="1"/>
  <c r="BD386" i="1"/>
  <c r="BC505" i="1"/>
  <c r="BD403" i="1"/>
  <c r="BC553" i="1"/>
  <c r="BD536" i="1"/>
  <c r="BC336" i="1"/>
  <c r="BC421" i="1"/>
  <c r="BC610" i="1"/>
  <c r="BD458" i="1"/>
  <c r="BD77" i="1"/>
  <c r="BC176" i="1"/>
  <c r="BC541" i="1"/>
  <c r="BD494" i="1"/>
  <c r="BD483" i="1"/>
  <c r="BD595" i="1"/>
  <c r="BD629" i="1"/>
  <c r="BC373" i="1"/>
  <c r="BC305" i="1"/>
  <c r="BC387" i="1"/>
  <c r="BC619" i="1"/>
  <c r="BD405" i="1"/>
  <c r="BC192" i="1"/>
  <c r="BC223" i="1"/>
  <c r="BC310" i="1"/>
  <c r="BC137" i="1"/>
  <c r="BD654" i="1"/>
  <c r="BC503" i="1"/>
  <c r="BC258" i="1"/>
  <c r="BD240" i="1"/>
  <c r="BD75" i="1"/>
  <c r="BC486" i="1"/>
  <c r="BC171" i="1"/>
  <c r="BC70" i="1"/>
  <c r="BC281" i="1"/>
  <c r="BC391" i="1"/>
  <c r="BD664" i="1"/>
  <c r="BC388" i="1"/>
  <c r="BD504" i="1"/>
  <c r="BC126" i="1"/>
  <c r="BD136" i="1"/>
  <c r="BC226" i="1"/>
  <c r="BD69" i="1"/>
  <c r="BC250" i="1"/>
  <c r="BD330" i="1"/>
  <c r="BC453" i="1"/>
  <c r="BC236" i="1"/>
  <c r="BD78" i="1"/>
  <c r="BD526" i="1"/>
  <c r="BC100" i="1"/>
  <c r="BC138" i="1"/>
  <c r="BD507" i="1"/>
  <c r="BD538" i="1"/>
  <c r="BD362" i="1"/>
  <c r="BD647" i="1"/>
  <c r="BD372" i="1"/>
  <c r="BC439" i="1"/>
  <c r="BC451" i="1"/>
  <c r="BD576" i="1"/>
  <c r="BD548" i="1"/>
  <c r="BD267" i="1"/>
  <c r="BC132" i="1"/>
  <c r="BC195" i="1"/>
  <c r="BC443" i="1"/>
  <c r="BC402" i="1"/>
  <c r="BD575" i="1"/>
  <c r="BD133" i="1"/>
  <c r="BD498" i="1"/>
  <c r="BC185" i="1"/>
  <c r="BC624" i="1"/>
  <c r="BC68" i="1"/>
  <c r="BC587" i="1"/>
  <c r="BC398" i="1"/>
  <c r="BC264" i="1"/>
  <c r="BC424" i="1"/>
  <c r="BD440" i="1"/>
  <c r="BD658" i="1"/>
  <c r="BC562" i="1"/>
  <c r="BC399" i="1"/>
  <c r="BD95" i="1"/>
  <c r="BD144" i="1"/>
  <c r="BD322" i="1"/>
  <c r="BD390" i="1"/>
  <c r="BC301" i="1"/>
  <c r="BC316" i="1"/>
  <c r="BD82" i="1"/>
  <c r="BC455" i="1"/>
  <c r="BD586" i="1"/>
  <c r="BC361" i="1"/>
  <c r="BC129" i="1"/>
  <c r="BD480" i="1"/>
  <c r="BD134" i="1"/>
  <c r="BD604" i="1"/>
  <c r="BD174" i="1"/>
  <c r="BD531" i="1"/>
  <c r="BD659" i="1"/>
  <c r="BD160" i="1"/>
  <c r="BC239" i="1"/>
  <c r="BD83" i="1"/>
  <c r="BC620" i="1"/>
  <c r="BD438" i="1"/>
  <c r="BC529" i="1"/>
  <c r="BD99" i="1"/>
  <c r="BD127" i="1"/>
  <c r="BC572" i="1"/>
  <c r="BD190" i="1"/>
  <c r="BD332" i="1"/>
  <c r="BD527" i="1"/>
  <c r="BD242" i="1"/>
  <c r="BC287" i="1"/>
  <c r="BC385" i="1"/>
  <c r="BD505" i="1"/>
  <c r="BD553" i="1"/>
  <c r="BC536" i="1"/>
  <c r="BD421" i="1"/>
  <c r="BC458" i="1"/>
  <c r="BD176" i="1"/>
  <c r="BC494" i="1"/>
  <c r="BC483" i="1"/>
  <c r="BC629" i="1"/>
  <c r="BC158" i="1"/>
  <c r="BC532" i="1"/>
  <c r="BD309" i="1"/>
  <c r="BC638" i="1"/>
  <c r="BC69" i="1"/>
  <c r="BD453" i="1"/>
  <c r="BC78" i="1"/>
  <c r="BD138" i="1"/>
  <c r="BC507" i="1"/>
  <c r="BC647" i="1"/>
  <c r="BD439" i="1"/>
  <c r="BC576" i="1"/>
  <c r="BC267" i="1"/>
  <c r="BC182" i="1"/>
  <c r="BC154" i="1"/>
  <c r="BD129" i="1"/>
  <c r="BC233" i="1"/>
  <c r="BC434" i="1"/>
  <c r="BC134" i="1"/>
  <c r="BD398" i="1"/>
  <c r="BD264" i="1"/>
  <c r="BC303" i="1"/>
  <c r="BD488" i="1"/>
  <c r="BC566" i="1"/>
  <c r="BC172" i="1"/>
  <c r="BC376" i="1"/>
  <c r="BC152" i="1"/>
  <c r="BC442" i="1"/>
  <c r="BD433" i="1"/>
  <c r="BC363" i="1"/>
  <c r="BC367" i="1"/>
  <c r="BD255" i="1"/>
  <c r="BC273" i="1"/>
  <c r="BC105" i="1"/>
  <c r="BD101" i="1"/>
  <c r="BD210" i="1"/>
  <c r="BD328" i="1"/>
  <c r="BC389" i="1"/>
  <c r="BC272" i="1"/>
  <c r="BD534" i="1"/>
  <c r="BD523" i="1"/>
  <c r="BD500" i="1"/>
  <c r="BC646" i="1"/>
  <c r="BD597" i="1"/>
  <c r="BD450" i="1"/>
  <c r="BD84" i="1"/>
  <c r="BC150" i="1"/>
  <c r="BC88" i="1"/>
  <c r="BD656" i="1"/>
  <c r="BC107" i="1"/>
  <c r="BC116" i="1"/>
  <c r="BC208" i="1"/>
  <c r="BC571" i="1"/>
  <c r="BC414" i="1"/>
  <c r="BC327" i="1"/>
  <c r="BD382" i="1"/>
  <c r="BC612" i="1"/>
  <c r="BD370" i="1"/>
  <c r="BD608" i="1"/>
  <c r="BC420" i="1"/>
  <c r="BC230" i="1"/>
  <c r="BC202" i="1"/>
  <c r="BD114" i="1"/>
  <c r="BD555" i="1"/>
  <c r="BC559" i="1"/>
  <c r="BD459" i="1"/>
  <c r="BC175" i="1"/>
  <c r="BC121" i="1"/>
  <c r="BC216" i="1"/>
  <c r="BC67" i="1"/>
  <c r="BD241" i="1"/>
  <c r="BD212" i="1"/>
  <c r="BD466" i="1"/>
  <c r="BD292" i="1"/>
  <c r="BD489" i="1"/>
  <c r="BD387" i="1"/>
  <c r="BD619" i="1"/>
  <c r="BC405" i="1"/>
  <c r="BD192" i="1"/>
  <c r="BD223" i="1"/>
  <c r="BD310" i="1"/>
  <c r="BD137" i="1"/>
  <c r="BC654" i="1"/>
  <c r="BD503" i="1"/>
  <c r="BD258" i="1"/>
  <c r="BC240" i="1"/>
  <c r="BC75" i="1"/>
  <c r="BD486" i="1"/>
  <c r="BD171" i="1"/>
  <c r="BD70" i="1"/>
  <c r="BD281" i="1"/>
  <c r="BD399" i="1"/>
  <c r="BC95" i="1"/>
  <c r="BC144" i="1"/>
  <c r="BC322" i="1"/>
  <c r="BD220" i="1"/>
  <c r="BD94" i="1"/>
  <c r="BC390" i="1"/>
  <c r="BD301" i="1"/>
  <c r="BC149" i="1"/>
  <c r="BD316" i="1"/>
  <c r="BC82" i="1"/>
  <c r="BD395" i="1"/>
  <c r="BD455" i="1"/>
  <c r="BC535" i="1"/>
  <c r="BC586" i="1"/>
  <c r="BD639" i="1"/>
  <c r="BD86" i="1"/>
  <c r="BC186" i="1"/>
  <c r="BC325" i="1"/>
  <c r="BD361" i="1"/>
  <c r="BD545" i="1"/>
  <c r="BD132" i="1"/>
  <c r="BD195" i="1"/>
  <c r="BD443" i="1"/>
  <c r="BD402" i="1"/>
  <c r="BC575" i="1"/>
  <c r="BC133" i="1"/>
  <c r="BC498" i="1"/>
  <c r="BD185" i="1"/>
  <c r="BD624" i="1"/>
  <c r="BD68" i="1"/>
  <c r="BD587" i="1"/>
  <c r="BC219" i="1"/>
  <c r="BD472" i="1"/>
  <c r="BC604" i="1"/>
  <c r="BC626" i="1"/>
  <c r="BC174" i="1"/>
  <c r="BC531" i="1"/>
  <c r="BD638" i="1"/>
  <c r="BD96" i="1"/>
  <c r="BC220" i="1"/>
  <c r="BD149" i="1"/>
  <c r="BC395" i="1"/>
  <c r="BD535" i="1"/>
  <c r="BC639" i="1"/>
  <c r="BD186" i="1"/>
  <c r="BD325" i="1"/>
  <c r="BC545" i="1"/>
  <c r="BD182" i="1"/>
  <c r="BD154" i="1"/>
  <c r="BC622" i="1"/>
  <c r="BD233" i="1"/>
  <c r="BD434" i="1"/>
  <c r="BD219" i="1"/>
  <c r="BC472" i="1"/>
  <c r="BD626" i="1"/>
  <c r="BD179" i="1"/>
  <c r="BC577" i="1"/>
  <c r="BC271" i="1"/>
  <c r="BC429" i="1"/>
  <c r="BC106" i="1"/>
  <c r="BD657" i="1"/>
  <c r="BC117" i="1"/>
  <c r="BC169" i="1"/>
  <c r="BC257" i="1"/>
  <c r="BD244" i="1"/>
  <c r="BD170" i="1"/>
  <c r="BD407" i="1"/>
  <c r="BC247" i="1"/>
  <c r="BD380" i="1"/>
  <c r="BC312" i="1"/>
  <c r="BD308" i="1"/>
  <c r="BC386" i="1"/>
  <c r="BC403" i="1"/>
  <c r="BD336" i="1"/>
  <c r="BD610" i="1"/>
  <c r="BC77" i="1"/>
  <c r="BD541" i="1"/>
  <c r="BC595" i="1"/>
  <c r="BD373" i="1"/>
  <c r="BD305" i="1"/>
  <c r="BC353" i="1"/>
  <c r="BC491" i="1"/>
  <c r="BC567" i="1"/>
  <c r="BC641" i="1"/>
  <c r="BC349" i="1"/>
  <c r="BD471" i="1"/>
  <c r="BC351" i="1"/>
  <c r="BD570" i="1"/>
  <c r="BC96" i="1"/>
  <c r="BD375" i="1"/>
  <c r="BC664" i="1"/>
  <c r="BD126" i="1"/>
  <c r="BC136" i="1"/>
  <c r="BD226" i="1"/>
  <c r="BC330" i="1"/>
  <c r="BD236" i="1"/>
  <c r="BD100" i="1"/>
  <c r="BC538" i="1"/>
  <c r="BC372" i="1"/>
  <c r="BD451" i="1"/>
  <c r="BC548" i="1"/>
  <c r="BC440" i="1"/>
  <c r="BC658" i="1"/>
  <c r="BC659" i="1"/>
  <c r="BC160" i="1"/>
  <c r="BD239" i="1"/>
  <c r="BC179" i="1"/>
  <c r="BD577" i="1"/>
  <c r="BC83" i="1"/>
  <c r="BD620" i="1"/>
  <c r="BD271" i="1"/>
  <c r="BC433" i="1"/>
  <c r="BD363" i="1"/>
  <c r="BD367" i="1"/>
  <c r="BC255" i="1"/>
  <c r="BD273" i="1"/>
  <c r="BD105" i="1"/>
  <c r="BC101" i="1"/>
  <c r="BC210" i="1"/>
  <c r="BC328" i="1"/>
  <c r="BD389" i="1"/>
  <c r="BD272" i="1"/>
  <c r="BC534" i="1"/>
  <c r="BC523" i="1"/>
  <c r="BC500" i="1"/>
  <c r="BD646" i="1"/>
  <c r="BC597" i="1"/>
  <c r="BC450" i="1"/>
  <c r="BC84" i="1"/>
  <c r="BD150" i="1"/>
  <c r="BD88" i="1"/>
  <c r="BC656" i="1"/>
  <c r="BD107" i="1"/>
  <c r="BD116" i="1"/>
  <c r="BD208" i="1"/>
  <c r="BD571" i="1"/>
  <c r="BD414" i="1"/>
  <c r="BD327" i="1"/>
  <c r="BC382" i="1"/>
  <c r="BD612" i="1"/>
  <c r="BC370" i="1"/>
  <c r="BC608" i="1"/>
  <c r="BD420" i="1"/>
  <c r="BD230" i="1"/>
  <c r="BD202" i="1"/>
  <c r="BC114" i="1"/>
  <c r="BC555" i="1"/>
  <c r="BD559" i="1"/>
  <c r="BC459" i="1"/>
  <c r="BD175" i="1"/>
  <c r="BD121" i="1"/>
  <c r="BD216" i="1"/>
  <c r="BD67" i="1"/>
  <c r="BC241" i="1"/>
  <c r="BC212" i="1"/>
  <c r="BC466" i="1"/>
  <c r="BC292" i="1"/>
  <c r="BC489" i="1"/>
  <c r="BD158" i="1"/>
  <c r="BD353" i="1"/>
  <c r="BD491" i="1"/>
  <c r="BD532" i="1"/>
  <c r="BD567" i="1"/>
  <c r="BC309" i="1"/>
  <c r="BD641" i="1"/>
  <c r="BD349" i="1"/>
  <c r="BC471" i="1"/>
  <c r="BD351" i="1"/>
  <c r="BC570" i="1"/>
  <c r="BC375" i="1"/>
  <c r="BC94" i="1"/>
  <c r="BC86" i="1"/>
  <c r="BD391" i="1"/>
  <c r="BD388" i="1"/>
  <c r="BC504" i="1"/>
  <c r="BD250" i="1"/>
  <c r="BC526" i="1"/>
  <c r="BC362" i="1"/>
  <c r="BD622" i="1"/>
  <c r="BC480" i="1"/>
  <c r="BD424" i="1"/>
  <c r="BD562" i="1"/>
  <c r="BD279" i="1"/>
  <c r="BC463" i="1"/>
  <c r="BC187" i="1"/>
  <c r="BC225" i="1"/>
  <c r="BC515" i="1"/>
  <c r="BD516" i="1"/>
  <c r="BD441" i="1"/>
  <c r="BD268" i="1"/>
  <c r="BC207" i="1"/>
  <c r="BD118" i="1"/>
  <c r="BC445" i="1"/>
  <c r="BC426" i="1"/>
  <c r="BD201" i="1"/>
  <c r="BD299" i="1"/>
  <c r="BC131" i="1"/>
  <c r="BD578" i="1"/>
  <c r="BC650" i="1"/>
  <c r="BD509" i="1"/>
  <c r="BC253" i="1"/>
  <c r="BD315" i="1"/>
  <c r="BD221" i="1"/>
  <c r="BD166" i="1"/>
  <c r="BC554" i="1"/>
  <c r="BD274" i="1"/>
  <c r="BD384" i="1"/>
  <c r="BD97" i="1"/>
  <c r="BC599" i="1"/>
  <c r="BC268" i="1"/>
  <c r="BD207" i="1"/>
  <c r="BC118" i="1"/>
  <c r="BD445" i="1"/>
  <c r="BD426" i="1"/>
  <c r="BC201" i="1"/>
  <c r="BC299" i="1"/>
  <c r="BD131" i="1"/>
  <c r="BC578" i="1"/>
  <c r="BD650" i="1"/>
  <c r="BC509" i="1"/>
  <c r="BD253" i="1"/>
  <c r="BC315" i="1"/>
  <c r="BC221" i="1"/>
  <c r="BC166" i="1"/>
  <c r="BD554" i="1"/>
  <c r="BC274" i="1"/>
  <c r="BC384" i="1"/>
  <c r="BC97" i="1"/>
  <c r="BD599" i="1"/>
  <c r="BC288" i="1"/>
  <c r="BC468" i="1"/>
  <c r="BD551" i="1"/>
  <c r="BC460" i="1"/>
  <c r="BD369" i="1"/>
  <c r="BD196" i="1"/>
  <c r="BD558" i="1"/>
  <c r="BD123" i="1"/>
  <c r="BC613" i="1"/>
  <c r="BD603" i="1"/>
  <c r="BD605" i="1"/>
  <c r="BD482" i="1"/>
  <c r="BC594" i="1"/>
  <c r="BD580" i="1"/>
  <c r="BC616" i="1"/>
  <c r="BC481" i="1"/>
  <c r="BC198" i="1"/>
  <c r="BD474" i="1"/>
  <c r="BD419" i="1"/>
  <c r="BC446" i="1"/>
  <c r="BC130" i="1"/>
  <c r="BC279" i="1"/>
  <c r="BD463" i="1"/>
  <c r="BD187" i="1"/>
  <c r="BD225" i="1"/>
  <c r="BD515" i="1"/>
  <c r="BC516" i="1"/>
  <c r="BC441" i="1"/>
  <c r="BC191" i="1"/>
  <c r="BD359" i="1"/>
  <c r="BD663" i="1"/>
  <c r="BD288" i="1"/>
  <c r="BD468" i="1"/>
  <c r="BC551" i="1"/>
  <c r="BD460" i="1"/>
  <c r="BC369" i="1"/>
  <c r="BC196" i="1"/>
  <c r="BC558" i="1"/>
  <c r="BC123" i="1"/>
  <c r="BD613" i="1"/>
  <c r="BC603" i="1"/>
  <c r="BC605" i="1"/>
  <c r="BC482" i="1"/>
  <c r="BD594" i="1"/>
  <c r="BC580" i="1"/>
  <c r="BD616" i="1"/>
  <c r="BD481" i="1"/>
  <c r="BD198" i="1"/>
  <c r="BC474" i="1"/>
  <c r="BC419" i="1"/>
  <c r="BD446" i="1"/>
  <c r="BD130" i="1"/>
  <c r="BD191" i="1"/>
  <c r="BC359" i="1"/>
  <c r="BC663" i="1"/>
  <c r="BD162" i="1"/>
  <c r="BC162" i="1"/>
  <c r="E3" i="1" l="1"/>
  <c r="DL2" i="1" s="1"/>
  <c r="E4" i="1"/>
  <c r="DM2" i="1" s="1"/>
  <c r="E2" i="1"/>
  <c r="DK2" i="1" s="1"/>
  <c r="F2" i="1"/>
  <c r="DK3" i="1" s="1"/>
  <c r="F3" i="1"/>
  <c r="DL3" i="1" s="1"/>
  <c r="F4" i="1"/>
  <c r="DM3" i="1" s="1"/>
</calcChain>
</file>

<file path=xl/sharedStrings.xml><?xml version="1.0" encoding="utf-8"?>
<sst xmlns="http://schemas.openxmlformats.org/spreadsheetml/2006/main" count="181" uniqueCount="110">
  <si>
    <t>Constants</t>
  </si>
  <si>
    <t>Data selection</t>
  </si>
  <si>
    <t>Offset values</t>
  </si>
  <si>
    <t>Graph data</t>
  </si>
  <si>
    <t>Background start</t>
  </si>
  <si>
    <t>average</t>
  </si>
  <si>
    <t># Bg cycles</t>
  </si>
  <si>
    <t>+2σ</t>
  </si>
  <si>
    <t>Analysis start</t>
  </si>
  <si>
    <t>-2σ</t>
  </si>
  <si>
    <t>n</t>
  </si>
  <si>
    <t># Analysis cycles</t>
  </si>
  <si>
    <t>84Sr</t>
  </si>
  <si>
    <t xml:space="preserve">Results </t>
  </si>
  <si>
    <t>168Yb</t>
  </si>
  <si>
    <t>170Yb</t>
  </si>
  <si>
    <t>171Yb</t>
  </si>
  <si>
    <t>172Yb</t>
  </si>
  <si>
    <t>173Yb</t>
  </si>
  <si>
    <t>174Yb</t>
  </si>
  <si>
    <t>176Yb</t>
  </si>
  <si>
    <t>162Er</t>
  </si>
  <si>
    <t>164Er</t>
  </si>
  <si>
    <t>166Er</t>
  </si>
  <si>
    <t>167Er</t>
  </si>
  <si>
    <t>168Er</t>
  </si>
  <si>
    <t>170Er</t>
  </si>
  <si>
    <t>m/z 82* (V)</t>
  </si>
  <si>
    <t>m/z 83** (V)</t>
  </si>
  <si>
    <r>
      <t xml:space="preserve">mass 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</si>
  <si>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corr</t>
    </r>
  </si>
  <si>
    <r>
      <t xml:space="preserve">mass </t>
    </r>
    <r>
      <rPr>
        <b/>
        <vertAlign val="superscript"/>
        <sz val="10"/>
        <rFont val="Calibri"/>
        <family val="2"/>
      </rPr>
      <t>87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</si>
  <si>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2se</t>
    </r>
  </si>
  <si>
    <r>
      <t xml:space="preserve">mass </t>
    </r>
    <r>
      <rPr>
        <b/>
        <vertAlign val="superscript"/>
        <sz val="10"/>
        <rFont val="Calibri"/>
        <family val="2"/>
      </rPr>
      <t>84</t>
    </r>
    <r>
      <rPr>
        <b/>
        <sz val="10"/>
        <rFont val="Calibri"/>
        <family val="2"/>
      </rPr>
      <t>Sr</t>
    </r>
  </si>
  <si>
    <r>
      <t xml:space="preserve">mass 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</si>
  <si>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 (V)</t>
    </r>
  </si>
  <si>
    <r>
      <t xml:space="preserve">mass </t>
    </r>
    <r>
      <rPr>
        <b/>
        <vertAlign val="superscript"/>
        <sz val="10"/>
        <rFont val="Calibri"/>
        <family val="2"/>
      </rPr>
      <t>87</t>
    </r>
    <r>
      <rPr>
        <b/>
        <sz val="10"/>
        <rFont val="Calibri"/>
        <family val="2"/>
      </rPr>
      <t>Sr</t>
    </r>
  </si>
  <si>
    <r>
      <t>84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corr</t>
    </r>
  </si>
  <si>
    <r>
      <t xml:space="preserve">mass </t>
    </r>
    <r>
      <rPr>
        <b/>
        <vertAlign val="superscript"/>
        <sz val="10"/>
        <rFont val="Calibri"/>
        <family val="2"/>
      </rPr>
      <t>88</t>
    </r>
    <r>
      <rPr>
        <b/>
        <sz val="10"/>
        <rFont val="Calibri"/>
        <family val="2"/>
      </rPr>
      <t>Sr</t>
    </r>
  </si>
  <si>
    <r>
      <t>84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2se</t>
    </r>
  </si>
  <si>
    <r>
      <t>87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 true</t>
    </r>
  </si>
  <si>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88</t>
    </r>
    <r>
      <rPr>
        <b/>
        <sz val="10"/>
        <rFont val="Calibri"/>
        <family val="2"/>
      </rPr>
      <t>Sr</t>
    </r>
  </si>
  <si>
    <r>
      <t>86</t>
    </r>
    <r>
      <rPr>
        <b/>
        <sz val="10"/>
        <rFont val="Calibri"/>
        <family val="2"/>
      </rPr>
      <t>Kr/</t>
    </r>
    <r>
      <rPr>
        <b/>
        <vertAlign val="superscript"/>
        <sz val="10"/>
        <rFont val="Calibri"/>
        <family val="2"/>
      </rPr>
      <t>83</t>
    </r>
    <r>
      <rPr>
        <b/>
        <sz val="10"/>
        <rFont val="Calibri"/>
        <family val="2"/>
      </rPr>
      <t>Kr_true</t>
    </r>
  </si>
  <si>
    <r>
      <t>88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Sr_true</t>
    </r>
  </si>
  <si>
    <r>
      <t xml:space="preserve">exp1 </t>
    </r>
    <r>
      <rPr>
        <sz val="6"/>
        <rFont val="Calibri"/>
        <family val="2"/>
      </rPr>
      <t>ln(mass87Rb/mass85Rb)/ ln(mass88Sr/mass86Sr)</t>
    </r>
  </si>
  <si>
    <r>
      <t xml:space="preserve">exp2 </t>
    </r>
    <r>
      <rPr>
        <sz val="6"/>
        <rFont val="Calibri"/>
        <family val="2"/>
      </rPr>
      <t>ln(mass87Sr/mass86Sr)/ ln(mass88Sr/mass86Sr)</t>
    </r>
  </si>
  <si>
    <r>
      <t xml:space="preserve">exp3 </t>
    </r>
    <r>
      <rPr>
        <sz val="6"/>
        <rFont val="Calibri"/>
        <family val="2"/>
      </rPr>
      <t>ln(mass84Sr/mass86Sr)/ ln(mass88Sr/mass86Sr)</t>
    </r>
  </si>
  <si>
    <r>
      <t xml:space="preserve">Background stripped masses </t>
    </r>
    <r>
      <rPr>
        <i/>
        <sz val="10"/>
        <rFont val="Calibri"/>
        <family val="2"/>
      </rPr>
      <t>(select the background interval)</t>
    </r>
  </si>
  <si>
    <r>
      <t>82</t>
    </r>
    <r>
      <rPr>
        <b/>
        <sz val="10"/>
        <rFont val="Calibri"/>
        <family val="2"/>
      </rPr>
      <t>Kr</t>
    </r>
  </si>
  <si>
    <r>
      <t>83</t>
    </r>
    <r>
      <rPr>
        <b/>
        <sz val="10"/>
        <rFont val="Calibri"/>
        <family val="2"/>
      </rPr>
      <t>Kr</t>
    </r>
  </si>
  <si>
    <r>
      <t>84</t>
    </r>
    <r>
      <rPr>
        <b/>
        <sz val="10"/>
        <rFont val="Calibri"/>
        <family val="2"/>
      </rPr>
      <t>Sr</t>
    </r>
  </si>
  <si>
    <r>
      <t>85</t>
    </r>
    <r>
      <rPr>
        <b/>
        <sz val="10"/>
        <rFont val="Calibri"/>
        <family val="2"/>
      </rPr>
      <t>Rb</t>
    </r>
  </si>
  <si>
    <r>
      <t>86</t>
    </r>
    <r>
      <rPr>
        <b/>
        <sz val="10"/>
        <rFont val="Calibri"/>
        <family val="2"/>
      </rPr>
      <t>Sr</t>
    </r>
  </si>
  <si>
    <r>
      <t>87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</si>
  <si>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</si>
  <si>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</t>
    </r>
  </si>
  <si>
    <r>
      <t>87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</si>
  <si>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</si>
  <si>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filtered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</si>
  <si>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filtered (graph)</t>
    </r>
  </si>
  <si>
    <r>
      <t>84</t>
    </r>
    <r>
      <rPr>
        <b/>
        <sz val="10"/>
        <rFont val="Calibri"/>
        <family val="2"/>
      </rPr>
      <t>Sr (V)</t>
    </r>
  </si>
  <si>
    <r>
      <t>85</t>
    </r>
    <r>
      <rPr>
        <b/>
        <sz val="10"/>
        <rFont val="Calibri"/>
        <family val="2"/>
      </rPr>
      <t>Rb (V)</t>
    </r>
  </si>
  <si>
    <r>
      <t>86</t>
    </r>
    <r>
      <rPr>
        <b/>
        <sz val="10"/>
        <rFont val="Calibri"/>
        <family val="2"/>
      </rPr>
      <t>Sr (V)</t>
    </r>
  </si>
  <si>
    <r>
      <t>87</t>
    </r>
    <r>
      <rPr>
        <b/>
        <sz val="10"/>
        <rFont val="Calibri"/>
        <family val="2"/>
      </rPr>
      <t>Sr (V)</t>
    </r>
  </si>
  <si>
    <t>Sr (V)</t>
  </si>
  <si>
    <r>
      <t xml:space="preserve">* m/z 82 = </t>
    </r>
    <r>
      <rPr>
        <vertAlign val="superscript"/>
        <sz val="9"/>
        <rFont val="Calibri"/>
        <family val="2"/>
      </rPr>
      <t>164</t>
    </r>
    <r>
      <rPr>
        <sz val="9"/>
        <rFont val="Calibri"/>
        <family val="2"/>
      </rPr>
      <t>Er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 xml:space="preserve">(1.61%) </t>
    </r>
    <r>
      <rPr>
        <sz val="9"/>
        <rFont val="Calibri"/>
        <family val="2"/>
      </rPr>
      <t xml:space="preserve">+ </t>
    </r>
    <r>
      <rPr>
        <vertAlign val="superscript"/>
        <sz val="9"/>
        <rFont val="Calibri"/>
        <family val="2"/>
      </rPr>
      <t>164</t>
    </r>
    <r>
      <rPr>
        <sz val="9"/>
        <rFont val="Calibri"/>
        <family val="2"/>
      </rPr>
      <t>Dy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>(28.2%)</t>
    </r>
    <r>
      <rPr>
        <sz val="9"/>
        <rFont val="Calibri"/>
        <family val="2"/>
      </rPr>
      <t xml:space="preserve"> + </t>
    </r>
    <r>
      <rPr>
        <vertAlign val="superscript"/>
        <sz val="9"/>
        <rFont val="Calibri"/>
        <family val="2"/>
      </rPr>
      <t>40</t>
    </r>
    <r>
      <rPr>
        <sz val="9"/>
        <rFont val="Calibri"/>
        <family val="2"/>
      </rPr>
      <t>Ar</t>
    </r>
    <r>
      <rPr>
        <vertAlign val="superscript"/>
        <sz val="9"/>
        <rFont val="Calibri"/>
        <family val="2"/>
      </rPr>
      <t>42</t>
    </r>
    <r>
      <rPr>
        <sz val="9"/>
        <rFont val="Calibri"/>
        <family val="2"/>
      </rPr>
      <t>Ca +</t>
    </r>
    <r>
      <rPr>
        <vertAlign val="superscript"/>
        <sz val="9"/>
        <rFont val="Calibri"/>
        <family val="2"/>
      </rPr>
      <t xml:space="preserve"> 40</t>
    </r>
    <r>
      <rPr>
        <sz val="9"/>
        <rFont val="Calibri"/>
        <family val="2"/>
      </rPr>
      <t>Ca</t>
    </r>
    <r>
      <rPr>
        <vertAlign val="superscript"/>
        <sz val="9"/>
        <rFont val="Calibri"/>
        <family val="2"/>
      </rPr>
      <t>42</t>
    </r>
    <r>
      <rPr>
        <sz val="9"/>
        <rFont val="Calibri"/>
        <family val="2"/>
      </rPr>
      <t>Ca</t>
    </r>
  </si>
  <si>
    <r>
      <t xml:space="preserve">** m/z 83 = </t>
    </r>
    <r>
      <rPr>
        <vertAlign val="superscript"/>
        <sz val="9"/>
        <rFont val="Calibri"/>
        <family val="2"/>
      </rPr>
      <t>166</t>
    </r>
    <r>
      <rPr>
        <sz val="9"/>
        <rFont val="Calibri"/>
        <family val="2"/>
      </rPr>
      <t>Er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>(33.6%)</t>
    </r>
    <r>
      <rPr>
        <sz val="9"/>
        <rFont val="Calibri"/>
        <family val="2"/>
      </rPr>
      <t xml:space="preserve"> + </t>
    </r>
    <r>
      <rPr>
        <vertAlign val="superscript"/>
        <sz val="9"/>
        <rFont val="Calibri"/>
        <family val="2"/>
      </rPr>
      <t>40</t>
    </r>
    <r>
      <rPr>
        <sz val="9"/>
        <rFont val="Calibri"/>
        <family val="2"/>
      </rPr>
      <t>Ar</t>
    </r>
    <r>
      <rPr>
        <vertAlign val="superscript"/>
        <sz val="9"/>
        <rFont val="Calibri"/>
        <family val="2"/>
      </rPr>
      <t>43</t>
    </r>
    <r>
      <rPr>
        <sz val="9"/>
        <rFont val="Calibri"/>
        <family val="2"/>
      </rPr>
      <t>Ca +</t>
    </r>
    <r>
      <rPr>
        <vertAlign val="superscript"/>
        <sz val="9"/>
        <rFont val="Calibri"/>
        <family val="2"/>
      </rPr>
      <t xml:space="preserve"> 40</t>
    </r>
    <r>
      <rPr>
        <sz val="9"/>
        <rFont val="Calibri"/>
        <family val="2"/>
      </rPr>
      <t>Ca</t>
    </r>
    <r>
      <rPr>
        <vertAlign val="superscript"/>
        <sz val="9"/>
        <rFont val="Calibri"/>
        <family val="2"/>
      </rPr>
      <t>43</t>
    </r>
    <r>
      <rPr>
        <sz val="9"/>
        <rFont val="Calibri"/>
        <family val="2"/>
      </rPr>
      <t>Ca</t>
    </r>
  </si>
  <si>
    <t>Neptune Analysis Data Report</t>
  </si>
  <si>
    <t>Run-Number-View</t>
  </si>
  <si>
    <t xml:space="preserve">Sample ID: </t>
  </si>
  <si>
    <t>Method Name: C:\Neptune\User\MIN12\Methods\laserSr200.met</t>
  </si>
  <si>
    <t xml:space="preserve">Wheel ID: </t>
  </si>
  <si>
    <t>Run number: 0</t>
  </si>
  <si>
    <t xml:space="preserve">Operator: </t>
  </si>
  <si>
    <t xml:space="preserve">Instrument: </t>
  </si>
  <si>
    <t xml:space="preserve">Comment: </t>
  </si>
  <si>
    <t>Data Version: 3.2.1.14 Preview_19</t>
  </si>
  <si>
    <t>Export Version: 3.2.1.14 Preview_19</t>
  </si>
  <si>
    <t>Cycle</t>
  </si>
  <si>
    <t>Time</t>
  </si>
  <si>
    <t>82Kr</t>
  </si>
  <si>
    <t>83Kr</t>
  </si>
  <si>
    <t>85Rb</t>
  </si>
  <si>
    <t>86Sr</t>
  </si>
  <si>
    <t>87Sr</t>
  </si>
  <si>
    <t>88Sr</t>
  </si>
  <si>
    <r>
      <t>89</t>
    </r>
    <r>
      <rPr>
        <b/>
        <sz val="10"/>
        <rFont val="Calibri"/>
        <family val="2"/>
      </rPr>
      <t>Y (V)</t>
    </r>
  </si>
  <si>
    <t>Ca argides</t>
  </si>
  <si>
    <t>Calcium dimers</t>
  </si>
  <si>
    <t>m/z</t>
  </si>
  <si>
    <t>corr. Factor</t>
  </si>
  <si>
    <t>-</t>
  </si>
  <si>
    <t>ArCa correction ONLY (NO REE)</t>
  </si>
  <si>
    <t>CaCa correction ONLY (NO REE)</t>
  </si>
  <si>
    <t>2sigma filter (ArCa+CaCa)</t>
  </si>
  <si>
    <t>2sigma filter</t>
  </si>
  <si>
    <t xml:space="preserve">Rb and Mass Bias correction </t>
  </si>
  <si>
    <t>Rb and Mass Bias correction (ArCa+CaCa)</t>
  </si>
  <si>
    <t>ArCa+CaCa</t>
  </si>
  <si>
    <r>
      <t>Unc.</t>
    </r>
    <r>
      <rPr>
        <b/>
        <sz val="10"/>
        <rFont val="Calibri"/>
        <family val="2"/>
      </rPr>
      <t>†</t>
    </r>
  </si>
  <si>
    <t>Filename: C:\Neptune\User\MIN12\Data\_carbonati-magma-day2\Spot9-seashell.dat</t>
  </si>
  <si>
    <t>Date: 11/19/2018</t>
  </si>
  <si>
    <t>Analysis date: 11/19/2018</t>
  </si>
  <si>
    <t>Analysis time: 10:46:39 AM</t>
  </si>
  <si>
    <t>†Corrected for background (and Kr), Rb and Sr. Not corrected for ArCa+CaCa.</t>
  </si>
  <si>
    <t>Neptune - Version 1</t>
  </si>
  <si>
    <t>Name</t>
  </si>
  <si>
    <r>
      <rPr>
        <b/>
        <vertAlign val="superscript"/>
        <sz val="10"/>
        <rFont val="Calibri"/>
        <family val="2"/>
      </rPr>
      <t>173</t>
    </r>
    <r>
      <rPr>
        <b/>
        <sz val="10"/>
        <rFont val="Calibri"/>
        <family val="2"/>
      </rPr>
      <t>Yb</t>
    </r>
    <r>
      <rPr>
        <b/>
        <vertAlign val="superscript"/>
        <sz val="10"/>
        <rFont val="Calibri"/>
        <family val="2"/>
      </rPr>
      <t>++</t>
    </r>
    <r>
      <rPr>
        <b/>
        <sz val="10"/>
        <rFont val="Calibri"/>
        <family val="2"/>
      </rPr>
      <t xml:space="preserve"> (V)</t>
    </r>
  </si>
  <si>
    <t>Type of correction</t>
  </si>
  <si>
    <t>ArCa + CaCa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</si>
</sst>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"/>
    <numFmt numFmtId="165" formatCode="#"/>
    <numFmt numFmtId="166" formatCode="0.0"/>
    <numFmt numFmtId="167" formatCode="0.0000"/>
    <numFmt numFmtId="168" formatCode="0.000000"/>
    <numFmt numFmtId="169" formatCode="0.000000000000000%"/>
  </numFmts>
  <fonts count="28" x14ac:knownFonts="1">
    <font>
      <sz val="10"/>
      <name val="Arial"/>
      <family val="2"/>
      <charset val="1"/>
    </font>
    <font>
      <sz val="10"/>
      <name val="Arial"/>
      <family val="2"/>
      <charset val="1"/>
    </font>
    <font>
      <b/>
      <sz val="10"/>
      <name val="Calibri"/>
      <family val="2"/>
    </font>
    <font>
      <b/>
      <vertAlign val="superscript"/>
      <sz val="10"/>
      <name val="Calibri"/>
      <family val="2"/>
    </font>
    <font>
      <sz val="6"/>
      <name val="Calibri"/>
      <family val="2"/>
    </font>
    <font>
      <i/>
      <sz val="10"/>
      <name val="Calibri"/>
      <family val="2"/>
    </font>
    <font>
      <sz val="10"/>
      <name val="Calibri"/>
      <family val="2"/>
    </font>
    <font>
      <sz val="9"/>
      <name val="Calibri"/>
      <family val="2"/>
    </font>
    <font>
      <vertAlign val="superscript"/>
      <sz val="9"/>
      <name val="Calibri"/>
      <family val="2"/>
    </font>
    <font>
      <vertAlign val="subscript"/>
      <sz val="9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6"/>
      <name val="Calibri"/>
      <family val="2"/>
      <scheme val="minor"/>
    </font>
    <font>
      <sz val="10"/>
      <color indexed="8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8"/>
      <name val="Calibri"/>
      <family val="2"/>
      <scheme val="minor"/>
    </font>
    <font>
      <i/>
      <sz val="8"/>
      <name val="Calibri"/>
      <family val="2"/>
      <scheme val="minor"/>
    </font>
    <font>
      <sz val="6"/>
      <name val="Calibri"/>
      <family val="2"/>
      <scheme val="minor"/>
    </font>
    <font>
      <sz val="9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0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indexed="51"/>
        <bgColor indexed="13"/>
      </patternFill>
    </fill>
    <fill>
      <patternFill patternType="solid">
        <fgColor indexed="11"/>
        <bgColor indexed="49"/>
      </patternFill>
    </fill>
    <fill>
      <patternFill patternType="solid">
        <fgColor indexed="49"/>
        <bgColor indexed="11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11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" fillId="0" borderId="0"/>
    <xf numFmtId="0" fontId="11" fillId="7" borderId="8" applyNumberFormat="0" applyAlignment="0" applyProtection="0"/>
    <xf numFmtId="0" fontId="10" fillId="0" borderId="0"/>
    <xf numFmtId="0" fontId="10" fillId="8" borderId="9" applyNumberFormat="0" applyFont="0" applyAlignment="0" applyProtection="0"/>
    <xf numFmtId="0" fontId="12" fillId="6" borderId="10" applyNumberFormat="0" applyAlignment="0" applyProtection="0"/>
  </cellStyleXfs>
  <cellXfs count="115">
    <xf numFmtId="0" fontId="0" fillId="0" borderId="0" xfId="0"/>
    <xf numFmtId="0" fontId="13" fillId="0" borderId="0" xfId="1" applyFont="1" applyFill="1" applyBorder="1" applyAlignment="1">
      <alignment horizontal="center"/>
    </xf>
    <xf numFmtId="0" fontId="14" fillId="0" borderId="0" xfId="0" applyFont="1"/>
    <xf numFmtId="0" fontId="15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/>
    <xf numFmtId="0" fontId="13" fillId="3" borderId="2" xfId="0" applyFont="1" applyFill="1" applyBorder="1" applyAlignment="1">
      <alignment horizontal="center"/>
    </xf>
    <xf numFmtId="165" fontId="16" fillId="3" borderId="2" xfId="0" applyNumberFormat="1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/>
    </xf>
    <xf numFmtId="165" fontId="16" fillId="4" borderId="2" xfId="0" applyNumberFormat="1" applyFont="1" applyFill="1" applyBorder="1" applyAlignment="1">
      <alignment horizontal="center"/>
    </xf>
    <xf numFmtId="164" fontId="14" fillId="0" borderId="0" xfId="0" applyNumberFormat="1" applyFont="1"/>
    <xf numFmtId="0" fontId="10" fillId="0" borderId="0" xfId="3" applyFont="1"/>
    <xf numFmtId="11" fontId="14" fillId="0" borderId="0" xfId="0" applyNumberFormat="1" applyFont="1"/>
    <xf numFmtId="0" fontId="13" fillId="0" borderId="0" xfId="0" applyFont="1"/>
    <xf numFmtId="0" fontId="17" fillId="0" borderId="0" xfId="0" applyFont="1" applyAlignment="1">
      <alignment horizontal="center"/>
    </xf>
    <xf numFmtId="0" fontId="17" fillId="2" borderId="0" xfId="0" applyFont="1" applyFill="1" applyAlignment="1">
      <alignment horizontal="center"/>
    </xf>
    <xf numFmtId="0" fontId="17" fillId="5" borderId="0" xfId="0" applyFont="1" applyFill="1" applyAlignment="1">
      <alignment horizontal="center"/>
    </xf>
    <xf numFmtId="11" fontId="10" fillId="0" borderId="0" xfId="3" applyNumberFormat="1" applyFont="1"/>
    <xf numFmtId="2" fontId="14" fillId="0" borderId="0" xfId="0" applyNumberFormat="1" applyFont="1"/>
    <xf numFmtId="0" fontId="17" fillId="0" borderId="0" xfId="0" applyFont="1" applyFill="1" applyAlignment="1">
      <alignment horizontal="center"/>
    </xf>
    <xf numFmtId="0" fontId="14" fillId="9" borderId="0" xfId="0" applyFont="1" applyFill="1"/>
    <xf numFmtId="0" fontId="14" fillId="9" borderId="0" xfId="1" applyFont="1" applyFill="1" applyBorder="1" applyAlignment="1">
      <alignment horizontal="center"/>
    </xf>
    <xf numFmtId="0" fontId="13" fillId="9" borderId="2" xfId="0" applyFont="1" applyFill="1" applyBorder="1" applyAlignment="1">
      <alignment horizontal="center"/>
    </xf>
    <xf numFmtId="167" fontId="14" fillId="9" borderId="0" xfId="0" applyNumberFormat="1" applyFont="1" applyFill="1" applyBorder="1" applyAlignment="1">
      <alignment horizontal="right"/>
    </xf>
    <xf numFmtId="168" fontId="14" fillId="9" borderId="0" xfId="1" applyNumberFormat="1" applyFont="1" applyFill="1" applyBorder="1" applyAlignment="1">
      <alignment horizontal="center" vertical="center"/>
    </xf>
    <xf numFmtId="0" fontId="18" fillId="9" borderId="0" xfId="0" applyFont="1" applyFill="1" applyBorder="1" applyAlignment="1">
      <alignment horizontal="center" vertical="center" wrapText="1"/>
    </xf>
    <xf numFmtId="164" fontId="13" fillId="9" borderId="0" xfId="0" applyNumberFormat="1" applyFont="1" applyFill="1" applyBorder="1" applyAlignment="1">
      <alignment horizontal="right"/>
    </xf>
    <xf numFmtId="0" fontId="13" fillId="9" borderId="0" xfId="0" applyFont="1" applyFill="1" applyBorder="1" applyAlignment="1">
      <alignment horizontal="left"/>
    </xf>
    <xf numFmtId="164" fontId="14" fillId="9" borderId="0" xfId="0" applyNumberFormat="1" applyFont="1" applyFill="1" applyBorder="1"/>
    <xf numFmtId="0" fontId="13" fillId="9" borderId="3" xfId="0" applyFont="1" applyFill="1" applyBorder="1" applyAlignment="1">
      <alignment vertical="center" textRotation="180"/>
    </xf>
    <xf numFmtId="1" fontId="14" fillId="9" borderId="0" xfId="0" applyNumberFormat="1" applyFont="1" applyFill="1" applyBorder="1" applyAlignment="1">
      <alignment horizontal="right"/>
    </xf>
    <xf numFmtId="0" fontId="14" fillId="9" borderId="0" xfId="0" applyFont="1" applyFill="1" applyBorder="1"/>
    <xf numFmtId="2" fontId="14" fillId="9" borderId="0" xfId="0" applyNumberFormat="1" applyFont="1" applyFill="1" applyBorder="1"/>
    <xf numFmtId="0" fontId="14" fillId="9" borderId="0" xfId="0" applyFont="1" applyFill="1" applyBorder="1" applyAlignment="1">
      <alignment horizontal="left"/>
    </xf>
    <xf numFmtId="164" fontId="14" fillId="9" borderId="0" xfId="0" applyNumberFormat="1" applyFont="1" applyFill="1"/>
    <xf numFmtId="1" fontId="14" fillId="9" borderId="0" xfId="0" applyNumberFormat="1" applyFont="1" applyFill="1"/>
    <xf numFmtId="166" fontId="14" fillId="9" borderId="0" xfId="0" applyNumberFormat="1" applyFont="1" applyFill="1"/>
    <xf numFmtId="167" fontId="14" fillId="9" borderId="0" xfId="0" applyNumberFormat="1" applyFont="1" applyFill="1"/>
    <xf numFmtId="0" fontId="18" fillId="9" borderId="0" xfId="0" applyFont="1" applyFill="1" applyBorder="1" applyAlignment="1">
      <alignment horizontal="center" vertical="center"/>
    </xf>
    <xf numFmtId="164" fontId="13" fillId="9" borderId="0" xfId="0" applyNumberFormat="1" applyFont="1" applyFill="1" applyBorder="1"/>
    <xf numFmtId="1" fontId="13" fillId="9" borderId="0" xfId="0" applyNumberFormat="1" applyFont="1" applyFill="1" applyBorder="1"/>
    <xf numFmtId="0" fontId="13" fillId="9" borderId="0" xfId="0" applyFont="1" applyFill="1" applyBorder="1"/>
    <xf numFmtId="166" fontId="13" fillId="9" borderId="0" xfId="0" applyNumberFormat="1" applyFont="1" applyFill="1" applyBorder="1"/>
    <xf numFmtId="167" fontId="13" fillId="9" borderId="0" xfId="0" applyNumberFormat="1" applyFont="1" applyFill="1" applyBorder="1"/>
    <xf numFmtId="0" fontId="19" fillId="9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 wrapText="1"/>
    </xf>
    <xf numFmtId="0" fontId="20" fillId="9" borderId="4" xfId="0" applyFont="1" applyFill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/>
    </xf>
    <xf numFmtId="164" fontId="14" fillId="9" borderId="2" xfId="0" applyNumberFormat="1" applyFont="1" applyFill="1" applyBorder="1"/>
    <xf numFmtId="0" fontId="14" fillId="9" borderId="2" xfId="0" applyFont="1" applyFill="1" applyBorder="1" applyAlignment="1">
      <alignment horizontal="center"/>
    </xf>
    <xf numFmtId="0" fontId="13" fillId="9" borderId="0" xfId="0" applyFont="1" applyFill="1" applyAlignment="1">
      <alignment horizontal="center"/>
    </xf>
    <xf numFmtId="165" fontId="20" fillId="9" borderId="4" xfId="0" applyNumberFormat="1" applyFont="1" applyFill="1" applyBorder="1" applyAlignment="1">
      <alignment horizontal="center" vertical="center"/>
    </xf>
    <xf numFmtId="0" fontId="14" fillId="9" borderId="0" xfId="0" applyFont="1" applyFill="1" applyBorder="1" applyAlignment="1">
      <alignment horizontal="center"/>
    </xf>
    <xf numFmtId="0" fontId="13" fillId="9" borderId="2" xfId="1" applyFont="1" applyFill="1" applyBorder="1" applyAlignment="1">
      <alignment horizontal="center"/>
    </xf>
    <xf numFmtId="0" fontId="14" fillId="9" borderId="2" xfId="1" applyFont="1" applyFill="1" applyBorder="1" applyAlignment="1">
      <alignment horizontal="center"/>
    </xf>
    <xf numFmtId="0" fontId="17" fillId="9" borderId="2" xfId="1" applyFont="1" applyFill="1" applyBorder="1" applyAlignment="1">
      <alignment horizontal="center"/>
    </xf>
    <xf numFmtId="0" fontId="13" fillId="9" borderId="2" xfId="1" applyFont="1" applyFill="1" applyBorder="1" applyAlignment="1">
      <alignment horizontal="center" wrapText="1"/>
    </xf>
    <xf numFmtId="168" fontId="14" fillId="9" borderId="2" xfId="1" applyNumberFormat="1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/>
    </xf>
    <xf numFmtId="0" fontId="10" fillId="9" borderId="0" xfId="3" applyFont="1" applyFill="1"/>
    <xf numFmtId="169" fontId="14" fillId="9" borderId="0" xfId="0" applyNumberFormat="1" applyFont="1" applyFill="1"/>
    <xf numFmtId="0" fontId="21" fillId="9" borderId="0" xfId="0" applyFont="1" applyFill="1" applyBorder="1" applyAlignment="1">
      <alignment horizontal="left"/>
    </xf>
    <xf numFmtId="2" fontId="14" fillId="9" borderId="0" xfId="0" applyNumberFormat="1" applyFont="1" applyFill="1" applyBorder="1" applyAlignment="1">
      <alignment horizontal="center"/>
    </xf>
    <xf numFmtId="0" fontId="6" fillId="9" borderId="0" xfId="0" applyFont="1" applyFill="1" applyBorder="1" applyAlignment="1">
      <alignment horizontal="center"/>
    </xf>
    <xf numFmtId="0" fontId="10" fillId="0" borderId="0" xfId="3"/>
    <xf numFmtId="11" fontId="10" fillId="0" borderId="0" xfId="3" applyNumberFormat="1"/>
    <xf numFmtId="0" fontId="22" fillId="9" borderId="0" xfId="0" applyFont="1" applyFill="1" applyBorder="1" applyAlignment="1"/>
    <xf numFmtId="0" fontId="17" fillId="10" borderId="2" xfId="0" applyFont="1" applyFill="1" applyBorder="1" applyAlignment="1">
      <alignment horizontal="center" vertical="center"/>
    </xf>
    <xf numFmtId="164" fontId="14" fillId="10" borderId="2" xfId="0" applyNumberFormat="1" applyFont="1" applyFill="1" applyBorder="1" applyAlignment="1">
      <alignment horizontal="center" vertical="center"/>
    </xf>
    <xf numFmtId="0" fontId="23" fillId="10" borderId="2" xfId="0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166" fontId="14" fillId="10" borderId="2" xfId="0" applyNumberFormat="1" applyFont="1" applyFill="1" applyBorder="1" applyAlignment="1">
      <alignment horizontal="center" vertical="center"/>
    </xf>
    <xf numFmtId="0" fontId="13" fillId="10" borderId="2" xfId="0" applyFont="1" applyFill="1" applyBorder="1" applyAlignment="1">
      <alignment horizontal="center" vertical="center"/>
    </xf>
    <xf numFmtId="167" fontId="14" fillId="10" borderId="2" xfId="0" applyNumberFormat="1" applyFont="1" applyFill="1" applyBorder="1" applyAlignment="1">
      <alignment horizontal="center" vertical="center"/>
    </xf>
    <xf numFmtId="167" fontId="14" fillId="10" borderId="2" xfId="0" applyNumberFormat="1" applyFont="1" applyFill="1" applyBorder="1" applyAlignment="1">
      <alignment horizontal="center" vertical="center" wrapText="1"/>
    </xf>
    <xf numFmtId="0" fontId="17" fillId="11" borderId="2" xfId="0" applyFont="1" applyFill="1" applyBorder="1" applyAlignment="1">
      <alignment horizontal="center" vertical="center"/>
    </xf>
    <xf numFmtId="164" fontId="13" fillId="11" borderId="2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/>
    <xf numFmtId="0" fontId="13" fillId="9" borderId="0" xfId="0" applyFont="1" applyFill="1" applyBorder="1" applyAlignment="1">
      <alignment horizontal="center"/>
    </xf>
    <xf numFmtId="0" fontId="24" fillId="0" borderId="2" xfId="0" applyFont="1" applyBorder="1"/>
    <xf numFmtId="0" fontId="24" fillId="0" borderId="0" xfId="0" applyFont="1" applyBorder="1"/>
    <xf numFmtId="0" fontId="14" fillId="0" borderId="2" xfId="0" applyFont="1" applyBorder="1"/>
    <xf numFmtId="0" fontId="14" fillId="0" borderId="2" xfId="0" applyFont="1" applyBorder="1" applyAlignment="1">
      <alignment horizontal="center" vertical="center"/>
    </xf>
    <xf numFmtId="0" fontId="14" fillId="0" borderId="0" xfId="0" applyFont="1" applyBorder="1"/>
    <xf numFmtId="0" fontId="24" fillId="0" borderId="5" xfId="0" applyFont="1" applyBorder="1"/>
    <xf numFmtId="0" fontId="13" fillId="2" borderId="2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168" fontId="21" fillId="9" borderId="0" xfId="0" applyNumberFormat="1" applyFont="1" applyFill="1"/>
    <xf numFmtId="0" fontId="10" fillId="0" borderId="0" xfId="3"/>
    <xf numFmtId="11" fontId="10" fillId="0" borderId="0" xfId="3" applyNumberFormat="1"/>
    <xf numFmtId="0" fontId="10" fillId="0" borderId="0" xfId="3"/>
    <xf numFmtId="11" fontId="10" fillId="0" borderId="0" xfId="3" applyNumberFormat="1"/>
    <xf numFmtId="0" fontId="24" fillId="0" borderId="0" xfId="0" applyFont="1" applyFill="1"/>
    <xf numFmtId="0" fontId="14" fillId="0" borderId="0" xfId="0" applyFont="1" applyFill="1"/>
    <xf numFmtId="0" fontId="0" fillId="0" borderId="0" xfId="0"/>
    <xf numFmtId="0" fontId="14" fillId="0" borderId="0" xfId="0" applyFont="1"/>
    <xf numFmtId="0" fontId="13" fillId="3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/>
    </xf>
    <xf numFmtId="164" fontId="14" fillId="0" borderId="0" xfId="0" applyNumberFormat="1" applyFont="1"/>
    <xf numFmtId="0" fontId="13" fillId="2" borderId="2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23" fillId="10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3" fillId="10" borderId="2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167" fontId="14" fillId="0" borderId="0" xfId="0" applyNumberFormat="1" applyFont="1"/>
    <xf numFmtId="165" fontId="14" fillId="0" borderId="0" xfId="0" applyNumberFormat="1" applyFont="1"/>
    <xf numFmtId="0" fontId="14" fillId="0" borderId="0" xfId="0" applyFont="1"/>
    <xf numFmtId="0" fontId="13" fillId="2" borderId="2" xfId="0" applyFont="1" applyFill="1" applyBorder="1" applyAlignment="1">
      <alignment horizontal="center" vertical="center"/>
    </xf>
    <xf numFmtId="0" fontId="21" fillId="9" borderId="0" xfId="0" applyFont="1" applyFill="1" applyBorder="1" applyAlignment="1">
      <alignment horizontal="left"/>
    </xf>
    <xf numFmtId="168" fontId="21" fillId="9" borderId="0" xfId="0" applyNumberFormat="1" applyFont="1" applyFill="1"/>
    <xf numFmtId="0" fontId="13" fillId="12" borderId="2" xfId="0" applyFont="1" applyFill="1" applyBorder="1" applyAlignment="1">
      <alignment horizontal="center"/>
    </xf>
    <xf numFmtId="0" fontId="13" fillId="2" borderId="2" xfId="1" applyFont="1" applyFill="1" applyBorder="1" applyAlignment="1">
      <alignment horizontal="center"/>
    </xf>
    <xf numFmtId="0" fontId="13" fillId="2" borderId="7" xfId="0" applyFont="1" applyFill="1" applyBorder="1" applyAlignment="1">
      <alignment horizontal="center"/>
    </xf>
    <xf numFmtId="0" fontId="13" fillId="9" borderId="0" xfId="0" applyFont="1" applyFill="1" applyBorder="1" applyAlignment="1">
      <alignment horizontal="center"/>
    </xf>
  </cellXfs>
  <cellStyles count="6">
    <cellStyle name="Excel Built-in Explanatory Text" xfId="1"/>
    <cellStyle name="Input" xfId="2" builtinId="20" customBuiltin="1"/>
    <cellStyle name="Normale" xfId="0" builtinId="0"/>
    <cellStyle name="Normale 2" xfId="3"/>
    <cellStyle name="Nota 2" xfId="4"/>
    <cellStyle name="Output" xfId="5" builtinId="2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66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B3B3B3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83CAFF"/>
      <rgbColor rgb="00FF99CC"/>
      <rgbColor rgb="00CC99FF"/>
      <rgbColor rgb="00FFCC99"/>
      <rgbColor rgb="003366FF"/>
      <rgbColor rgb="0033FF99"/>
      <rgbColor rgb="0099CC00"/>
      <rgbColor rgb="00FFCC00"/>
      <rgbColor rgb="00FF950E"/>
      <rgbColor rgb="00FF420E"/>
      <rgbColor rgb="00666699"/>
      <rgbColor rgb="00969696"/>
      <rgbColor rgb="00004586"/>
      <rgbColor rgb="00579D1C"/>
      <rgbColor rgb="00003300"/>
      <rgbColor rgb="00333300"/>
      <rgbColor rgb="00993300"/>
      <rgbColor rgb="00993366"/>
      <rgbColor rgb="004B1F6F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84053778991913"/>
          <c:y val="8.6669622061317397E-2"/>
          <c:w val="0.77400953452247045"/>
          <c:h val="0.6866894855311354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Data!$H$2</c:f>
              <c:strCache>
                <c:ptCount val="1"/>
                <c:pt idx="0">
                  <c:v>Background start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Data!$I$2</c:f>
              <c:numCache>
                <c:formatCode>#</c:formatCode>
                <c:ptCount val="1"/>
                <c:pt idx="0">
                  <c:v>7</c:v>
                </c:pt>
              </c:numCache>
            </c:numRef>
          </c:xVal>
          <c:yVal>
            <c:numRef>
              <c:f>Data!$K$2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Data!$H$3</c:f>
              <c:strCache>
                <c:ptCount val="1"/>
                <c:pt idx="0">
                  <c:v># Bg cycles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Data!$K$3</c:f>
              <c:numCache>
                <c:formatCode>General</c:formatCode>
                <c:ptCount val="1"/>
                <c:pt idx="0">
                  <c:v>57</c:v>
                </c:pt>
              </c:numCache>
            </c:numRef>
          </c:xVal>
          <c:yVal>
            <c:numRef>
              <c:f>Data!$K$2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Data!$H$4</c:f>
              <c:strCache>
                <c:ptCount val="1"/>
                <c:pt idx="0">
                  <c:v>Analysis start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66"/>
              </a:solidFill>
              <a:ln>
                <a:solidFill>
                  <a:srgbClr val="00FF66"/>
                </a:solidFill>
                <a:prstDash val="solid"/>
              </a:ln>
            </c:spPr>
          </c:marker>
          <c:dPt>
            <c:idx val="0"/>
            <c:marker>
              <c:symbol val="triangle"/>
              <c:size val="7"/>
              <c:spPr>
                <a:solidFill>
                  <a:srgbClr val="00FF66"/>
                </a:solidFill>
                <a:ln>
                  <a:solidFill>
                    <a:schemeClr val="tx1"/>
                  </a:solidFill>
                  <a:prstDash val="solid"/>
                </a:ln>
              </c:spPr>
            </c:marker>
            <c:bubble3D val="0"/>
          </c:dPt>
          <c:xVal>
            <c:numRef>
              <c:f>Data!$I$4</c:f>
              <c:numCache>
                <c:formatCode>#</c:formatCode>
                <c:ptCount val="1"/>
                <c:pt idx="0">
                  <c:v>90</c:v>
                </c:pt>
              </c:numCache>
            </c:numRef>
          </c:xVal>
          <c:yVal>
            <c:numRef>
              <c:f>Data!$K$4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Data!$H$5</c:f>
              <c:strCache>
                <c:ptCount val="1"/>
                <c:pt idx="0">
                  <c:v># Analysis cycles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FF66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Data!$K$5</c:f>
              <c:numCache>
                <c:formatCode>General</c:formatCode>
                <c:ptCount val="1"/>
                <c:pt idx="0">
                  <c:v>140</c:v>
                </c:pt>
              </c:numCache>
            </c:numRef>
          </c:xVal>
          <c:yVal>
            <c:numRef>
              <c:f>Data!$K$4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4"/>
          <c:order val="4"/>
          <c:spPr>
            <a:ln w="15875">
              <a:solidFill>
                <a:srgbClr val="00B050"/>
              </a:solidFill>
              <a:prstDash val="solid"/>
            </a:ln>
          </c:spPr>
          <c:marker>
            <c:symbol val="none"/>
          </c:marker>
          <c:yVal>
            <c:numRef>
              <c:f>Data!$U$67:$U$1067</c:f>
              <c:numCache>
                <c:formatCode>0.00E+00</c:formatCode>
                <c:ptCount val="1001"/>
                <c:pt idx="0">
                  <c:v>-9.0532557320202947E-5</c:v>
                </c:pt>
                <c:pt idx="1">
                  <c:v>2.1747743573077155E-5</c:v>
                </c:pt>
                <c:pt idx="2">
                  <c:v>7.9326138224477226E-5</c:v>
                </c:pt>
                <c:pt idx="3">
                  <c:v>5.0243483884571463E-6</c:v>
                </c:pt>
                <c:pt idx="4">
                  <c:v>2.7003725401956655E-5</c:v>
                </c:pt>
                <c:pt idx="5">
                  <c:v>-3.8216279960592674E-5</c:v>
                </c:pt>
                <c:pt idx="6">
                  <c:v>-1.5521155147102741E-5</c:v>
                </c:pt>
                <c:pt idx="7">
                  <c:v>7.4133877600969858E-6</c:v>
                </c:pt>
                <c:pt idx="8">
                  <c:v>-1.1131497811750317E-4</c:v>
                </c:pt>
                <c:pt idx="9">
                  <c:v>6.1168279114197366E-5</c:v>
                </c:pt>
                <c:pt idx="10">
                  <c:v>-3.9171852888942801E-5</c:v>
                </c:pt>
                <c:pt idx="11">
                  <c:v>8.5777035781027001E-5</c:v>
                </c:pt>
                <c:pt idx="12">
                  <c:v>5.9973694652156601E-5</c:v>
                </c:pt>
                <c:pt idx="13">
                  <c:v>-5.9955338688472658E-5</c:v>
                </c:pt>
                <c:pt idx="14">
                  <c:v>-6.9749705578533126E-5</c:v>
                </c:pt>
                <c:pt idx="15">
                  <c:v>2.3181190429517363E-5</c:v>
                </c:pt>
                <c:pt idx="16">
                  <c:v>1.204214550642067E-4</c:v>
                </c:pt>
                <c:pt idx="17">
                  <c:v>-5.1116437626172635E-5</c:v>
                </c:pt>
                <c:pt idx="18">
                  <c:v>1.0489105006897693E-4</c:v>
                </c:pt>
                <c:pt idx="19">
                  <c:v>-4.4427487710572977E-5</c:v>
                </c:pt>
                <c:pt idx="20">
                  <c:v>1.7208508719146996E-5</c:v>
                </c:pt>
                <c:pt idx="21">
                  <c:v>1.3547423108022701E-4</c:v>
                </c:pt>
                <c:pt idx="22">
                  <c:v>4.6594445945217014E-5</c:v>
                </c:pt>
                <c:pt idx="23">
                  <c:v>-9.8893353129783299E-5</c:v>
                </c:pt>
                <c:pt idx="24">
                  <c:v>2.3964116566167759E-6</c:v>
                </c:pt>
                <c:pt idx="25">
                  <c:v>1.2430388975957253E-5</c:v>
                </c:pt>
                <c:pt idx="26">
                  <c:v>-5.9238673938733465E-5</c:v>
                </c:pt>
                <c:pt idx="27">
                  <c:v>2.462867280967479E-7</c:v>
                </c:pt>
                <c:pt idx="28">
                  <c:v>1.0106821805227692E-4</c:v>
                </c:pt>
                <c:pt idx="29">
                  <c:v>-4.7533077151482896E-5</c:v>
                </c:pt>
                <c:pt idx="30">
                  <c:v>3.3693196682556964E-5</c:v>
                </c:pt>
                <c:pt idx="31">
                  <c:v>-4.3949703865752733E-5</c:v>
                </c:pt>
                <c:pt idx="32">
                  <c:v>-4.6816403519263014E-5</c:v>
                </c:pt>
                <c:pt idx="33">
                  <c:v>1.2113824879611719E-4</c:v>
                </c:pt>
                <c:pt idx="34">
                  <c:v>1.2663368443778696E-4</c:v>
                </c:pt>
                <c:pt idx="35">
                  <c:v>2.5331364557706904E-5</c:v>
                </c:pt>
                <c:pt idx="36">
                  <c:v>-4.7706535012534065E-6</c:v>
                </c:pt>
                <c:pt idx="37">
                  <c:v>-1.1059835009125281E-4</c:v>
                </c:pt>
                <c:pt idx="38">
                  <c:v>-1.910463007187297E-5</c:v>
                </c:pt>
                <c:pt idx="39">
                  <c:v>2.1508835962907348E-5</c:v>
                </c:pt>
                <c:pt idx="40">
                  <c:v>-2.1493606237162934E-5</c:v>
                </c:pt>
                <c:pt idx="41">
                  <c:v>-5.2071998255682865E-5</c:v>
                </c:pt>
                <c:pt idx="42">
                  <c:v>-8.0977276706382939E-5</c:v>
                </c:pt>
                <c:pt idx="43">
                  <c:v>-5.0160876085593442E-5</c:v>
                </c:pt>
                <c:pt idx="44">
                  <c:v>-4.6338620813153424E-5</c:v>
                </c:pt>
                <c:pt idx="45">
                  <c:v>8.4343499402957101E-5</c:v>
                </c:pt>
                <c:pt idx="46">
                  <c:v>-1.0504268728493173E-5</c:v>
                </c:pt>
                <c:pt idx="47">
                  <c:v>-6.4733090591873391E-5</c:v>
                </c:pt>
                <c:pt idx="48">
                  <c:v>2.8914998354977357E-5</c:v>
                </c:pt>
                <c:pt idx="49">
                  <c:v>-9.8893353129783299E-5</c:v>
                </c:pt>
                <c:pt idx="50">
                  <c:v>-2.3151818513266614E-7</c:v>
                </c:pt>
                <c:pt idx="51">
                  <c:v>-3.8694066538592919E-5</c:v>
                </c:pt>
                <c:pt idx="52">
                  <c:v>1.9186057182768099E-6</c:v>
                </c:pt>
                <c:pt idx="53">
                  <c:v>-2.5554852650332832E-5</c:v>
                </c:pt>
                <c:pt idx="54">
                  <c:v>-3.7260706121172715E-5</c:v>
                </c:pt>
                <c:pt idx="55">
                  <c:v>-1.9582425760452694E-5</c:v>
                </c:pt>
                <c:pt idx="56">
                  <c:v>1.1158104118066687E-4</c:v>
                </c:pt>
                <c:pt idx="57">
                  <c:v>2.7242634321807124E-5</c:v>
                </c:pt>
                <c:pt idx="58">
                  <c:v>-5.3266447761542851E-5</c:v>
                </c:pt>
                <c:pt idx="59">
                  <c:v>-2.4838163302692666E-5</c:v>
                </c:pt>
                <c:pt idx="60">
                  <c:v>-3.337244569623192E-6</c:v>
                </c:pt>
                <c:pt idx="61">
                  <c:v>-5.9651593782234294E-6</c:v>
                </c:pt>
                <c:pt idx="62">
                  <c:v>7.8370453228626853E-5</c:v>
                </c:pt>
                <c:pt idx="63">
                  <c:v>-1.2301983001190321E-4</c:v>
                </c:pt>
                <c:pt idx="64">
                  <c:v>-9.6026802423413229E-5</c:v>
                </c:pt>
                <c:pt idx="65">
                  <c:v>-3.5349555708942895E-5</c:v>
                </c:pt>
                <c:pt idx="66">
                  <c:v>-2.6205393349127207E-6</c:v>
                </c:pt>
                <c:pt idx="67">
                  <c:v>-6.0672002926002652E-5</c:v>
                </c:pt>
                <c:pt idx="68">
                  <c:v>-1.1083722615699322E-4</c:v>
                </c:pt>
                <c:pt idx="69">
                  <c:v>-1.5043357522342635E-5</c:v>
                </c:pt>
                <c:pt idx="70">
                  <c:v>6.7623038765660309E-2</c:v>
                </c:pt>
                <c:pt idx="71">
                  <c:v>1.3538954629743565</c:v>
                </c:pt>
                <c:pt idx="72">
                  <c:v>1.6947710517990864</c:v>
                </c:pt>
                <c:pt idx="73">
                  <c:v>1.5164114583476265</c:v>
                </c:pt>
                <c:pt idx="74">
                  <c:v>1.5214749568252866</c:v>
                </c:pt>
                <c:pt idx="75">
                  <c:v>2.0737452746092164</c:v>
                </c:pt>
                <c:pt idx="76">
                  <c:v>2.0328438945354366</c:v>
                </c:pt>
                <c:pt idx="77">
                  <c:v>2.0168192399987364</c:v>
                </c:pt>
                <c:pt idx="78">
                  <c:v>2.4949215241283165</c:v>
                </c:pt>
                <c:pt idx="79">
                  <c:v>2.6029836452475665</c:v>
                </c:pt>
                <c:pt idx="80">
                  <c:v>2.4890540620947963</c:v>
                </c:pt>
                <c:pt idx="81">
                  <c:v>2.4292733209680866</c:v>
                </c:pt>
                <c:pt idx="82">
                  <c:v>2.5501946548023966</c:v>
                </c:pt>
                <c:pt idx="83">
                  <c:v>3.0288875455139466</c:v>
                </c:pt>
                <c:pt idx="84">
                  <c:v>3.4591242155152466</c:v>
                </c:pt>
                <c:pt idx="85">
                  <c:v>3.7184898236737465</c:v>
                </c:pt>
                <c:pt idx="86">
                  <c:v>3.8985993612575767</c:v>
                </c:pt>
                <c:pt idx="87">
                  <c:v>4.0362818770477062</c:v>
                </c:pt>
                <c:pt idx="88">
                  <c:v>4.4459823043873161</c:v>
                </c:pt>
                <c:pt idx="89">
                  <c:v>4.8046075308638061</c:v>
                </c:pt>
                <c:pt idx="90">
                  <c:v>5.150445578967056</c:v>
                </c:pt>
                <c:pt idx="91">
                  <c:v>5.4955238212737658</c:v>
                </c:pt>
                <c:pt idx="92">
                  <c:v>5.5194957870307757</c:v>
                </c:pt>
                <c:pt idx="93">
                  <c:v>5.575889482541486</c:v>
                </c:pt>
                <c:pt idx="94">
                  <c:v>5.5967959252684762</c:v>
                </c:pt>
                <c:pt idx="95">
                  <c:v>5.5876556502486556</c:v>
                </c:pt>
                <c:pt idx="96">
                  <c:v>5.671973885656616</c:v>
                </c:pt>
                <c:pt idx="97">
                  <c:v>5.5688195093777058</c:v>
                </c:pt>
                <c:pt idx="98">
                  <c:v>5.4157543492295463</c:v>
                </c:pt>
                <c:pt idx="99">
                  <c:v>5.4637654211884259</c:v>
                </c:pt>
                <c:pt idx="100">
                  <c:v>5.395658042436116</c:v>
                </c:pt>
                <c:pt idx="101">
                  <c:v>5.4378949030817259</c:v>
                </c:pt>
                <c:pt idx="102">
                  <c:v>5.4964473939778964</c:v>
                </c:pt>
                <c:pt idx="103">
                  <c:v>5.5774815392569863</c:v>
                </c:pt>
                <c:pt idx="104">
                  <c:v>5.7616469311092757</c:v>
                </c:pt>
                <c:pt idx="105">
                  <c:v>5.9026034225821862</c:v>
                </c:pt>
                <c:pt idx="106">
                  <c:v>5.9192637747916663</c:v>
                </c:pt>
                <c:pt idx="107">
                  <c:v>6.0398898123959164</c:v>
                </c:pt>
                <c:pt idx="108">
                  <c:v>6.0363851635789061</c:v>
                </c:pt>
                <c:pt idx="109">
                  <c:v>5.9060773976957561</c:v>
                </c:pt>
                <c:pt idx="110">
                  <c:v>5.8397323305407864</c:v>
                </c:pt>
                <c:pt idx="111">
                  <c:v>5.9438178432820461</c:v>
                </c:pt>
                <c:pt idx="112">
                  <c:v>5.8937103343852364</c:v>
                </c:pt>
                <c:pt idx="113">
                  <c:v>5.9793243555964262</c:v>
                </c:pt>
                <c:pt idx="114">
                  <c:v>5.9028908334655457</c:v>
                </c:pt>
                <c:pt idx="115">
                  <c:v>5.8930475444148964</c:v>
                </c:pt>
                <c:pt idx="116">
                  <c:v>5.9026646723300757</c:v>
                </c:pt>
                <c:pt idx="117">
                  <c:v>6.0064138459979963</c:v>
                </c:pt>
                <c:pt idx="118">
                  <c:v>5.8296559477880256</c:v>
                </c:pt>
                <c:pt idx="119">
                  <c:v>5.8042410573073262</c:v>
                </c:pt>
                <c:pt idx="120">
                  <c:v>6.030563475023996</c:v>
                </c:pt>
                <c:pt idx="121">
                  <c:v>5.9681993505111457</c:v>
                </c:pt>
                <c:pt idx="122">
                  <c:v>5.8312816047357758</c:v>
                </c:pt>
                <c:pt idx="123">
                  <c:v>6.1060849304631262</c:v>
                </c:pt>
                <c:pt idx="124">
                  <c:v>5.8468294958240064</c:v>
                </c:pt>
                <c:pt idx="125">
                  <c:v>5.6542257019067357</c:v>
                </c:pt>
                <c:pt idx="126">
                  <c:v>5.8468351107984962</c:v>
                </c:pt>
                <c:pt idx="127">
                  <c:v>5.685661081782726</c:v>
                </c:pt>
                <c:pt idx="128">
                  <c:v>5.5043426415260157</c:v>
                </c:pt>
                <c:pt idx="129">
                  <c:v>5.7463916105990762</c:v>
                </c:pt>
                <c:pt idx="130">
                  <c:v>5.766779352419876</c:v>
                </c:pt>
                <c:pt idx="131">
                  <c:v>5.3329047431254164</c:v>
                </c:pt>
                <c:pt idx="132">
                  <c:v>5.0824594012901558</c:v>
                </c:pt>
                <c:pt idx="133">
                  <c:v>5.1070315585568959</c:v>
                </c:pt>
                <c:pt idx="134">
                  <c:v>5.2554799849976259</c:v>
                </c:pt>
                <c:pt idx="135">
                  <c:v>5.1166524292058764</c:v>
                </c:pt>
                <c:pt idx="136">
                  <c:v>4.984249694528736</c:v>
                </c:pt>
                <c:pt idx="137">
                  <c:v>4.977186615595846</c:v>
                </c:pt>
                <c:pt idx="138">
                  <c:v>4.8925917216421064</c:v>
                </c:pt>
                <c:pt idx="139">
                  <c:v>4.845565287191306</c:v>
                </c:pt>
                <c:pt idx="140">
                  <c:v>4.5113976365540962</c:v>
                </c:pt>
                <c:pt idx="141">
                  <c:v>4.5467119646338361</c:v>
                </c:pt>
                <c:pt idx="142">
                  <c:v>4.5874774868299459</c:v>
                </c:pt>
                <c:pt idx="143">
                  <c:v>4.367531930202956</c:v>
                </c:pt>
                <c:pt idx="144">
                  <c:v>4.4976827848771963</c:v>
                </c:pt>
                <c:pt idx="145">
                  <c:v>4.416090900398566</c:v>
                </c:pt>
                <c:pt idx="146">
                  <c:v>4.4635685090403161</c:v>
                </c:pt>
                <c:pt idx="147">
                  <c:v>4.0782514626220756</c:v>
                </c:pt>
                <c:pt idx="148">
                  <c:v>-5.5074395654535931E-3</c:v>
                </c:pt>
                <c:pt idx="149">
                  <c:v>-5.5074395654535931E-3</c:v>
                </c:pt>
                <c:pt idx="150">
                  <c:v>-5.5074395654535931E-3</c:v>
                </c:pt>
                <c:pt idx="151">
                  <c:v>-5.5074395654535931E-3</c:v>
                </c:pt>
                <c:pt idx="152">
                  <c:v>-5.5074395654535931E-3</c:v>
                </c:pt>
                <c:pt idx="153">
                  <c:v>-5.5074395654535931E-3</c:v>
                </c:pt>
                <c:pt idx="154">
                  <c:v>-5.5074395654535931E-3</c:v>
                </c:pt>
                <c:pt idx="155">
                  <c:v>-5.5074395654535931E-3</c:v>
                </c:pt>
                <c:pt idx="156">
                  <c:v>-5.5074395654535931E-3</c:v>
                </c:pt>
                <c:pt idx="157">
                  <c:v>-5.5074395654535931E-3</c:v>
                </c:pt>
                <c:pt idx="158">
                  <c:v>-5.5074395654535931E-3</c:v>
                </c:pt>
                <c:pt idx="159">
                  <c:v>-5.5074395654535931E-3</c:v>
                </c:pt>
                <c:pt idx="160">
                  <c:v>-5.5074395654535931E-3</c:v>
                </c:pt>
                <c:pt idx="161">
                  <c:v>-5.5074395654535931E-3</c:v>
                </c:pt>
                <c:pt idx="162">
                  <c:v>-5.5074395654535931E-3</c:v>
                </c:pt>
                <c:pt idx="163">
                  <c:v>-5.5074395654535931E-3</c:v>
                </c:pt>
                <c:pt idx="164">
                  <c:v>-5.5074395654535931E-3</c:v>
                </c:pt>
                <c:pt idx="165">
                  <c:v>-5.5074395654535931E-3</c:v>
                </c:pt>
                <c:pt idx="166">
                  <c:v>-5.5074395654535931E-3</c:v>
                </c:pt>
                <c:pt idx="167">
                  <c:v>-5.5074395654535931E-3</c:v>
                </c:pt>
                <c:pt idx="168">
                  <c:v>-5.5074395654535931E-3</c:v>
                </c:pt>
                <c:pt idx="169">
                  <c:v>-5.5074395654535931E-3</c:v>
                </c:pt>
                <c:pt idx="170">
                  <c:v>-5.5074395654535931E-3</c:v>
                </c:pt>
                <c:pt idx="171">
                  <c:v>-5.5074395654535931E-3</c:v>
                </c:pt>
                <c:pt idx="172">
                  <c:v>-5.5074395654535931E-3</c:v>
                </c:pt>
                <c:pt idx="173">
                  <c:v>-5.5074395654535931E-3</c:v>
                </c:pt>
                <c:pt idx="174">
                  <c:v>-5.5074395654535931E-3</c:v>
                </c:pt>
                <c:pt idx="175">
                  <c:v>-5.5074395654535931E-3</c:v>
                </c:pt>
                <c:pt idx="176">
                  <c:v>-5.5074395654535931E-3</c:v>
                </c:pt>
                <c:pt idx="177">
                  <c:v>-5.5074395654535931E-3</c:v>
                </c:pt>
                <c:pt idx="178">
                  <c:v>-5.5074395654535931E-3</c:v>
                </c:pt>
                <c:pt idx="179">
                  <c:v>-5.5074395654535931E-3</c:v>
                </c:pt>
                <c:pt idx="180">
                  <c:v>-5.5074395654535931E-3</c:v>
                </c:pt>
                <c:pt idx="181">
                  <c:v>-5.5074395654535931E-3</c:v>
                </c:pt>
                <c:pt idx="182">
                  <c:v>-5.5074395654535931E-3</c:v>
                </c:pt>
                <c:pt idx="183">
                  <c:v>-5.5074395654535931E-3</c:v>
                </c:pt>
                <c:pt idx="184">
                  <c:v>-5.5074395654535931E-3</c:v>
                </c:pt>
                <c:pt idx="185">
                  <c:v>-5.5074395654535931E-3</c:v>
                </c:pt>
                <c:pt idx="186">
                  <c:v>-5.5074395654535931E-3</c:v>
                </c:pt>
                <c:pt idx="187">
                  <c:v>-5.5074395654535931E-3</c:v>
                </c:pt>
                <c:pt idx="188">
                  <c:v>-5.5074395654535931E-3</c:v>
                </c:pt>
                <c:pt idx="189">
                  <c:v>-5.5074395654535931E-3</c:v>
                </c:pt>
                <c:pt idx="190">
                  <c:v>-5.5074395654535931E-3</c:v>
                </c:pt>
                <c:pt idx="191">
                  <c:v>-5.5074395654535931E-3</c:v>
                </c:pt>
                <c:pt idx="192">
                  <c:v>-5.5074395654535931E-3</c:v>
                </c:pt>
                <c:pt idx="193">
                  <c:v>-5.5074395654535931E-3</c:v>
                </c:pt>
                <c:pt idx="194">
                  <c:v>-5.5074395654535931E-3</c:v>
                </c:pt>
                <c:pt idx="195">
                  <c:v>-5.5074395654535931E-3</c:v>
                </c:pt>
                <c:pt idx="196">
                  <c:v>-5.5074395654535931E-3</c:v>
                </c:pt>
                <c:pt idx="197">
                  <c:v>-5.5074395654535931E-3</c:v>
                </c:pt>
                <c:pt idx="198">
                  <c:v>-5.5074395654535931E-3</c:v>
                </c:pt>
                <c:pt idx="199">
                  <c:v>-5.5074395654535931E-3</c:v>
                </c:pt>
                <c:pt idx="200">
                  <c:v>-5.5074395654535931E-3</c:v>
                </c:pt>
                <c:pt idx="201">
                  <c:v>-5.5074395654535931E-3</c:v>
                </c:pt>
                <c:pt idx="202">
                  <c:v>-5.5074395654535931E-3</c:v>
                </c:pt>
                <c:pt idx="203">
                  <c:v>-5.5074395654535931E-3</c:v>
                </c:pt>
                <c:pt idx="204">
                  <c:v>-5.5074395654535931E-3</c:v>
                </c:pt>
                <c:pt idx="205">
                  <c:v>-5.5074395654535931E-3</c:v>
                </c:pt>
                <c:pt idx="206">
                  <c:v>-5.5074395654535931E-3</c:v>
                </c:pt>
                <c:pt idx="207">
                  <c:v>-5.5074395654535931E-3</c:v>
                </c:pt>
                <c:pt idx="208">
                  <c:v>-5.5074395654535931E-3</c:v>
                </c:pt>
                <c:pt idx="209">
                  <c:v>-5.5074395654535931E-3</c:v>
                </c:pt>
                <c:pt idx="210">
                  <c:v>-5.5074395654535931E-3</c:v>
                </c:pt>
                <c:pt idx="211">
                  <c:v>-5.5074395654535931E-3</c:v>
                </c:pt>
                <c:pt idx="212">
                  <c:v>-5.5074395654535931E-3</c:v>
                </c:pt>
                <c:pt idx="213">
                  <c:v>-5.5074395654535931E-3</c:v>
                </c:pt>
                <c:pt idx="214">
                  <c:v>-5.5074395654535931E-3</c:v>
                </c:pt>
                <c:pt idx="215">
                  <c:v>-5.5074395654535931E-3</c:v>
                </c:pt>
                <c:pt idx="216">
                  <c:v>-5.5074395654535931E-3</c:v>
                </c:pt>
                <c:pt idx="217">
                  <c:v>-5.5074395654535931E-3</c:v>
                </c:pt>
                <c:pt idx="218">
                  <c:v>-5.5074395654535931E-3</c:v>
                </c:pt>
                <c:pt idx="219">
                  <c:v>-5.5074395654535931E-3</c:v>
                </c:pt>
                <c:pt idx="220">
                  <c:v>-5.5074395654535931E-3</c:v>
                </c:pt>
                <c:pt idx="221">
                  <c:v>-5.5074395654535931E-3</c:v>
                </c:pt>
                <c:pt idx="222">
                  <c:v>-5.5074395654535931E-3</c:v>
                </c:pt>
                <c:pt idx="223">
                  <c:v>-5.5074395654535931E-3</c:v>
                </c:pt>
                <c:pt idx="224">
                  <c:v>-5.5074395654535931E-3</c:v>
                </c:pt>
                <c:pt idx="225">
                  <c:v>-5.5074395654535931E-3</c:v>
                </c:pt>
                <c:pt idx="226">
                  <c:v>-5.5074395654535931E-3</c:v>
                </c:pt>
                <c:pt idx="227">
                  <c:v>-5.5074395654535931E-3</c:v>
                </c:pt>
                <c:pt idx="228">
                  <c:v>-5.5074395654535931E-3</c:v>
                </c:pt>
                <c:pt idx="229">
                  <c:v>-5.5074395654535931E-3</c:v>
                </c:pt>
                <c:pt idx="230">
                  <c:v>-5.5074395654535931E-3</c:v>
                </c:pt>
                <c:pt idx="231">
                  <c:v>-5.5074395654535931E-3</c:v>
                </c:pt>
                <c:pt idx="232">
                  <c:v>-5.5074395654535931E-3</c:v>
                </c:pt>
                <c:pt idx="233">
                  <c:v>-5.5074395654535931E-3</c:v>
                </c:pt>
                <c:pt idx="234">
                  <c:v>-5.5074395654535931E-3</c:v>
                </c:pt>
                <c:pt idx="235">
                  <c:v>-5.5074395654535931E-3</c:v>
                </c:pt>
                <c:pt idx="236">
                  <c:v>-5.5074395654535931E-3</c:v>
                </c:pt>
                <c:pt idx="237">
                  <c:v>-5.5074395654535931E-3</c:v>
                </c:pt>
                <c:pt idx="238">
                  <c:v>-5.5074395654535931E-3</c:v>
                </c:pt>
                <c:pt idx="239">
                  <c:v>-5.5074395654535931E-3</c:v>
                </c:pt>
                <c:pt idx="240">
                  <c:v>-5.5074395654535931E-3</c:v>
                </c:pt>
                <c:pt idx="241">
                  <c:v>-5.5074395654535931E-3</c:v>
                </c:pt>
                <c:pt idx="242">
                  <c:v>-5.5074395654535931E-3</c:v>
                </c:pt>
                <c:pt idx="243">
                  <c:v>-5.5074395654535931E-3</c:v>
                </c:pt>
                <c:pt idx="244">
                  <c:v>-5.5074395654535931E-3</c:v>
                </c:pt>
                <c:pt idx="245">
                  <c:v>-5.5074395654535931E-3</c:v>
                </c:pt>
                <c:pt idx="246">
                  <c:v>-5.5074395654535931E-3</c:v>
                </c:pt>
                <c:pt idx="247">
                  <c:v>-5.5074395654535931E-3</c:v>
                </c:pt>
                <c:pt idx="248">
                  <c:v>-5.5074395654535931E-3</c:v>
                </c:pt>
                <c:pt idx="249">
                  <c:v>-5.5074395654535931E-3</c:v>
                </c:pt>
                <c:pt idx="250">
                  <c:v>-5.5074395654535931E-3</c:v>
                </c:pt>
                <c:pt idx="251">
                  <c:v>-5.5074395654535931E-3</c:v>
                </c:pt>
                <c:pt idx="252">
                  <c:v>-5.5074395654535931E-3</c:v>
                </c:pt>
                <c:pt idx="253">
                  <c:v>-5.5074395654535931E-3</c:v>
                </c:pt>
                <c:pt idx="254">
                  <c:v>-5.5074395654535931E-3</c:v>
                </c:pt>
                <c:pt idx="255">
                  <c:v>-5.5074395654535931E-3</c:v>
                </c:pt>
                <c:pt idx="256">
                  <c:v>-5.5074395654535931E-3</c:v>
                </c:pt>
                <c:pt idx="257">
                  <c:v>-5.5074395654535931E-3</c:v>
                </c:pt>
                <c:pt idx="258">
                  <c:v>-5.5074395654535931E-3</c:v>
                </c:pt>
                <c:pt idx="259">
                  <c:v>-5.5074395654535931E-3</c:v>
                </c:pt>
                <c:pt idx="260">
                  <c:v>-5.5074395654535931E-3</c:v>
                </c:pt>
                <c:pt idx="261">
                  <c:v>-5.5074395654535931E-3</c:v>
                </c:pt>
                <c:pt idx="262">
                  <c:v>-5.5074395654535931E-3</c:v>
                </c:pt>
                <c:pt idx="263">
                  <c:v>-5.5074395654535931E-3</c:v>
                </c:pt>
                <c:pt idx="264">
                  <c:v>-5.5074395654535931E-3</c:v>
                </c:pt>
                <c:pt idx="265">
                  <c:v>-5.5074395654535931E-3</c:v>
                </c:pt>
                <c:pt idx="266">
                  <c:v>-5.5074395654535931E-3</c:v>
                </c:pt>
                <c:pt idx="267">
                  <c:v>-5.5074395654535931E-3</c:v>
                </c:pt>
                <c:pt idx="268">
                  <c:v>-5.5074395654535931E-3</c:v>
                </c:pt>
                <c:pt idx="269">
                  <c:v>-5.5074395654535931E-3</c:v>
                </c:pt>
                <c:pt idx="270">
                  <c:v>-5.5074395654535931E-3</c:v>
                </c:pt>
                <c:pt idx="271">
                  <c:v>-5.5074395654535931E-3</c:v>
                </c:pt>
                <c:pt idx="272">
                  <c:v>-5.5074395654535931E-3</c:v>
                </c:pt>
                <c:pt idx="273">
                  <c:v>-5.5074395654535931E-3</c:v>
                </c:pt>
                <c:pt idx="274">
                  <c:v>-5.5074395654535931E-3</c:v>
                </c:pt>
                <c:pt idx="275">
                  <c:v>-5.5074395654535931E-3</c:v>
                </c:pt>
                <c:pt idx="276">
                  <c:v>-5.5074395654535931E-3</c:v>
                </c:pt>
                <c:pt idx="277">
                  <c:v>-5.5074395654535931E-3</c:v>
                </c:pt>
                <c:pt idx="278">
                  <c:v>-5.5074395654535931E-3</c:v>
                </c:pt>
                <c:pt idx="279">
                  <c:v>-5.5074395654535931E-3</c:v>
                </c:pt>
                <c:pt idx="280">
                  <c:v>-5.5074395654535931E-3</c:v>
                </c:pt>
                <c:pt idx="281">
                  <c:v>-5.5074395654535931E-3</c:v>
                </c:pt>
                <c:pt idx="282">
                  <c:v>-5.5074395654535931E-3</c:v>
                </c:pt>
                <c:pt idx="283">
                  <c:v>-5.5074395654535931E-3</c:v>
                </c:pt>
                <c:pt idx="284">
                  <c:v>-5.5074395654535931E-3</c:v>
                </c:pt>
                <c:pt idx="285">
                  <c:v>-5.5074395654535931E-3</c:v>
                </c:pt>
                <c:pt idx="286">
                  <c:v>-5.5074395654535931E-3</c:v>
                </c:pt>
                <c:pt idx="287">
                  <c:v>-5.5074395654535931E-3</c:v>
                </c:pt>
                <c:pt idx="288">
                  <c:v>-5.5074395654535931E-3</c:v>
                </c:pt>
                <c:pt idx="289">
                  <c:v>-5.5074395654535931E-3</c:v>
                </c:pt>
                <c:pt idx="290">
                  <c:v>-5.5074395654535931E-3</c:v>
                </c:pt>
                <c:pt idx="291">
                  <c:v>-5.5074395654535931E-3</c:v>
                </c:pt>
                <c:pt idx="292">
                  <c:v>-5.5074395654535931E-3</c:v>
                </c:pt>
                <c:pt idx="293">
                  <c:v>-5.5074395654535931E-3</c:v>
                </c:pt>
                <c:pt idx="294">
                  <c:v>-5.5074395654535931E-3</c:v>
                </c:pt>
                <c:pt idx="295">
                  <c:v>-5.5074395654535931E-3</c:v>
                </c:pt>
                <c:pt idx="296">
                  <c:v>-5.5074395654535931E-3</c:v>
                </c:pt>
                <c:pt idx="297">
                  <c:v>-5.5074395654535931E-3</c:v>
                </c:pt>
                <c:pt idx="298">
                  <c:v>-5.5074395654535931E-3</c:v>
                </c:pt>
                <c:pt idx="299">
                  <c:v>-5.5074395654535931E-3</c:v>
                </c:pt>
                <c:pt idx="300">
                  <c:v>-5.5074395654535931E-3</c:v>
                </c:pt>
                <c:pt idx="301">
                  <c:v>-5.5074395654535931E-3</c:v>
                </c:pt>
                <c:pt idx="302">
                  <c:v>-5.5074395654535931E-3</c:v>
                </c:pt>
                <c:pt idx="303">
                  <c:v>-5.5074395654535931E-3</c:v>
                </c:pt>
                <c:pt idx="304">
                  <c:v>-5.5074395654535931E-3</c:v>
                </c:pt>
                <c:pt idx="305">
                  <c:v>-5.5074395654535931E-3</c:v>
                </c:pt>
                <c:pt idx="306">
                  <c:v>-5.5074395654535931E-3</c:v>
                </c:pt>
                <c:pt idx="307">
                  <c:v>-5.5074395654535931E-3</c:v>
                </c:pt>
                <c:pt idx="308">
                  <c:v>-5.5074395654535931E-3</c:v>
                </c:pt>
                <c:pt idx="309">
                  <c:v>-5.5074395654535931E-3</c:v>
                </c:pt>
                <c:pt idx="310">
                  <c:v>-5.5074395654535931E-3</c:v>
                </c:pt>
                <c:pt idx="311">
                  <c:v>-5.5074395654535931E-3</c:v>
                </c:pt>
                <c:pt idx="312">
                  <c:v>-5.5074395654535931E-3</c:v>
                </c:pt>
                <c:pt idx="313">
                  <c:v>-5.5074395654535931E-3</c:v>
                </c:pt>
                <c:pt idx="314">
                  <c:v>-5.5074395654535931E-3</c:v>
                </c:pt>
                <c:pt idx="315">
                  <c:v>-5.5074395654535931E-3</c:v>
                </c:pt>
                <c:pt idx="316">
                  <c:v>-5.5074395654535931E-3</c:v>
                </c:pt>
                <c:pt idx="317">
                  <c:v>-5.5074395654535931E-3</c:v>
                </c:pt>
                <c:pt idx="318">
                  <c:v>-5.5074395654535931E-3</c:v>
                </c:pt>
                <c:pt idx="319">
                  <c:v>-5.5074395654535931E-3</c:v>
                </c:pt>
                <c:pt idx="320">
                  <c:v>-5.5074395654535931E-3</c:v>
                </c:pt>
                <c:pt idx="321">
                  <c:v>-5.5074395654535931E-3</c:v>
                </c:pt>
                <c:pt idx="322">
                  <c:v>-5.5074395654535931E-3</c:v>
                </c:pt>
                <c:pt idx="323">
                  <c:v>-5.5074395654535931E-3</c:v>
                </c:pt>
                <c:pt idx="324">
                  <c:v>-5.5074395654535931E-3</c:v>
                </c:pt>
                <c:pt idx="325">
                  <c:v>-5.5074395654535931E-3</c:v>
                </c:pt>
                <c:pt idx="326">
                  <c:v>-5.5074395654535931E-3</c:v>
                </c:pt>
                <c:pt idx="327">
                  <c:v>-5.5074395654535931E-3</c:v>
                </c:pt>
                <c:pt idx="328">
                  <c:v>-5.5074395654535931E-3</c:v>
                </c:pt>
                <c:pt idx="329">
                  <c:v>-5.5074395654535931E-3</c:v>
                </c:pt>
                <c:pt idx="330">
                  <c:v>-5.5074395654535931E-3</c:v>
                </c:pt>
                <c:pt idx="331">
                  <c:v>-5.5074395654535931E-3</c:v>
                </c:pt>
                <c:pt idx="332">
                  <c:v>-5.5074395654535931E-3</c:v>
                </c:pt>
                <c:pt idx="333">
                  <c:v>-5.5074395654535931E-3</c:v>
                </c:pt>
                <c:pt idx="334">
                  <c:v>-5.5074395654535931E-3</c:v>
                </c:pt>
                <c:pt idx="335">
                  <c:v>-5.5074395654535931E-3</c:v>
                </c:pt>
                <c:pt idx="336">
                  <c:v>-5.5074395654535931E-3</c:v>
                </c:pt>
                <c:pt idx="337">
                  <c:v>-5.5074395654535931E-3</c:v>
                </c:pt>
                <c:pt idx="338">
                  <c:v>-5.5074395654535931E-3</c:v>
                </c:pt>
                <c:pt idx="339">
                  <c:v>-5.5074395654535931E-3</c:v>
                </c:pt>
                <c:pt idx="340">
                  <c:v>-5.5074395654535931E-3</c:v>
                </c:pt>
                <c:pt idx="341">
                  <c:v>-5.5074395654535931E-3</c:v>
                </c:pt>
                <c:pt idx="342">
                  <c:v>-5.5074395654535931E-3</c:v>
                </c:pt>
                <c:pt idx="343">
                  <c:v>-5.5074395654535931E-3</c:v>
                </c:pt>
                <c:pt idx="344">
                  <c:v>-5.5074395654535931E-3</c:v>
                </c:pt>
                <c:pt idx="345">
                  <c:v>-5.5074395654535931E-3</c:v>
                </c:pt>
                <c:pt idx="346">
                  <c:v>-5.5074395654535931E-3</c:v>
                </c:pt>
                <c:pt idx="347">
                  <c:v>-5.5074395654535931E-3</c:v>
                </c:pt>
                <c:pt idx="348">
                  <c:v>-5.5074395654535931E-3</c:v>
                </c:pt>
                <c:pt idx="349">
                  <c:v>-5.5074395654535931E-3</c:v>
                </c:pt>
                <c:pt idx="350">
                  <c:v>-5.5074395654535931E-3</c:v>
                </c:pt>
                <c:pt idx="351">
                  <c:v>-5.5074395654535931E-3</c:v>
                </c:pt>
                <c:pt idx="352">
                  <c:v>-5.5074395654535931E-3</c:v>
                </c:pt>
                <c:pt idx="353">
                  <c:v>-5.5074395654535931E-3</c:v>
                </c:pt>
                <c:pt idx="354">
                  <c:v>-5.5074395654535931E-3</c:v>
                </c:pt>
                <c:pt idx="355">
                  <c:v>-5.5074395654535931E-3</c:v>
                </c:pt>
                <c:pt idx="356">
                  <c:v>-5.5074395654535931E-3</c:v>
                </c:pt>
                <c:pt idx="357">
                  <c:v>-5.5074395654535931E-3</c:v>
                </c:pt>
                <c:pt idx="358">
                  <c:v>-5.5074395654535931E-3</c:v>
                </c:pt>
                <c:pt idx="359">
                  <c:v>-5.5074395654535931E-3</c:v>
                </c:pt>
                <c:pt idx="360">
                  <c:v>-5.5074395654535931E-3</c:v>
                </c:pt>
                <c:pt idx="361">
                  <c:v>-5.5074395654535931E-3</c:v>
                </c:pt>
                <c:pt idx="362">
                  <c:v>-5.5074395654535931E-3</c:v>
                </c:pt>
                <c:pt idx="363">
                  <c:v>-5.5074395654535931E-3</c:v>
                </c:pt>
                <c:pt idx="364">
                  <c:v>-5.5074395654535931E-3</c:v>
                </c:pt>
                <c:pt idx="365">
                  <c:v>-5.5074395654535931E-3</c:v>
                </c:pt>
                <c:pt idx="366">
                  <c:v>-5.5074395654535931E-3</c:v>
                </c:pt>
                <c:pt idx="367">
                  <c:v>-5.5074395654535931E-3</c:v>
                </c:pt>
                <c:pt idx="368">
                  <c:v>-5.5074395654535931E-3</c:v>
                </c:pt>
                <c:pt idx="369">
                  <c:v>-5.5074395654535931E-3</c:v>
                </c:pt>
                <c:pt idx="370">
                  <c:v>-5.5074395654535931E-3</c:v>
                </c:pt>
                <c:pt idx="371">
                  <c:v>-5.5074395654535931E-3</c:v>
                </c:pt>
                <c:pt idx="372">
                  <c:v>-5.5074395654535931E-3</c:v>
                </c:pt>
                <c:pt idx="373">
                  <c:v>-5.5074395654535931E-3</c:v>
                </c:pt>
                <c:pt idx="374">
                  <c:v>-5.5074395654535931E-3</c:v>
                </c:pt>
                <c:pt idx="375">
                  <c:v>-5.5074395654535931E-3</c:v>
                </c:pt>
                <c:pt idx="376">
                  <c:v>-5.5074395654535931E-3</c:v>
                </c:pt>
                <c:pt idx="377">
                  <c:v>-5.5074395654535931E-3</c:v>
                </c:pt>
                <c:pt idx="378">
                  <c:v>-5.5074395654535931E-3</c:v>
                </c:pt>
                <c:pt idx="379">
                  <c:v>-5.5074395654535931E-3</c:v>
                </c:pt>
                <c:pt idx="380">
                  <c:v>-5.5074395654535931E-3</c:v>
                </c:pt>
                <c:pt idx="381">
                  <c:v>-5.5074395654535931E-3</c:v>
                </c:pt>
                <c:pt idx="382">
                  <c:v>-5.5074395654535931E-3</c:v>
                </c:pt>
                <c:pt idx="383">
                  <c:v>-5.5074395654535931E-3</c:v>
                </c:pt>
                <c:pt idx="384">
                  <c:v>-5.5074395654535931E-3</c:v>
                </c:pt>
                <c:pt idx="385">
                  <c:v>-5.5074395654535931E-3</c:v>
                </c:pt>
                <c:pt idx="386">
                  <c:v>-5.5074395654535931E-3</c:v>
                </c:pt>
                <c:pt idx="387">
                  <c:v>-5.5074395654535931E-3</c:v>
                </c:pt>
                <c:pt idx="388">
                  <c:v>-5.5074395654535931E-3</c:v>
                </c:pt>
                <c:pt idx="389">
                  <c:v>-5.5074395654535931E-3</c:v>
                </c:pt>
                <c:pt idx="390">
                  <c:v>-5.5074395654535931E-3</c:v>
                </c:pt>
                <c:pt idx="391">
                  <c:v>-5.5074395654535931E-3</c:v>
                </c:pt>
                <c:pt idx="392">
                  <c:v>-5.5074395654535931E-3</c:v>
                </c:pt>
                <c:pt idx="393">
                  <c:v>-5.5074395654535931E-3</c:v>
                </c:pt>
                <c:pt idx="394">
                  <c:v>-5.5074395654535931E-3</c:v>
                </c:pt>
                <c:pt idx="395">
                  <c:v>-5.5074395654535931E-3</c:v>
                </c:pt>
                <c:pt idx="396">
                  <c:v>-5.5074395654535931E-3</c:v>
                </c:pt>
                <c:pt idx="397">
                  <c:v>-5.5074395654535931E-3</c:v>
                </c:pt>
                <c:pt idx="398">
                  <c:v>-5.5074395654535931E-3</c:v>
                </c:pt>
                <c:pt idx="399">
                  <c:v>-5.5074395654535931E-3</c:v>
                </c:pt>
                <c:pt idx="400">
                  <c:v>-5.5074395654535931E-3</c:v>
                </c:pt>
                <c:pt idx="401">
                  <c:v>-5.5074395654535931E-3</c:v>
                </c:pt>
                <c:pt idx="402">
                  <c:v>-5.5074395654535931E-3</c:v>
                </c:pt>
                <c:pt idx="403">
                  <c:v>-5.5074395654535931E-3</c:v>
                </c:pt>
                <c:pt idx="404">
                  <c:v>-5.5074395654535931E-3</c:v>
                </c:pt>
                <c:pt idx="405">
                  <c:v>-5.5074395654535931E-3</c:v>
                </c:pt>
                <c:pt idx="406">
                  <c:v>-5.5074395654535931E-3</c:v>
                </c:pt>
                <c:pt idx="407">
                  <c:v>-5.5074395654535931E-3</c:v>
                </c:pt>
                <c:pt idx="408">
                  <c:v>-5.5074395654535931E-3</c:v>
                </c:pt>
                <c:pt idx="409">
                  <c:v>-5.5074395654535931E-3</c:v>
                </c:pt>
                <c:pt idx="410">
                  <c:v>-5.5074395654535931E-3</c:v>
                </c:pt>
                <c:pt idx="411">
                  <c:v>-5.5074395654535931E-3</c:v>
                </c:pt>
                <c:pt idx="412">
                  <c:v>-5.5074395654535931E-3</c:v>
                </c:pt>
                <c:pt idx="413">
                  <c:v>-5.5074395654535931E-3</c:v>
                </c:pt>
                <c:pt idx="414">
                  <c:v>-5.5074395654535931E-3</c:v>
                </c:pt>
                <c:pt idx="415">
                  <c:v>-5.5074395654535931E-3</c:v>
                </c:pt>
                <c:pt idx="416">
                  <c:v>-5.5074395654535931E-3</c:v>
                </c:pt>
                <c:pt idx="417">
                  <c:v>-5.5074395654535931E-3</c:v>
                </c:pt>
                <c:pt idx="418">
                  <c:v>-5.5074395654535931E-3</c:v>
                </c:pt>
                <c:pt idx="419">
                  <c:v>-5.5074395654535931E-3</c:v>
                </c:pt>
                <c:pt idx="420">
                  <c:v>-5.5074395654535931E-3</c:v>
                </c:pt>
                <c:pt idx="421">
                  <c:v>-5.5074395654535931E-3</c:v>
                </c:pt>
                <c:pt idx="422">
                  <c:v>-5.5074395654535931E-3</c:v>
                </c:pt>
                <c:pt idx="423">
                  <c:v>-5.5074395654535931E-3</c:v>
                </c:pt>
                <c:pt idx="424">
                  <c:v>-5.5074395654535931E-3</c:v>
                </c:pt>
                <c:pt idx="425">
                  <c:v>-5.5074395654535931E-3</c:v>
                </c:pt>
                <c:pt idx="426">
                  <c:v>-5.5074395654535931E-3</c:v>
                </c:pt>
                <c:pt idx="427">
                  <c:v>-5.5074395654535931E-3</c:v>
                </c:pt>
                <c:pt idx="428">
                  <c:v>-5.5074395654535931E-3</c:v>
                </c:pt>
                <c:pt idx="429">
                  <c:v>-5.5074395654535931E-3</c:v>
                </c:pt>
                <c:pt idx="430">
                  <c:v>-5.5074395654535931E-3</c:v>
                </c:pt>
                <c:pt idx="431">
                  <c:v>-5.5074395654535931E-3</c:v>
                </c:pt>
                <c:pt idx="432">
                  <c:v>-5.5074395654535931E-3</c:v>
                </c:pt>
                <c:pt idx="433">
                  <c:v>-5.5074395654535931E-3</c:v>
                </c:pt>
                <c:pt idx="434">
                  <c:v>-5.5074395654535931E-3</c:v>
                </c:pt>
                <c:pt idx="435">
                  <c:v>-5.5074395654535931E-3</c:v>
                </c:pt>
                <c:pt idx="436">
                  <c:v>-5.5074395654535931E-3</c:v>
                </c:pt>
                <c:pt idx="437">
                  <c:v>-5.5074395654535931E-3</c:v>
                </c:pt>
                <c:pt idx="438">
                  <c:v>-5.5074395654535931E-3</c:v>
                </c:pt>
                <c:pt idx="439">
                  <c:v>-5.5074395654535931E-3</c:v>
                </c:pt>
                <c:pt idx="440">
                  <c:v>-5.5074395654535931E-3</c:v>
                </c:pt>
                <c:pt idx="441">
                  <c:v>-5.5074395654535931E-3</c:v>
                </c:pt>
                <c:pt idx="442">
                  <c:v>-5.5074395654535931E-3</c:v>
                </c:pt>
                <c:pt idx="443">
                  <c:v>-5.5074395654535931E-3</c:v>
                </c:pt>
                <c:pt idx="444">
                  <c:v>-5.5074395654535931E-3</c:v>
                </c:pt>
                <c:pt idx="445">
                  <c:v>-5.5074395654535931E-3</c:v>
                </c:pt>
                <c:pt idx="446">
                  <c:v>-5.5074395654535931E-3</c:v>
                </c:pt>
                <c:pt idx="447">
                  <c:v>-5.5074395654535931E-3</c:v>
                </c:pt>
                <c:pt idx="448">
                  <c:v>-5.5074395654535931E-3</c:v>
                </c:pt>
                <c:pt idx="449">
                  <c:v>-5.5074395654535931E-3</c:v>
                </c:pt>
                <c:pt idx="450">
                  <c:v>-5.5074395654535931E-3</c:v>
                </c:pt>
                <c:pt idx="451">
                  <c:v>-5.5074395654535931E-3</c:v>
                </c:pt>
                <c:pt idx="452">
                  <c:v>-5.5074395654535931E-3</c:v>
                </c:pt>
                <c:pt idx="453">
                  <c:v>-5.5074395654535931E-3</c:v>
                </c:pt>
                <c:pt idx="454">
                  <c:v>-5.5074395654535931E-3</c:v>
                </c:pt>
                <c:pt idx="455">
                  <c:v>-5.5074395654535931E-3</c:v>
                </c:pt>
                <c:pt idx="456">
                  <c:v>-5.5074395654535931E-3</c:v>
                </c:pt>
                <c:pt idx="457">
                  <c:v>-5.5074395654535931E-3</c:v>
                </c:pt>
                <c:pt idx="458">
                  <c:v>-5.5074395654535931E-3</c:v>
                </c:pt>
                <c:pt idx="459">
                  <c:v>-5.5074395654535931E-3</c:v>
                </c:pt>
                <c:pt idx="460">
                  <c:v>-5.5074395654535931E-3</c:v>
                </c:pt>
                <c:pt idx="461">
                  <c:v>-5.5074395654535931E-3</c:v>
                </c:pt>
                <c:pt idx="462">
                  <c:v>-5.5074395654535931E-3</c:v>
                </c:pt>
                <c:pt idx="463">
                  <c:v>-5.5074395654535931E-3</c:v>
                </c:pt>
                <c:pt idx="464">
                  <c:v>-5.5074395654535931E-3</c:v>
                </c:pt>
                <c:pt idx="465">
                  <c:v>-5.5074395654535931E-3</c:v>
                </c:pt>
                <c:pt idx="466">
                  <c:v>-5.5074395654535931E-3</c:v>
                </c:pt>
                <c:pt idx="467">
                  <c:v>-5.5074395654535931E-3</c:v>
                </c:pt>
                <c:pt idx="468">
                  <c:v>-5.5074395654535931E-3</c:v>
                </c:pt>
                <c:pt idx="469">
                  <c:v>-5.5074395654535931E-3</c:v>
                </c:pt>
                <c:pt idx="470">
                  <c:v>-5.5074395654535931E-3</c:v>
                </c:pt>
                <c:pt idx="471">
                  <c:v>-5.5074395654535931E-3</c:v>
                </c:pt>
                <c:pt idx="472">
                  <c:v>-5.5074395654535931E-3</c:v>
                </c:pt>
                <c:pt idx="473">
                  <c:v>-5.5074395654535931E-3</c:v>
                </c:pt>
                <c:pt idx="474">
                  <c:v>-5.5074395654535931E-3</c:v>
                </c:pt>
                <c:pt idx="475">
                  <c:v>-5.5074395654535931E-3</c:v>
                </c:pt>
                <c:pt idx="476">
                  <c:v>-5.5074395654535931E-3</c:v>
                </c:pt>
                <c:pt idx="477">
                  <c:v>-5.5074395654535931E-3</c:v>
                </c:pt>
                <c:pt idx="478">
                  <c:v>-5.5074395654535931E-3</c:v>
                </c:pt>
                <c:pt idx="479">
                  <c:v>-5.5074395654535931E-3</c:v>
                </c:pt>
                <c:pt idx="480">
                  <c:v>-5.5074395654535931E-3</c:v>
                </c:pt>
                <c:pt idx="481">
                  <c:v>-5.5074395654535931E-3</c:v>
                </c:pt>
                <c:pt idx="482">
                  <c:v>-5.5074395654535931E-3</c:v>
                </c:pt>
                <c:pt idx="483">
                  <c:v>-5.5074395654535931E-3</c:v>
                </c:pt>
                <c:pt idx="484">
                  <c:v>-5.5074395654535931E-3</c:v>
                </c:pt>
                <c:pt idx="485">
                  <c:v>-5.5074395654535931E-3</c:v>
                </c:pt>
                <c:pt idx="486">
                  <c:v>-5.5074395654535931E-3</c:v>
                </c:pt>
                <c:pt idx="487">
                  <c:v>-5.5074395654535931E-3</c:v>
                </c:pt>
                <c:pt idx="488">
                  <c:v>-5.5074395654535931E-3</c:v>
                </c:pt>
                <c:pt idx="489">
                  <c:v>-5.5074395654535931E-3</c:v>
                </c:pt>
                <c:pt idx="490">
                  <c:v>-5.5074395654535931E-3</c:v>
                </c:pt>
                <c:pt idx="491">
                  <c:v>-5.5074395654535931E-3</c:v>
                </c:pt>
                <c:pt idx="492">
                  <c:v>-5.5074395654535931E-3</c:v>
                </c:pt>
                <c:pt idx="493">
                  <c:v>-5.5074395654535931E-3</c:v>
                </c:pt>
                <c:pt idx="494">
                  <c:v>-5.5074395654535931E-3</c:v>
                </c:pt>
                <c:pt idx="495">
                  <c:v>-5.5074395654535931E-3</c:v>
                </c:pt>
                <c:pt idx="496">
                  <c:v>-5.5074395654535931E-3</c:v>
                </c:pt>
                <c:pt idx="497">
                  <c:v>-5.5074395654535931E-3</c:v>
                </c:pt>
                <c:pt idx="498">
                  <c:v>-5.5074395654535931E-3</c:v>
                </c:pt>
                <c:pt idx="499">
                  <c:v>-5.5074395654535931E-3</c:v>
                </c:pt>
                <c:pt idx="500">
                  <c:v>-5.5074395654535931E-3</c:v>
                </c:pt>
                <c:pt idx="501">
                  <c:v>-5.5074395654535931E-3</c:v>
                </c:pt>
                <c:pt idx="502">
                  <c:v>-5.5074395654535931E-3</c:v>
                </c:pt>
                <c:pt idx="503">
                  <c:v>-5.5074395654535931E-3</c:v>
                </c:pt>
                <c:pt idx="504">
                  <c:v>-5.5074395654535931E-3</c:v>
                </c:pt>
                <c:pt idx="505">
                  <c:v>-5.5074395654535931E-3</c:v>
                </c:pt>
                <c:pt idx="506">
                  <c:v>-5.5074395654535931E-3</c:v>
                </c:pt>
                <c:pt idx="507">
                  <c:v>-5.5074395654535931E-3</c:v>
                </c:pt>
                <c:pt idx="508">
                  <c:v>-5.5074395654535931E-3</c:v>
                </c:pt>
                <c:pt idx="509">
                  <c:v>-5.5074395654535931E-3</c:v>
                </c:pt>
                <c:pt idx="510">
                  <c:v>-5.5074395654535931E-3</c:v>
                </c:pt>
                <c:pt idx="511">
                  <c:v>-5.5074395654535931E-3</c:v>
                </c:pt>
                <c:pt idx="512">
                  <c:v>-5.5074395654535931E-3</c:v>
                </c:pt>
                <c:pt idx="513">
                  <c:v>-5.5074395654535931E-3</c:v>
                </c:pt>
                <c:pt idx="514">
                  <c:v>-5.5074395654535931E-3</c:v>
                </c:pt>
                <c:pt idx="515">
                  <c:v>-5.5074395654535931E-3</c:v>
                </c:pt>
                <c:pt idx="516">
                  <c:v>-5.5074395654535931E-3</c:v>
                </c:pt>
                <c:pt idx="517">
                  <c:v>-5.5074395654535931E-3</c:v>
                </c:pt>
                <c:pt idx="518">
                  <c:v>-5.5074395654535931E-3</c:v>
                </c:pt>
                <c:pt idx="519">
                  <c:v>-5.5074395654535931E-3</c:v>
                </c:pt>
                <c:pt idx="520">
                  <c:v>-5.5074395654535931E-3</c:v>
                </c:pt>
                <c:pt idx="521">
                  <c:v>-5.5074395654535931E-3</c:v>
                </c:pt>
                <c:pt idx="522">
                  <c:v>-5.5074395654535931E-3</c:v>
                </c:pt>
                <c:pt idx="523">
                  <c:v>-5.5074395654535931E-3</c:v>
                </c:pt>
                <c:pt idx="524">
                  <c:v>-5.5074395654535931E-3</c:v>
                </c:pt>
                <c:pt idx="525">
                  <c:v>-5.5074395654535931E-3</c:v>
                </c:pt>
                <c:pt idx="526">
                  <c:v>-5.5074395654535931E-3</c:v>
                </c:pt>
                <c:pt idx="527">
                  <c:v>-5.5074395654535931E-3</c:v>
                </c:pt>
                <c:pt idx="528">
                  <c:v>-5.5074395654535931E-3</c:v>
                </c:pt>
                <c:pt idx="529">
                  <c:v>-5.5074395654535931E-3</c:v>
                </c:pt>
                <c:pt idx="530">
                  <c:v>-5.5074395654535931E-3</c:v>
                </c:pt>
                <c:pt idx="531">
                  <c:v>-5.5074395654535931E-3</c:v>
                </c:pt>
                <c:pt idx="532">
                  <c:v>-5.5074395654535931E-3</c:v>
                </c:pt>
                <c:pt idx="533">
                  <c:v>-5.5074395654535931E-3</c:v>
                </c:pt>
                <c:pt idx="534">
                  <c:v>-5.5074395654535931E-3</c:v>
                </c:pt>
                <c:pt idx="535">
                  <c:v>-5.5074395654535931E-3</c:v>
                </c:pt>
                <c:pt idx="536">
                  <c:v>-5.5074395654535931E-3</c:v>
                </c:pt>
                <c:pt idx="537">
                  <c:v>-5.5074395654535931E-3</c:v>
                </c:pt>
                <c:pt idx="538">
                  <c:v>-5.5074395654535931E-3</c:v>
                </c:pt>
                <c:pt idx="539">
                  <c:v>-5.5074395654535931E-3</c:v>
                </c:pt>
                <c:pt idx="540">
                  <c:v>-5.5074395654535931E-3</c:v>
                </c:pt>
                <c:pt idx="541">
                  <c:v>-5.5074395654535931E-3</c:v>
                </c:pt>
                <c:pt idx="542">
                  <c:v>-5.5074395654535931E-3</c:v>
                </c:pt>
                <c:pt idx="543">
                  <c:v>-5.5074395654535931E-3</c:v>
                </c:pt>
                <c:pt idx="544">
                  <c:v>-5.5074395654535931E-3</c:v>
                </c:pt>
                <c:pt idx="545">
                  <c:v>-5.5074395654535931E-3</c:v>
                </c:pt>
                <c:pt idx="546">
                  <c:v>-5.5074395654535931E-3</c:v>
                </c:pt>
                <c:pt idx="547">
                  <c:v>-5.5074395654535931E-3</c:v>
                </c:pt>
                <c:pt idx="548">
                  <c:v>-5.5074395654535931E-3</c:v>
                </c:pt>
                <c:pt idx="549">
                  <c:v>-5.5074395654535931E-3</c:v>
                </c:pt>
                <c:pt idx="550">
                  <c:v>-5.5074395654535931E-3</c:v>
                </c:pt>
                <c:pt idx="551">
                  <c:v>-5.5074395654535931E-3</c:v>
                </c:pt>
                <c:pt idx="552">
                  <c:v>-5.5074395654535931E-3</c:v>
                </c:pt>
                <c:pt idx="553">
                  <c:v>-5.5074395654535931E-3</c:v>
                </c:pt>
                <c:pt idx="554">
                  <c:v>-5.5074395654535931E-3</c:v>
                </c:pt>
                <c:pt idx="555">
                  <c:v>-5.5074395654535931E-3</c:v>
                </c:pt>
                <c:pt idx="556">
                  <c:v>-5.5074395654535931E-3</c:v>
                </c:pt>
                <c:pt idx="557">
                  <c:v>-5.5074395654535931E-3</c:v>
                </c:pt>
                <c:pt idx="558">
                  <c:v>-5.5074395654535931E-3</c:v>
                </c:pt>
                <c:pt idx="559">
                  <c:v>-5.5074395654535931E-3</c:v>
                </c:pt>
                <c:pt idx="560">
                  <c:v>-5.5074395654535931E-3</c:v>
                </c:pt>
                <c:pt idx="561">
                  <c:v>-5.5074395654535931E-3</c:v>
                </c:pt>
                <c:pt idx="562">
                  <c:v>-5.5074395654535931E-3</c:v>
                </c:pt>
                <c:pt idx="563">
                  <c:v>-5.5074395654535931E-3</c:v>
                </c:pt>
                <c:pt idx="564">
                  <c:v>-5.5074395654535931E-3</c:v>
                </c:pt>
                <c:pt idx="565">
                  <c:v>-5.5074395654535931E-3</c:v>
                </c:pt>
                <c:pt idx="566">
                  <c:v>-5.5074395654535931E-3</c:v>
                </c:pt>
                <c:pt idx="567">
                  <c:v>-5.5074395654535931E-3</c:v>
                </c:pt>
                <c:pt idx="568">
                  <c:v>-5.5074395654535931E-3</c:v>
                </c:pt>
                <c:pt idx="569">
                  <c:v>-5.5074395654535931E-3</c:v>
                </c:pt>
                <c:pt idx="570">
                  <c:v>-5.5074395654535931E-3</c:v>
                </c:pt>
                <c:pt idx="571">
                  <c:v>-5.5074395654535931E-3</c:v>
                </c:pt>
                <c:pt idx="572">
                  <c:v>-5.5074395654535931E-3</c:v>
                </c:pt>
                <c:pt idx="573">
                  <c:v>-5.5074395654535931E-3</c:v>
                </c:pt>
                <c:pt idx="574">
                  <c:v>-5.5074395654535931E-3</c:v>
                </c:pt>
                <c:pt idx="575">
                  <c:v>-5.5074395654535931E-3</c:v>
                </c:pt>
                <c:pt idx="576">
                  <c:v>-5.5074395654535931E-3</c:v>
                </c:pt>
                <c:pt idx="577">
                  <c:v>-5.5074395654535931E-3</c:v>
                </c:pt>
                <c:pt idx="578">
                  <c:v>-5.5074395654535931E-3</c:v>
                </c:pt>
                <c:pt idx="579">
                  <c:v>-5.5074395654535931E-3</c:v>
                </c:pt>
                <c:pt idx="580">
                  <c:v>-5.5074395654535931E-3</c:v>
                </c:pt>
                <c:pt idx="581">
                  <c:v>-5.5074395654535931E-3</c:v>
                </c:pt>
                <c:pt idx="582">
                  <c:v>-5.5074395654535931E-3</c:v>
                </c:pt>
                <c:pt idx="583">
                  <c:v>-5.5074395654535931E-3</c:v>
                </c:pt>
                <c:pt idx="584">
                  <c:v>-5.5074395654535931E-3</c:v>
                </c:pt>
                <c:pt idx="585">
                  <c:v>-5.5074395654535931E-3</c:v>
                </c:pt>
                <c:pt idx="586">
                  <c:v>-5.5074395654535931E-3</c:v>
                </c:pt>
                <c:pt idx="587">
                  <c:v>-5.5074395654535931E-3</c:v>
                </c:pt>
                <c:pt idx="588">
                  <c:v>-5.5074395654535931E-3</c:v>
                </c:pt>
                <c:pt idx="589">
                  <c:v>-5.5074395654535931E-3</c:v>
                </c:pt>
                <c:pt idx="590">
                  <c:v>-5.5074395654535931E-3</c:v>
                </c:pt>
                <c:pt idx="591">
                  <c:v>-5.5074395654535931E-3</c:v>
                </c:pt>
                <c:pt idx="592">
                  <c:v>-5.5074395654535931E-3</c:v>
                </c:pt>
                <c:pt idx="593">
                  <c:v>-5.5074395654535931E-3</c:v>
                </c:pt>
                <c:pt idx="594">
                  <c:v>-5.5074395654535931E-3</c:v>
                </c:pt>
                <c:pt idx="595">
                  <c:v>-5.5074395654535931E-3</c:v>
                </c:pt>
                <c:pt idx="596">
                  <c:v>-5.5074395654535931E-3</c:v>
                </c:pt>
                <c:pt idx="597">
                  <c:v>-5.5074395654535931E-3</c:v>
                </c:pt>
                <c:pt idx="598">
                  <c:v>-5.5074395654535931E-3</c:v>
                </c:pt>
                <c:pt idx="599">
                  <c:v>-5.5074395654535931E-3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49344"/>
        <c:axId val="86049920"/>
      </c:scatterChart>
      <c:valAx>
        <c:axId val="86049344"/>
        <c:scaling>
          <c:orientation val="minMax"/>
          <c:max val="1000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6992833760946"/>
              <c:y val="0.876695722893793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049920"/>
        <c:crossesAt val="0"/>
        <c:crossBetween val="midCat"/>
        <c:majorUnit val="100"/>
        <c:minorUnit val="25"/>
      </c:valAx>
      <c:valAx>
        <c:axId val="8604992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88Sr (V)</a:t>
                </a:r>
              </a:p>
            </c:rich>
          </c:tx>
          <c:layout>
            <c:manualLayout>
              <c:xMode val="edge"/>
              <c:yMode val="edge"/>
              <c:x val="3.8278687074228081E-2"/>
              <c:y val="0.346677904698532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049344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00918635170603"/>
          <c:y val="5.6502937132858394E-2"/>
          <c:w val="0.75255273646349763"/>
          <c:h val="0.7213427733298043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420E"/>
              </a:solidFill>
              <a:prstDash val="solid"/>
            </a:ln>
          </c:spPr>
          <c:marker>
            <c:symbol val="none"/>
          </c:marker>
          <c:yVal>
            <c:numRef>
              <c:f>Data!$F$67:$F$1067</c:f>
              <c:numCache>
                <c:formatCode>0.00E+00</c:formatCode>
                <c:ptCount val="1001"/>
                <c:pt idx="0">
                  <c:v>-1.7816845180645001E-5</c:v>
                </c:pt>
                <c:pt idx="1">
                  <c:v>4.0716196852602803E-5</c:v>
                </c:pt>
                <c:pt idx="2">
                  <c:v>-3.8992588441938997E-5</c:v>
                </c:pt>
                <c:pt idx="3">
                  <c:v>-1.0440919052123799E-5</c:v>
                </c:pt>
                <c:pt idx="4">
                  <c:v>1.5494221498782201E-5</c:v>
                </c:pt>
                <c:pt idx="5">
                  <c:v>-7.5857072150752103E-6</c:v>
                </c:pt>
                <c:pt idx="6">
                  <c:v>-9.7283045495869601E-5</c:v>
                </c:pt>
                <c:pt idx="7">
                  <c:v>4.9044347475362801E-5</c:v>
                </c:pt>
                <c:pt idx="8">
                  <c:v>-1.12747289540347E-4</c:v>
                </c:pt>
                <c:pt idx="9">
                  <c:v>7.8074444051669497E-5</c:v>
                </c:pt>
                <c:pt idx="10">
                  <c:v>-4.2799416016943599E-5</c:v>
                </c:pt>
                <c:pt idx="11">
                  <c:v>3.3815781806289901E-5</c:v>
                </c:pt>
                <c:pt idx="12">
                  <c:v>3.5005505136759903E-5</c:v>
                </c:pt>
                <c:pt idx="13">
                  <c:v>4.3095661372277399E-5</c:v>
                </c:pt>
                <c:pt idx="14">
                  <c:v>-6.6339681219047703E-6</c:v>
                </c:pt>
                <c:pt idx="15">
                  <c:v>4.9520243894392001E-5</c:v>
                </c:pt>
                <c:pt idx="16">
                  <c:v>8.7592692201949403E-5</c:v>
                </c:pt>
                <c:pt idx="17">
                  <c:v>-6.0405804782338503E-5</c:v>
                </c:pt>
                <c:pt idx="18">
                  <c:v>1.14006305985901E-4</c:v>
                </c:pt>
                <c:pt idx="19">
                  <c:v>4.8806399350872399E-5</c:v>
                </c:pt>
                <c:pt idx="20">
                  <c:v>-8.1818561966207301E-5</c:v>
                </c:pt>
                <c:pt idx="21">
                  <c:v>-5.9201632069706797E-6</c:v>
                </c:pt>
                <c:pt idx="22">
                  <c:v>3.5005505136759903E-5</c:v>
                </c:pt>
                <c:pt idx="23">
                  <c:v>-1.2820256013793299E-5</c:v>
                </c:pt>
                <c:pt idx="24">
                  <c:v>6.7128570826942299E-5</c:v>
                </c:pt>
                <c:pt idx="25">
                  <c:v>4.85684512829891E-5</c:v>
                </c:pt>
                <c:pt idx="26">
                  <c:v>-5.3268117020481703E-5</c:v>
                </c:pt>
                <c:pt idx="27">
                  <c:v>3.6195229884452703E-5</c:v>
                </c:pt>
                <c:pt idx="28">
                  <c:v>3.4053726359078801E-5</c:v>
                </c:pt>
                <c:pt idx="29">
                  <c:v>-6.6353838945904602E-5</c:v>
                </c:pt>
                <c:pt idx="30">
                  <c:v>-4.0658077291797402E-5</c:v>
                </c:pt>
                <c:pt idx="31">
                  <c:v>5.3089474265766199E-5</c:v>
                </c:pt>
                <c:pt idx="32">
                  <c:v>-1.0440919052123799E-5</c:v>
                </c:pt>
                <c:pt idx="33">
                  <c:v>1.3399545106591201E-4</c:v>
                </c:pt>
                <c:pt idx="34">
                  <c:v>7.6646714653349896E-5</c:v>
                </c:pt>
                <c:pt idx="35">
                  <c:v>4.07315917740071E-6</c:v>
                </c:pt>
                <c:pt idx="36">
                  <c:v>-1.9958232884773499E-5</c:v>
                </c:pt>
                <c:pt idx="37">
                  <c:v>4.5951026279386803E-5</c:v>
                </c:pt>
                <c:pt idx="38">
                  <c:v>3.2388115680578197E-5</c:v>
                </c:pt>
                <c:pt idx="39">
                  <c:v>4.7854607419890902E-5</c:v>
                </c:pt>
                <c:pt idx="40">
                  <c:v>1.11864635599711E-4</c:v>
                </c:pt>
                <c:pt idx="41">
                  <c:v>-1.0132756321853699E-4</c:v>
                </c:pt>
                <c:pt idx="42">
                  <c:v>-1.4914679563850499E-4</c:v>
                </c:pt>
                <c:pt idx="43">
                  <c:v>-8.0615764215633904E-6</c:v>
                </c:pt>
                <c:pt idx="44">
                  <c:v>6.9284125122049304E-6</c:v>
                </c:pt>
                <c:pt idx="45">
                  <c:v>-3.2092676473786002E-5</c:v>
                </c:pt>
                <c:pt idx="46">
                  <c:v>1.8111566677551299E-5</c:v>
                </c:pt>
                <c:pt idx="47">
                  <c:v>1.1257852521814401E-4</c:v>
                </c:pt>
                <c:pt idx="48">
                  <c:v>1.71598040006029E-5</c:v>
                </c:pt>
                <c:pt idx="49">
                  <c:v>-1.4723721501509201E-5</c:v>
                </c:pt>
                <c:pt idx="50">
                  <c:v>-9.3476425616065094E-5</c:v>
                </c:pt>
                <c:pt idx="51">
                  <c:v>-4.9937178605388603E-5</c:v>
                </c:pt>
                <c:pt idx="52">
                  <c:v>3.7860846912720597E-5</c:v>
                </c:pt>
                <c:pt idx="53">
                  <c:v>8.1167864749914298E-5</c:v>
                </c:pt>
                <c:pt idx="54">
                  <c:v>1.1329241534695E-4</c:v>
                </c:pt>
                <c:pt idx="55">
                  <c:v>4.52371842872773E-5</c:v>
                </c:pt>
                <c:pt idx="56">
                  <c:v>3.0960451595903503E-5</c:v>
                </c:pt>
                <c:pt idx="57">
                  <c:v>2.5249815667122601E-5</c:v>
                </c:pt>
                <c:pt idx="58">
                  <c:v>-6.0643726829157097E-5</c:v>
                </c:pt>
                <c:pt idx="59">
                  <c:v>9.5457352407014202E-6</c:v>
                </c:pt>
                <c:pt idx="60">
                  <c:v>-1.1013028045979701E-4</c:v>
                </c:pt>
                <c:pt idx="61">
                  <c:v>9.4969396915234598E-5</c:v>
                </c:pt>
                <c:pt idx="62">
                  <c:v>7.6170805307675698E-5</c:v>
                </c:pt>
                <c:pt idx="63">
                  <c:v>-4.0658077291797402E-5</c:v>
                </c:pt>
                <c:pt idx="64">
                  <c:v>6.0465924123797401E-5</c:v>
                </c:pt>
                <c:pt idx="65">
                  <c:v>3.3101948488247497E-5</c:v>
                </c:pt>
                <c:pt idx="66">
                  <c:v>4.6902816396213998E-5</c:v>
                </c:pt>
                <c:pt idx="67">
                  <c:v>1.5732161686234E-5</c:v>
                </c:pt>
                <c:pt idx="68">
                  <c:v>-3.4234033565766402E-5</c:v>
                </c:pt>
                <c:pt idx="69">
                  <c:v>-2.09099592793188E-5</c:v>
                </c:pt>
                <c:pt idx="70">
                  <c:v>2.6439528792634099E-5</c:v>
                </c:pt>
                <c:pt idx="71">
                  <c:v>2.2633145638271599E-4</c:v>
                </c:pt>
                <c:pt idx="72">
                  <c:v>3.4223950482786602E-4</c:v>
                </c:pt>
                <c:pt idx="73">
                  <c:v>1.8206622359617799E-4</c:v>
                </c:pt>
                <c:pt idx="74">
                  <c:v>2.3965900750715701E-4</c:v>
                </c:pt>
                <c:pt idx="75">
                  <c:v>2.4917879576777602E-4</c:v>
                </c:pt>
                <c:pt idx="76">
                  <c:v>1.13768342382901E-4</c:v>
                </c:pt>
                <c:pt idx="77">
                  <c:v>2.5560470413997402E-4</c:v>
                </c:pt>
                <c:pt idx="78">
                  <c:v>2.8963890820667398E-4</c:v>
                </c:pt>
                <c:pt idx="79">
                  <c:v>3.2177016512862999E-4</c:v>
                </c:pt>
                <c:pt idx="80">
                  <c:v>2.00628824295931E-4</c:v>
                </c:pt>
                <c:pt idx="81">
                  <c:v>1.24238794556121E-4</c:v>
                </c:pt>
                <c:pt idx="82">
                  <c:v>9.6873071492866903E-5</c:v>
                </c:pt>
                <c:pt idx="83">
                  <c:v>2.2085769226412201E-4</c:v>
                </c:pt>
                <c:pt idx="84">
                  <c:v>3.1939003657484701E-4</c:v>
                </c:pt>
                <c:pt idx="85">
                  <c:v>2.5108276430864498E-4</c:v>
                </c:pt>
                <c:pt idx="86">
                  <c:v>3.3557502259050099E-4</c:v>
                </c:pt>
                <c:pt idx="87">
                  <c:v>3.1343974000451903E-4</c:v>
                </c:pt>
                <c:pt idx="88">
                  <c:v>1.78020574362769E-4</c:v>
                </c:pt>
                <c:pt idx="89">
                  <c:v>3.1129764191714198E-4</c:v>
                </c:pt>
                <c:pt idx="90">
                  <c:v>2.70598651123426E-4</c:v>
                </c:pt>
                <c:pt idx="91">
                  <c:v>2.11814147707581E-4</c:v>
                </c:pt>
                <c:pt idx="92">
                  <c:v>2.3585111760979799E-4</c:v>
                </c:pt>
                <c:pt idx="93">
                  <c:v>1.67073605663269E-4</c:v>
                </c:pt>
                <c:pt idx="94">
                  <c:v>2.5703268939269698E-4</c:v>
                </c:pt>
                <c:pt idx="95">
                  <c:v>2.3918302047612399E-4</c:v>
                </c:pt>
                <c:pt idx="96">
                  <c:v>2.2942533632888101E-4</c:v>
                </c:pt>
                <c:pt idx="97">
                  <c:v>1.0924704469806799E-4</c:v>
                </c:pt>
                <c:pt idx="98">
                  <c:v>8.6402906222003895E-5</c:v>
                </c:pt>
                <c:pt idx="99">
                  <c:v>2.4679884019587501E-4</c:v>
                </c:pt>
                <c:pt idx="100">
                  <c:v>1.3613716891133201E-4</c:v>
                </c:pt>
                <c:pt idx="101">
                  <c:v>1.77782595506551E-4</c:v>
                </c:pt>
                <c:pt idx="102">
                  <c:v>6.3321338696675794E-5</c:v>
                </c:pt>
                <c:pt idx="103">
                  <c:v>8.1643776477177197E-5</c:v>
                </c:pt>
                <c:pt idx="104">
                  <c:v>4.7854607419890902E-5</c:v>
                </c:pt>
                <c:pt idx="105">
                  <c:v>1.42800320469507E-4</c:v>
                </c:pt>
                <c:pt idx="106">
                  <c:v>1.2114524044319899E-4</c:v>
                </c:pt>
                <c:pt idx="107">
                  <c:v>1.7064325618571999E-4</c:v>
                </c:pt>
                <c:pt idx="108">
                  <c:v>8.0929908971420604E-5</c:v>
                </c:pt>
                <c:pt idx="109">
                  <c:v>8.2595600611670104E-5</c:v>
                </c:pt>
                <c:pt idx="110">
                  <c:v>1.16623909361787E-4</c:v>
                </c:pt>
                <c:pt idx="111">
                  <c:v>4.0716196852602803E-5</c:v>
                </c:pt>
                <c:pt idx="112">
                  <c:v>3.8336738002273903E-5</c:v>
                </c:pt>
                <c:pt idx="113">
                  <c:v>1.28046258926776E-4</c:v>
                </c:pt>
                <c:pt idx="114">
                  <c:v>1.29712029153551E-4</c:v>
                </c:pt>
                <c:pt idx="115">
                  <c:v>1.52319185526351E-4</c:v>
                </c:pt>
                <c:pt idx="116">
                  <c:v>2.0776837797022599E-4</c:v>
                </c:pt>
                <c:pt idx="117">
                  <c:v>1.2685642475170899E-4</c:v>
                </c:pt>
                <c:pt idx="118">
                  <c:v>1.4256235000545799E-4</c:v>
                </c:pt>
                <c:pt idx="119">
                  <c:v>5.2851525177364202E-5</c:v>
                </c:pt>
                <c:pt idx="120">
                  <c:v>5.2137678252710302E-5</c:v>
                </c:pt>
                <c:pt idx="121">
                  <c:v>8.4975164917330706E-5</c:v>
                </c:pt>
                <c:pt idx="122">
                  <c:v>1.62790041878135E-4</c:v>
                </c:pt>
                <c:pt idx="123">
                  <c:v>2.4075985020381401E-6</c:v>
                </c:pt>
                <c:pt idx="124">
                  <c:v>-4.7557930078055498E-5</c:v>
                </c:pt>
                <c:pt idx="125">
                  <c:v>1.10674820703102E-4</c:v>
                </c:pt>
                <c:pt idx="126">
                  <c:v>-6.1357492629288696E-5</c:v>
                </c:pt>
                <c:pt idx="127">
                  <c:v>8.1167864749914298E-5</c:v>
                </c:pt>
                <c:pt idx="128">
                  <c:v>3.02466203191258E-5</c:v>
                </c:pt>
                <c:pt idx="129">
                  <c:v>-1.28449199997531E-4</c:v>
                </c:pt>
                <c:pt idx="130">
                  <c:v>8.4499251602569107E-5</c:v>
                </c:pt>
                <c:pt idx="131">
                  <c:v>1.4018264848426201E-4</c:v>
                </c:pt>
                <c:pt idx="132">
                  <c:v>1.0497490661032799E-5</c:v>
                </c:pt>
                <c:pt idx="133">
                  <c:v>7.8788309516161499E-5</c:v>
                </c:pt>
                <c:pt idx="134">
                  <c:v>7.4981032935251104E-5</c:v>
                </c:pt>
                <c:pt idx="135">
                  <c:v>7.8074444051669497E-5</c:v>
                </c:pt>
                <c:pt idx="136">
                  <c:v>8.02160419760371E-5</c:v>
                </c:pt>
                <c:pt idx="137">
                  <c:v>7.1887631400658996E-5</c:v>
                </c:pt>
                <c:pt idx="138">
                  <c:v>2.8230927311335301E-8</c:v>
                </c:pt>
                <c:pt idx="139">
                  <c:v>5.4517169986062701E-5</c:v>
                </c:pt>
                <c:pt idx="140">
                  <c:v>3.5719339815418E-5</c:v>
                </c:pt>
                <c:pt idx="141">
                  <c:v>2.1752585053183999E-4</c:v>
                </c:pt>
                <c:pt idx="142">
                  <c:v>1.13530378836508E-4</c:v>
                </c:pt>
                <c:pt idx="143">
                  <c:v>6.1893630389604393E-5</c:v>
                </c:pt>
                <c:pt idx="144">
                  <c:v>2.3584219672359201E-5</c:v>
                </c:pt>
                <c:pt idx="145">
                  <c:v>5.7134617441074199E-5</c:v>
                </c:pt>
                <c:pt idx="146">
                  <c:v>8.54510784587479E-5</c:v>
                </c:pt>
                <c:pt idx="147">
                  <c:v>-4.2546164208003103E-6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52224"/>
        <c:axId val="86052800"/>
      </c:scatterChart>
      <c:valAx>
        <c:axId val="86052224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3056497175141237"/>
              <c:y val="0.877104037209024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052800"/>
        <c:crossesAt val="0"/>
        <c:crossBetween val="midCat"/>
      </c:valAx>
      <c:valAx>
        <c:axId val="860528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85Rb (V)</a:t>
                </a:r>
              </a:p>
            </c:rich>
          </c:tx>
          <c:layout>
            <c:manualLayout>
              <c:xMode val="edge"/>
              <c:yMode val="edge"/>
              <c:x val="1.8805996708038616E-2"/>
              <c:y val="0.342203976639672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052224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385276516168071"/>
          <c:y val="6.0229454321042729E-2"/>
          <c:w val="0.70443376278394765"/>
          <c:h val="0.71312945655164206"/>
        </c:manualLayout>
      </c:layout>
      <c:scatterChart>
        <c:scatterStyle val="lineMarker"/>
        <c:varyColors val="0"/>
        <c:ser>
          <c:idx val="4"/>
          <c:order val="0"/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trendline>
            <c:spPr>
              <a:ln w="19050">
                <a:solidFill>
                  <a:schemeClr val="accent6">
                    <a:lumMod val="50000"/>
                  </a:schemeClr>
                </a:solidFill>
              </a:ln>
            </c:spPr>
            <c:trendlineType val="movingAvg"/>
            <c:period val="10"/>
            <c:dispRSqr val="0"/>
            <c:dispEq val="0"/>
          </c:trendline>
          <c:yVal>
            <c:numRef>
              <c:f>Data!$AU$67:$AU$1051</c:f>
              <c:numCache>
                <c:formatCode>0.00000</c:formatCode>
                <c:ptCount val="98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0.70908655814259791</c:v>
                </c:pt>
                <c:pt idx="72">
                  <c:v>#N/A</c:v>
                </c:pt>
                <c:pt idx="73">
                  <c:v>#N/A</c:v>
                </c:pt>
                <c:pt idx="74">
                  <c:v>0.70950757569510414</c:v>
                </c:pt>
                <c:pt idx="75">
                  <c:v>0.70940625372895993</c:v>
                </c:pt>
                <c:pt idx="76">
                  <c:v>0.70934149870475982</c:v>
                </c:pt>
                <c:pt idx="77">
                  <c:v>#N/A</c:v>
                </c:pt>
                <c:pt idx="78">
                  <c:v>0.70923042594399088</c:v>
                </c:pt>
                <c:pt idx="79">
                  <c:v>0.70928083326099844</c:v>
                </c:pt>
                <c:pt idx="80">
                  <c:v>0.70884864522162472</c:v>
                </c:pt>
                <c:pt idx="81">
                  <c:v>0.70957437491300801</c:v>
                </c:pt>
                <c:pt idx="82">
                  <c:v>0.70932138785866561</c:v>
                </c:pt>
                <c:pt idx="83">
                  <c:v>#N/A</c:v>
                </c:pt>
                <c:pt idx="84">
                  <c:v>0.70912991196733299</c:v>
                </c:pt>
                <c:pt idx="85">
                  <c:v>0.70926409611147068</c:v>
                </c:pt>
                <c:pt idx="86">
                  <c:v>0.70916350292785513</c:v>
                </c:pt>
                <c:pt idx="87">
                  <c:v>0.70928316326666596</c:v>
                </c:pt>
                <c:pt idx="88">
                  <c:v>#N/A</c:v>
                </c:pt>
                <c:pt idx="89">
                  <c:v>0.70951956311626752</c:v>
                </c:pt>
                <c:pt idx="90">
                  <c:v>0.70933578855649349</c:v>
                </c:pt>
                <c:pt idx="91">
                  <c:v>0.70925035260745117</c:v>
                </c:pt>
                <c:pt idx="92">
                  <c:v>0.70920310269720677</c:v>
                </c:pt>
                <c:pt idx="93">
                  <c:v>0.70946803560562044</c:v>
                </c:pt>
                <c:pt idx="94">
                  <c:v>0.70944198625680499</c:v>
                </c:pt>
                <c:pt idx="95">
                  <c:v>0.70946829021629043</c:v>
                </c:pt>
                <c:pt idx="96">
                  <c:v>0.70924598485727697</c:v>
                </c:pt>
                <c:pt idx="97">
                  <c:v>0.70930109353461257</c:v>
                </c:pt>
                <c:pt idx="98">
                  <c:v>0.70913909214666138</c:v>
                </c:pt>
                <c:pt idx="99">
                  <c:v>0.70900863992577123</c:v>
                </c:pt>
                <c:pt idx="100">
                  <c:v>0.70906805036352494</c:v>
                </c:pt>
                <c:pt idx="101">
                  <c:v>0.70906095725386675</c:v>
                </c:pt>
                <c:pt idx="102">
                  <c:v>0.70930222439107948</c:v>
                </c:pt>
                <c:pt idx="103">
                  <c:v>0.70945764858815519</c:v>
                </c:pt>
                <c:pt idx="104">
                  <c:v>0.7093938262875632</c:v>
                </c:pt>
                <c:pt idx="105">
                  <c:v>0.70923954209060036</c:v>
                </c:pt>
                <c:pt idx="106">
                  <c:v>0.70950478221501312</c:v>
                </c:pt>
                <c:pt idx="107">
                  <c:v>0.70908782986697783</c:v>
                </c:pt>
                <c:pt idx="108">
                  <c:v>0.70905775210257194</c:v>
                </c:pt>
                <c:pt idx="109">
                  <c:v>0.70917675450493478</c:v>
                </c:pt>
                <c:pt idx="110">
                  <c:v>0.70918729066420816</c:v>
                </c:pt>
                <c:pt idx="111">
                  <c:v>0.70919248403547885</c:v>
                </c:pt>
                <c:pt idx="112">
                  <c:v>0.70900050287290417</c:v>
                </c:pt>
                <c:pt idx="113">
                  <c:v>0.7092775314368891</c:v>
                </c:pt>
                <c:pt idx="114">
                  <c:v>0.70911068316110915</c:v>
                </c:pt>
                <c:pt idx="115">
                  <c:v>0.70907267019914111</c:v>
                </c:pt>
                <c:pt idx="116">
                  <c:v>0.70955239966902961</c:v>
                </c:pt>
                <c:pt idx="117">
                  <c:v>0.70933301895481027</c:v>
                </c:pt>
                <c:pt idx="118">
                  <c:v>0.70934029696319456</c:v>
                </c:pt>
                <c:pt idx="119">
                  <c:v>0.70891288509347716</c:v>
                </c:pt>
                <c:pt idx="120">
                  <c:v>#N/A</c:v>
                </c:pt>
                <c:pt idx="121">
                  <c:v>0.70926860470017827</c:v>
                </c:pt>
                <c:pt idx="122">
                  <c:v>0.70911897929046974</c:v>
                </c:pt>
                <c:pt idx="123">
                  <c:v>0.709310095012053</c:v>
                </c:pt>
                <c:pt idx="124">
                  <c:v>0.70878515384276952</c:v>
                </c:pt>
                <c:pt idx="125">
                  <c:v>0.70887967929910645</c:v>
                </c:pt>
                <c:pt idx="126">
                  <c:v>0.70909751502893892</c:v>
                </c:pt>
                <c:pt idx="127">
                  <c:v>0.70929699339748908</c:v>
                </c:pt>
                <c:pt idx="128">
                  <c:v>0.70908102261291073</c:v>
                </c:pt>
                <c:pt idx="129">
                  <c:v>0.70920604901019912</c:v>
                </c:pt>
                <c:pt idx="130">
                  <c:v>0.70898669252658375</c:v>
                </c:pt>
                <c:pt idx="131">
                  <c:v>0.70894458670744187</c:v>
                </c:pt>
                <c:pt idx="132">
                  <c:v>0.7091343169426475</c:v>
                </c:pt>
                <c:pt idx="133">
                  <c:v>0.70922594253386972</c:v>
                </c:pt>
                <c:pt idx="134">
                  <c:v>0.70933149620527502</c:v>
                </c:pt>
                <c:pt idx="135">
                  <c:v>0.70883857034399556</c:v>
                </c:pt>
                <c:pt idx="136">
                  <c:v>0.7092850745492475</c:v>
                </c:pt>
                <c:pt idx="137">
                  <c:v>0.70939951810123159</c:v>
                </c:pt>
                <c:pt idx="138">
                  <c:v>0.70877633610379343</c:v>
                </c:pt>
                <c:pt idx="139">
                  <c:v>0.70948892102329975</c:v>
                </c:pt>
                <c:pt idx="140">
                  <c:v>0.7094744581738136</c:v>
                </c:pt>
                <c:pt idx="141">
                  <c:v>0.70920910770409495</c:v>
                </c:pt>
                <c:pt idx="142">
                  <c:v>0.70926509870485654</c:v>
                </c:pt>
                <c:pt idx="143">
                  <c:v>0.70918682188686399</c:v>
                </c:pt>
                <c:pt idx="144">
                  <c:v>0.70906368890468063</c:v>
                </c:pt>
                <c:pt idx="145">
                  <c:v>0.70948058672672309</c:v>
                </c:pt>
                <c:pt idx="146">
                  <c:v>0.70898569042508519</c:v>
                </c:pt>
                <c:pt idx="147">
                  <c:v>0.70904709333830873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54528"/>
        <c:axId val="86055104"/>
      </c:scatterChart>
      <c:valAx>
        <c:axId val="86054528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1981895124"/>
              <c:y val="0.87669563102977255"/>
            </c:manualLayout>
          </c:layout>
          <c:overlay val="0"/>
          <c:spPr>
            <a:noFill/>
            <a:ln w="25400">
              <a:noFill/>
            </a:ln>
          </c:spPr>
        </c:title>
        <c:numFmt formatCode="#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055104"/>
        <c:crossesAt val="0"/>
        <c:crossBetween val="midCat"/>
        <c:majorUnit val="100"/>
        <c:minorUnit val="25"/>
      </c:valAx>
      <c:valAx>
        <c:axId val="860551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profile (2</a:t>
                </a:r>
                <a:r>
                  <a:rPr lang="el-GR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σ-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filtered - Unc.†)</a:t>
                </a:r>
              </a:p>
            </c:rich>
          </c:tx>
          <c:layout>
            <c:manualLayout>
              <c:xMode val="edge"/>
              <c:yMode val="edge"/>
              <c:x val="3.5653971824950455E-2"/>
              <c:y val="0.118853440322684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054528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336286856531454"/>
          <c:y val="5.0240115842799839E-2"/>
          <c:w val="0.74856680384792684"/>
          <c:h val="0.89951976831440028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Unc.†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</c:spPr>
          </c:marker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Data!$E$3</c:f>
                <c:numCache>
                  <c:formatCode>General</c:formatCode>
                  <c:ptCount val="1"/>
                  <c:pt idx="0">
                    <c:v>5.5817065650635635E-5</c:v>
                  </c:pt>
                </c:numCache>
              </c:numRef>
            </c:plus>
            <c:minus>
              <c:numRef>
                <c:f>Data!$E$3</c:f>
                <c:numCache>
                  <c:formatCode>General</c:formatCode>
                  <c:ptCount val="1"/>
                  <c:pt idx="0">
                    <c:v>5.5817065650635635E-5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Data!$E$2</c:f>
              <c:numCache>
                <c:formatCode>0.00000</c:formatCode>
                <c:ptCount val="1"/>
                <c:pt idx="0">
                  <c:v>0.70919970844831726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Data!$F$1</c:f>
              <c:strCache>
                <c:ptCount val="1"/>
                <c:pt idx="0">
                  <c:v>ArCa+CaCa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9"/>
            <c:spPr>
              <a:solidFill>
                <a:srgbClr val="92D050"/>
              </a:solidFill>
              <a:ln>
                <a:solidFill>
                  <a:schemeClr val="tx1"/>
                </a:solidFill>
              </a:ln>
            </c:spPr>
          </c:marker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Data!$F$3</c:f>
                <c:numCache>
                  <c:formatCode>General</c:formatCode>
                  <c:ptCount val="1"/>
                  <c:pt idx="0">
                    <c:v>5.5887844231987434E-5</c:v>
                  </c:pt>
                </c:numCache>
              </c:numRef>
            </c:plus>
            <c:minus>
              <c:numRef>
                <c:f>Data!$F$3</c:f>
                <c:numCache>
                  <c:formatCode>General</c:formatCode>
                  <c:ptCount val="1"/>
                  <c:pt idx="0">
                    <c:v>5.5887844231987434E-5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Ref>
              <c:f>Data!$F$2</c:f>
              <c:numCache>
                <c:formatCode>0.00000</c:formatCode>
                <c:ptCount val="1"/>
                <c:pt idx="0">
                  <c:v>0.70920005910910788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03104"/>
        <c:axId val="86104256"/>
      </c:scatterChart>
      <c:valAx>
        <c:axId val="86103104"/>
        <c:scaling>
          <c:orientation val="minMax"/>
          <c:max val="2.5"/>
          <c:min val="0.5"/>
        </c:scaling>
        <c:delete val="1"/>
        <c:axPos val="b"/>
        <c:numFmt formatCode="General" sourceLinked="1"/>
        <c:majorTickMark val="out"/>
        <c:minorTickMark val="none"/>
        <c:tickLblPos val="none"/>
        <c:crossAx val="86104256"/>
        <c:crosses val="autoZero"/>
        <c:crossBetween val="midCat"/>
      </c:valAx>
      <c:valAx>
        <c:axId val="861042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(results)</a:t>
                </a:r>
              </a:p>
            </c:rich>
          </c:tx>
          <c:layout/>
          <c:overlay val="0"/>
        </c:title>
        <c:numFmt formatCode="0.0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103104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00918635170603"/>
          <c:y val="5.6502937132858394E-2"/>
          <c:w val="0.75255273646349763"/>
          <c:h val="0.7213427733298043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420E"/>
              </a:solidFill>
              <a:prstDash val="solid"/>
            </a:ln>
          </c:spPr>
          <c:marker>
            <c:symbol val="none"/>
          </c:marker>
          <c:yVal>
            <c:numRef>
              <c:f>Data!$E$67:$E$1067</c:f>
              <c:numCache>
                <c:formatCode>0.00E+00</c:formatCode>
                <c:ptCount val="1001"/>
                <c:pt idx="0">
                  <c:v>1.5453741952256099E-3</c:v>
                </c:pt>
                <c:pt idx="1">
                  <c:v>1.64675219012021E-3</c:v>
                </c:pt>
                <c:pt idx="2">
                  <c:v>1.5319537607639099E-3</c:v>
                </c:pt>
                <c:pt idx="3">
                  <c:v>1.5223678457710001E-3</c:v>
                </c:pt>
                <c:pt idx="4">
                  <c:v>1.6211071456795399E-3</c:v>
                </c:pt>
                <c:pt idx="5">
                  <c:v>1.53291235728754E-3</c:v>
                </c:pt>
                <c:pt idx="6">
                  <c:v>1.44256864914384E-3</c:v>
                </c:pt>
                <c:pt idx="7">
                  <c:v>1.5170956314635401E-3</c:v>
                </c:pt>
                <c:pt idx="8">
                  <c:v>1.5609517097568801E-3</c:v>
                </c:pt>
                <c:pt idx="9">
                  <c:v>1.7035570930480401E-3</c:v>
                </c:pt>
                <c:pt idx="10">
                  <c:v>1.63548746391505E-3</c:v>
                </c:pt>
                <c:pt idx="11">
                  <c:v>1.5305158676912E-3</c:v>
                </c:pt>
                <c:pt idx="12">
                  <c:v>1.5238057271964201E-3</c:v>
                </c:pt>
                <c:pt idx="13">
                  <c:v>1.66448839767709E-3</c:v>
                </c:pt>
                <c:pt idx="14">
                  <c:v>1.66616616323016E-3</c:v>
                </c:pt>
                <c:pt idx="15">
                  <c:v>1.5578361875518501E-3</c:v>
                </c:pt>
                <c:pt idx="16">
                  <c:v>1.6400412742124E-3</c:v>
                </c:pt>
                <c:pt idx="17">
                  <c:v>1.5906694834750901E-3</c:v>
                </c:pt>
                <c:pt idx="18">
                  <c:v>1.66688520646659E-3</c:v>
                </c:pt>
                <c:pt idx="19">
                  <c:v>1.76995338696582E-3</c:v>
                </c:pt>
                <c:pt idx="20">
                  <c:v>1.61319805827441E-3</c:v>
                </c:pt>
                <c:pt idx="21">
                  <c:v>1.59953705376813E-3</c:v>
                </c:pt>
                <c:pt idx="22">
                  <c:v>1.61607408286334E-3</c:v>
                </c:pt>
                <c:pt idx="23">
                  <c:v>1.6024130392994899E-3</c:v>
                </c:pt>
                <c:pt idx="24">
                  <c:v>1.6769518657428499E-3</c:v>
                </c:pt>
                <c:pt idx="25">
                  <c:v>1.60672703301385E-3</c:v>
                </c:pt>
                <c:pt idx="26">
                  <c:v>1.5789260647476799E-3</c:v>
                </c:pt>
                <c:pt idx="27">
                  <c:v>1.49648633158446E-3</c:v>
                </c:pt>
                <c:pt idx="28">
                  <c:v>1.73567605265822E-3</c:v>
                </c:pt>
                <c:pt idx="29">
                  <c:v>1.5635879283903301E-3</c:v>
                </c:pt>
                <c:pt idx="30">
                  <c:v>1.6510663739880899E-3</c:v>
                </c:pt>
                <c:pt idx="31">
                  <c:v>1.56718278311545E-3</c:v>
                </c:pt>
                <c:pt idx="32">
                  <c:v>1.74454490128346E-3</c:v>
                </c:pt>
                <c:pt idx="33">
                  <c:v>1.6697613845519401E-3</c:v>
                </c:pt>
                <c:pt idx="34">
                  <c:v>1.64267770012269E-3</c:v>
                </c:pt>
                <c:pt idx="35">
                  <c:v>1.5734138950724401E-3</c:v>
                </c:pt>
                <c:pt idx="36">
                  <c:v>1.5777277644227999E-3</c:v>
                </c:pt>
                <c:pt idx="37">
                  <c:v>1.53890360625719E-3</c:v>
                </c:pt>
                <c:pt idx="38">
                  <c:v>1.59618174770725E-3</c:v>
                </c:pt>
                <c:pt idx="39">
                  <c:v>1.70571430447912E-3</c:v>
                </c:pt>
                <c:pt idx="40">
                  <c:v>1.6798280726104599E-3</c:v>
                </c:pt>
                <c:pt idx="41">
                  <c:v>1.54585349976794E-3</c:v>
                </c:pt>
                <c:pt idx="42">
                  <c:v>1.55328274937893E-3</c:v>
                </c:pt>
                <c:pt idx="43">
                  <c:v>1.51517846947556E-3</c:v>
                </c:pt>
                <c:pt idx="44">
                  <c:v>1.53027621904556E-3</c:v>
                </c:pt>
                <c:pt idx="45">
                  <c:v>1.6134377266762399E-3</c:v>
                </c:pt>
                <c:pt idx="46">
                  <c:v>1.5722156013138701E-3</c:v>
                </c:pt>
                <c:pt idx="47">
                  <c:v>1.55040690431075E-3</c:v>
                </c:pt>
                <c:pt idx="48">
                  <c:v>1.6287766231560599E-3</c:v>
                </c:pt>
                <c:pt idx="49">
                  <c:v>1.5408208134639501E-3</c:v>
                </c:pt>
                <c:pt idx="50">
                  <c:v>1.6553805763578999E-3</c:v>
                </c:pt>
                <c:pt idx="51">
                  <c:v>1.5554396385756401E-3</c:v>
                </c:pt>
                <c:pt idx="52">
                  <c:v>1.75509174196487E-3</c:v>
                </c:pt>
                <c:pt idx="53">
                  <c:v>1.6048097001902001E-3</c:v>
                </c:pt>
                <c:pt idx="54">
                  <c:v>1.6412396487696199E-3</c:v>
                </c:pt>
                <c:pt idx="55">
                  <c:v>1.6455538089959899E-3</c:v>
                </c:pt>
                <c:pt idx="56">
                  <c:v>1.6043303675551399E-3</c:v>
                </c:pt>
                <c:pt idx="57">
                  <c:v>1.6424380247542401E-3</c:v>
                </c:pt>
                <c:pt idx="58">
                  <c:v>1.62326418030979E-3</c:v>
                </c:pt>
                <c:pt idx="59">
                  <c:v>1.5635879283903301E-3</c:v>
                </c:pt>
                <c:pt idx="60">
                  <c:v>1.52740043975181E-3</c:v>
                </c:pt>
                <c:pt idx="61">
                  <c:v>1.59953705376813E-3</c:v>
                </c:pt>
                <c:pt idx="62">
                  <c:v>1.6477108960475E-3</c:v>
                </c:pt>
                <c:pt idx="63">
                  <c:v>1.5590344641809399E-3</c:v>
                </c:pt>
                <c:pt idx="64">
                  <c:v>1.65705832672072E-3</c:v>
                </c:pt>
                <c:pt idx="65">
                  <c:v>1.6889361152764299E-3</c:v>
                </c:pt>
                <c:pt idx="66">
                  <c:v>1.66616616323016E-3</c:v>
                </c:pt>
                <c:pt idx="67">
                  <c:v>1.51997138129648E-3</c:v>
                </c:pt>
                <c:pt idx="68">
                  <c:v>1.5789260647476799E-3</c:v>
                </c:pt>
                <c:pt idx="69">
                  <c:v>1.62302450956682E-3</c:v>
                </c:pt>
                <c:pt idx="70">
                  <c:v>2.04661182631747E-3</c:v>
                </c:pt>
                <c:pt idx="71">
                  <c:v>1.00735707060793E-2</c:v>
                </c:pt>
                <c:pt idx="72">
                  <c:v>1.22253960286927E-2</c:v>
                </c:pt>
                <c:pt idx="73">
                  <c:v>1.10313701558789E-2</c:v>
                </c:pt>
                <c:pt idx="74">
                  <c:v>1.12127538964367E-2</c:v>
                </c:pt>
                <c:pt idx="75">
                  <c:v>1.4568282404577099E-2</c:v>
                </c:pt>
                <c:pt idx="76">
                  <c:v>1.4367872103537399E-2</c:v>
                </c:pt>
                <c:pt idx="77">
                  <c:v>1.4197262515788499E-2</c:v>
                </c:pt>
                <c:pt idx="78">
                  <c:v>1.7228461357961002E-2</c:v>
                </c:pt>
                <c:pt idx="79">
                  <c:v>1.7881606349849598E-2</c:v>
                </c:pt>
                <c:pt idx="80">
                  <c:v>1.7118557857155398E-2</c:v>
                </c:pt>
                <c:pt idx="81">
                  <c:v>1.67939893910013E-2</c:v>
                </c:pt>
                <c:pt idx="82">
                  <c:v>1.75275558250335E-2</c:v>
                </c:pt>
                <c:pt idx="83">
                  <c:v>2.0501026691415E-2</c:v>
                </c:pt>
                <c:pt idx="84">
                  <c:v>2.32037136963462E-2</c:v>
                </c:pt>
                <c:pt idx="85">
                  <c:v>2.4808681505042202E-2</c:v>
                </c:pt>
                <c:pt idx="86">
                  <c:v>2.60584384485423E-2</c:v>
                </c:pt>
                <c:pt idx="87">
                  <c:v>2.6778540232143901E-2</c:v>
                </c:pt>
                <c:pt idx="88">
                  <c:v>2.93477584524987E-2</c:v>
                </c:pt>
                <c:pt idx="89">
                  <c:v>3.1652559423768697E-2</c:v>
                </c:pt>
                <c:pt idx="90">
                  <c:v>3.3774389208675502E-2</c:v>
                </c:pt>
                <c:pt idx="91">
                  <c:v>3.5991505470104601E-2</c:v>
                </c:pt>
                <c:pt idx="92">
                  <c:v>3.5901080920731201E-2</c:v>
                </c:pt>
                <c:pt idx="93">
                  <c:v>3.6368888772112397E-2</c:v>
                </c:pt>
                <c:pt idx="94">
                  <c:v>3.6624701165023199E-2</c:v>
                </c:pt>
                <c:pt idx="95">
                  <c:v>3.6497396633359901E-2</c:v>
                </c:pt>
                <c:pt idx="96">
                  <c:v>3.7053311919466397E-2</c:v>
                </c:pt>
                <c:pt idx="97">
                  <c:v>3.621016604446E-2</c:v>
                </c:pt>
                <c:pt idx="98">
                  <c:v>3.5488544173079402E-2</c:v>
                </c:pt>
                <c:pt idx="99">
                  <c:v>3.5670303005689297E-2</c:v>
                </c:pt>
                <c:pt idx="100">
                  <c:v>3.5220106962715603E-2</c:v>
                </c:pt>
                <c:pt idx="101">
                  <c:v>3.5486838814183498E-2</c:v>
                </c:pt>
                <c:pt idx="102">
                  <c:v>3.5866716813122201E-2</c:v>
                </c:pt>
                <c:pt idx="103">
                  <c:v>3.63747407718161E-2</c:v>
                </c:pt>
                <c:pt idx="104">
                  <c:v>3.7599843272673399E-2</c:v>
                </c:pt>
                <c:pt idx="105">
                  <c:v>3.8426457890521598E-2</c:v>
                </c:pt>
                <c:pt idx="106">
                  <c:v>3.8507668357345697E-2</c:v>
                </c:pt>
                <c:pt idx="107">
                  <c:v>3.9389691987152302E-2</c:v>
                </c:pt>
                <c:pt idx="108">
                  <c:v>3.9381636884457602E-2</c:v>
                </c:pt>
                <c:pt idx="109">
                  <c:v>3.8606690429977802E-2</c:v>
                </c:pt>
                <c:pt idx="110">
                  <c:v>3.8130447817441099E-2</c:v>
                </c:pt>
                <c:pt idx="111">
                  <c:v>3.8606690429977802E-2</c:v>
                </c:pt>
                <c:pt idx="112">
                  <c:v>3.83893909886424E-2</c:v>
                </c:pt>
                <c:pt idx="113">
                  <c:v>3.9002630455987002E-2</c:v>
                </c:pt>
                <c:pt idx="114">
                  <c:v>3.8452064099494303E-2</c:v>
                </c:pt>
                <c:pt idx="115">
                  <c:v>3.8510351095232001E-2</c:v>
                </c:pt>
                <c:pt idx="116">
                  <c:v>3.8461575140142201E-2</c:v>
                </c:pt>
                <c:pt idx="117">
                  <c:v>3.9108777170888197E-2</c:v>
                </c:pt>
                <c:pt idx="118">
                  <c:v>3.8049754804114301E-2</c:v>
                </c:pt>
                <c:pt idx="119">
                  <c:v>3.7844759760605598E-2</c:v>
                </c:pt>
                <c:pt idx="120">
                  <c:v>3.9268139895882598E-2</c:v>
                </c:pt>
                <c:pt idx="121">
                  <c:v>3.8894054963900103E-2</c:v>
                </c:pt>
                <c:pt idx="122">
                  <c:v>3.80197708030088E-2</c:v>
                </c:pt>
                <c:pt idx="123">
                  <c:v>3.97407606905043E-2</c:v>
                </c:pt>
                <c:pt idx="124">
                  <c:v>3.8151170614211603E-2</c:v>
                </c:pt>
                <c:pt idx="125">
                  <c:v>3.6826177093165602E-2</c:v>
                </c:pt>
                <c:pt idx="126">
                  <c:v>3.8111919554192901E-2</c:v>
                </c:pt>
                <c:pt idx="127">
                  <c:v>3.7217534220089499E-2</c:v>
                </c:pt>
                <c:pt idx="128">
                  <c:v>3.5900837199591903E-2</c:v>
                </c:pt>
                <c:pt idx="129">
                  <c:v>3.7512126699027398E-2</c:v>
                </c:pt>
                <c:pt idx="130">
                  <c:v>3.75079769206038E-2</c:v>
                </c:pt>
                <c:pt idx="131">
                  <c:v>3.4877233414483198E-2</c:v>
                </c:pt>
                <c:pt idx="132">
                  <c:v>3.3360284708132799E-2</c:v>
                </c:pt>
                <c:pt idx="133">
                  <c:v>3.3410705615535302E-2</c:v>
                </c:pt>
                <c:pt idx="134">
                  <c:v>3.4424952587959697E-2</c:v>
                </c:pt>
                <c:pt idx="135">
                  <c:v>3.3538352270578498E-2</c:v>
                </c:pt>
                <c:pt idx="136">
                  <c:v>3.2854995172532202E-2</c:v>
                </c:pt>
                <c:pt idx="137">
                  <c:v>3.2743256439518802E-2</c:v>
                </c:pt>
                <c:pt idx="138">
                  <c:v>3.2079648837914997E-2</c:v>
                </c:pt>
                <c:pt idx="139">
                  <c:v>3.2003265518276397E-2</c:v>
                </c:pt>
                <c:pt idx="140">
                  <c:v>2.97683642562135E-2</c:v>
                </c:pt>
                <c:pt idx="141">
                  <c:v>3.01516250039367E-2</c:v>
                </c:pt>
                <c:pt idx="142">
                  <c:v>3.0317234176305399E-2</c:v>
                </c:pt>
                <c:pt idx="143">
                  <c:v>2.8865612417901601E-2</c:v>
                </c:pt>
                <c:pt idx="144">
                  <c:v>2.97073291877284E-2</c:v>
                </c:pt>
                <c:pt idx="145">
                  <c:v>2.9189043080322202E-2</c:v>
                </c:pt>
                <c:pt idx="146">
                  <c:v>2.94146061625787E-2</c:v>
                </c:pt>
                <c:pt idx="147">
                  <c:v>2.7036795655938198E-2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Data!$H$2</c:f>
              <c:strCache>
                <c:ptCount val="1"/>
                <c:pt idx="0">
                  <c:v>Background start</c:v>
                </c:pt>
              </c:strCache>
            </c:strRef>
          </c:tx>
          <c:marker>
            <c:symbol val="diamond"/>
            <c:size val="7"/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Data!$I$2</c:f>
              <c:numCache>
                <c:formatCode>#</c:formatCode>
                <c:ptCount val="1"/>
                <c:pt idx="0">
                  <c:v>7</c:v>
                </c:pt>
              </c:numCache>
            </c:numRef>
          </c:xVal>
          <c:yVal>
            <c:numRef>
              <c:f>Data!$K$2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Data!$H$3</c:f>
              <c:strCache>
                <c:ptCount val="1"/>
                <c:pt idx="0">
                  <c:v># Bg cycles</c:v>
                </c:pt>
              </c:strCache>
            </c:strRef>
          </c:tx>
          <c:marker>
            <c:symbol val="diamond"/>
            <c:size val="7"/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Data!$K$3</c:f>
              <c:numCache>
                <c:formatCode>General</c:formatCode>
                <c:ptCount val="1"/>
                <c:pt idx="0">
                  <c:v>57</c:v>
                </c:pt>
              </c:numCache>
            </c:numRef>
          </c:xVal>
          <c:yVal>
            <c:numRef>
              <c:f>Data!$K$2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86176"/>
        <c:axId val="178586752"/>
      </c:scatterChart>
      <c:valAx>
        <c:axId val="178586176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3056497175141237"/>
              <c:y val="0.877104037209024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586752"/>
        <c:crossesAt val="0"/>
        <c:crossBetween val="midCat"/>
      </c:valAx>
      <c:valAx>
        <c:axId val="178586752"/>
        <c:scaling>
          <c:orientation val="minMax"/>
          <c:max val="5.000000000000001E-2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84Sr (V)</a:t>
                </a:r>
              </a:p>
            </c:rich>
          </c:tx>
          <c:layout>
            <c:manualLayout>
              <c:xMode val="edge"/>
              <c:yMode val="edge"/>
              <c:x val="1.8805996708038616E-2"/>
              <c:y val="0.342203976639672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586176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trlProps/ctrlProp1.xml><?xml version="1.0" encoding="utf-8"?>
<formControlPr xmlns="http://schemas.microsoft.com/office/spreadsheetml/2009/9/main" objectType="Spin" dx="15" fmlaLink="$I$5" max="1000" page="10" val="50"/>
</file>

<file path=xl/ctrlProps/ctrlProp2.xml><?xml version="1.0" encoding="utf-8"?>
<formControlPr xmlns="http://schemas.microsoft.com/office/spreadsheetml/2009/9/main" objectType="Spin" dx="15" fmlaLink="$I$4" max="1000" page="10" val="90"/>
</file>

<file path=xl/ctrlProps/ctrlProp3.xml><?xml version="1.0" encoding="utf-8"?>
<formControlPr xmlns="http://schemas.microsoft.com/office/spreadsheetml/2009/9/main" objectType="Spin" dx="15" fmlaLink="$I$3" max="1000" page="10" val="50"/>
</file>

<file path=xl/ctrlProps/ctrlProp4.xml><?xml version="1.0" encoding="utf-8"?>
<formControlPr xmlns="http://schemas.microsoft.com/office/spreadsheetml/2009/9/main" objectType="Spin" dx="15" fmlaLink="$I$2" max="1000" page="10" val="7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7</xdr:row>
      <xdr:rowOff>142875</xdr:rowOff>
    </xdr:from>
    <xdr:to>
      <xdr:col>11</xdr:col>
      <xdr:colOff>419100</xdr:colOff>
      <xdr:row>23</xdr:row>
      <xdr:rowOff>85725</xdr:rowOff>
    </xdr:to>
    <xdr:graphicFrame macro="">
      <xdr:nvGraphicFramePr>
        <xdr:cNvPr id="1529101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771525</xdr:colOff>
      <xdr:row>8</xdr:row>
      <xdr:rowOff>66675</xdr:rowOff>
    </xdr:from>
    <xdr:to>
      <xdr:col>20</xdr:col>
      <xdr:colOff>28575</xdr:colOff>
      <xdr:row>23</xdr:row>
      <xdr:rowOff>161925</xdr:rowOff>
    </xdr:to>
    <xdr:graphicFrame macro="">
      <xdr:nvGraphicFramePr>
        <xdr:cNvPr id="1529102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857250</xdr:colOff>
      <xdr:row>22</xdr:row>
      <xdr:rowOff>142875</xdr:rowOff>
    </xdr:from>
    <xdr:to>
      <xdr:col>7</xdr:col>
      <xdr:colOff>47625</xdr:colOff>
      <xdr:row>44</xdr:row>
      <xdr:rowOff>76200</xdr:rowOff>
    </xdr:to>
    <xdr:graphicFrame macro="">
      <xdr:nvGraphicFramePr>
        <xdr:cNvPr id="1529103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923925</xdr:colOff>
      <xdr:row>23</xdr:row>
      <xdr:rowOff>104775</xdr:rowOff>
    </xdr:from>
    <xdr:to>
      <xdr:col>11</xdr:col>
      <xdr:colOff>523875</xdr:colOff>
      <xdr:row>40</xdr:row>
      <xdr:rowOff>95250</xdr:rowOff>
    </xdr:to>
    <xdr:graphicFrame macro="">
      <xdr:nvGraphicFramePr>
        <xdr:cNvPr id="1529104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66675</xdr:colOff>
      <xdr:row>33</xdr:row>
      <xdr:rowOff>123825</xdr:rowOff>
    </xdr:from>
    <xdr:to>
      <xdr:col>1</xdr:col>
      <xdr:colOff>419100</xdr:colOff>
      <xdr:row>44</xdr:row>
      <xdr:rowOff>95250</xdr:rowOff>
    </xdr:to>
    <xdr:pic>
      <xdr:nvPicPr>
        <xdr:cNvPr id="1529105" name="Immagine 1"/>
        <xdr:cNvPicPr>
          <a:picLocks noChangeAspect="1"/>
        </xdr:cNvPicPr>
      </xdr:nvPicPr>
      <xdr:blipFill>
        <a:blip xmlns:r="http://schemas.openxmlformats.org/officeDocument/2006/relationships" r:embed="rId5" cstate="print"/>
        <a:srcRect l="15929" t="7425" r="14159"/>
        <a:stretch>
          <a:fillRect/>
        </a:stretch>
      </xdr:blipFill>
      <xdr:spPr bwMode="auto">
        <a:xfrm>
          <a:off x="66675" y="6486525"/>
          <a:ext cx="1504950" cy="1752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xdr:twoCellAnchor>
    <xdr:from>
      <xdr:col>11</xdr:col>
      <xdr:colOff>466725</xdr:colOff>
      <xdr:row>8</xdr:row>
      <xdr:rowOff>66675</xdr:rowOff>
    </xdr:from>
    <xdr:to>
      <xdr:col>15</xdr:col>
      <xdr:colOff>771525</xdr:colOff>
      <xdr:row>23</xdr:row>
      <xdr:rowOff>161925</xdr:rowOff>
    </xdr:to>
    <xdr:graphicFrame macro="">
      <xdr:nvGraphicFramePr>
        <xdr:cNvPr id="1529106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4</xdr:row>
          <xdr:rowOff>28575</xdr:rowOff>
        </xdr:from>
        <xdr:to>
          <xdr:col>6</xdr:col>
          <xdr:colOff>1133475</xdr:colOff>
          <xdr:row>4</xdr:row>
          <xdr:rowOff>180975</xdr:rowOff>
        </xdr:to>
        <xdr:sp macro="" textlink="">
          <xdr:nvSpPr>
            <xdr:cNvPr id="1028" name="Spin Button 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3</xdr:row>
          <xdr:rowOff>9525</xdr:rowOff>
        </xdr:from>
        <xdr:to>
          <xdr:col>6</xdr:col>
          <xdr:colOff>1133475</xdr:colOff>
          <xdr:row>3</xdr:row>
          <xdr:rowOff>161925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2</xdr:row>
          <xdr:rowOff>0</xdr:rowOff>
        </xdr:from>
        <xdr:to>
          <xdr:col>6</xdr:col>
          <xdr:colOff>1133475</xdr:colOff>
          <xdr:row>2</xdr:row>
          <xdr:rowOff>152400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0</xdr:rowOff>
        </xdr:from>
        <xdr:to>
          <xdr:col>6</xdr:col>
          <xdr:colOff>1133475</xdr:colOff>
          <xdr:row>1</xdr:row>
          <xdr:rowOff>152400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27</xdr:row>
          <xdr:rowOff>95250</xdr:rowOff>
        </xdr:from>
        <xdr:to>
          <xdr:col>1</xdr:col>
          <xdr:colOff>295275</xdr:colOff>
          <xdr:row>29</xdr:row>
          <xdr:rowOff>142875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Clear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30</xdr:row>
          <xdr:rowOff>95250</xdr:rowOff>
        </xdr:from>
        <xdr:to>
          <xdr:col>1</xdr:col>
          <xdr:colOff>304800</xdr:colOff>
          <xdr:row>32</xdr:row>
          <xdr:rowOff>133350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16</xdr:row>
          <xdr:rowOff>57150</xdr:rowOff>
        </xdr:from>
        <xdr:to>
          <xdr:col>4</xdr:col>
          <xdr:colOff>1028700</xdr:colOff>
          <xdr:row>18</xdr:row>
          <xdr:rowOff>38100</xdr:rowOff>
        </xdr:to>
        <xdr:sp macro="" textlink="">
          <xdr:nvSpPr>
            <xdr:cNvPr id="1529107" name="Button 1299" hidden="1">
              <a:extLst>
                <a:ext uri="{63B3BB69-23CF-44E3-9099-C40C66FF867C}">
                  <a14:compatExt spid="_x0000_s1529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16</xdr:row>
          <xdr:rowOff>47625</xdr:rowOff>
        </xdr:from>
        <xdr:to>
          <xdr:col>5</xdr:col>
          <xdr:colOff>1152525</xdr:colOff>
          <xdr:row>18</xdr:row>
          <xdr:rowOff>38100</xdr:rowOff>
        </xdr:to>
        <xdr:sp macro="" textlink="">
          <xdr:nvSpPr>
            <xdr:cNvPr id="1529108" name="Button 1300" hidden="1">
              <a:extLst>
                <a:ext uri="{63B3BB69-23CF-44E3-9099-C40C66FF867C}">
                  <a14:compatExt spid="_x0000_s1529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ED1875"/>
  <sheetViews>
    <sheetView tabSelected="1" zoomScale="115" zoomScaleNormal="115" workbookViewId="0">
      <selection activeCell="C13" sqref="C13"/>
    </sheetView>
  </sheetViews>
  <sheetFormatPr defaultColWidth="15.7109375" defaultRowHeight="12.75" x14ac:dyDescent="0.2"/>
  <cols>
    <col min="1" max="1" width="17.28515625" style="2" customWidth="1"/>
    <col min="2" max="3" width="15.7109375" style="2"/>
    <col min="4" max="5" width="15.7109375" style="2" customWidth="1"/>
    <col min="6" max="6" width="18" style="2" customWidth="1"/>
    <col min="7" max="7" width="17" style="2" customWidth="1"/>
    <col min="8" max="8" width="15.7109375" style="2"/>
    <col min="9" max="10" width="13.140625" style="2" customWidth="1"/>
    <col min="11" max="37" width="15.7109375" style="2"/>
    <col min="38" max="38" width="13.85546875" style="2" customWidth="1"/>
    <col min="39" max="39" width="22.28515625" style="2" customWidth="1"/>
    <col min="40" max="49" width="21.140625" style="2" customWidth="1"/>
    <col min="50" max="50" width="20" style="2" customWidth="1"/>
    <col min="51" max="81" width="15.7109375" style="2"/>
    <col min="82" max="82" width="21.7109375" style="2" customWidth="1"/>
    <col min="83" max="90" width="15.7109375" style="2"/>
    <col min="91" max="100" width="20.7109375" style="2" customWidth="1"/>
    <col min="101" max="108" width="15.7109375" style="2"/>
    <col min="109" max="109" width="19.28515625" style="2" customWidth="1"/>
    <col min="110" max="16384" width="15.7109375" style="2"/>
  </cols>
  <sheetData>
    <row r="1" spans="1:134" ht="15" x14ac:dyDescent="0.2">
      <c r="A1" s="112" t="s">
        <v>0</v>
      </c>
      <c r="B1" s="112"/>
      <c r="C1" s="1"/>
      <c r="D1" s="86" t="s">
        <v>13</v>
      </c>
      <c r="E1" s="86" t="s">
        <v>99</v>
      </c>
      <c r="F1" s="85" t="s">
        <v>98</v>
      </c>
      <c r="H1" s="113" t="s">
        <v>1</v>
      </c>
      <c r="I1" s="113"/>
      <c r="J1" s="3" t="s">
        <v>2</v>
      </c>
      <c r="K1" s="3" t="s">
        <v>3</v>
      </c>
      <c r="M1" s="111" t="s">
        <v>95</v>
      </c>
      <c r="N1" s="111"/>
      <c r="O1" s="4"/>
      <c r="P1" s="111" t="s">
        <v>94</v>
      </c>
      <c r="Q1" s="111"/>
      <c r="R1" s="65"/>
      <c r="S1" s="114"/>
      <c r="T1" s="114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57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DI1" s="95" t="s">
        <v>106</v>
      </c>
      <c r="DJ1" s="99" t="s">
        <v>13</v>
      </c>
      <c r="DK1" s="104" t="s">
        <v>30</v>
      </c>
      <c r="DL1" s="100" t="s">
        <v>32</v>
      </c>
      <c r="DM1" s="101" t="s">
        <v>10</v>
      </c>
      <c r="DN1" s="102" t="s">
        <v>64</v>
      </c>
      <c r="DO1" s="100" t="s">
        <v>37</v>
      </c>
      <c r="DP1" s="100" t="s">
        <v>39</v>
      </c>
      <c r="DQ1" s="103" t="s">
        <v>41</v>
      </c>
      <c r="DR1" s="103" t="s">
        <v>27</v>
      </c>
      <c r="DS1" s="103" t="s">
        <v>28</v>
      </c>
      <c r="DT1" s="100" t="s">
        <v>60</v>
      </c>
      <c r="DU1" s="100" t="s">
        <v>61</v>
      </c>
      <c r="DV1" s="100" t="s">
        <v>62</v>
      </c>
      <c r="DW1" s="100" t="s">
        <v>63</v>
      </c>
      <c r="DX1" s="100" t="s">
        <v>35</v>
      </c>
      <c r="DY1" s="103" t="s">
        <v>107</v>
      </c>
      <c r="DZ1" s="94"/>
      <c r="EA1" s="96" t="s">
        <v>4</v>
      </c>
      <c r="EB1" s="96" t="s">
        <v>6</v>
      </c>
      <c r="EC1" s="97" t="s">
        <v>8</v>
      </c>
      <c r="ED1" s="97" t="s">
        <v>11</v>
      </c>
    </row>
    <row r="2" spans="1:134" ht="15" x14ac:dyDescent="0.2">
      <c r="A2" s="52" t="s">
        <v>29</v>
      </c>
      <c r="B2" s="53">
        <v>84.911799599999995</v>
      </c>
      <c r="C2" s="20"/>
      <c r="D2" s="75" t="s">
        <v>30</v>
      </c>
      <c r="E2" s="76">
        <f ca="1">AVERAGE(OFFSET(Data!AT67,Data!J4,0,Data!J5))</f>
        <v>0.70919970844831726</v>
      </c>
      <c r="F2" s="76">
        <f ca="1">AVERAGE(OFFSET(Data!BC67,Data!J4,0,Data!J5))</f>
        <v>0.70920005910910788</v>
      </c>
      <c r="G2" s="19"/>
      <c r="H2" s="5" t="s">
        <v>4</v>
      </c>
      <c r="I2" s="6">
        <v>7</v>
      </c>
      <c r="J2" s="45">
        <f>I2+1</f>
        <v>8</v>
      </c>
      <c r="K2" s="46">
        <v>0</v>
      </c>
      <c r="L2" s="19"/>
      <c r="M2" s="47">
        <f ca="1">AVERAGE((OFFSET(AR67,J4,0,J5)))</f>
        <v>0.70918870613981289</v>
      </c>
      <c r="N2" s="48" t="s">
        <v>5</v>
      </c>
      <c r="O2" s="49"/>
      <c r="P2" s="47">
        <f ca="1">AVERAGE((OFFSET(BA67,J4,0,J5)))</f>
        <v>0.70918904978738762</v>
      </c>
      <c r="Q2" s="48" t="s">
        <v>5</v>
      </c>
      <c r="R2" s="57"/>
      <c r="S2" s="27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27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DI2" s="94"/>
      <c r="DJ2" s="108" t="s">
        <v>99</v>
      </c>
      <c r="DK2" s="98">
        <f ca="1">E2</f>
        <v>0.70919970844831726</v>
      </c>
      <c r="DL2" s="98">
        <f ca="1">E3</f>
        <v>5.5817065650635635E-5</v>
      </c>
      <c r="DM2" s="98">
        <f ca="1">E4</f>
        <v>49</v>
      </c>
      <c r="DN2" s="98">
        <f ca="1">E5</f>
        <v>6.7548604852111209</v>
      </c>
      <c r="DO2" s="98">
        <f ca="1">E6</f>
        <v>5.6479504111859501E-2</v>
      </c>
      <c r="DP2" s="98">
        <f ca="1">E7</f>
        <v>3.487250388260103E-5</v>
      </c>
      <c r="DQ2" s="105">
        <f ca="1">E8</f>
        <v>1.6154833069419083E-5</v>
      </c>
      <c r="DR2" s="105">
        <f ca="1">E9</f>
        <v>-3.6604821118109679E-6</v>
      </c>
      <c r="DS2" s="105">
        <f ca="1">E10</f>
        <v>9.0979482079173873E-6</v>
      </c>
      <c r="DT2" s="105">
        <f ca="1">E11</f>
        <v>3.5014655788138969E-2</v>
      </c>
      <c r="DU2" s="105">
        <f ca="1">E12</f>
        <v>8.5544285392153465E-5</v>
      </c>
      <c r="DV2" s="105">
        <f ca="1">E13</f>
        <v>0.64465046124279379</v>
      </c>
      <c r="DW2" s="105">
        <f ca="1">E14</f>
        <v>0.4660506800580036</v>
      </c>
      <c r="DX2" s="105">
        <f ca="1">E15</f>
        <v>5.6091446881221847</v>
      </c>
      <c r="DY2" s="105" t="e">
        <f ca="1">E16</f>
        <v>#DIV/0!</v>
      </c>
      <c r="DZ2" s="94"/>
      <c r="EA2" s="106">
        <f>I2</f>
        <v>7</v>
      </c>
      <c r="EB2" s="106">
        <f>I3</f>
        <v>50</v>
      </c>
      <c r="EC2" s="106">
        <f>I4</f>
        <v>90</v>
      </c>
      <c r="ED2" s="106">
        <f>I5</f>
        <v>50</v>
      </c>
    </row>
    <row r="3" spans="1:134" ht="15" x14ac:dyDescent="0.2">
      <c r="A3" s="52" t="s">
        <v>31</v>
      </c>
      <c r="B3" s="53">
        <v>86.909183600000006</v>
      </c>
      <c r="C3" s="20"/>
      <c r="D3" s="66" t="s">
        <v>32</v>
      </c>
      <c r="E3" s="67">
        <f ca="1">2*STDEV(OFFSET(Data!AT67,Data!J4,0,Data!J5))/SQRT(COUNT(OFFSET(Data!AT67,Data!J4,0,Data!J5)))</f>
        <v>5.5817065650635635E-5</v>
      </c>
      <c r="F3" s="67">
        <f ca="1">2*STDEV(OFFSET(Data!BC67,Data!J4,0,Data!J5))/SQRT(COUNT(OFFSET(Data!BC67,Data!J4,0,Data!J5)))</f>
        <v>5.5887844231987434E-5</v>
      </c>
      <c r="G3" s="19"/>
      <c r="H3" s="5" t="s">
        <v>6</v>
      </c>
      <c r="I3" s="6">
        <v>50</v>
      </c>
      <c r="J3" s="50">
        <f>I3</f>
        <v>50</v>
      </c>
      <c r="K3" s="46">
        <f>I2+I3</f>
        <v>57</v>
      </c>
      <c r="L3" s="19"/>
      <c r="M3" s="47">
        <f ca="1">M2+2*STDEV((OFFSET(AR67,J4,0,J5)))</f>
        <v>0.70960554700842104</v>
      </c>
      <c r="N3" s="48" t="s">
        <v>7</v>
      </c>
      <c r="O3" s="19"/>
      <c r="P3" s="47">
        <f ca="1">P2+2*STDEV((OFFSET(BA67,J4,0,J5)))</f>
        <v>0.70960638261299214</v>
      </c>
      <c r="Q3" s="48" t="s">
        <v>7</v>
      </c>
      <c r="R3" s="30"/>
      <c r="S3" s="27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27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DI3" s="94"/>
      <c r="DJ3" s="108" t="s">
        <v>109</v>
      </c>
      <c r="DK3" s="98">
        <f ca="1">F2</f>
        <v>0.70920005910910788</v>
      </c>
      <c r="DL3" s="98">
        <f ca="1">F3</f>
        <v>5.5887844231987434E-5</v>
      </c>
      <c r="DM3" s="98">
        <f ca="1">F4</f>
        <v>49</v>
      </c>
      <c r="DN3" s="98">
        <f ca="1">F5</f>
        <v>6.7547538600061294</v>
      </c>
      <c r="DO3" s="98">
        <f ca="1">F6</f>
        <v>5.6258226687361718E-2</v>
      </c>
      <c r="DP3" s="98">
        <f ca="1">F7</f>
        <v>1.2096022621994842E-4</v>
      </c>
      <c r="DQ3" s="105">
        <f ca="1">F8</f>
        <v>1.614963498406208E-5</v>
      </c>
      <c r="DR3" s="105">
        <f ca="1">F9</f>
        <v>0</v>
      </c>
      <c r="DS3" s="105">
        <f ca="1">F10</f>
        <v>8.4894007855372836E-7</v>
      </c>
      <c r="DT3" s="105">
        <f ca="1">F11</f>
        <v>3.4887107944578583E-2</v>
      </c>
      <c r="DU3" s="105">
        <f ca="1">F12</f>
        <v>8.5516729364907838E-5</v>
      </c>
      <c r="DV3" s="105">
        <f ca="1">F13</f>
        <v>0.64464978453973998</v>
      </c>
      <c r="DW3" s="105">
        <f ca="1">F14</f>
        <v>0.46608439301978583</v>
      </c>
      <c r="DX3" s="105">
        <f ca="1">F15</f>
        <v>5.6091325745020253</v>
      </c>
      <c r="DY3" s="105" t="e">
        <f ca="1">F16</f>
        <v>#DIV/0!</v>
      </c>
      <c r="DZ3" s="94"/>
      <c r="EA3" s="106">
        <f>I2</f>
        <v>7</v>
      </c>
      <c r="EB3" s="106">
        <f>I3</f>
        <v>50</v>
      </c>
      <c r="EC3" s="106">
        <f>I4</f>
        <v>90</v>
      </c>
      <c r="ED3" s="106">
        <f>I5</f>
        <v>50</v>
      </c>
    </row>
    <row r="4" spans="1:134" ht="15" x14ac:dyDescent="0.2">
      <c r="A4" s="52" t="s">
        <v>33</v>
      </c>
      <c r="B4" s="53">
        <v>83.913427999999996</v>
      </c>
      <c r="C4" s="20"/>
      <c r="D4" s="68" t="s">
        <v>10</v>
      </c>
      <c r="E4" s="69">
        <f ca="1">COUNT(OFFSET(Data!AT67,Data!J4,0,Data!J5))</f>
        <v>49</v>
      </c>
      <c r="F4" s="69">
        <f ca="1">COUNT(OFFSET(Data!BC67,Data!J4,0,Data!J5))</f>
        <v>49</v>
      </c>
      <c r="G4" s="19"/>
      <c r="H4" s="7" t="s">
        <v>8</v>
      </c>
      <c r="I4" s="8">
        <v>90</v>
      </c>
      <c r="J4" s="45">
        <f>I4+1</f>
        <v>91</v>
      </c>
      <c r="K4" s="46">
        <v>0</v>
      </c>
      <c r="L4" s="19"/>
      <c r="M4" s="47">
        <f ca="1">M2-2*STDEV((OFFSET(AR67,J4,0,J5)))</f>
        <v>0.70877186527120473</v>
      </c>
      <c r="N4" s="48" t="s">
        <v>9</v>
      </c>
      <c r="O4" s="19"/>
      <c r="P4" s="47">
        <f ca="1">P2-2*STDEV((OFFSET(BA67,J4,0,J5)))</f>
        <v>0.70877171696178309</v>
      </c>
      <c r="Q4" s="48" t="s">
        <v>9</v>
      </c>
      <c r="R4" s="30"/>
      <c r="S4" s="27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27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DI4" s="94"/>
    </row>
    <row r="5" spans="1:134" ht="15" x14ac:dyDescent="0.2">
      <c r="A5" s="52" t="s">
        <v>34</v>
      </c>
      <c r="B5" s="53">
        <v>85.909273200000001</v>
      </c>
      <c r="C5" s="20"/>
      <c r="D5" s="70" t="s">
        <v>64</v>
      </c>
      <c r="E5" s="71">
        <f ca="1">E11+E13+E14+E15</f>
        <v>6.7548604852111209</v>
      </c>
      <c r="F5" s="71">
        <f ca="1">F11+F13+F14+F15</f>
        <v>6.7547538600061294</v>
      </c>
      <c r="G5" s="19"/>
      <c r="H5" s="7" t="s">
        <v>11</v>
      </c>
      <c r="I5" s="8">
        <v>50</v>
      </c>
      <c r="J5" s="50">
        <f>I5</f>
        <v>50</v>
      </c>
      <c r="K5" s="46">
        <f>I4+I5</f>
        <v>140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DI5" s="94"/>
    </row>
    <row r="6" spans="1:134" ht="15" x14ac:dyDescent="0.2">
      <c r="A6" s="52" t="s">
        <v>36</v>
      </c>
      <c r="B6" s="53">
        <v>86.908890200000002</v>
      </c>
      <c r="C6" s="20"/>
      <c r="D6" s="66" t="s">
        <v>37</v>
      </c>
      <c r="E6" s="67">
        <f ca="1">AVERAGE(OFFSET(Data!AS67,Data!J4,0,Data!J5))</f>
        <v>5.6479504111859501E-2</v>
      </c>
      <c r="F6" s="67">
        <f ca="1">AVERAGE(OFFSET(Data!BB67,Data!J4,0,Data!J5))</f>
        <v>5.6258226687361718E-2</v>
      </c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</row>
    <row r="7" spans="1:134" ht="15" x14ac:dyDescent="0.2">
      <c r="A7" s="52" t="s">
        <v>38</v>
      </c>
      <c r="B7" s="53">
        <v>87.905624900000007</v>
      </c>
      <c r="C7" s="20"/>
      <c r="D7" s="66" t="s">
        <v>39</v>
      </c>
      <c r="E7" s="67">
        <f ca="1">2*STDEV(OFFSET(Data!AS67,Data!J4,0,Data!J5))/SQRT(COUNT((OFFSET(Data!AS67,Data!J4,0,Data!J5))))</f>
        <v>3.487250388260103E-5</v>
      </c>
      <c r="F7" s="67">
        <f ca="1">2*STDEV(OFFSET(Data!BB67,Data!J4,0,Data!J5))/SQRT(COUNT((OFFSET(Data!BB67,Data!J4,0,Data!J5))))</f>
        <v>1.2096022621994842E-4</v>
      </c>
      <c r="G7" s="19"/>
      <c r="H7" s="33"/>
      <c r="I7" s="33"/>
      <c r="J7" s="34"/>
      <c r="K7" s="19"/>
      <c r="L7" s="35"/>
      <c r="M7" s="36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</row>
    <row r="8" spans="1:134" ht="15" x14ac:dyDescent="0.2">
      <c r="A8" s="54" t="s">
        <v>40</v>
      </c>
      <c r="B8" s="53">
        <v>0.38566558166082998</v>
      </c>
      <c r="C8" s="20"/>
      <c r="D8" s="72" t="s">
        <v>41</v>
      </c>
      <c r="E8" s="73">
        <f ca="1">(AVERAGE(OFFSET(Data!R67,Data!J4,0,Data!J5))/AVERAGE(OFFSET(Data!U67,Data!J4,0,Data!J5)))/(AVERAGE(OFFSET(AN67,J4,0,J5))^-1/$B$10^-1)^(LN(B2/B7)/LN(B5/B7))</f>
        <v>1.6154833069419083E-5</v>
      </c>
      <c r="F8" s="73">
        <f ca="1">(AVERAGE(OFFSET(Data!AI67,Data!J4,0,Data!J5))/AVERAGE(OFFSET(Data!AL67,Data!J4,0,Data!J5)))/(AVERAGE(OFFSET(AW67,J4,0,J5))^-1/$B$10^-1)^(LN(B2/B7)/LN(B5/B7))</f>
        <v>1.614963498406208E-5</v>
      </c>
      <c r="G8" s="22"/>
      <c r="H8" s="37"/>
      <c r="I8" s="38"/>
      <c r="J8" s="38"/>
      <c r="K8" s="39"/>
      <c r="L8" s="40"/>
      <c r="M8" s="41"/>
      <c r="N8" s="42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</row>
    <row r="9" spans="1:134" ht="15" x14ac:dyDescent="0.2">
      <c r="A9" s="54" t="s">
        <v>42</v>
      </c>
      <c r="B9" s="53">
        <v>1.5056570931244599</v>
      </c>
      <c r="C9" s="20"/>
      <c r="D9" s="72" t="s">
        <v>27</v>
      </c>
      <c r="E9" s="74">
        <f ca="1">AVERAGE(OFFSET(Data!O67,Data!J4,0,Data!J5))</f>
        <v>-3.6604821118109679E-6</v>
      </c>
      <c r="F9" s="74">
        <f ca="1">AVERAGE(OFFSET(Data!AF67,Data!J4,0,Data!J5))</f>
        <v>0</v>
      </c>
      <c r="G9" s="19"/>
      <c r="H9" s="43"/>
      <c r="I9" s="30"/>
      <c r="J9" s="30"/>
      <c r="K9" s="30"/>
      <c r="L9" s="30"/>
      <c r="M9" s="30"/>
      <c r="N9" s="30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</row>
    <row r="10" spans="1:134" ht="15" x14ac:dyDescent="0.2">
      <c r="A10" s="54" t="s">
        <v>43</v>
      </c>
      <c r="B10" s="53">
        <v>8.3752089999999999</v>
      </c>
      <c r="C10" s="20"/>
      <c r="D10" s="72" t="s">
        <v>28</v>
      </c>
      <c r="E10" s="73">
        <f ca="1">AVERAGE(OFFSET(Data!P67,Data!J4,0,Data!J5))</f>
        <v>9.0979482079173873E-6</v>
      </c>
      <c r="F10" s="73">
        <f ca="1">AVERAGE(OFFSET(Data!AG67,Data!J4,0,Data!J5))</f>
        <v>8.4894007855372836E-7</v>
      </c>
      <c r="G10" s="19"/>
      <c r="H10" s="33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134" ht="28.5" customHeight="1" x14ac:dyDescent="0.2">
      <c r="A11" s="55" t="s">
        <v>44</v>
      </c>
      <c r="B11" s="56">
        <f>LN(B3/B2)/LN(B7/B5)</f>
        <v>1.0121287866004218</v>
      </c>
      <c r="C11" s="23"/>
      <c r="D11" s="66" t="s">
        <v>60</v>
      </c>
      <c r="E11" s="73">
        <f ca="1">AVERAGE(OFFSET(Data!Q67,Data!J4,0,Data!J5))</f>
        <v>3.5014655788138969E-2</v>
      </c>
      <c r="F11" s="73">
        <f ca="1">AVERAGE(OFFSET(Data!AH67,Data!J4,0,Data!J5))</f>
        <v>3.4887107944578583E-2</v>
      </c>
      <c r="G11" s="24"/>
      <c r="H11" s="44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</row>
    <row r="12" spans="1:134" ht="30" x14ac:dyDescent="0.2">
      <c r="A12" s="55" t="s">
        <v>45</v>
      </c>
      <c r="B12" s="56">
        <f>LN(B6/B5)/LN(B7/B5)</f>
        <v>0.50359329323329083</v>
      </c>
      <c r="C12" s="23"/>
      <c r="D12" s="66" t="s">
        <v>61</v>
      </c>
      <c r="E12" s="73">
        <f ca="1">AVERAGE(OFFSET(Data!R67,Data!J4,0,Data!J5))</f>
        <v>8.5544285392153465E-5</v>
      </c>
      <c r="F12" s="73">
        <f ca="1">AVERAGE(OFFSET(Data!AI67,Data!J4,0,Data!J5))</f>
        <v>8.5516729364907838E-5</v>
      </c>
      <c r="G12" s="25"/>
      <c r="H12" s="27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</row>
    <row r="13" spans="1:134" ht="30" x14ac:dyDescent="0.2">
      <c r="A13" s="55" t="s">
        <v>46</v>
      </c>
      <c r="B13" s="56">
        <f>LN(B4/B5)/LN(B7/B5)</f>
        <v>-1.0232504680702372</v>
      </c>
      <c r="C13" s="26"/>
      <c r="D13" s="66" t="s">
        <v>62</v>
      </c>
      <c r="E13" s="73">
        <f ca="1">AVERAGE(OFFSET(Data!S67,Data!J4,0,Data!J5))</f>
        <v>0.64465046124279379</v>
      </c>
      <c r="F13" s="73">
        <f ca="1">AVERAGE(OFFSET(Data!AJ67,Data!J4,0,Data!J5))</f>
        <v>0.64464978453973998</v>
      </c>
      <c r="G13" s="27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</row>
    <row r="14" spans="1:134" ht="15" x14ac:dyDescent="0.2">
      <c r="A14" s="21" t="s">
        <v>14</v>
      </c>
      <c r="B14" s="48">
        <v>0.1232</v>
      </c>
      <c r="C14" s="28"/>
      <c r="D14" s="66" t="s">
        <v>63</v>
      </c>
      <c r="E14" s="73">
        <f ca="1">AVERAGE(OFFSET(Data!AQ67,Data!J4,0,Data!J5))</f>
        <v>0.4660506800580036</v>
      </c>
      <c r="F14" s="73">
        <f ca="1">AVERAGE(OFFSET(Data!AK67,Data!J4,0,Data!J5))</f>
        <v>0.46608439301978583</v>
      </c>
      <c r="G14" s="2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</row>
    <row r="15" spans="1:134" ht="15" x14ac:dyDescent="0.2">
      <c r="A15" s="21" t="s">
        <v>15</v>
      </c>
      <c r="B15" s="48">
        <v>2.9820000000000002</v>
      </c>
      <c r="C15" s="28"/>
      <c r="D15" s="66" t="s">
        <v>35</v>
      </c>
      <c r="E15" s="73">
        <f ca="1">AVERAGE(OFFSET(Data!U67,Data!J4,0,Data!J5))</f>
        <v>5.6091446881221847</v>
      </c>
      <c r="F15" s="73">
        <f ca="1">AVERAGE(OFFSET(Data!AL67,Data!J4,0,Data!J5))</f>
        <v>5.6091325745020253</v>
      </c>
      <c r="G15" s="30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</row>
    <row r="16" spans="1:134" ht="14.25" customHeight="1" x14ac:dyDescent="0.2">
      <c r="A16" s="21" t="s">
        <v>16</v>
      </c>
      <c r="B16" s="48">
        <v>14.086</v>
      </c>
      <c r="C16" s="28"/>
      <c r="D16" s="66" t="s">
        <v>86</v>
      </c>
      <c r="E16" s="73" t="e">
        <f ca="1">AVERAGE(OFFSET(Data!J67,Data!J4,0,Data!J5))</f>
        <v>#DIV/0!</v>
      </c>
      <c r="F16" s="73" t="e">
        <f ca="1">AVERAGE(OFFSET(Data!J67,Data!J4,0,Data!J5))</f>
        <v>#DIV/0!</v>
      </c>
      <c r="G16" s="31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</row>
    <row r="17" spans="1:50" ht="14.25" customHeight="1" x14ac:dyDescent="0.2">
      <c r="A17" s="21" t="s">
        <v>17</v>
      </c>
      <c r="B17" s="48">
        <v>21.686</v>
      </c>
      <c r="C17" s="28"/>
      <c r="D17" s="60"/>
      <c r="E17" s="22"/>
      <c r="F17" s="27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</row>
    <row r="18" spans="1:50" x14ac:dyDescent="0.2">
      <c r="A18" s="21" t="s">
        <v>18</v>
      </c>
      <c r="B18" s="48">
        <v>16.103000000000002</v>
      </c>
      <c r="C18" s="28"/>
      <c r="D18" s="60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</row>
    <row r="19" spans="1:50" x14ac:dyDescent="0.2">
      <c r="A19" s="21" t="s">
        <v>19</v>
      </c>
      <c r="B19" s="48">
        <v>32.024999999999999</v>
      </c>
      <c r="C19" s="28"/>
      <c r="D19" s="87"/>
      <c r="E19" s="19"/>
      <c r="F19" s="30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</row>
    <row r="20" spans="1:50" ht="15" x14ac:dyDescent="0.25">
      <c r="A20" s="21" t="s">
        <v>20</v>
      </c>
      <c r="B20" s="48">
        <v>12.994999999999999</v>
      </c>
      <c r="C20" s="28"/>
      <c r="D20" s="109" t="s">
        <v>65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</row>
    <row r="21" spans="1:50" ht="15" x14ac:dyDescent="0.25">
      <c r="A21" s="21" t="s">
        <v>21</v>
      </c>
      <c r="B21" s="48">
        <v>0.1391</v>
      </c>
      <c r="C21" s="28"/>
      <c r="D21" s="109" t="s">
        <v>66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</row>
    <row r="22" spans="1:50" x14ac:dyDescent="0.2">
      <c r="A22" s="21" t="s">
        <v>22</v>
      </c>
      <c r="B22" s="48">
        <v>1.6006</v>
      </c>
      <c r="C22" s="28"/>
      <c r="D22" s="110" t="s">
        <v>104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</row>
    <row r="23" spans="1:50" x14ac:dyDescent="0.2">
      <c r="A23" s="21" t="s">
        <v>23</v>
      </c>
      <c r="B23" s="48">
        <v>33.501399999999997</v>
      </c>
      <c r="C23" s="28"/>
      <c r="D23" s="19"/>
      <c r="E23" s="5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</row>
    <row r="24" spans="1:50" x14ac:dyDescent="0.2">
      <c r="A24" s="21" t="s">
        <v>24</v>
      </c>
      <c r="B24" s="48">
        <v>22.872399999999999</v>
      </c>
      <c r="C24" s="28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</row>
    <row r="25" spans="1:50" x14ac:dyDescent="0.2">
      <c r="A25" s="21" t="s">
        <v>25</v>
      </c>
      <c r="B25" s="48">
        <v>26.985199999999999</v>
      </c>
      <c r="C25" s="28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30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30"/>
    </row>
    <row r="26" spans="1:50" x14ac:dyDescent="0.2">
      <c r="A26" s="21" t="s">
        <v>26</v>
      </c>
      <c r="B26" s="48">
        <v>14.901300000000001</v>
      </c>
      <c r="C26" s="28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30"/>
      <c r="AM26" s="61"/>
      <c r="AN26" s="61"/>
      <c r="AO26" s="61"/>
      <c r="AP26" s="61"/>
      <c r="AQ26" s="61"/>
      <c r="AR26" s="61"/>
      <c r="AS26" s="61"/>
      <c r="AT26" s="61"/>
      <c r="AU26" s="61"/>
      <c r="AV26" s="61"/>
      <c r="AW26" s="61"/>
      <c r="AX26" s="30"/>
    </row>
    <row r="27" spans="1:50" x14ac:dyDescent="0.2">
      <c r="A27" s="57"/>
      <c r="B27" s="51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</row>
    <row r="28" spans="1:50" x14ac:dyDescent="0.2">
      <c r="A28" s="57"/>
      <c r="B28" s="51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</row>
    <row r="29" spans="1:50" x14ac:dyDescent="0.2">
      <c r="A29" s="57"/>
      <c r="B29" s="51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62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</row>
    <row r="30" spans="1:50" x14ac:dyDescent="0.2">
      <c r="A30" s="57"/>
      <c r="B30" s="51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61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</row>
    <row r="31" spans="1:50" x14ac:dyDescent="0.2">
      <c r="A31" s="57"/>
      <c r="B31" s="51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30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</row>
    <row r="32" spans="1:50" x14ac:dyDescent="0.2">
      <c r="A32" s="57"/>
      <c r="B32" s="51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30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</row>
    <row r="33" spans="1:50" x14ac:dyDescent="0.2">
      <c r="A33" s="57"/>
      <c r="B33" s="51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</row>
    <row r="34" spans="1:50" x14ac:dyDescent="0.2">
      <c r="A34" s="57"/>
      <c r="B34" s="51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</row>
    <row r="35" spans="1:50" x14ac:dyDescent="0.2">
      <c r="A35" s="57"/>
      <c r="B35" s="51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</row>
    <row r="36" spans="1:50" x14ac:dyDescent="0.2">
      <c r="A36" s="57"/>
      <c r="B36" s="51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</row>
    <row r="37" spans="1:50" x14ac:dyDescent="0.2">
      <c r="A37" s="57"/>
      <c r="B37" s="51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</row>
    <row r="38" spans="1:50" x14ac:dyDescent="0.2">
      <c r="A38" s="57"/>
      <c r="B38" s="51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</row>
    <row r="39" spans="1:50" x14ac:dyDescent="0.2">
      <c r="A39" s="57"/>
      <c r="B39" s="51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</row>
    <row r="40" spans="1:50" x14ac:dyDescent="0.2">
      <c r="A40" s="57"/>
      <c r="B40" s="51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</row>
    <row r="41" spans="1:50" x14ac:dyDescent="0.2">
      <c r="A41" s="57"/>
      <c r="B41" s="51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</row>
    <row r="42" spans="1:50" x14ac:dyDescent="0.2">
      <c r="A42" s="57"/>
      <c r="B42" s="51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</row>
    <row r="43" spans="1:50" x14ac:dyDescent="0.2">
      <c r="A43" s="32"/>
      <c r="B43" s="51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</row>
    <row r="44" spans="1:50" x14ac:dyDescent="0.2">
      <c r="A44" s="32"/>
      <c r="B44" s="51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</row>
    <row r="45" spans="1:50" x14ac:dyDescent="0.2">
      <c r="A45" s="57"/>
      <c r="B45" s="51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</row>
    <row r="46" spans="1:50" x14ac:dyDescent="0.2">
      <c r="A46" s="57" t="s">
        <v>105</v>
      </c>
      <c r="B46" s="51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</row>
    <row r="47" spans="1:50" x14ac:dyDescent="0.2">
      <c r="A47" s="57"/>
      <c r="B47" s="51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</row>
    <row r="48" spans="1:50" x14ac:dyDescent="0.2">
      <c r="A48" s="57"/>
      <c r="B48" s="51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</row>
    <row r="49" spans="1:100" ht="15" x14ac:dyDescent="0.25">
      <c r="A49" s="58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</row>
    <row r="50" spans="1:100" ht="15" x14ac:dyDescent="0.25">
      <c r="A50" s="90" t="s">
        <v>67</v>
      </c>
      <c r="B50"/>
      <c r="C50"/>
      <c r="D50" s="19"/>
      <c r="E50" s="19"/>
      <c r="F50"/>
      <c r="G50"/>
      <c r="H50"/>
      <c r="I50"/>
      <c r="J50"/>
      <c r="K50"/>
      <c r="L50"/>
      <c r="M50"/>
    </row>
    <row r="51" spans="1:100" ht="15" x14ac:dyDescent="0.25">
      <c r="A51" s="90" t="s">
        <v>68</v>
      </c>
      <c r="B51"/>
      <c r="C51"/>
      <c r="D51"/>
      <c r="E51"/>
      <c r="F51"/>
      <c r="G51"/>
      <c r="H51"/>
      <c r="I51"/>
      <c r="J51"/>
      <c r="K51"/>
      <c r="L51"/>
      <c r="M51"/>
    </row>
    <row r="52" spans="1:100" ht="15" x14ac:dyDescent="0.25">
      <c r="A52" s="90" t="s">
        <v>100</v>
      </c>
      <c r="B52"/>
      <c r="C52"/>
      <c r="D52"/>
      <c r="E52"/>
      <c r="F52"/>
      <c r="G52"/>
      <c r="H52"/>
      <c r="I52"/>
      <c r="J52"/>
      <c r="K52"/>
      <c r="L52"/>
      <c r="M52"/>
    </row>
    <row r="53" spans="1:100" ht="15" x14ac:dyDescent="0.25">
      <c r="A53" s="90" t="s">
        <v>101</v>
      </c>
      <c r="B53"/>
      <c r="C53"/>
      <c r="D53"/>
      <c r="E53"/>
      <c r="F53"/>
      <c r="G53"/>
      <c r="H53"/>
      <c r="I53"/>
      <c r="J53"/>
      <c r="K53"/>
      <c r="L53"/>
      <c r="M53"/>
    </row>
    <row r="54" spans="1:100" ht="15" x14ac:dyDescent="0.25">
      <c r="A54" s="90" t="s">
        <v>69</v>
      </c>
      <c r="B54"/>
      <c r="C54"/>
      <c r="D54"/>
      <c r="E54"/>
      <c r="F54"/>
      <c r="G54"/>
      <c r="H54"/>
      <c r="I54"/>
      <c r="J54"/>
      <c r="K54"/>
      <c r="L54"/>
      <c r="M54"/>
    </row>
    <row r="55" spans="1:100" ht="15" x14ac:dyDescent="0.25">
      <c r="A55" s="90" t="s">
        <v>70</v>
      </c>
      <c r="B55"/>
      <c r="C55"/>
      <c r="D55"/>
      <c r="E55"/>
      <c r="F55"/>
      <c r="G55"/>
      <c r="H55"/>
      <c r="I55"/>
      <c r="J55"/>
      <c r="K55"/>
      <c r="L55"/>
      <c r="M55"/>
    </row>
    <row r="56" spans="1:100" ht="15" x14ac:dyDescent="0.25">
      <c r="A56" s="90" t="s">
        <v>71</v>
      </c>
      <c r="B56"/>
      <c r="C56"/>
      <c r="D56"/>
      <c r="E56"/>
      <c r="F56"/>
      <c r="G56"/>
      <c r="H56"/>
      <c r="I56"/>
      <c r="J56"/>
      <c r="K56"/>
      <c r="L56"/>
      <c r="M56"/>
      <c r="CM56" s="11"/>
      <c r="CN56" s="11"/>
      <c r="CO56" s="11"/>
      <c r="CP56" s="11"/>
      <c r="CQ56" s="11"/>
      <c r="CR56" s="11"/>
      <c r="CS56" s="11"/>
      <c r="CT56" s="11"/>
      <c r="CU56" s="11"/>
      <c r="CV56" s="11"/>
    </row>
    <row r="57" spans="1:100" ht="15" x14ac:dyDescent="0.25">
      <c r="A57" s="90" t="s">
        <v>72</v>
      </c>
      <c r="B57"/>
      <c r="C57"/>
      <c r="D57"/>
      <c r="E57"/>
      <c r="F57"/>
      <c r="G57"/>
      <c r="H57"/>
      <c r="I57"/>
      <c r="J57"/>
      <c r="K57"/>
      <c r="L57"/>
      <c r="M57"/>
    </row>
    <row r="58" spans="1:100" ht="15" x14ac:dyDescent="0.25">
      <c r="A58" s="90" t="s">
        <v>102</v>
      </c>
      <c r="B58"/>
      <c r="C58"/>
      <c r="D58"/>
      <c r="E58"/>
      <c r="F58"/>
      <c r="G58"/>
      <c r="H58"/>
      <c r="I58"/>
      <c r="J58"/>
      <c r="K58"/>
      <c r="L58"/>
      <c r="M58"/>
    </row>
    <row r="59" spans="1:100" ht="15" x14ac:dyDescent="0.25">
      <c r="A59" s="90" t="s">
        <v>103</v>
      </c>
      <c r="B59"/>
      <c r="C59"/>
      <c r="D59"/>
      <c r="E59"/>
      <c r="F59"/>
      <c r="G59"/>
      <c r="H59"/>
      <c r="I59"/>
      <c r="J59"/>
      <c r="K59"/>
      <c r="L59"/>
      <c r="M59"/>
      <c r="O59" s="92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3"/>
      <c r="AS59" s="93"/>
      <c r="AT59" s="93"/>
      <c r="AU59" s="93"/>
      <c r="AV59" s="93"/>
      <c r="AW59" s="93"/>
      <c r="AX59" s="93"/>
      <c r="AY59" s="93"/>
      <c r="AZ59" s="93"/>
      <c r="BA59" s="93"/>
      <c r="BB59" s="93"/>
      <c r="BC59" s="93"/>
      <c r="BD59" s="93"/>
    </row>
    <row r="60" spans="1:100" ht="15" x14ac:dyDescent="0.25">
      <c r="A60" s="90" t="s">
        <v>73</v>
      </c>
      <c r="B60"/>
      <c r="C60"/>
      <c r="D60"/>
      <c r="E60"/>
      <c r="F60"/>
      <c r="G60"/>
      <c r="H60"/>
      <c r="I60"/>
      <c r="J60"/>
      <c r="K60"/>
      <c r="L60"/>
      <c r="M60"/>
    </row>
    <row r="61" spans="1:100" ht="15" x14ac:dyDescent="0.25">
      <c r="A61" s="90" t="s">
        <v>74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V61" s="111" t="s">
        <v>87</v>
      </c>
      <c r="W61" s="111"/>
      <c r="X61" s="111"/>
      <c r="Y61" s="111"/>
      <c r="Z61" s="111"/>
      <c r="AA61" s="111"/>
      <c r="AB61" s="111"/>
      <c r="AC61" s="111"/>
      <c r="AD61" s="77"/>
      <c r="AE61" s="111" t="s">
        <v>88</v>
      </c>
      <c r="AF61" s="111"/>
      <c r="AG61" s="111"/>
      <c r="AH61" s="111"/>
      <c r="AI61" s="111"/>
      <c r="AJ61" s="111"/>
      <c r="AK61" s="111"/>
      <c r="AL61" s="111"/>
      <c r="AM61" s="77"/>
      <c r="AR61" s="77"/>
    </row>
    <row r="62" spans="1:100" ht="15" x14ac:dyDescent="0.25">
      <c r="A62" s="90" t="s">
        <v>75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V62" s="79" t="s">
        <v>89</v>
      </c>
      <c r="W62" s="79">
        <v>82</v>
      </c>
      <c r="X62" s="79">
        <v>83</v>
      </c>
      <c r="Y62" s="79">
        <v>84</v>
      </c>
      <c r="Z62" s="79">
        <v>85</v>
      </c>
      <c r="AA62" s="79">
        <v>86</v>
      </c>
      <c r="AB62" s="79">
        <v>87</v>
      </c>
      <c r="AC62" s="79">
        <v>88</v>
      </c>
      <c r="AD62" s="80"/>
      <c r="AE62" s="84" t="s">
        <v>89</v>
      </c>
      <c r="AF62" s="84">
        <v>82</v>
      </c>
      <c r="AG62" s="84">
        <v>83</v>
      </c>
      <c r="AH62" s="84">
        <v>84</v>
      </c>
      <c r="AI62" s="84">
        <v>85</v>
      </c>
      <c r="AJ62" s="84">
        <v>86</v>
      </c>
      <c r="AK62" s="84">
        <v>87</v>
      </c>
      <c r="AL62" s="84">
        <v>88</v>
      </c>
    </row>
    <row r="63" spans="1:100" ht="15" x14ac:dyDescent="0.25">
      <c r="A63" s="90" t="s">
        <v>76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V63" s="81" t="s">
        <v>90</v>
      </c>
      <c r="W63" s="81">
        <v>6.4574575300000003E-3</v>
      </c>
      <c r="X63" s="81">
        <v>1.3446040500000001E-3</v>
      </c>
      <c r="Y63" s="81">
        <v>2.0782940410000002E-2</v>
      </c>
      <c r="Z63" s="82" t="s">
        <v>91</v>
      </c>
      <c r="AA63" s="81">
        <v>4.1021959999999998E-5</v>
      </c>
      <c r="AB63" s="82" t="s">
        <v>91</v>
      </c>
      <c r="AC63" s="81">
        <v>1.8625256099999998E-3</v>
      </c>
      <c r="AD63" s="83"/>
      <c r="AE63" s="81" t="s">
        <v>90</v>
      </c>
      <c r="AF63" s="81">
        <v>1.25441654E-2</v>
      </c>
      <c r="AG63" s="81">
        <v>2.617407E-3</v>
      </c>
      <c r="AH63" s="81">
        <v>4.0485646099999995E-2</v>
      </c>
      <c r="AI63" s="81">
        <v>1.7469000000000002E-5</v>
      </c>
      <c r="AJ63" s="81">
        <v>3.4930369999999999E-4</v>
      </c>
      <c r="AK63" s="81">
        <v>5.6322E-5</v>
      </c>
      <c r="AL63" s="81">
        <v>4.0612506E-3</v>
      </c>
    </row>
    <row r="64" spans="1:100" ht="15" x14ac:dyDescent="0.25">
      <c r="A64" s="90" t="s">
        <v>77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56" ht="15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 s="12" t="s">
        <v>47</v>
      </c>
      <c r="V65" s="13"/>
      <c r="W65" s="12" t="s">
        <v>92</v>
      </c>
      <c r="AF65" s="12" t="s">
        <v>93</v>
      </c>
      <c r="AN65" s="12" t="s">
        <v>96</v>
      </c>
      <c r="AW65" s="12" t="s">
        <v>97</v>
      </c>
    </row>
    <row r="66" spans="1:56" ht="15.75" x14ac:dyDescent="0.25">
      <c r="A66" s="90" t="s">
        <v>78</v>
      </c>
      <c r="B66" s="90" t="s">
        <v>79</v>
      </c>
      <c r="C66" s="90" t="s">
        <v>80</v>
      </c>
      <c r="D66" s="90" t="s">
        <v>81</v>
      </c>
      <c r="E66" s="90" t="s">
        <v>12</v>
      </c>
      <c r="F66" s="90" t="s">
        <v>82</v>
      </c>
      <c r="G66" s="90" t="s">
        <v>83</v>
      </c>
      <c r="H66" s="90" t="s">
        <v>84</v>
      </c>
      <c r="I66" s="90" t="s">
        <v>85</v>
      </c>
      <c r="J66" s="90"/>
      <c r="K66" s="90"/>
      <c r="L66" s="88"/>
      <c r="M66" s="88"/>
      <c r="O66" s="13" t="s">
        <v>48</v>
      </c>
      <c r="P66" s="13" t="s">
        <v>49</v>
      </c>
      <c r="Q66" s="13" t="s">
        <v>50</v>
      </c>
      <c r="R66" s="13" t="s">
        <v>51</v>
      </c>
      <c r="S66" s="13" t="s">
        <v>52</v>
      </c>
      <c r="T66" s="13" t="s">
        <v>53</v>
      </c>
      <c r="U66" s="13" t="s">
        <v>54</v>
      </c>
      <c r="V66" s="11"/>
      <c r="W66" s="13" t="s">
        <v>48</v>
      </c>
      <c r="X66" s="13" t="s">
        <v>49</v>
      </c>
      <c r="Y66" s="13" t="s">
        <v>50</v>
      </c>
      <c r="Z66" s="13" t="s">
        <v>51</v>
      </c>
      <c r="AA66" s="13" t="s">
        <v>52</v>
      </c>
      <c r="AB66" s="13" t="s">
        <v>53</v>
      </c>
      <c r="AC66" s="13" t="s">
        <v>54</v>
      </c>
      <c r="AD66" s="13"/>
      <c r="AE66" s="13"/>
      <c r="AF66" s="13" t="s">
        <v>48</v>
      </c>
      <c r="AG66" s="13" t="s">
        <v>49</v>
      </c>
      <c r="AH66" s="13" t="s">
        <v>50</v>
      </c>
      <c r="AI66" s="13" t="s">
        <v>51</v>
      </c>
      <c r="AJ66" s="13" t="s">
        <v>52</v>
      </c>
      <c r="AK66" s="13" t="s">
        <v>53</v>
      </c>
      <c r="AL66" s="13" t="s">
        <v>54</v>
      </c>
      <c r="AM66" s="13"/>
      <c r="AN66" s="13" t="s">
        <v>55</v>
      </c>
      <c r="AO66" s="13" t="s">
        <v>56</v>
      </c>
      <c r="AP66" s="13" t="s">
        <v>57</v>
      </c>
      <c r="AQ66" s="13" t="s">
        <v>53</v>
      </c>
      <c r="AR66" s="14" t="s">
        <v>30</v>
      </c>
      <c r="AS66" s="13" t="s">
        <v>37</v>
      </c>
      <c r="AT66" s="15" t="s">
        <v>58</v>
      </c>
      <c r="AU66" s="18" t="s">
        <v>59</v>
      </c>
      <c r="AW66" s="13" t="s">
        <v>55</v>
      </c>
      <c r="AX66" s="13" t="s">
        <v>56</v>
      </c>
      <c r="AY66" s="13" t="s">
        <v>57</v>
      </c>
      <c r="AZ66" s="13" t="s">
        <v>53</v>
      </c>
      <c r="BA66" s="14" t="s">
        <v>30</v>
      </c>
      <c r="BB66" s="13" t="s">
        <v>37</v>
      </c>
      <c r="BC66" s="15" t="s">
        <v>58</v>
      </c>
      <c r="BD66" s="18" t="s">
        <v>59</v>
      </c>
    </row>
    <row r="67" spans="1:56" ht="15" x14ac:dyDescent="0.25">
      <c r="A67" s="90">
        <v>1</v>
      </c>
      <c r="B67" s="90">
        <v>1542620818.9890001</v>
      </c>
      <c r="C67" s="91">
        <v>4.3544963830576602E-4</v>
      </c>
      <c r="D67" s="91">
        <v>1.2767415609138801E-4</v>
      </c>
      <c r="E67" s="91">
        <v>1.5453741952256099E-3</v>
      </c>
      <c r="F67" s="91">
        <v>-1.7816845180645001E-5</v>
      </c>
      <c r="G67" s="91">
        <v>1.1647710395925499E-3</v>
      </c>
      <c r="H67" s="91">
        <v>4.7435980474465198E-4</v>
      </c>
      <c r="I67" s="91">
        <v>5.4169070081333901E-3</v>
      </c>
      <c r="J67" s="91"/>
      <c r="K67" s="91"/>
      <c r="L67" s="89"/>
      <c r="M67" s="89"/>
      <c r="O67" s="11">
        <f ca="1">C67-AVERAGE(OFFSET(C$67,$J$2,0,$J$3))</f>
        <v>4.1662812141259769E-5</v>
      </c>
      <c r="P67" s="11">
        <f t="shared" ref="P67:P81" ca="1" si="0">D67-AVERAGE(OFFSET(D$67,$J$2,0,$J$3))</f>
        <v>-3.5909901618831662E-5</v>
      </c>
      <c r="Q67" s="11">
        <f t="shared" ref="Q67:Q81" ca="1" si="1">E67-AVERAGE(OFFSET(E$67,$J$2,0,$J$3))</f>
        <v>-6.8655207152244074E-5</v>
      </c>
      <c r="R67" s="11">
        <f t="shared" ref="R67:R81" ca="1" si="2">F67-AVERAGE(OFFSET(F$67,$J$2,0,$J$3))</f>
        <v>-3.2670605302280626E-5</v>
      </c>
      <c r="S67" s="11">
        <f t="shared" ref="S67:S81" ca="1" si="3">G67-AVERAGE(OFFSET(G$67,$J$2,0,$J$3))</f>
        <v>1.8968355737516551E-5</v>
      </c>
      <c r="T67" s="11">
        <f t="shared" ref="T67:T81" ca="1" si="4">H67-AVERAGE(OFFSET(H$67,$J$2,0,$J$3))</f>
        <v>-1.6179538679454784E-5</v>
      </c>
      <c r="U67" s="11">
        <f t="shared" ref="U67:U81" ca="1" si="5">I67-AVERAGE(OFFSET(I$67,$J$2,0,$J$3))</f>
        <v>-9.0532557320202947E-5</v>
      </c>
      <c r="V67" s="11"/>
      <c r="W67" s="11">
        <f ca="1">O67-O67</f>
        <v>0</v>
      </c>
      <c r="X67" s="2">
        <f t="shared" ref="X67:X98" ca="1" si="6">IF(O67&gt;0,P67-(O67*$X$63/$W$63), P67)</f>
        <v>-4.4585140391873515E-5</v>
      </c>
      <c r="Y67" s="2">
        <f t="shared" ref="Y67:Y98" ca="1" si="7">IF(O67&gt;0,Q67-(O67*$Y$63/$W$63),Q67)</f>
        <v>-2.0274447340326443E-4</v>
      </c>
      <c r="Z67" s="11">
        <f ca="1">R67</f>
        <v>-3.2670605302280626E-5</v>
      </c>
      <c r="AA67" s="2">
        <f t="shared" ref="AA67:AA98" ca="1" si="8">IF(O67&gt;0,S67-(O67*$AA$63/$W$63),S67)</f>
        <v>1.8703686522859513E-5</v>
      </c>
      <c r="AB67" s="11">
        <f ca="1">T67</f>
        <v>-1.6179538679454784E-5</v>
      </c>
      <c r="AC67" s="2">
        <f t="shared" ref="AC67:AC98" ca="1" si="9">IF(O67&gt;0,U67-(O67*$AC$63/$W$63),U67)</f>
        <v>-1.0254936954656462E-4</v>
      </c>
      <c r="AF67" s="11">
        <f ca="1">W67</f>
        <v>0</v>
      </c>
      <c r="AG67" s="2">
        <f t="shared" ref="AG67:AG98" ca="1" si="10">IF(O67&gt;0, X67-(O67*$AG$63/$AF$63), X67)</f>
        <v>-5.3278308303882898E-5</v>
      </c>
      <c r="AH67" s="2">
        <f t="shared" ref="AH67:AH98" ca="1" si="11">IF(O67&gt;0, Y67-(O67*$AH$63/$AF$63), Y67)</f>
        <v>-3.3720904829493683E-4</v>
      </c>
      <c r="AI67" s="2">
        <f t="shared" ref="AI67:AI98" ca="1" si="12">IF(O67&gt;0, Z67-(O67*$AI$63/$AF$63), Z67)</f>
        <v>-3.2728624918738782E-5</v>
      </c>
      <c r="AJ67" s="2">
        <f t="shared" ref="AJ67:AJ98" ca="1" si="13">IF(O67&gt;0, AA67-(O67*$AJ$63/$AF$63), AA67)</f>
        <v>1.7543547608129725E-5</v>
      </c>
      <c r="AK67" s="2">
        <f t="shared" ref="AK67:AK98" ca="1" si="14">IF(P67&gt;0, AB67-(P67*$AK$63/$AG$63), AB67)</f>
        <v>-1.6179538679454784E-5</v>
      </c>
      <c r="AL67" s="2">
        <f t="shared" ref="AL67:AL98" ca="1" si="15">IF(O67&gt;0, AC67-(O67*$AL$63/$AF$63), AC67)</f>
        <v>-1.1603796088851062E-4</v>
      </c>
      <c r="AN67" s="2" t="e">
        <f t="shared" ref="AN67:AN130" ca="1" si="16">IF(AND(S67&gt;0,U67&gt;0),U67/S67, #N/A)</f>
        <v>#N/A</v>
      </c>
      <c r="AO67" s="2" t="e">
        <f ca="1">$B$8*((AN67/$B$10)^$B$11)</f>
        <v>#N/A</v>
      </c>
      <c r="AP67" s="2" t="e">
        <f t="shared" ref="AP67:AP130" ca="1" si="17">AO67*R67</f>
        <v>#N/A</v>
      </c>
      <c r="AQ67" s="2" t="e">
        <f t="shared" ref="AQ67:AQ130" ca="1" si="18">T67-AP67</f>
        <v>#N/A</v>
      </c>
      <c r="AR67" s="2" t="e">
        <f t="shared" ref="AR67:AR130" ca="1" si="19">(AQ67/S67)/((AN67/$B$10)^$B$12)</f>
        <v>#N/A</v>
      </c>
      <c r="AS67" s="2" t="e">
        <f t="shared" ref="AS67:AS130" ca="1" si="20">(Q67/S67)/((AN67/$B$10)^$B$13)</f>
        <v>#N/A</v>
      </c>
      <c r="AT67" s="9" t="e">
        <f t="shared" ref="AT67:AT130" ca="1" si="21">IF(AND(AR67&lt;$M$3,AR67&gt;$M$4),AR67,"rejected")</f>
        <v>#N/A</v>
      </c>
      <c r="AU67" s="9" t="e">
        <f t="shared" ref="AU67:AU130" ca="1" si="22">IF(AND(AR67&lt;$M$3,AR67&gt;$M$4),AR67,#N/A)</f>
        <v>#N/A</v>
      </c>
      <c r="AV67" s="17"/>
      <c r="AW67" s="2" t="e">
        <f ca="1">IF(AND(AL67&gt;0, AJ67&gt;0), AL67/AJ67, #N/A)</f>
        <v>#N/A</v>
      </c>
      <c r="AX67" s="2" t="e">
        <f ca="1">$B$8*((AW67/$B$10)^$B$11)</f>
        <v>#N/A</v>
      </c>
      <c r="AY67" s="2" t="e">
        <f ca="1">AX67*AI67</f>
        <v>#N/A</v>
      </c>
      <c r="AZ67" s="2" t="e">
        <f ca="1">AK67-AY67</f>
        <v>#N/A</v>
      </c>
      <c r="BA67" s="2" t="e">
        <f ca="1">(AZ67/AJ67)/((AW67/$B$10)^$B$12)</f>
        <v>#N/A</v>
      </c>
      <c r="BB67" s="2" t="e">
        <f ca="1">(AH67/AJ67)/((AW67/$B$10)^$B$13)</f>
        <v>#N/A</v>
      </c>
      <c r="BC67" s="9" t="e">
        <f t="shared" ref="BC67:BC130" ca="1" si="23">IF(AND(BA67&lt;$P$3,BA67&gt;$P$4),BA67,"rejected")</f>
        <v>#N/A</v>
      </c>
      <c r="BD67" s="9" t="e">
        <f ca="1">IF(AND(BA67&lt;$P$3,BA67&gt;$P$4),BA67,#N/A)</f>
        <v>#N/A</v>
      </c>
    </row>
    <row r="68" spans="1:56" ht="15" x14ac:dyDescent="0.25">
      <c r="A68" s="90">
        <v>2</v>
      </c>
      <c r="B68" s="90">
        <v>1542620819.516</v>
      </c>
      <c r="C68" s="91">
        <v>4.0284669915806E-4</v>
      </c>
      <c r="D68" s="91">
        <v>1.0664383186506999E-4</v>
      </c>
      <c r="E68" s="91">
        <v>1.64675219012021E-3</v>
      </c>
      <c r="F68" s="91">
        <v>4.0716196852602803E-5</v>
      </c>
      <c r="G68" s="91">
        <v>1.15857161441523E-3</v>
      </c>
      <c r="H68" s="91">
        <v>4.98583402891573E-4</v>
      </c>
      <c r="I68" s="91">
        <v>5.5291873090266702E-3</v>
      </c>
      <c r="J68" s="91"/>
      <c r="K68" s="91"/>
      <c r="L68" s="89"/>
      <c r="M68" s="89"/>
      <c r="O68" s="11">
        <f t="shared" ref="O68:O81" ca="1" si="24">C68-AVERAGE(OFFSET(C$67,$J$2,0,$J$3))</f>
        <v>9.059872993553758E-6</v>
      </c>
      <c r="P68" s="11">
        <f t="shared" ca="1" si="0"/>
        <v>-5.6940225845149677E-5</v>
      </c>
      <c r="Q68" s="11">
        <f t="shared" ca="1" si="1"/>
        <v>3.272278774235594E-5</v>
      </c>
      <c r="R68" s="11">
        <f t="shared" ca="1" si="2"/>
        <v>2.586243673096718E-5</v>
      </c>
      <c r="S68" s="11">
        <f t="shared" ca="1" si="3"/>
        <v>1.2768930560196632E-5</v>
      </c>
      <c r="T68" s="11">
        <f t="shared" ca="1" si="4"/>
        <v>8.044059467466236E-6</v>
      </c>
      <c r="U68" s="11">
        <f t="shared" ca="1" si="5"/>
        <v>2.1747743573077155E-5</v>
      </c>
      <c r="V68" s="11"/>
      <c r="W68" s="11">
        <f t="shared" ref="W68:W131" ca="1" si="25">O68-O68</f>
        <v>0</v>
      </c>
      <c r="X68" s="2">
        <f t="shared" ca="1" si="6"/>
        <v>-5.8826717837241494E-5</v>
      </c>
      <c r="Y68" s="2">
        <f t="shared" ca="1" si="7"/>
        <v>3.5641289865784051E-6</v>
      </c>
      <c r="Z68" s="11">
        <f t="shared" ref="Z68:Z131" ca="1" si="26">R68</f>
        <v>2.586243673096718E-5</v>
      </c>
      <c r="AA68" s="2">
        <f t="shared" ca="1" si="8"/>
        <v>1.2711376368656073E-5</v>
      </c>
      <c r="AB68" s="11">
        <f t="shared" ref="AB68:AB131" ca="1" si="27">T68</f>
        <v>8.044059467466236E-6</v>
      </c>
      <c r="AC68" s="2">
        <f t="shared" ca="1" si="9"/>
        <v>1.9134602813661083E-5</v>
      </c>
      <c r="AF68" s="11">
        <f t="shared" ref="AF68:AF131" ca="1" si="28">W68</f>
        <v>0</v>
      </c>
      <c r="AG68" s="2">
        <f t="shared" ca="1" si="10"/>
        <v>-6.0717108647333854E-5</v>
      </c>
      <c r="AH68" s="2">
        <f t="shared" ca="1" si="11"/>
        <v>-2.5676143285976691E-5</v>
      </c>
      <c r="AI68" s="2">
        <f t="shared" ca="1" si="12"/>
        <v>2.5849819955256907E-5</v>
      </c>
      <c r="AJ68" s="2">
        <f t="shared" ca="1" si="13"/>
        <v>1.2459095961210361E-5</v>
      </c>
      <c r="AK68" s="2">
        <f t="shared" ca="1" si="14"/>
        <v>8.044059467466236E-6</v>
      </c>
      <c r="AL68" s="2">
        <f t="shared" ca="1" si="15"/>
        <v>1.6201413282295847E-5</v>
      </c>
      <c r="AN68" s="2">
        <f t="shared" ca="1" si="16"/>
        <v>1.7031765871504791</v>
      </c>
      <c r="AO68" s="2">
        <f t="shared" ref="AO68:AO130" ca="1" si="29">$B$8*((AN68/$B$10)^$B$11)</f>
        <v>7.6928097009074853E-2</v>
      </c>
      <c r="AP68" s="2">
        <f t="shared" ca="1" si="17"/>
        <v>1.9895480417309042E-6</v>
      </c>
      <c r="AQ68" s="2">
        <f t="shared" ca="1" si="18"/>
        <v>6.0545114257353318E-6</v>
      </c>
      <c r="AR68" s="2">
        <f t="shared" ca="1" si="19"/>
        <v>1.057494642075824</v>
      </c>
      <c r="AS68" s="2">
        <f t="shared" ca="1" si="20"/>
        <v>0.5021998860196939</v>
      </c>
      <c r="AT68" s="9" t="str">
        <f t="shared" ca="1" si="21"/>
        <v>rejected</v>
      </c>
      <c r="AU68" s="9" t="e">
        <f t="shared" ca="1" si="22"/>
        <v>#N/A</v>
      </c>
      <c r="AV68" s="11"/>
      <c r="AW68" s="2">
        <f t="shared" ref="AW68:AW131" ca="1" si="30">IF(AND(AL68&gt;0, AJ68&gt;0), AL68/AJ68, #N/A)</f>
        <v>1.300368287774383</v>
      </c>
      <c r="AX68" s="2">
        <f t="shared" ref="AX68:AX131" ca="1" si="31">$B$8*((AW68/$B$10)^$B$11)</f>
        <v>5.8542365662626467E-2</v>
      </c>
      <c r="AY68" s="2">
        <f t="shared" ref="AY68:AY131" ca="1" si="32">AX68*AI68</f>
        <v>1.5133096121337083E-6</v>
      </c>
      <c r="AZ68" s="2">
        <f t="shared" ref="AZ68:AZ131" ca="1" si="33">AK68-AY68</f>
        <v>6.5307498553325275E-6</v>
      </c>
      <c r="BA68" s="2">
        <f t="shared" ref="BA68:BA131" ca="1" si="34">(AZ68/AJ68)/((AW68/$B$10)^$B$12)</f>
        <v>1.339207524014659</v>
      </c>
      <c r="BB68" s="2">
        <f t="shared" ref="BB68:BB131" ca="1" si="35">(AH68/AJ68)/((AW68/$B$10)^$B$13)</f>
        <v>-0.30641215664772048</v>
      </c>
      <c r="BC68" s="9" t="str">
        <f t="shared" ca="1" si="23"/>
        <v>rejected</v>
      </c>
      <c r="BD68" s="9" t="e">
        <f t="shared" ref="BD68:BD131" ca="1" si="36">IF(AND(BA68&lt;$P$3,BA68&gt;$P$4),BA68,#N/A)</f>
        <v>#N/A</v>
      </c>
    </row>
    <row r="69" spans="1:56" ht="15" x14ac:dyDescent="0.25">
      <c r="A69" s="90">
        <v>3</v>
      </c>
      <c r="B69" s="90">
        <v>1542620820.043</v>
      </c>
      <c r="C69" s="91">
        <v>4.0879606122569298E-4</v>
      </c>
      <c r="D69" s="91">
        <v>2.42994417443708E-4</v>
      </c>
      <c r="E69" s="91">
        <v>1.5319537607639099E-3</v>
      </c>
      <c r="F69" s="91">
        <v>-3.8992588441938997E-5</v>
      </c>
      <c r="G69" s="91">
        <v>1.05199519707731E-3</v>
      </c>
      <c r="H69" s="91">
        <v>4.6082334426544999E-4</v>
      </c>
      <c r="I69" s="91">
        <v>5.5867657036780703E-3</v>
      </c>
      <c r="J69" s="91"/>
      <c r="K69" s="91"/>
      <c r="L69" s="89"/>
      <c r="M69" s="89"/>
      <c r="O69" s="11">
        <f t="shared" ca="1" si="24"/>
        <v>1.5009235061186734E-5</v>
      </c>
      <c r="P69" s="11">
        <f t="shared" ca="1" si="0"/>
        <v>7.9410359733488332E-5</v>
      </c>
      <c r="Q69" s="11">
        <f t="shared" ca="1" si="1"/>
        <v>-8.2075641613944079E-5</v>
      </c>
      <c r="R69" s="11">
        <f t="shared" ca="1" si="2"/>
        <v>-5.3846348563574623E-5</v>
      </c>
      <c r="S69" s="11">
        <f t="shared" ca="1" si="3"/>
        <v>-9.3807486777723386E-5</v>
      </c>
      <c r="T69" s="11">
        <f t="shared" ca="1" si="4"/>
        <v>-2.9715999158656781E-5</v>
      </c>
      <c r="U69" s="11">
        <f t="shared" ca="1" si="5"/>
        <v>7.9326138224477226E-5</v>
      </c>
      <c r="V69" s="11"/>
      <c r="W69" s="11">
        <f t="shared" ca="1" si="25"/>
        <v>0</v>
      </c>
      <c r="X69" s="2">
        <f t="shared" ca="1" si="6"/>
        <v>7.628506186557132E-5</v>
      </c>
      <c r="Y69" s="2">
        <f t="shared" ca="1" si="7"/>
        <v>-1.3038196595709878E-4</v>
      </c>
      <c r="Z69" s="11">
        <f t="shared" ca="1" si="26"/>
        <v>-5.3846348563574623E-5</v>
      </c>
      <c r="AA69" s="2">
        <f t="shared" ca="1" si="8"/>
        <v>-9.3902835177221201E-5</v>
      </c>
      <c r="AB69" s="11">
        <f t="shared" ca="1" si="27"/>
        <v>-2.9715999158656781E-5</v>
      </c>
      <c r="AC69" s="2">
        <f t="shared" ca="1" si="9"/>
        <v>7.4997021918547734E-5</v>
      </c>
      <c r="AF69" s="11">
        <f t="shared" ca="1" si="28"/>
        <v>0</v>
      </c>
      <c r="AG69" s="2">
        <f t="shared" ca="1" si="10"/>
        <v>7.3153304936266514E-5</v>
      </c>
      <c r="AH69" s="2">
        <f t="shared" ca="1" si="11"/>
        <v>-1.7882349710263981E-4</v>
      </c>
      <c r="AI69" s="2">
        <f t="shared" ca="1" si="12"/>
        <v>-5.3867250418654106E-5</v>
      </c>
      <c r="AJ69" s="2">
        <f t="shared" ca="1" si="13"/>
        <v>-9.432078098500226E-5</v>
      </c>
      <c r="AK69" s="2">
        <f t="shared" ca="1" si="14"/>
        <v>-3.1424770580491265E-5</v>
      </c>
      <c r="AL69" s="2">
        <f t="shared" ca="1" si="15"/>
        <v>7.0137689874202587E-5</v>
      </c>
      <c r="AN69" s="2" t="e">
        <f t="shared" ca="1" si="16"/>
        <v>#N/A</v>
      </c>
      <c r="AO69" s="2" t="e">
        <f t="shared" ca="1" si="29"/>
        <v>#N/A</v>
      </c>
      <c r="AP69" s="2" t="e">
        <f t="shared" ca="1" si="17"/>
        <v>#N/A</v>
      </c>
      <c r="AQ69" s="2" t="e">
        <f t="shared" ca="1" si="18"/>
        <v>#N/A</v>
      </c>
      <c r="AR69" s="2" t="e">
        <f t="shared" ca="1" si="19"/>
        <v>#N/A</v>
      </c>
      <c r="AS69" s="2" t="e">
        <f t="shared" ca="1" si="20"/>
        <v>#N/A</v>
      </c>
      <c r="AT69" s="9" t="e">
        <f t="shared" ca="1" si="21"/>
        <v>#N/A</v>
      </c>
      <c r="AU69" s="9" t="e">
        <f t="shared" ca="1" si="22"/>
        <v>#N/A</v>
      </c>
      <c r="AW69" s="2" t="e">
        <f t="shared" ca="1" si="30"/>
        <v>#N/A</v>
      </c>
      <c r="AX69" s="2" t="e">
        <f t="shared" ca="1" si="31"/>
        <v>#N/A</v>
      </c>
      <c r="AY69" s="2" t="e">
        <f t="shared" ca="1" si="32"/>
        <v>#N/A</v>
      </c>
      <c r="AZ69" s="2" t="e">
        <f t="shared" ca="1" si="33"/>
        <v>#N/A</v>
      </c>
      <c r="BA69" s="2" t="e">
        <f t="shared" ca="1" si="34"/>
        <v>#N/A</v>
      </c>
      <c r="BB69" s="2" t="e">
        <f t="shared" ca="1" si="35"/>
        <v>#N/A</v>
      </c>
      <c r="BC69" s="9" t="e">
        <f t="shared" ca="1" si="23"/>
        <v>#N/A</v>
      </c>
      <c r="BD69" s="9" t="e">
        <f t="shared" ca="1" si="36"/>
        <v>#N/A</v>
      </c>
    </row>
    <row r="70" spans="1:56" ht="15" x14ac:dyDescent="0.25">
      <c r="A70" s="90">
        <v>4</v>
      </c>
      <c r="B70" s="90">
        <v>1542620820.5699999</v>
      </c>
      <c r="C70" s="91">
        <v>4.58296127645956E-4</v>
      </c>
      <c r="D70" s="91">
        <v>1.5035905039359099E-4</v>
      </c>
      <c r="E70" s="91">
        <v>1.5223678457710001E-3</v>
      </c>
      <c r="F70" s="91">
        <v>-1.0440919052123799E-5</v>
      </c>
      <c r="G70" s="91">
        <v>1.1950533993622E-3</v>
      </c>
      <c r="H70" s="91">
        <v>5.4845736848530403E-4</v>
      </c>
      <c r="I70" s="91">
        <v>5.5124639138420502E-3</v>
      </c>
      <c r="J70" s="91"/>
      <c r="K70" s="91"/>
      <c r="L70" s="89"/>
      <c r="M70" s="89"/>
      <c r="O70" s="11">
        <f t="shared" ca="1" si="24"/>
        <v>6.4509301481449751E-5</v>
      </c>
      <c r="P70" s="11">
        <f t="shared" ca="1" si="0"/>
        <v>-1.3225007316628677E-5</v>
      </c>
      <c r="Q70" s="11">
        <f t="shared" ca="1" si="1"/>
        <v>-9.1661556606853966E-5</v>
      </c>
      <c r="R70" s="11">
        <f t="shared" ca="1" si="2"/>
        <v>-2.529467917375942E-5</v>
      </c>
      <c r="S70" s="11">
        <f t="shared" ca="1" si="3"/>
        <v>4.9250715507166568E-5</v>
      </c>
      <c r="T70" s="11">
        <f t="shared" ca="1" si="4"/>
        <v>5.7918025061197268E-5</v>
      </c>
      <c r="U70" s="11">
        <f t="shared" ca="1" si="5"/>
        <v>5.0243483884571463E-6</v>
      </c>
      <c r="V70" s="11"/>
      <c r="W70" s="11">
        <f t="shared" ca="1" si="25"/>
        <v>0</v>
      </c>
      <c r="X70" s="2">
        <f t="shared" ca="1" si="6"/>
        <v>-2.6657456176207681E-5</v>
      </c>
      <c r="Y70" s="2">
        <f t="shared" ca="1" si="7"/>
        <v>-2.9928088083022134E-4</v>
      </c>
      <c r="Z70" s="11">
        <f t="shared" ca="1" si="26"/>
        <v>-2.529467917375942E-5</v>
      </c>
      <c r="AA70" s="2">
        <f t="shared" ca="1" si="8"/>
        <v>4.8840910568813384E-5</v>
      </c>
      <c r="AB70" s="11">
        <f t="shared" ca="1" si="27"/>
        <v>5.7918025061197268E-5</v>
      </c>
      <c r="AC70" s="2">
        <f t="shared" ca="1" si="9"/>
        <v>-1.3582080772589317E-5</v>
      </c>
      <c r="AF70" s="11">
        <f t="shared" ca="1" si="28"/>
        <v>0</v>
      </c>
      <c r="AG70" s="2">
        <f t="shared" ca="1" si="10"/>
        <v>-4.0117665913449907E-5</v>
      </c>
      <c r="AH70" s="2">
        <f t="shared" ca="1" si="11"/>
        <v>-5.0748132036972072E-4</v>
      </c>
      <c r="AI70" s="2">
        <f t="shared" ca="1" si="12"/>
        <v>-2.5384514802647051E-5</v>
      </c>
      <c r="AJ70" s="2">
        <f t="shared" ca="1" si="13"/>
        <v>4.7044590369473067E-5</v>
      </c>
      <c r="AK70" s="2">
        <f t="shared" ca="1" si="14"/>
        <v>5.7918025061197268E-5</v>
      </c>
      <c r="AL70" s="2">
        <f t="shared" ca="1" si="15"/>
        <v>-3.4467363371551118E-5</v>
      </c>
      <c r="AN70" s="2">
        <f t="shared" ca="1" si="16"/>
        <v>0.10201574407027739</v>
      </c>
      <c r="AO70" s="2">
        <f t="shared" ca="1" si="29"/>
        <v>4.4531153937916379E-3</v>
      </c>
      <c r="AP70" s="2">
        <f t="shared" ca="1" si="17"/>
        <v>-1.1264012520968881E-7</v>
      </c>
      <c r="AQ70" s="2">
        <f t="shared" ca="1" si="18"/>
        <v>5.8030665186406958E-5</v>
      </c>
      <c r="AR70" s="2">
        <f t="shared" ca="1" si="19"/>
        <v>10.846458876021435</v>
      </c>
      <c r="AS70" s="2">
        <f t="shared" ca="1" si="20"/>
        <v>-2.0461487348070979E-2</v>
      </c>
      <c r="AT70" s="9" t="str">
        <f t="shared" ca="1" si="21"/>
        <v>rejected</v>
      </c>
      <c r="AU70" s="9" t="e">
        <f t="shared" ca="1" si="22"/>
        <v>#N/A</v>
      </c>
      <c r="AW70" s="2" t="e">
        <f t="shared" ca="1" si="30"/>
        <v>#N/A</v>
      </c>
      <c r="AX70" s="2" t="e">
        <f t="shared" ca="1" si="31"/>
        <v>#N/A</v>
      </c>
      <c r="AY70" s="2" t="e">
        <f t="shared" ca="1" si="32"/>
        <v>#N/A</v>
      </c>
      <c r="AZ70" s="2" t="e">
        <f t="shared" ca="1" si="33"/>
        <v>#N/A</v>
      </c>
      <c r="BA70" s="2" t="e">
        <f t="shared" ca="1" si="34"/>
        <v>#N/A</v>
      </c>
      <c r="BB70" s="2" t="e">
        <f t="shared" ca="1" si="35"/>
        <v>#N/A</v>
      </c>
      <c r="BC70" s="9" t="e">
        <f t="shared" ca="1" si="23"/>
        <v>#N/A</v>
      </c>
      <c r="BD70" s="9" t="e">
        <f t="shared" ca="1" si="36"/>
        <v>#N/A</v>
      </c>
    </row>
    <row r="71" spans="1:56" ht="15" x14ac:dyDescent="0.25">
      <c r="A71" s="90">
        <v>5</v>
      </c>
      <c r="B71" s="90">
        <v>1542620821.0969999</v>
      </c>
      <c r="C71" s="91">
        <v>3.8880634518331699E-4</v>
      </c>
      <c r="D71" s="91">
        <v>1.15386721518856E-4</v>
      </c>
      <c r="E71" s="91">
        <v>1.6211071456795399E-3</v>
      </c>
      <c r="F71" s="91">
        <v>1.5494221498782201E-5</v>
      </c>
      <c r="G71" s="91">
        <v>1.1962456370064099E-3</v>
      </c>
      <c r="H71" s="91">
        <v>4.73409871702191E-4</v>
      </c>
      <c r="I71" s="91">
        <v>5.5344432908555497E-3</v>
      </c>
      <c r="J71" s="91"/>
      <c r="K71" s="91"/>
      <c r="L71" s="89"/>
      <c r="M71" s="89"/>
      <c r="O71" s="11">
        <f t="shared" ca="1" si="24"/>
        <v>-4.9804809811892538E-6</v>
      </c>
      <c r="P71" s="11">
        <f t="shared" ca="1" si="0"/>
        <v>-4.8197336191363674E-5</v>
      </c>
      <c r="Q71" s="11">
        <f t="shared" ca="1" si="1"/>
        <v>7.0777433016859081E-6</v>
      </c>
      <c r="R71" s="11">
        <f t="shared" ca="1" si="2"/>
        <v>6.4046137714657823E-7</v>
      </c>
      <c r="S71" s="11">
        <f t="shared" ca="1" si="3"/>
        <v>5.0442953151376554E-5</v>
      </c>
      <c r="T71" s="11">
        <f t="shared" ca="1" si="4"/>
        <v>-1.7129471721915766E-5</v>
      </c>
      <c r="U71" s="11">
        <f t="shared" ca="1" si="5"/>
        <v>2.7003725401956655E-5</v>
      </c>
      <c r="V71" s="11"/>
      <c r="W71" s="11">
        <f t="shared" ca="1" si="25"/>
        <v>0</v>
      </c>
      <c r="X71" s="2">
        <f t="shared" ca="1" si="6"/>
        <v>-4.8197336191363674E-5</v>
      </c>
      <c r="Y71" s="2">
        <f t="shared" ca="1" si="7"/>
        <v>7.0777433016859081E-6</v>
      </c>
      <c r="Z71" s="11">
        <f t="shared" ca="1" si="26"/>
        <v>6.4046137714657823E-7</v>
      </c>
      <c r="AA71" s="2">
        <f t="shared" ca="1" si="8"/>
        <v>5.0442953151376554E-5</v>
      </c>
      <c r="AB71" s="11">
        <f t="shared" ca="1" si="27"/>
        <v>-1.7129471721915766E-5</v>
      </c>
      <c r="AC71" s="2">
        <f t="shared" ca="1" si="9"/>
        <v>2.7003725401956655E-5</v>
      </c>
      <c r="AF71" s="11">
        <f t="shared" ca="1" si="28"/>
        <v>0</v>
      </c>
      <c r="AG71" s="2">
        <f t="shared" ca="1" si="10"/>
        <v>-4.8197336191363674E-5</v>
      </c>
      <c r="AH71" s="2">
        <f t="shared" ca="1" si="11"/>
        <v>7.0777433016859081E-6</v>
      </c>
      <c r="AI71" s="2">
        <f t="shared" ca="1" si="12"/>
        <v>6.4046137714657823E-7</v>
      </c>
      <c r="AJ71" s="2">
        <f t="shared" ca="1" si="13"/>
        <v>5.0442953151376554E-5</v>
      </c>
      <c r="AK71" s="2">
        <f t="shared" ca="1" si="14"/>
        <v>-1.7129471721915766E-5</v>
      </c>
      <c r="AL71" s="2">
        <f t="shared" ca="1" si="15"/>
        <v>2.7003725401956655E-5</v>
      </c>
      <c r="AN71" s="2">
        <f t="shared" ca="1" si="16"/>
        <v>0.53533196839050934</v>
      </c>
      <c r="AO71" s="2">
        <f t="shared" ca="1" si="29"/>
        <v>2.3842517988061609E-2</v>
      </c>
      <c r="AP71" s="2">
        <f t="shared" ca="1" si="17"/>
        <v>1.5270211905276003E-8</v>
      </c>
      <c r="AQ71" s="2">
        <f t="shared" ca="1" si="18"/>
        <v>-1.7144741933821042E-5</v>
      </c>
      <c r="AR71" s="2">
        <f t="shared" ca="1" si="19"/>
        <v>-1.3577143747127027</v>
      </c>
      <c r="AS71" s="2">
        <f t="shared" ca="1" si="20"/>
        <v>8.4130236468147827E-3</v>
      </c>
      <c r="AT71" s="9" t="str">
        <f t="shared" ca="1" si="21"/>
        <v>rejected</v>
      </c>
      <c r="AU71" s="9" t="e">
        <f t="shared" ca="1" si="22"/>
        <v>#N/A</v>
      </c>
      <c r="AW71" s="2">
        <f t="shared" ca="1" si="30"/>
        <v>0.53533196839050934</v>
      </c>
      <c r="AX71" s="2">
        <f t="shared" ca="1" si="31"/>
        <v>2.3842517988061609E-2</v>
      </c>
      <c r="AY71" s="2">
        <f t="shared" ca="1" si="32"/>
        <v>1.5270211905276003E-8</v>
      </c>
      <c r="AZ71" s="2">
        <f t="shared" ca="1" si="33"/>
        <v>-1.7144741933821042E-5</v>
      </c>
      <c r="BA71" s="2">
        <f t="shared" ca="1" si="34"/>
        <v>-1.3577143747127027</v>
      </c>
      <c r="BB71" s="2">
        <f t="shared" ca="1" si="35"/>
        <v>8.4130236468147827E-3</v>
      </c>
      <c r="BC71" s="9" t="str">
        <f t="shared" ca="1" si="23"/>
        <v>rejected</v>
      </c>
      <c r="BD71" s="9" t="e">
        <f t="shared" ca="1" si="36"/>
        <v>#N/A</v>
      </c>
    </row>
    <row r="72" spans="1:56" ht="15" x14ac:dyDescent="0.25">
      <c r="A72" s="90">
        <v>6</v>
      </c>
      <c r="B72" s="90">
        <v>1542620821.6240001</v>
      </c>
      <c r="C72" s="91">
        <v>3.8499882558300002E-4</v>
      </c>
      <c r="D72" s="91">
        <v>2.1558101007930299E-4</v>
      </c>
      <c r="E72" s="91">
        <v>1.53291235728754E-3</v>
      </c>
      <c r="F72" s="91">
        <v>-7.5857072150752103E-6</v>
      </c>
      <c r="G72" s="91">
        <v>1.15213379047191E-3</v>
      </c>
      <c r="H72" s="91">
        <v>4.35175817484102E-4</v>
      </c>
      <c r="I72" s="91">
        <v>5.4692232854930004E-3</v>
      </c>
      <c r="J72" s="91"/>
      <c r="K72" s="91"/>
      <c r="L72" s="89"/>
      <c r="M72" s="89"/>
      <c r="O72" s="11">
        <f t="shared" ca="1" si="24"/>
        <v>-8.7880005815062223E-6</v>
      </c>
      <c r="P72" s="11">
        <f t="shared" ca="1" si="0"/>
        <v>5.1996952369083317E-5</v>
      </c>
      <c r="Q72" s="11">
        <f t="shared" ca="1" si="1"/>
        <v>-8.1117045090313986E-5</v>
      </c>
      <c r="R72" s="11">
        <f t="shared" ca="1" si="2"/>
        <v>-2.2439467336710834E-5</v>
      </c>
      <c r="S72" s="11">
        <f t="shared" ca="1" si="3"/>
        <v>6.3311066168766136E-6</v>
      </c>
      <c r="T72" s="11">
        <f t="shared" ca="1" si="4"/>
        <v>-5.5363525940004769E-5</v>
      </c>
      <c r="U72" s="11">
        <f t="shared" ca="1" si="5"/>
        <v>-3.8216279960592674E-5</v>
      </c>
      <c r="V72" s="11"/>
      <c r="W72" s="11">
        <f t="shared" ca="1" si="25"/>
        <v>0</v>
      </c>
      <c r="X72" s="2">
        <f t="shared" ca="1" si="6"/>
        <v>5.1996952369083317E-5</v>
      </c>
      <c r="Y72" s="2">
        <f t="shared" ca="1" si="7"/>
        <v>-8.1117045090313986E-5</v>
      </c>
      <c r="Z72" s="11">
        <f t="shared" ca="1" si="26"/>
        <v>-2.2439467336710834E-5</v>
      </c>
      <c r="AA72" s="2">
        <f t="shared" ca="1" si="8"/>
        <v>6.3311066168766136E-6</v>
      </c>
      <c r="AB72" s="11">
        <f t="shared" ca="1" si="27"/>
        <v>-5.5363525940004769E-5</v>
      </c>
      <c r="AC72" s="2">
        <f t="shared" ca="1" si="9"/>
        <v>-3.8216279960592674E-5</v>
      </c>
      <c r="AF72" s="11">
        <f t="shared" ca="1" si="28"/>
        <v>0</v>
      </c>
      <c r="AG72" s="2">
        <f t="shared" ca="1" si="10"/>
        <v>5.1996952369083317E-5</v>
      </c>
      <c r="AH72" s="2">
        <f t="shared" ca="1" si="11"/>
        <v>-8.1117045090313986E-5</v>
      </c>
      <c r="AI72" s="2">
        <f t="shared" ca="1" si="12"/>
        <v>-2.2439467336710834E-5</v>
      </c>
      <c r="AJ72" s="2">
        <f t="shared" ca="1" si="13"/>
        <v>6.3311066168766136E-6</v>
      </c>
      <c r="AK72" s="2">
        <f t="shared" ca="1" si="14"/>
        <v>-5.6482408999204776E-5</v>
      </c>
      <c r="AL72" s="2">
        <f t="shared" ca="1" si="15"/>
        <v>-3.8216279960592674E-5</v>
      </c>
      <c r="AN72" s="2" t="e">
        <f t="shared" ca="1" si="16"/>
        <v>#N/A</v>
      </c>
      <c r="AO72" s="2" t="e">
        <f t="shared" ca="1" si="29"/>
        <v>#N/A</v>
      </c>
      <c r="AP72" s="2" t="e">
        <f t="shared" ca="1" si="17"/>
        <v>#N/A</v>
      </c>
      <c r="AQ72" s="2" t="e">
        <f t="shared" ca="1" si="18"/>
        <v>#N/A</v>
      </c>
      <c r="AR72" s="2" t="e">
        <f t="shared" ca="1" si="19"/>
        <v>#N/A</v>
      </c>
      <c r="AS72" s="2" t="e">
        <f t="shared" ca="1" si="20"/>
        <v>#N/A</v>
      </c>
      <c r="AT72" s="9" t="e">
        <f t="shared" ca="1" si="21"/>
        <v>#N/A</v>
      </c>
      <c r="AU72" s="9" t="e">
        <f t="shared" ca="1" si="22"/>
        <v>#N/A</v>
      </c>
      <c r="AW72" s="2" t="e">
        <f t="shared" ca="1" si="30"/>
        <v>#N/A</v>
      </c>
      <c r="AX72" s="2" t="e">
        <f t="shared" ca="1" si="31"/>
        <v>#N/A</v>
      </c>
      <c r="AY72" s="2" t="e">
        <f t="shared" ca="1" si="32"/>
        <v>#N/A</v>
      </c>
      <c r="AZ72" s="2" t="e">
        <f t="shared" ca="1" si="33"/>
        <v>#N/A</v>
      </c>
      <c r="BA72" s="2" t="e">
        <f t="shared" ca="1" si="34"/>
        <v>#N/A</v>
      </c>
      <c r="BB72" s="2" t="e">
        <f t="shared" ca="1" si="35"/>
        <v>#N/A</v>
      </c>
      <c r="BC72" s="9" t="e">
        <f t="shared" ca="1" si="23"/>
        <v>#N/A</v>
      </c>
      <c r="BD72" s="9" t="e">
        <f t="shared" ca="1" si="36"/>
        <v>#N/A</v>
      </c>
    </row>
    <row r="73" spans="1:56" ht="15" x14ac:dyDescent="0.25">
      <c r="A73" s="90">
        <v>7</v>
      </c>
      <c r="B73" s="90">
        <v>1542620822.151</v>
      </c>
      <c r="C73" s="91">
        <v>3.29553466126206E-4</v>
      </c>
      <c r="D73" s="91">
        <v>1.3027344059275001E-4</v>
      </c>
      <c r="E73" s="91">
        <v>1.44256864914384E-3</v>
      </c>
      <c r="F73" s="91">
        <v>-9.7283045495869601E-5</v>
      </c>
      <c r="G73" s="91">
        <v>1.1290056536483E-3</v>
      </c>
      <c r="H73" s="91">
        <v>4.5963594421213801E-4</v>
      </c>
      <c r="I73" s="91">
        <v>5.4919184103064903E-3</v>
      </c>
      <c r="J73" s="91"/>
      <c r="K73" s="91"/>
      <c r="L73" s="89"/>
      <c r="M73" s="89"/>
      <c r="O73" s="11">
        <f t="shared" ca="1" si="24"/>
        <v>-6.4233360038300246E-5</v>
      </c>
      <c r="P73" s="11">
        <f t="shared" ca="1" si="0"/>
        <v>-3.3310617117469666E-5</v>
      </c>
      <c r="Q73" s="11">
        <f t="shared" ca="1" si="1"/>
        <v>-1.7146075323401402E-4</v>
      </c>
      <c r="R73" s="11">
        <f t="shared" ca="1" si="2"/>
        <v>-1.1213680561750523E-4</v>
      </c>
      <c r="S73" s="11">
        <f t="shared" ca="1" si="3"/>
        <v>-1.6797030206733418E-5</v>
      </c>
      <c r="T73" s="11">
        <f t="shared" ca="1" si="4"/>
        <v>-3.0903399211968752E-5</v>
      </c>
      <c r="U73" s="11">
        <f t="shared" ca="1" si="5"/>
        <v>-1.5521155147102741E-5</v>
      </c>
      <c r="V73" s="11"/>
      <c r="W73" s="11">
        <f t="shared" ca="1" si="25"/>
        <v>0</v>
      </c>
      <c r="X73" s="2">
        <f t="shared" ca="1" si="6"/>
        <v>-3.3310617117469666E-5</v>
      </c>
      <c r="Y73" s="2">
        <f t="shared" ca="1" si="7"/>
        <v>-1.7146075323401402E-4</v>
      </c>
      <c r="Z73" s="11">
        <f t="shared" ca="1" si="26"/>
        <v>-1.1213680561750523E-4</v>
      </c>
      <c r="AA73" s="2">
        <f t="shared" ca="1" si="8"/>
        <v>-1.6797030206733418E-5</v>
      </c>
      <c r="AB73" s="11">
        <f t="shared" ca="1" si="27"/>
        <v>-3.0903399211968752E-5</v>
      </c>
      <c r="AC73" s="2">
        <f t="shared" ca="1" si="9"/>
        <v>-1.5521155147102741E-5</v>
      </c>
      <c r="AF73" s="11">
        <f t="shared" ca="1" si="28"/>
        <v>0</v>
      </c>
      <c r="AG73" s="2">
        <f t="shared" ca="1" si="10"/>
        <v>-3.3310617117469666E-5</v>
      </c>
      <c r="AH73" s="2">
        <f t="shared" ca="1" si="11"/>
        <v>-1.7146075323401402E-4</v>
      </c>
      <c r="AI73" s="2">
        <f t="shared" ca="1" si="12"/>
        <v>-1.1213680561750523E-4</v>
      </c>
      <c r="AJ73" s="2">
        <f t="shared" ca="1" si="13"/>
        <v>-1.6797030206733418E-5</v>
      </c>
      <c r="AK73" s="2">
        <f t="shared" ca="1" si="14"/>
        <v>-3.0903399211968752E-5</v>
      </c>
      <c r="AL73" s="2">
        <f t="shared" ca="1" si="15"/>
        <v>-1.5521155147102741E-5</v>
      </c>
      <c r="AN73" s="2" t="e">
        <f t="shared" ca="1" si="16"/>
        <v>#N/A</v>
      </c>
      <c r="AO73" s="2" t="e">
        <f t="shared" ca="1" si="29"/>
        <v>#N/A</v>
      </c>
      <c r="AP73" s="2" t="e">
        <f t="shared" ca="1" si="17"/>
        <v>#N/A</v>
      </c>
      <c r="AQ73" s="2" t="e">
        <f t="shared" ca="1" si="18"/>
        <v>#N/A</v>
      </c>
      <c r="AR73" s="2" t="e">
        <f t="shared" ca="1" si="19"/>
        <v>#N/A</v>
      </c>
      <c r="AS73" s="2" t="e">
        <f t="shared" ca="1" si="20"/>
        <v>#N/A</v>
      </c>
      <c r="AT73" s="9" t="e">
        <f t="shared" ca="1" si="21"/>
        <v>#N/A</v>
      </c>
      <c r="AU73" s="9" t="e">
        <f t="shared" ca="1" si="22"/>
        <v>#N/A</v>
      </c>
      <c r="AW73" s="2" t="e">
        <f t="shared" ca="1" si="30"/>
        <v>#N/A</v>
      </c>
      <c r="AX73" s="2" t="e">
        <f t="shared" ca="1" si="31"/>
        <v>#N/A</v>
      </c>
      <c r="AY73" s="2" t="e">
        <f t="shared" ca="1" si="32"/>
        <v>#N/A</v>
      </c>
      <c r="AZ73" s="2" t="e">
        <f t="shared" ca="1" si="33"/>
        <v>#N/A</v>
      </c>
      <c r="BA73" s="2" t="e">
        <f t="shared" ca="1" si="34"/>
        <v>#N/A</v>
      </c>
      <c r="BB73" s="2" t="e">
        <f t="shared" ca="1" si="35"/>
        <v>#N/A</v>
      </c>
      <c r="BC73" s="9" t="e">
        <f t="shared" ca="1" si="23"/>
        <v>#N/A</v>
      </c>
      <c r="BD73" s="9" t="e">
        <f t="shared" ca="1" si="36"/>
        <v>#N/A</v>
      </c>
    </row>
    <row r="74" spans="1:56" ht="15" x14ac:dyDescent="0.25">
      <c r="A74" s="90">
        <v>8</v>
      </c>
      <c r="B74" s="90">
        <v>1542620822.678</v>
      </c>
      <c r="C74" s="91">
        <v>4.0927201172194201E-4</v>
      </c>
      <c r="D74" s="91">
        <v>1.2436598566324401E-4</v>
      </c>
      <c r="E74" s="91">
        <v>1.5170956314635401E-3</v>
      </c>
      <c r="F74" s="91">
        <v>4.9044347475362801E-5</v>
      </c>
      <c r="G74" s="91">
        <v>1.1173225713202401E-3</v>
      </c>
      <c r="H74" s="91">
        <v>5.1663274070319197E-4</v>
      </c>
      <c r="I74" s="91">
        <v>5.51485295321369E-3</v>
      </c>
      <c r="J74" s="91"/>
      <c r="K74" s="91"/>
      <c r="L74" s="89"/>
      <c r="M74" s="89"/>
      <c r="O74" s="11">
        <f t="shared" ca="1" si="24"/>
        <v>1.5485185557435768E-5</v>
      </c>
      <c r="P74" s="11">
        <f t="shared" ca="1" si="0"/>
        <v>-3.9218072046975661E-5</v>
      </c>
      <c r="Q74" s="11">
        <f t="shared" ca="1" si="1"/>
        <v>-9.6933770914313941E-5</v>
      </c>
      <c r="R74" s="11">
        <f t="shared" ca="1" si="2"/>
        <v>3.4190587353727175E-5</v>
      </c>
      <c r="S74" s="11">
        <f t="shared" ca="1" si="3"/>
        <v>-2.8480112534793331E-5</v>
      </c>
      <c r="T74" s="11">
        <f t="shared" ca="1" si="4"/>
        <v>2.6093397279085208E-5</v>
      </c>
      <c r="U74" s="11">
        <f t="shared" ca="1" si="5"/>
        <v>7.4133877600969858E-6</v>
      </c>
      <c r="V74" s="11"/>
      <c r="W74" s="11">
        <f t="shared" ca="1" si="25"/>
        <v>0</v>
      </c>
      <c r="X74" s="2">
        <f t="shared" ca="1" si="6"/>
        <v>-4.2442474703717508E-5</v>
      </c>
      <c r="Y74" s="2">
        <f t="shared" ca="1" si="7"/>
        <v>-1.4677191343137055E-4</v>
      </c>
      <c r="Z74" s="11">
        <f t="shared" ca="1" si="26"/>
        <v>3.4190587353727175E-5</v>
      </c>
      <c r="AA74" s="2">
        <f t="shared" ca="1" si="8"/>
        <v>-2.8578484480652604E-5</v>
      </c>
      <c r="AB74" s="11">
        <f t="shared" ca="1" si="27"/>
        <v>2.6093397279085208E-5</v>
      </c>
      <c r="AC74" s="2">
        <f t="shared" ca="1" si="9"/>
        <v>2.9469929689064284E-6</v>
      </c>
      <c r="AF74" s="11">
        <f t="shared" ca="1" si="28"/>
        <v>0</v>
      </c>
      <c r="AG74" s="2">
        <f t="shared" ca="1" si="10"/>
        <v>-4.5673541241976904E-5</v>
      </c>
      <c r="AH74" s="2">
        <f t="shared" ca="1" si="11"/>
        <v>-1.967495502274523E-4</v>
      </c>
      <c r="AI74" s="2">
        <f t="shared" ca="1" si="12"/>
        <v>3.4169022690166312E-5</v>
      </c>
      <c r="AJ74" s="2">
        <f t="shared" ca="1" si="13"/>
        <v>-2.9009683563088084E-5</v>
      </c>
      <c r="AK74" s="2">
        <f t="shared" ca="1" si="14"/>
        <v>2.6093397279085208E-5</v>
      </c>
      <c r="AL74" s="2">
        <f t="shared" ca="1" si="15"/>
        <v>-2.0664309720954449E-6</v>
      </c>
      <c r="AN74" s="2" t="e">
        <f t="shared" ca="1" si="16"/>
        <v>#N/A</v>
      </c>
      <c r="AO74" s="2" t="e">
        <f t="shared" ca="1" si="29"/>
        <v>#N/A</v>
      </c>
      <c r="AP74" s="2" t="e">
        <f t="shared" ca="1" si="17"/>
        <v>#N/A</v>
      </c>
      <c r="AQ74" s="2" t="e">
        <f t="shared" ca="1" si="18"/>
        <v>#N/A</v>
      </c>
      <c r="AR74" s="2" t="e">
        <f t="shared" ca="1" si="19"/>
        <v>#N/A</v>
      </c>
      <c r="AS74" s="2" t="e">
        <f t="shared" ca="1" si="20"/>
        <v>#N/A</v>
      </c>
      <c r="AT74" s="9" t="e">
        <f t="shared" ca="1" si="21"/>
        <v>#N/A</v>
      </c>
      <c r="AU74" s="9" t="e">
        <f t="shared" ca="1" si="22"/>
        <v>#N/A</v>
      </c>
      <c r="AW74" s="2" t="e">
        <f t="shared" ca="1" si="30"/>
        <v>#N/A</v>
      </c>
      <c r="AX74" s="2" t="e">
        <f t="shared" ca="1" si="31"/>
        <v>#N/A</v>
      </c>
      <c r="AY74" s="2" t="e">
        <f t="shared" ca="1" si="32"/>
        <v>#N/A</v>
      </c>
      <c r="AZ74" s="2" t="e">
        <f t="shared" ca="1" si="33"/>
        <v>#N/A</v>
      </c>
      <c r="BA74" s="2" t="e">
        <f t="shared" ca="1" si="34"/>
        <v>#N/A</v>
      </c>
      <c r="BB74" s="2" t="e">
        <f t="shared" ca="1" si="35"/>
        <v>#N/A</v>
      </c>
      <c r="BC74" s="9" t="e">
        <f t="shared" ca="1" si="23"/>
        <v>#N/A</v>
      </c>
      <c r="BD74" s="9" t="e">
        <f t="shared" ca="1" si="36"/>
        <v>#N/A</v>
      </c>
    </row>
    <row r="75" spans="1:56" ht="15" x14ac:dyDescent="0.25">
      <c r="A75" s="90">
        <v>9</v>
      </c>
      <c r="B75" s="90">
        <v>1542620823.2049999</v>
      </c>
      <c r="C75" s="91">
        <v>3.1004123922923201E-4</v>
      </c>
      <c r="D75" s="91">
        <v>9.7664728071141603E-5</v>
      </c>
      <c r="E75" s="91">
        <v>1.5609517097568801E-3</v>
      </c>
      <c r="F75" s="91">
        <v>-1.12747289540347E-4</v>
      </c>
      <c r="G75" s="91">
        <v>1.01623384302233E-3</v>
      </c>
      <c r="H75" s="91">
        <v>5.1259536047682799E-4</v>
      </c>
      <c r="I75" s="91">
        <v>5.3961245873360899E-3</v>
      </c>
      <c r="J75" s="91"/>
      <c r="K75" s="91"/>
      <c r="L75" s="89"/>
      <c r="M75" s="89"/>
      <c r="O75" s="11">
        <f t="shared" ca="1" si="24"/>
        <v>-8.3745586935274233E-5</v>
      </c>
      <c r="P75" s="11">
        <f t="shared" ca="1" si="0"/>
        <v>-6.5919329639078068E-5</v>
      </c>
      <c r="Q75" s="11">
        <f t="shared" ca="1" si="1"/>
        <v>-5.3077692620973928E-5</v>
      </c>
      <c r="R75" s="11">
        <f t="shared" ca="1" si="2"/>
        <v>-1.2760104966198262E-4</v>
      </c>
      <c r="S75" s="11">
        <f t="shared" ca="1" si="3"/>
        <v>-1.2956884083270342E-4</v>
      </c>
      <c r="T75" s="11">
        <f t="shared" ca="1" si="4"/>
        <v>2.2056017052721221E-5</v>
      </c>
      <c r="U75" s="11">
        <f t="shared" ca="1" si="5"/>
        <v>-1.1131497811750317E-4</v>
      </c>
      <c r="V75" s="11"/>
      <c r="W75" s="11">
        <f t="shared" ca="1" si="25"/>
        <v>0</v>
      </c>
      <c r="X75" s="2">
        <f t="shared" ca="1" si="6"/>
        <v>-6.5919329639078068E-5</v>
      </c>
      <c r="Y75" s="2">
        <f t="shared" ca="1" si="7"/>
        <v>-5.3077692620973928E-5</v>
      </c>
      <c r="Z75" s="11">
        <f t="shared" ca="1" si="26"/>
        <v>-1.2760104966198262E-4</v>
      </c>
      <c r="AA75" s="2">
        <f t="shared" ca="1" si="8"/>
        <v>-1.2956884083270342E-4</v>
      </c>
      <c r="AB75" s="11">
        <f t="shared" ca="1" si="27"/>
        <v>2.2056017052721221E-5</v>
      </c>
      <c r="AC75" s="2">
        <f t="shared" ca="1" si="9"/>
        <v>-1.1131497811750317E-4</v>
      </c>
      <c r="AF75" s="11">
        <f t="shared" ca="1" si="28"/>
        <v>0</v>
      </c>
      <c r="AG75" s="2">
        <f t="shared" ca="1" si="10"/>
        <v>-6.5919329639078068E-5</v>
      </c>
      <c r="AH75" s="2">
        <f t="shared" ca="1" si="11"/>
        <v>-5.3077692620973928E-5</v>
      </c>
      <c r="AI75" s="2">
        <f t="shared" ca="1" si="12"/>
        <v>-1.2760104966198262E-4</v>
      </c>
      <c r="AJ75" s="2">
        <f t="shared" ca="1" si="13"/>
        <v>-1.2956884083270342E-4</v>
      </c>
      <c r="AK75" s="2">
        <f t="shared" ca="1" si="14"/>
        <v>2.2056017052721221E-5</v>
      </c>
      <c r="AL75" s="2">
        <f t="shared" ca="1" si="15"/>
        <v>-1.1131497811750317E-4</v>
      </c>
      <c r="AN75" s="2" t="e">
        <f t="shared" ca="1" si="16"/>
        <v>#N/A</v>
      </c>
      <c r="AO75" s="2" t="e">
        <f t="shared" ca="1" si="29"/>
        <v>#N/A</v>
      </c>
      <c r="AP75" s="2" t="e">
        <f t="shared" ca="1" si="17"/>
        <v>#N/A</v>
      </c>
      <c r="AQ75" s="2" t="e">
        <f t="shared" ca="1" si="18"/>
        <v>#N/A</v>
      </c>
      <c r="AR75" s="2" t="e">
        <f t="shared" ca="1" si="19"/>
        <v>#N/A</v>
      </c>
      <c r="AS75" s="2" t="e">
        <f t="shared" ca="1" si="20"/>
        <v>#N/A</v>
      </c>
      <c r="AT75" s="9" t="e">
        <f t="shared" ca="1" si="21"/>
        <v>#N/A</v>
      </c>
      <c r="AU75" s="9" t="e">
        <f t="shared" ca="1" si="22"/>
        <v>#N/A</v>
      </c>
      <c r="AW75" s="2" t="e">
        <f t="shared" ca="1" si="30"/>
        <v>#N/A</v>
      </c>
      <c r="AX75" s="2" t="e">
        <f t="shared" ca="1" si="31"/>
        <v>#N/A</v>
      </c>
      <c r="AY75" s="2" t="e">
        <f t="shared" ca="1" si="32"/>
        <v>#N/A</v>
      </c>
      <c r="AZ75" s="2" t="e">
        <f t="shared" ca="1" si="33"/>
        <v>#N/A</v>
      </c>
      <c r="BA75" s="2" t="e">
        <f t="shared" ca="1" si="34"/>
        <v>#N/A</v>
      </c>
      <c r="BB75" s="2" t="e">
        <f t="shared" ca="1" si="35"/>
        <v>#N/A</v>
      </c>
      <c r="BC75" s="9" t="e">
        <f t="shared" ca="1" si="23"/>
        <v>#N/A</v>
      </c>
      <c r="BD75" s="9" t="e">
        <f t="shared" ca="1" si="36"/>
        <v>#N/A</v>
      </c>
    </row>
    <row r="76" spans="1:56" ht="15" x14ac:dyDescent="0.25">
      <c r="A76" s="90">
        <v>10</v>
      </c>
      <c r="B76" s="90">
        <v>1542620823.7320001</v>
      </c>
      <c r="C76" s="91">
        <v>4.6305587870299001E-4</v>
      </c>
      <c r="D76" s="91">
        <v>2.23143253721041E-4</v>
      </c>
      <c r="E76" s="91">
        <v>1.7035570930480401E-3</v>
      </c>
      <c r="F76" s="91">
        <v>7.8074444051669497E-5</v>
      </c>
      <c r="G76" s="91">
        <v>1.26086704295053E-3</v>
      </c>
      <c r="H76" s="91">
        <v>4.5417392216765202E-4</v>
      </c>
      <c r="I76" s="91">
        <v>5.5686078445677904E-3</v>
      </c>
      <c r="J76" s="91"/>
      <c r="K76" s="91"/>
      <c r="L76" s="89"/>
      <c r="M76" s="89"/>
      <c r="O76" s="11">
        <f t="shared" ca="1" si="24"/>
        <v>6.9269052538483767E-5</v>
      </c>
      <c r="P76" s="11">
        <f t="shared" ca="1" si="0"/>
        <v>5.9559196010821333E-5</v>
      </c>
      <c r="Q76" s="11">
        <f t="shared" ca="1" si="1"/>
        <v>8.9527690670186027E-5</v>
      </c>
      <c r="R76" s="11">
        <f t="shared" ca="1" si="2"/>
        <v>6.3220683930033871E-5</v>
      </c>
      <c r="S76" s="11">
        <f t="shared" ca="1" si="3"/>
        <v>1.1506435909549662E-4</v>
      </c>
      <c r="T76" s="11">
        <f t="shared" ca="1" si="4"/>
        <v>-3.6365421256454749E-5</v>
      </c>
      <c r="U76" s="11">
        <f t="shared" ca="1" si="5"/>
        <v>6.1168279114197366E-5</v>
      </c>
      <c r="V76" s="11"/>
      <c r="W76" s="11">
        <f t="shared" ca="1" si="25"/>
        <v>0</v>
      </c>
      <c r="X76" s="2">
        <f t="shared" ca="1" si="6"/>
        <v>4.5135648019959356E-5</v>
      </c>
      <c r="Y76" s="2">
        <f t="shared" ca="1" si="7"/>
        <v>-1.3341060733275376E-4</v>
      </c>
      <c r="Z76" s="11">
        <f t="shared" ca="1" si="26"/>
        <v>6.3220683930033871E-5</v>
      </c>
      <c r="AA76" s="2">
        <f t="shared" ca="1" si="8"/>
        <v>1.1462431713017663E-4</v>
      </c>
      <c r="AB76" s="11">
        <f t="shared" ca="1" si="27"/>
        <v>-3.6365421256454749E-5</v>
      </c>
      <c r="AC76" s="2">
        <f t="shared" ca="1" si="9"/>
        <v>4.1188994119447812E-5</v>
      </c>
      <c r="AF76" s="11">
        <f t="shared" ca="1" si="28"/>
        <v>0</v>
      </c>
      <c r="AG76" s="2">
        <f t="shared" ca="1" si="10"/>
        <v>3.0682290844232448E-5</v>
      </c>
      <c r="AH76" s="2">
        <f t="shared" ca="1" si="11"/>
        <v>-3.5697289763509304E-4</v>
      </c>
      <c r="AI76" s="2">
        <f t="shared" ca="1" si="12"/>
        <v>6.312421987362125E-5</v>
      </c>
      <c r="AJ76" s="2">
        <f t="shared" ca="1" si="13"/>
        <v>1.1269545733156566E-4</v>
      </c>
      <c r="AK76" s="2">
        <f t="shared" ca="1" si="14"/>
        <v>-3.7647030512379211E-5</v>
      </c>
      <c r="AL76" s="2">
        <f t="shared" ca="1" si="15"/>
        <v>1.8762712879298606E-5</v>
      </c>
      <c r="AN76" s="2">
        <f t="shared" ca="1" si="16"/>
        <v>0.5316005720192758</v>
      </c>
      <c r="AO76" s="2">
        <f t="shared" ca="1" si="29"/>
        <v>2.3674321198670238E-2</v>
      </c>
      <c r="AP76" s="2">
        <f t="shared" ca="1" si="17"/>
        <v>1.4967067777592318E-6</v>
      </c>
      <c r="AQ76" s="2">
        <f t="shared" ca="1" si="18"/>
        <v>-3.7862128034213979E-5</v>
      </c>
      <c r="AR76" s="2">
        <f t="shared" ca="1" si="19"/>
        <v>-1.31908247340991</v>
      </c>
      <c r="AS76" s="2">
        <f t="shared" ca="1" si="20"/>
        <v>4.6319727689358763E-2</v>
      </c>
      <c r="AT76" s="9" t="str">
        <f t="shared" ca="1" si="21"/>
        <v>rejected</v>
      </c>
      <c r="AU76" s="9" t="e">
        <f t="shared" ca="1" si="22"/>
        <v>#N/A</v>
      </c>
      <c r="AW76" s="2">
        <f t="shared" ca="1" si="30"/>
        <v>0.16649040984940594</v>
      </c>
      <c r="AX76" s="2">
        <f t="shared" ca="1" si="31"/>
        <v>7.3108189698582226E-3</v>
      </c>
      <c r="AY76" s="2">
        <f t="shared" ca="1" si="32"/>
        <v>4.6148974410957166E-7</v>
      </c>
      <c r="AZ76" s="2">
        <f t="shared" ca="1" si="33"/>
        <v>-3.8108520256488784E-5</v>
      </c>
      <c r="BA76" s="2">
        <f t="shared" ca="1" si="34"/>
        <v>-2.4323902933625452</v>
      </c>
      <c r="BB76" s="2">
        <f t="shared" ca="1" si="35"/>
        <v>-5.7485624953044975E-2</v>
      </c>
      <c r="BC76" s="9" t="str">
        <f t="shared" ca="1" si="23"/>
        <v>rejected</v>
      </c>
      <c r="BD76" s="9" t="e">
        <f t="shared" ca="1" si="36"/>
        <v>#N/A</v>
      </c>
    </row>
    <row r="77" spans="1:56" ht="15" x14ac:dyDescent="0.25">
      <c r="A77" s="90">
        <v>11</v>
      </c>
      <c r="B77" s="90">
        <v>1542620824.2590001</v>
      </c>
      <c r="C77" s="91">
        <v>3.5358734271287402E-4</v>
      </c>
      <c r="D77" s="91">
        <v>1.2767415609138801E-4</v>
      </c>
      <c r="E77" s="91">
        <v>1.63548746391505E-3</v>
      </c>
      <c r="F77" s="91">
        <v>-4.2799416016943599E-5</v>
      </c>
      <c r="G77" s="91">
        <v>1.1645325994521099E-3</v>
      </c>
      <c r="H77" s="91">
        <v>6.2422306686435198E-4</v>
      </c>
      <c r="I77" s="91">
        <v>5.4682677125646503E-3</v>
      </c>
      <c r="J77" s="91"/>
      <c r="K77" s="91"/>
      <c r="L77" s="89"/>
      <c r="M77" s="89"/>
      <c r="O77" s="11">
        <f t="shared" ca="1" si="24"/>
        <v>-4.0199483451632228E-5</v>
      </c>
      <c r="P77" s="11">
        <f t="shared" ca="1" si="0"/>
        <v>-3.5909901618831662E-5</v>
      </c>
      <c r="Q77" s="11">
        <f t="shared" ca="1" si="1"/>
        <v>2.1458061537195936E-5</v>
      </c>
      <c r="R77" s="11">
        <f t="shared" ca="1" si="2"/>
        <v>-5.7653176138579225E-5</v>
      </c>
      <c r="S77" s="11">
        <f t="shared" ca="1" si="3"/>
        <v>1.8729915597076553E-5</v>
      </c>
      <c r="T77" s="11">
        <f t="shared" ca="1" si="4"/>
        <v>1.3368372344024521E-4</v>
      </c>
      <c r="U77" s="11">
        <f t="shared" ca="1" si="5"/>
        <v>-3.9171852888942801E-5</v>
      </c>
      <c r="V77" s="11"/>
      <c r="W77" s="11">
        <f t="shared" ca="1" si="25"/>
        <v>0</v>
      </c>
      <c r="X77" s="2">
        <f t="shared" ca="1" si="6"/>
        <v>-3.5909901618831662E-5</v>
      </c>
      <c r="Y77" s="2">
        <f t="shared" ca="1" si="7"/>
        <v>2.1458061537195936E-5</v>
      </c>
      <c r="Z77" s="11">
        <f t="shared" ca="1" si="26"/>
        <v>-5.7653176138579225E-5</v>
      </c>
      <c r="AA77" s="2">
        <f t="shared" ca="1" si="8"/>
        <v>1.8729915597076553E-5</v>
      </c>
      <c r="AB77" s="11">
        <f t="shared" ca="1" si="27"/>
        <v>1.3368372344024521E-4</v>
      </c>
      <c r="AC77" s="2">
        <f t="shared" ca="1" si="9"/>
        <v>-3.9171852888942801E-5</v>
      </c>
      <c r="AF77" s="11">
        <f t="shared" ca="1" si="28"/>
        <v>0</v>
      </c>
      <c r="AG77" s="2">
        <f t="shared" ca="1" si="10"/>
        <v>-3.5909901618831662E-5</v>
      </c>
      <c r="AH77" s="2">
        <f t="shared" ca="1" si="11"/>
        <v>2.1458061537195936E-5</v>
      </c>
      <c r="AI77" s="2">
        <f t="shared" ca="1" si="12"/>
        <v>-5.7653176138579225E-5</v>
      </c>
      <c r="AJ77" s="2">
        <f t="shared" ca="1" si="13"/>
        <v>1.8729915597076553E-5</v>
      </c>
      <c r="AK77" s="2">
        <f t="shared" ca="1" si="14"/>
        <v>1.3368372344024521E-4</v>
      </c>
      <c r="AL77" s="2">
        <f t="shared" ca="1" si="15"/>
        <v>-3.9171852888942801E-5</v>
      </c>
      <c r="AN77" s="2" t="e">
        <f t="shared" ca="1" si="16"/>
        <v>#N/A</v>
      </c>
      <c r="AO77" s="2" t="e">
        <f t="shared" ca="1" si="29"/>
        <v>#N/A</v>
      </c>
      <c r="AP77" s="2" t="e">
        <f t="shared" ca="1" si="17"/>
        <v>#N/A</v>
      </c>
      <c r="AQ77" s="2" t="e">
        <f t="shared" ca="1" si="18"/>
        <v>#N/A</v>
      </c>
      <c r="AR77" s="2" t="e">
        <f t="shared" ca="1" si="19"/>
        <v>#N/A</v>
      </c>
      <c r="AS77" s="2" t="e">
        <f t="shared" ca="1" si="20"/>
        <v>#N/A</v>
      </c>
      <c r="AT77" s="9" t="e">
        <f t="shared" ca="1" si="21"/>
        <v>#N/A</v>
      </c>
      <c r="AU77" s="9" t="e">
        <f t="shared" ca="1" si="22"/>
        <v>#N/A</v>
      </c>
      <c r="AW77" s="2" t="e">
        <f t="shared" ca="1" si="30"/>
        <v>#N/A</v>
      </c>
      <c r="AX77" s="2" t="e">
        <f t="shared" ca="1" si="31"/>
        <v>#N/A</v>
      </c>
      <c r="AY77" s="2" t="e">
        <f t="shared" ca="1" si="32"/>
        <v>#N/A</v>
      </c>
      <c r="AZ77" s="2" t="e">
        <f t="shared" ca="1" si="33"/>
        <v>#N/A</v>
      </c>
      <c r="BA77" s="2" t="e">
        <f t="shared" ca="1" si="34"/>
        <v>#N/A</v>
      </c>
      <c r="BB77" s="2" t="e">
        <f t="shared" ca="1" si="35"/>
        <v>#N/A</v>
      </c>
      <c r="BC77" s="9" t="e">
        <f t="shared" ca="1" si="23"/>
        <v>#N/A</v>
      </c>
      <c r="BD77" s="9" t="e">
        <f t="shared" ca="1" si="36"/>
        <v>#N/A</v>
      </c>
    </row>
    <row r="78" spans="1:56" ht="15" x14ac:dyDescent="0.25">
      <c r="A78" s="90">
        <v>12</v>
      </c>
      <c r="B78" s="90">
        <v>1542620824.7850001</v>
      </c>
      <c r="C78" s="91">
        <v>5.0446667000282196E-4</v>
      </c>
      <c r="D78" s="91">
        <v>1.13023770773499E-4</v>
      </c>
      <c r="E78" s="91">
        <v>1.5305158676912E-3</v>
      </c>
      <c r="F78" s="91">
        <v>3.3815781806289901E-5</v>
      </c>
      <c r="G78" s="91">
        <v>1.18790000333594E-3</v>
      </c>
      <c r="H78" s="91">
        <v>5.3943237093354902E-4</v>
      </c>
      <c r="I78" s="91">
        <v>5.5932166012346201E-3</v>
      </c>
      <c r="J78" s="91"/>
      <c r="K78" s="91"/>
      <c r="L78" s="89"/>
      <c r="M78" s="89"/>
      <c r="O78" s="11">
        <f t="shared" ca="1" si="24"/>
        <v>1.1067984383831571E-4</v>
      </c>
      <c r="P78" s="11">
        <f t="shared" ca="1" si="0"/>
        <v>-5.0560286936720671E-5</v>
      </c>
      <c r="Q78" s="11">
        <f t="shared" ca="1" si="1"/>
        <v>-8.3513534686654014E-5</v>
      </c>
      <c r="R78" s="11">
        <f t="shared" ca="1" si="2"/>
        <v>1.8962021684654278E-5</v>
      </c>
      <c r="S78" s="11">
        <f t="shared" ca="1" si="3"/>
        <v>4.2097319480906628E-5</v>
      </c>
      <c r="T78" s="11">
        <f t="shared" ca="1" si="4"/>
        <v>4.8893027509442255E-5</v>
      </c>
      <c r="U78" s="11">
        <f t="shared" ca="1" si="5"/>
        <v>8.5777035781027001E-5</v>
      </c>
      <c r="V78" s="11"/>
      <c r="W78" s="11">
        <f t="shared" ca="1" si="25"/>
        <v>0</v>
      </c>
      <c r="X78" s="2">
        <f t="shared" ca="1" si="6"/>
        <v>-7.3606596662642606E-5</v>
      </c>
      <c r="Y78" s="2">
        <f t="shared" ca="1" si="7"/>
        <v>-4.3972998495261825E-4</v>
      </c>
      <c r="Z78" s="11">
        <f t="shared" ca="1" si="26"/>
        <v>1.8962021684654278E-5</v>
      </c>
      <c r="AA78" s="2">
        <f t="shared" ca="1" si="8"/>
        <v>4.1394209300832142E-5</v>
      </c>
      <c r="AB78" s="11">
        <f t="shared" ca="1" si="27"/>
        <v>4.8893027509442255E-5</v>
      </c>
      <c r="AC78" s="2">
        <f t="shared" ca="1" si="9"/>
        <v>5.385362897549069E-5</v>
      </c>
      <c r="AF78" s="11">
        <f t="shared" ca="1" si="28"/>
        <v>0</v>
      </c>
      <c r="AG78" s="2">
        <f t="shared" ca="1" si="10"/>
        <v>-9.670053625796351E-5</v>
      </c>
      <c r="AH78" s="2">
        <f t="shared" ca="1" si="11"/>
        <v>-7.9694346589422916E-4</v>
      </c>
      <c r="AI78" s="2">
        <f t="shared" ca="1" si="12"/>
        <v>1.8807888975912131E-5</v>
      </c>
      <c r="AJ78" s="2">
        <f t="shared" ca="1" si="13"/>
        <v>3.831222833714476E-5</v>
      </c>
      <c r="AK78" s="2">
        <f t="shared" ca="1" si="14"/>
        <v>4.8893027509442255E-5</v>
      </c>
      <c r="AL78" s="2">
        <f t="shared" ca="1" si="15"/>
        <v>1.8020349688829976E-5</v>
      </c>
      <c r="AN78" s="2">
        <f t="shared" ca="1" si="16"/>
        <v>2.0375890160876264</v>
      </c>
      <c r="AO78" s="2">
        <f t="shared" ca="1" si="29"/>
        <v>9.2232973824238132E-2</v>
      </c>
      <c r="AP78" s="2">
        <f t="shared" ca="1" si="17"/>
        <v>1.7489236496953539E-6</v>
      </c>
      <c r="AQ78" s="2">
        <f t="shared" ca="1" si="18"/>
        <v>4.7144103859746901E-5</v>
      </c>
      <c r="AR78" s="2">
        <f t="shared" ca="1" si="19"/>
        <v>2.2820140835535954</v>
      </c>
      <c r="AS78" s="2">
        <f t="shared" ca="1" si="20"/>
        <v>-0.46703602783633319</v>
      </c>
      <c r="AT78" s="9" t="str">
        <f t="shared" ca="1" si="21"/>
        <v>rejected</v>
      </c>
      <c r="AU78" s="9" t="e">
        <f t="shared" ca="1" si="22"/>
        <v>#N/A</v>
      </c>
      <c r="AW78" s="2">
        <f t="shared" ca="1" si="30"/>
        <v>0.47035503991707917</v>
      </c>
      <c r="AX78" s="2">
        <f t="shared" ca="1" si="31"/>
        <v>2.0915735252796479E-2</v>
      </c>
      <c r="AY78" s="2">
        <f t="shared" ca="1" si="32"/>
        <v>3.9338082648416766E-7</v>
      </c>
      <c r="AZ78" s="2">
        <f t="shared" ca="1" si="33"/>
        <v>4.8499646682958089E-5</v>
      </c>
      <c r="BA78" s="2">
        <f t="shared" ca="1" si="34"/>
        <v>5.3973396956956918</v>
      </c>
      <c r="BB78" s="2">
        <f t="shared" ca="1" si="35"/>
        <v>-1.0925565269086204</v>
      </c>
      <c r="BC78" s="9" t="str">
        <f t="shared" ca="1" si="23"/>
        <v>rejected</v>
      </c>
      <c r="BD78" s="9" t="e">
        <f t="shared" ca="1" si="36"/>
        <v>#N/A</v>
      </c>
    </row>
    <row r="79" spans="1:56" ht="15" x14ac:dyDescent="0.25">
      <c r="A79" s="90">
        <v>13</v>
      </c>
      <c r="B79" s="90">
        <v>1542620825.312</v>
      </c>
      <c r="C79" s="91">
        <v>3.6262994106461399E-4</v>
      </c>
      <c r="D79" s="91">
        <v>1.8958623704282601E-4</v>
      </c>
      <c r="E79" s="91">
        <v>1.5238057271964201E-3</v>
      </c>
      <c r="F79" s="91">
        <v>3.5005505136759903E-5</v>
      </c>
      <c r="G79" s="91">
        <v>1.1833695456427401E-3</v>
      </c>
      <c r="H79" s="91">
        <v>4.1689048335536002E-4</v>
      </c>
      <c r="I79" s="91">
        <v>5.5674132601057497E-3</v>
      </c>
      <c r="J79" s="91"/>
      <c r="K79" s="91"/>
      <c r="L79" s="89"/>
      <c r="M79" s="89"/>
      <c r="O79" s="11">
        <f t="shared" ca="1" si="24"/>
        <v>-3.1156885099892261E-5</v>
      </c>
      <c r="P79" s="11">
        <f t="shared" ca="1" si="0"/>
        <v>2.6002179332606341E-5</v>
      </c>
      <c r="Q79" s="11">
        <f t="shared" ca="1" si="1"/>
        <v>-9.0223675181433935E-5</v>
      </c>
      <c r="R79" s="11">
        <f t="shared" ca="1" si="2"/>
        <v>2.015174501512428E-5</v>
      </c>
      <c r="S79" s="11">
        <f t="shared" ca="1" si="3"/>
        <v>3.7566861787706679E-5</v>
      </c>
      <c r="T79" s="11">
        <f t="shared" ca="1" si="4"/>
        <v>-7.3648860068746742E-5</v>
      </c>
      <c r="U79" s="11">
        <f t="shared" ca="1" si="5"/>
        <v>5.9973694652156601E-5</v>
      </c>
      <c r="V79" s="11"/>
      <c r="W79" s="11">
        <f t="shared" ca="1" si="25"/>
        <v>0</v>
      </c>
      <c r="X79" s="2">
        <f t="shared" ca="1" si="6"/>
        <v>2.6002179332606341E-5</v>
      </c>
      <c r="Y79" s="2">
        <f t="shared" ca="1" si="7"/>
        <v>-9.0223675181433935E-5</v>
      </c>
      <c r="Z79" s="11">
        <f t="shared" ca="1" si="26"/>
        <v>2.015174501512428E-5</v>
      </c>
      <c r="AA79" s="2">
        <f t="shared" ca="1" si="8"/>
        <v>3.7566861787706679E-5</v>
      </c>
      <c r="AB79" s="11">
        <f t="shared" ca="1" si="27"/>
        <v>-7.3648860068746742E-5</v>
      </c>
      <c r="AC79" s="2">
        <f t="shared" ca="1" si="9"/>
        <v>5.9973694652156601E-5</v>
      </c>
      <c r="AF79" s="11">
        <f t="shared" ca="1" si="28"/>
        <v>0</v>
      </c>
      <c r="AG79" s="2">
        <f t="shared" ca="1" si="10"/>
        <v>2.6002179332606341E-5</v>
      </c>
      <c r="AH79" s="2">
        <f t="shared" ca="1" si="11"/>
        <v>-9.0223675181433935E-5</v>
      </c>
      <c r="AI79" s="2">
        <f t="shared" ca="1" si="12"/>
        <v>2.015174501512428E-5</v>
      </c>
      <c r="AJ79" s="2">
        <f t="shared" ca="1" si="13"/>
        <v>3.7566861787706679E-5</v>
      </c>
      <c r="AK79" s="2">
        <f t="shared" ca="1" si="14"/>
        <v>-7.4208381283586875E-5</v>
      </c>
      <c r="AL79" s="2">
        <f t="shared" ca="1" si="15"/>
        <v>5.9973694652156601E-5</v>
      </c>
      <c r="AN79" s="2">
        <f t="shared" ca="1" si="16"/>
        <v>1.5964520803220859</v>
      </c>
      <c r="AO79" s="2">
        <f t="shared" ca="1" si="29"/>
        <v>7.2051053148635011E-2</v>
      </c>
      <c r="AP79" s="2">
        <f t="shared" ca="1" si="17"/>
        <v>1.4519544511224601E-6</v>
      </c>
      <c r="AQ79" s="2">
        <f t="shared" ca="1" si="18"/>
        <v>-7.5100814519869205E-5</v>
      </c>
      <c r="AR79" s="2">
        <f t="shared" ca="1" si="19"/>
        <v>-4.60623624945217</v>
      </c>
      <c r="AS79" s="2">
        <f t="shared" ca="1" si="20"/>
        <v>-0.44049321047494189</v>
      </c>
      <c r="AT79" s="9" t="str">
        <f t="shared" ca="1" si="21"/>
        <v>rejected</v>
      </c>
      <c r="AU79" s="9" t="e">
        <f t="shared" ca="1" si="22"/>
        <v>#N/A</v>
      </c>
      <c r="AW79" s="2">
        <f t="shared" ca="1" si="30"/>
        <v>1.5964520803220859</v>
      </c>
      <c r="AX79" s="2">
        <f t="shared" ca="1" si="31"/>
        <v>7.2051053148635011E-2</v>
      </c>
      <c r="AY79" s="2">
        <f t="shared" ca="1" si="32"/>
        <v>1.4519544511224601E-6</v>
      </c>
      <c r="AZ79" s="2">
        <f t="shared" ca="1" si="33"/>
        <v>-7.5660335734709338E-5</v>
      </c>
      <c r="BA79" s="2">
        <f t="shared" ca="1" si="34"/>
        <v>-4.6405539451870439</v>
      </c>
      <c r="BB79" s="2">
        <f t="shared" ca="1" si="35"/>
        <v>-0.44049321047494189</v>
      </c>
      <c r="BC79" s="9" t="str">
        <f t="shared" ca="1" si="23"/>
        <v>rejected</v>
      </c>
      <c r="BD79" s="9" t="e">
        <f t="shared" ca="1" si="36"/>
        <v>#N/A</v>
      </c>
    </row>
    <row r="80" spans="1:56" ht="15" x14ac:dyDescent="0.25">
      <c r="A80" s="90">
        <v>14</v>
      </c>
      <c r="B80" s="90">
        <v>1542620825.839</v>
      </c>
      <c r="C80" s="91">
        <v>3.3098120501276799E-4</v>
      </c>
      <c r="D80" s="91">
        <v>2.09200411827493E-4</v>
      </c>
      <c r="E80" s="91">
        <v>1.66448839767709E-3</v>
      </c>
      <c r="F80" s="91">
        <v>4.3095661372277399E-5</v>
      </c>
      <c r="G80" s="91">
        <v>1.2487055000838399E-3</v>
      </c>
      <c r="H80" s="91">
        <v>5.1425780917972199E-4</v>
      </c>
      <c r="I80" s="91">
        <v>5.4474842267651204E-3</v>
      </c>
      <c r="J80" s="91"/>
      <c r="K80" s="91"/>
      <c r="L80" s="89"/>
      <c r="M80" s="89"/>
      <c r="O80" s="11">
        <f t="shared" ca="1" si="24"/>
        <v>-6.2805621151738259E-5</v>
      </c>
      <c r="P80" s="11">
        <f t="shared" ca="1" si="0"/>
        <v>4.5616354117273324E-5</v>
      </c>
      <c r="Q80" s="11">
        <f t="shared" ca="1" si="1"/>
        <v>5.0458995299236011E-5</v>
      </c>
      <c r="R80" s="11">
        <f t="shared" ca="1" si="2"/>
        <v>2.8241901250641776E-5</v>
      </c>
      <c r="S80" s="11">
        <f t="shared" ca="1" si="3"/>
        <v>1.0290281622880653E-4</v>
      </c>
      <c r="T80" s="11">
        <f t="shared" ca="1" si="4"/>
        <v>2.371846575561522E-5</v>
      </c>
      <c r="U80" s="11">
        <f t="shared" ca="1" si="5"/>
        <v>-5.9955338688472658E-5</v>
      </c>
      <c r="V80" s="11"/>
      <c r="W80" s="11">
        <f t="shared" ca="1" si="25"/>
        <v>0</v>
      </c>
      <c r="X80" s="2">
        <f t="shared" ca="1" si="6"/>
        <v>4.5616354117273324E-5</v>
      </c>
      <c r="Y80" s="2">
        <f t="shared" ca="1" si="7"/>
        <v>5.0458995299236011E-5</v>
      </c>
      <c r="Z80" s="11">
        <f t="shared" ca="1" si="26"/>
        <v>2.8241901250641776E-5</v>
      </c>
      <c r="AA80" s="2">
        <f t="shared" ca="1" si="8"/>
        <v>1.0290281622880653E-4</v>
      </c>
      <c r="AB80" s="11">
        <f t="shared" ca="1" si="27"/>
        <v>2.371846575561522E-5</v>
      </c>
      <c r="AC80" s="2">
        <f t="shared" ca="1" si="9"/>
        <v>-5.9955338688472658E-5</v>
      </c>
      <c r="AF80" s="11">
        <f t="shared" ca="1" si="28"/>
        <v>0</v>
      </c>
      <c r="AG80" s="2">
        <f t="shared" ca="1" si="10"/>
        <v>4.5616354117273324E-5</v>
      </c>
      <c r="AH80" s="2">
        <f t="shared" ca="1" si="11"/>
        <v>5.0458995299236011E-5</v>
      </c>
      <c r="AI80" s="2">
        <f t="shared" ca="1" si="12"/>
        <v>2.8241901250641776E-5</v>
      </c>
      <c r="AJ80" s="2">
        <f t="shared" ca="1" si="13"/>
        <v>1.0290281622880653E-4</v>
      </c>
      <c r="AK80" s="2">
        <f t="shared" ca="1" si="14"/>
        <v>2.2736881960434315E-5</v>
      </c>
      <c r="AL80" s="2">
        <f t="shared" ca="1" si="15"/>
        <v>-5.9955338688472658E-5</v>
      </c>
      <c r="AN80" s="2" t="e">
        <f t="shared" ca="1" si="16"/>
        <v>#N/A</v>
      </c>
      <c r="AO80" s="2" t="e">
        <f t="shared" ca="1" si="29"/>
        <v>#N/A</v>
      </c>
      <c r="AP80" s="2" t="e">
        <f t="shared" ca="1" si="17"/>
        <v>#N/A</v>
      </c>
      <c r="AQ80" s="2" t="e">
        <f t="shared" ca="1" si="18"/>
        <v>#N/A</v>
      </c>
      <c r="AR80" s="2" t="e">
        <f t="shared" ca="1" si="19"/>
        <v>#N/A</v>
      </c>
      <c r="AS80" s="2" t="e">
        <f t="shared" ca="1" si="20"/>
        <v>#N/A</v>
      </c>
      <c r="AT80" s="9" t="e">
        <f t="shared" ca="1" si="21"/>
        <v>#N/A</v>
      </c>
      <c r="AU80" s="9" t="e">
        <f t="shared" ca="1" si="22"/>
        <v>#N/A</v>
      </c>
      <c r="AW80" s="2" t="e">
        <f t="shared" ca="1" si="30"/>
        <v>#N/A</v>
      </c>
      <c r="AX80" s="2" t="e">
        <f t="shared" ca="1" si="31"/>
        <v>#N/A</v>
      </c>
      <c r="AY80" s="2" t="e">
        <f t="shared" ca="1" si="32"/>
        <v>#N/A</v>
      </c>
      <c r="AZ80" s="2" t="e">
        <f t="shared" ca="1" si="33"/>
        <v>#N/A</v>
      </c>
      <c r="BA80" s="2" t="e">
        <f t="shared" ca="1" si="34"/>
        <v>#N/A</v>
      </c>
      <c r="BB80" s="2" t="e">
        <f t="shared" ca="1" si="35"/>
        <v>#N/A</v>
      </c>
      <c r="BC80" s="9" t="e">
        <f t="shared" ca="1" si="23"/>
        <v>#N/A</v>
      </c>
      <c r="BD80" s="9" t="e">
        <f t="shared" ca="1" si="36"/>
        <v>#N/A</v>
      </c>
    </row>
    <row r="81" spans="1:56" ht="15" x14ac:dyDescent="0.25">
      <c r="A81" s="90">
        <v>15</v>
      </c>
      <c r="B81" s="90">
        <v>1542620826.3659999</v>
      </c>
      <c r="C81" s="91">
        <v>4.58296127645956E-4</v>
      </c>
      <c r="D81" s="91">
        <v>1.9762091237019201E-4</v>
      </c>
      <c r="E81" s="91">
        <v>1.66616616323016E-3</v>
      </c>
      <c r="F81" s="91">
        <v>-6.6339681219047703E-6</v>
      </c>
      <c r="G81" s="91">
        <v>1.06534643034779E-3</v>
      </c>
      <c r="H81" s="91">
        <v>5.4631986168831301E-4</v>
      </c>
      <c r="I81" s="91">
        <v>5.4376898598750599E-3</v>
      </c>
      <c r="J81" s="91"/>
      <c r="K81" s="91"/>
      <c r="L81" s="89"/>
      <c r="M81" s="89"/>
      <c r="O81" s="11">
        <f t="shared" ca="1" si="24"/>
        <v>6.4509301481449751E-5</v>
      </c>
      <c r="P81" s="11">
        <f t="shared" ca="1" si="0"/>
        <v>3.4036854659972335E-5</v>
      </c>
      <c r="Q81" s="11">
        <f t="shared" ca="1" si="1"/>
        <v>5.2136760852306008E-5</v>
      </c>
      <c r="R81" s="11">
        <f t="shared" ca="1" si="2"/>
        <v>-2.1487728243540394E-5</v>
      </c>
      <c r="S81" s="11">
        <f t="shared" ca="1" si="3"/>
        <v>-8.0456253507243426E-5</v>
      </c>
      <c r="T81" s="11">
        <f t="shared" ca="1" si="4"/>
        <v>5.5780518264206247E-5</v>
      </c>
      <c r="U81" s="11">
        <f t="shared" ca="1" si="5"/>
        <v>-6.9749705578533126E-5</v>
      </c>
      <c r="V81" s="11"/>
      <c r="W81" s="11">
        <f t="shared" ca="1" si="25"/>
        <v>0</v>
      </c>
      <c r="X81" s="2">
        <f t="shared" ca="1" si="6"/>
        <v>2.060440580039333E-5</v>
      </c>
      <c r="Y81" s="2">
        <f t="shared" ca="1" si="7"/>
        <v>-1.5548256337106134E-4</v>
      </c>
      <c r="Z81" s="11">
        <f t="shared" ca="1" si="26"/>
        <v>-2.1487728243540394E-5</v>
      </c>
      <c r="AA81" s="2">
        <f t="shared" ca="1" si="8"/>
        <v>-8.086605844559661E-5</v>
      </c>
      <c r="AB81" s="11">
        <f t="shared" ca="1" si="27"/>
        <v>5.5780518264206247E-5</v>
      </c>
      <c r="AC81" s="2">
        <f t="shared" ca="1" si="9"/>
        <v>-8.8356134739579593E-5</v>
      </c>
      <c r="AF81" s="11">
        <f t="shared" ca="1" si="28"/>
        <v>0</v>
      </c>
      <c r="AG81" s="2">
        <f t="shared" ca="1" si="10"/>
        <v>7.1441960631511081E-6</v>
      </c>
      <c r="AH81" s="2">
        <f t="shared" ca="1" si="11"/>
        <v>-3.6368300291056074E-4</v>
      </c>
      <c r="AI81" s="2">
        <f t="shared" ca="1" si="12"/>
        <v>-2.1577563872428025E-5</v>
      </c>
      <c r="AJ81" s="2">
        <f t="shared" ca="1" si="13"/>
        <v>-8.2662378644936927E-5</v>
      </c>
      <c r="AK81" s="2">
        <f t="shared" ca="1" si="14"/>
        <v>5.5048104952803412E-5</v>
      </c>
      <c r="AL81" s="2">
        <f t="shared" ca="1" si="15"/>
        <v>-1.0924141733854139E-4</v>
      </c>
      <c r="AN81" s="2" t="e">
        <f t="shared" ca="1" si="16"/>
        <v>#N/A</v>
      </c>
      <c r="AO81" s="2" t="e">
        <f t="shared" ca="1" si="29"/>
        <v>#N/A</v>
      </c>
      <c r="AP81" s="2" t="e">
        <f t="shared" ca="1" si="17"/>
        <v>#N/A</v>
      </c>
      <c r="AQ81" s="2" t="e">
        <f t="shared" ca="1" si="18"/>
        <v>#N/A</v>
      </c>
      <c r="AR81" s="2" t="e">
        <f t="shared" ca="1" si="19"/>
        <v>#N/A</v>
      </c>
      <c r="AS81" s="2" t="e">
        <f t="shared" ca="1" si="20"/>
        <v>#N/A</v>
      </c>
      <c r="AT81" s="9" t="e">
        <f t="shared" ca="1" si="21"/>
        <v>#N/A</v>
      </c>
      <c r="AU81" s="9" t="e">
        <f t="shared" ca="1" si="22"/>
        <v>#N/A</v>
      </c>
      <c r="AW81" s="2" t="e">
        <f t="shared" ca="1" si="30"/>
        <v>#N/A</v>
      </c>
      <c r="AX81" s="2" t="e">
        <f t="shared" ca="1" si="31"/>
        <v>#N/A</v>
      </c>
      <c r="AY81" s="2" t="e">
        <f t="shared" ca="1" si="32"/>
        <v>#N/A</v>
      </c>
      <c r="AZ81" s="2" t="e">
        <f t="shared" ca="1" si="33"/>
        <v>#N/A</v>
      </c>
      <c r="BA81" s="2" t="e">
        <f t="shared" ca="1" si="34"/>
        <v>#N/A</v>
      </c>
      <c r="BB81" s="2" t="e">
        <f t="shared" ca="1" si="35"/>
        <v>#N/A</v>
      </c>
      <c r="BC81" s="9" t="e">
        <f t="shared" ca="1" si="23"/>
        <v>#N/A</v>
      </c>
      <c r="BD81" s="9" t="e">
        <f t="shared" ca="1" si="36"/>
        <v>#N/A</v>
      </c>
    </row>
    <row r="82" spans="1:56" ht="15" x14ac:dyDescent="0.25">
      <c r="A82" s="90">
        <v>16</v>
      </c>
      <c r="B82" s="90">
        <v>1542620826.8929999</v>
      </c>
      <c r="C82" s="91">
        <v>4.4592088104983702E-4</v>
      </c>
      <c r="D82" s="91">
        <v>2.2125268740842799E-4</v>
      </c>
      <c r="E82" s="91">
        <v>1.5578361875518501E-3</v>
      </c>
      <c r="F82" s="91">
        <v>4.9520243894392001E-5</v>
      </c>
      <c r="G82" s="91">
        <v>1.1139845728598699E-3</v>
      </c>
      <c r="H82" s="91">
        <v>4.9027131764567303E-4</v>
      </c>
      <c r="I82" s="91">
        <v>5.5306207558831104E-3</v>
      </c>
      <c r="J82" s="91"/>
      <c r="K82" s="91"/>
      <c r="L82" s="89"/>
      <c r="M82" s="89"/>
      <c r="O82" s="11">
        <f t="shared" ref="O82:O145" ca="1" si="37">C82-AVERAGE(OFFSET(C$67,$J$2,0,$J$3))</f>
        <v>5.2134054885330777E-5</v>
      </c>
      <c r="P82" s="11">
        <f t="shared" ref="P82:P145" ca="1" si="38">D82-AVERAGE(OFFSET(D$67,$J$2,0,$J$3))</f>
        <v>5.7668629698208321E-5</v>
      </c>
      <c r="Q82" s="11">
        <f t="shared" ref="Q82:Q145" ca="1" si="39">E82-AVERAGE(OFFSET(E$67,$J$2,0,$J$3))</f>
        <v>-5.6193214826003946E-5</v>
      </c>
      <c r="R82" s="11">
        <f t="shared" ref="R82:R145" ca="1" si="40">F82-AVERAGE(OFFSET(F$67,$J$2,0,$J$3))</f>
        <v>3.4666483772756375E-5</v>
      </c>
      <c r="S82" s="11">
        <f t="shared" ref="S82:S145" ca="1" si="41">G82-AVERAGE(OFFSET(G$67,$J$2,0,$J$3))</f>
        <v>-3.1818110995163445E-5</v>
      </c>
      <c r="T82" s="11">
        <f t="shared" ref="T82:T145" ca="1" si="42">H82-AVERAGE(OFFSET(H$67,$J$2,0,$J$3))</f>
        <v>-2.6802577843374094E-7</v>
      </c>
      <c r="U82" s="11">
        <f t="shared" ref="U82:U145" ca="1" si="43">I82-AVERAGE(OFFSET(I$67,$J$2,0,$J$3))</f>
        <v>2.3181190429517363E-5</v>
      </c>
      <c r="V82" s="11"/>
      <c r="W82" s="11">
        <f t="shared" ca="1" si="25"/>
        <v>0</v>
      </c>
      <c r="X82" s="2">
        <f t="shared" ca="1" si="6"/>
        <v>4.6813016476430301E-5</v>
      </c>
      <c r="Y82" s="2">
        <f t="shared" ca="1" si="7"/>
        <v>-2.2398354886688442E-4</v>
      </c>
      <c r="Z82" s="11">
        <f t="shared" ca="1" si="26"/>
        <v>3.4666483772756375E-5</v>
      </c>
      <c r="AA82" s="2">
        <f t="shared" ca="1" si="8"/>
        <v>-3.2149300337750397E-5</v>
      </c>
      <c r="AB82" s="11">
        <f t="shared" ca="1" si="27"/>
        <v>-2.6802577843374094E-7</v>
      </c>
      <c r="AC82" s="2">
        <f t="shared" ca="1" si="9"/>
        <v>8.1441558186100309E-6</v>
      </c>
      <c r="AF82" s="11">
        <f t="shared" ca="1" si="28"/>
        <v>0</v>
      </c>
      <c r="AG82" s="2">
        <f t="shared" ca="1" si="10"/>
        <v>3.593496793003207E-5</v>
      </c>
      <c r="AH82" s="2">
        <f t="shared" ca="1" si="11"/>
        <v>-3.922435190236457E-4</v>
      </c>
      <c r="AI82" s="2">
        <f t="shared" ca="1" si="12"/>
        <v>3.4593881907606234E-5</v>
      </c>
      <c r="AJ82" s="2">
        <f t="shared" ca="1" si="13"/>
        <v>-3.3601020534890742E-5</v>
      </c>
      <c r="AK82" s="2">
        <f t="shared" ca="1" si="14"/>
        <v>-1.5089533689316991E-6</v>
      </c>
      <c r="AL82" s="2">
        <f t="shared" ca="1" si="15"/>
        <v>-8.7345646806814202E-6</v>
      </c>
      <c r="AN82" s="2" t="e">
        <f t="shared" ca="1" si="16"/>
        <v>#N/A</v>
      </c>
      <c r="AO82" s="2" t="e">
        <f t="shared" ca="1" si="29"/>
        <v>#N/A</v>
      </c>
      <c r="AP82" s="2" t="e">
        <f t="shared" ca="1" si="17"/>
        <v>#N/A</v>
      </c>
      <c r="AQ82" s="2" t="e">
        <f t="shared" ca="1" si="18"/>
        <v>#N/A</v>
      </c>
      <c r="AR82" s="2" t="e">
        <f t="shared" ca="1" si="19"/>
        <v>#N/A</v>
      </c>
      <c r="AS82" s="2" t="e">
        <f t="shared" ca="1" si="20"/>
        <v>#N/A</v>
      </c>
      <c r="AT82" s="9" t="e">
        <f t="shared" ca="1" si="21"/>
        <v>#N/A</v>
      </c>
      <c r="AU82" s="9" t="e">
        <f t="shared" ca="1" si="22"/>
        <v>#N/A</v>
      </c>
      <c r="AW82" s="2" t="e">
        <f t="shared" ca="1" si="30"/>
        <v>#N/A</v>
      </c>
      <c r="AX82" s="2" t="e">
        <f t="shared" ca="1" si="31"/>
        <v>#N/A</v>
      </c>
      <c r="AY82" s="2" t="e">
        <f t="shared" ca="1" si="32"/>
        <v>#N/A</v>
      </c>
      <c r="AZ82" s="2" t="e">
        <f t="shared" ca="1" si="33"/>
        <v>#N/A</v>
      </c>
      <c r="BA82" s="2" t="e">
        <f t="shared" ca="1" si="34"/>
        <v>#N/A</v>
      </c>
      <c r="BB82" s="2" t="e">
        <f t="shared" ca="1" si="35"/>
        <v>#N/A</v>
      </c>
      <c r="BC82" s="9" t="e">
        <f t="shared" ca="1" si="23"/>
        <v>#N/A</v>
      </c>
      <c r="BD82" s="9" t="e">
        <f t="shared" ca="1" si="36"/>
        <v>#N/A</v>
      </c>
    </row>
    <row r="83" spans="1:56" ht="15" x14ac:dyDescent="0.25">
      <c r="A83" s="90">
        <v>17</v>
      </c>
      <c r="B83" s="90">
        <v>1542620827.4200001</v>
      </c>
      <c r="C83" s="91">
        <v>3.8095335191201099E-4</v>
      </c>
      <c r="D83" s="91">
        <v>2.19125804611833E-4</v>
      </c>
      <c r="E83" s="91">
        <v>1.6400412742124E-3</v>
      </c>
      <c r="F83" s="91">
        <v>8.7592692201949403E-5</v>
      </c>
      <c r="G83" s="91">
        <v>1.2837597600119401E-3</v>
      </c>
      <c r="H83" s="91">
        <v>5.0167076647539798E-4</v>
      </c>
      <c r="I83" s="91">
        <v>5.6278610205177998E-3</v>
      </c>
      <c r="J83" s="91"/>
      <c r="K83" s="91"/>
      <c r="L83" s="89"/>
      <c r="M83" s="89"/>
      <c r="O83" s="11">
        <f t="shared" ca="1" si="37"/>
        <v>-1.2833474252495257E-5</v>
      </c>
      <c r="P83" s="11">
        <f t="shared" ca="1" si="38"/>
        <v>5.5541746901613328E-5</v>
      </c>
      <c r="Q83" s="11">
        <f t="shared" ca="1" si="39"/>
        <v>2.6011871834546009E-5</v>
      </c>
      <c r="R83" s="11">
        <f t="shared" ca="1" si="40"/>
        <v>7.2738932080313777E-5</v>
      </c>
      <c r="S83" s="11">
        <f t="shared" ca="1" si="41"/>
        <v>1.379570761569067E-4</v>
      </c>
      <c r="T83" s="11">
        <f t="shared" ca="1" si="42"/>
        <v>1.1131423051291209E-5</v>
      </c>
      <c r="U83" s="11">
        <f t="shared" ca="1" si="43"/>
        <v>1.204214550642067E-4</v>
      </c>
      <c r="V83" s="11"/>
      <c r="W83" s="11">
        <f t="shared" ca="1" si="25"/>
        <v>0</v>
      </c>
      <c r="X83" s="2">
        <f t="shared" ca="1" si="6"/>
        <v>5.5541746901613328E-5</v>
      </c>
      <c r="Y83" s="2">
        <f t="shared" ca="1" si="7"/>
        <v>2.6011871834546009E-5</v>
      </c>
      <c r="Z83" s="11">
        <f t="shared" ca="1" si="26"/>
        <v>7.2738932080313777E-5</v>
      </c>
      <c r="AA83" s="2">
        <f t="shared" ca="1" si="8"/>
        <v>1.379570761569067E-4</v>
      </c>
      <c r="AB83" s="11">
        <f t="shared" ca="1" si="27"/>
        <v>1.1131423051291209E-5</v>
      </c>
      <c r="AC83" s="2">
        <f t="shared" ca="1" si="9"/>
        <v>1.204214550642067E-4</v>
      </c>
      <c r="AF83" s="11">
        <f t="shared" ca="1" si="28"/>
        <v>0</v>
      </c>
      <c r="AG83" s="2">
        <f t="shared" ca="1" si="10"/>
        <v>5.5541746901613328E-5</v>
      </c>
      <c r="AH83" s="2">
        <f t="shared" ca="1" si="11"/>
        <v>2.6011871834546009E-5</v>
      </c>
      <c r="AI83" s="2">
        <f t="shared" ca="1" si="12"/>
        <v>7.2738932080313777E-5</v>
      </c>
      <c r="AJ83" s="2">
        <f t="shared" ca="1" si="13"/>
        <v>1.379570761569067E-4</v>
      </c>
      <c r="AK83" s="2">
        <f t="shared" ca="1" si="14"/>
        <v>9.9362622417599959E-6</v>
      </c>
      <c r="AL83" s="2">
        <f t="shared" ca="1" si="15"/>
        <v>1.204214550642067E-4</v>
      </c>
      <c r="AN83" s="2">
        <f t="shared" ca="1" si="16"/>
        <v>0.87289074557686541</v>
      </c>
      <c r="AO83" s="2">
        <f t="shared" ca="1" si="29"/>
        <v>3.9107874768862502E-2</v>
      </c>
      <c r="AP83" s="2">
        <f t="shared" ca="1" si="17"/>
        <v>2.8446650466177065E-6</v>
      </c>
      <c r="AQ83" s="2">
        <f t="shared" ca="1" si="18"/>
        <v>8.2867580046735027E-6</v>
      </c>
      <c r="AR83" s="2">
        <f t="shared" ca="1" si="19"/>
        <v>0.18758033179824823</v>
      </c>
      <c r="AS83" s="2">
        <f t="shared" ca="1" si="20"/>
        <v>1.8644857502176277E-2</v>
      </c>
      <c r="AT83" s="9" t="str">
        <f t="shared" ca="1" si="21"/>
        <v>rejected</v>
      </c>
      <c r="AU83" s="9" t="e">
        <f t="shared" ca="1" si="22"/>
        <v>#N/A</v>
      </c>
      <c r="AW83" s="2">
        <f t="shared" ca="1" si="30"/>
        <v>0.87289074557686541</v>
      </c>
      <c r="AX83" s="2">
        <f t="shared" ca="1" si="31"/>
        <v>3.9107874768862502E-2</v>
      </c>
      <c r="AY83" s="2">
        <f t="shared" ca="1" si="32"/>
        <v>2.8446650466177065E-6</v>
      </c>
      <c r="AZ83" s="2">
        <f t="shared" ca="1" si="33"/>
        <v>7.0915971951422898E-6</v>
      </c>
      <c r="BA83" s="2">
        <f t="shared" ca="1" si="34"/>
        <v>0.1605264874507131</v>
      </c>
      <c r="BB83" s="2">
        <f t="shared" ca="1" si="35"/>
        <v>1.8644857502176277E-2</v>
      </c>
      <c r="BC83" s="9" t="str">
        <f t="shared" ca="1" si="23"/>
        <v>rejected</v>
      </c>
      <c r="BD83" s="9" t="e">
        <f t="shared" ca="1" si="36"/>
        <v>#N/A</v>
      </c>
    </row>
    <row r="84" spans="1:56" ht="15" x14ac:dyDescent="0.25">
      <c r="A84" s="90">
        <v>18</v>
      </c>
      <c r="B84" s="90">
        <v>1542620827.947</v>
      </c>
      <c r="C84" s="91">
        <v>4.3878138545277702E-4</v>
      </c>
      <c r="D84" s="91">
        <v>2.0281985459770101E-4</v>
      </c>
      <c r="E84" s="91">
        <v>1.5906694834750901E-3</v>
      </c>
      <c r="F84" s="91">
        <v>-6.0405804782338503E-5</v>
      </c>
      <c r="G84" s="91">
        <v>1.1182762872119899E-3</v>
      </c>
      <c r="H84" s="91">
        <v>4.6604792128590599E-4</v>
      </c>
      <c r="I84" s="91">
        <v>5.4563231278274204E-3</v>
      </c>
      <c r="J84" s="91"/>
      <c r="K84" s="91"/>
      <c r="L84" s="89"/>
      <c r="M84" s="89"/>
      <c r="O84" s="11">
        <f t="shared" ca="1" si="37"/>
        <v>4.4994559288270776E-5</v>
      </c>
      <c r="P84" s="11">
        <f t="shared" ca="1" si="38"/>
        <v>3.9235796887481336E-5</v>
      </c>
      <c r="Q84" s="11">
        <f t="shared" ca="1" si="39"/>
        <v>-2.3359918902763916E-5</v>
      </c>
      <c r="R84" s="11">
        <f t="shared" ca="1" si="40"/>
        <v>-7.5259564903974122E-5</v>
      </c>
      <c r="S84" s="11">
        <f t="shared" ca="1" si="41"/>
        <v>-2.7526396643043436E-5</v>
      </c>
      <c r="T84" s="11">
        <f t="shared" ca="1" si="42"/>
        <v>-2.4491422138200772E-5</v>
      </c>
      <c r="U84" s="11">
        <f t="shared" ca="1" si="43"/>
        <v>-5.1116437626172635E-5</v>
      </c>
      <c r="V84" s="11"/>
      <c r="W84" s="11">
        <f t="shared" ca="1" si="25"/>
        <v>0</v>
      </c>
      <c r="X84" s="2">
        <f t="shared" ca="1" si="6"/>
        <v>2.9866805087550132E-5</v>
      </c>
      <c r="Y84" s="2">
        <f t="shared" ca="1" si="7"/>
        <v>-1.6817221385290101E-4</v>
      </c>
      <c r="Z84" s="11">
        <f t="shared" ca="1" si="26"/>
        <v>-7.5259564903974122E-5</v>
      </c>
      <c r="AA84" s="2">
        <f t="shared" ca="1" si="8"/>
        <v>-2.7812231277304061E-5</v>
      </c>
      <c r="AB84" s="11">
        <f t="shared" ca="1" si="27"/>
        <v>-2.4491422138200772E-5</v>
      </c>
      <c r="AC84" s="2">
        <f t="shared" ca="1" si="9"/>
        <v>-6.4094226267558821E-5</v>
      </c>
      <c r="AF84" s="11">
        <f t="shared" ca="1" si="28"/>
        <v>0</v>
      </c>
      <c r="AG84" s="2">
        <f t="shared" ca="1" si="10"/>
        <v>2.0478450367431807E-5</v>
      </c>
      <c r="AH84" s="2">
        <f t="shared" ca="1" si="11"/>
        <v>-3.1338983062399349E-4</v>
      </c>
      <c r="AI84" s="2">
        <f t="shared" ca="1" si="12"/>
        <v>-7.5322224310251303E-5</v>
      </c>
      <c r="AJ84" s="2">
        <f t="shared" ca="1" si="13"/>
        <v>-2.9065145723032139E-5</v>
      </c>
      <c r="AK84" s="2">
        <f t="shared" ca="1" si="14"/>
        <v>-2.533570755208433E-5</v>
      </c>
      <c r="AL84" s="2">
        <f t="shared" ca="1" si="15"/>
        <v>-7.8661491213397728E-5</v>
      </c>
      <c r="AN84" s="2" t="e">
        <f t="shared" ca="1" si="16"/>
        <v>#N/A</v>
      </c>
      <c r="AO84" s="2" t="e">
        <f t="shared" ca="1" si="29"/>
        <v>#N/A</v>
      </c>
      <c r="AP84" s="2" t="e">
        <f t="shared" ca="1" si="17"/>
        <v>#N/A</v>
      </c>
      <c r="AQ84" s="2" t="e">
        <f t="shared" ca="1" si="18"/>
        <v>#N/A</v>
      </c>
      <c r="AR84" s="2" t="e">
        <f t="shared" ca="1" si="19"/>
        <v>#N/A</v>
      </c>
      <c r="AS84" s="2" t="e">
        <f t="shared" ca="1" si="20"/>
        <v>#N/A</v>
      </c>
      <c r="AT84" s="9" t="e">
        <f t="shared" ca="1" si="21"/>
        <v>#N/A</v>
      </c>
      <c r="AU84" s="9" t="e">
        <f t="shared" ca="1" si="22"/>
        <v>#N/A</v>
      </c>
      <c r="AW84" s="2" t="e">
        <f t="shared" ca="1" si="30"/>
        <v>#N/A</v>
      </c>
      <c r="AX84" s="2" t="e">
        <f t="shared" ca="1" si="31"/>
        <v>#N/A</v>
      </c>
      <c r="AY84" s="2" t="e">
        <f t="shared" ca="1" si="32"/>
        <v>#N/A</v>
      </c>
      <c r="AZ84" s="2" t="e">
        <f t="shared" ca="1" si="33"/>
        <v>#N/A</v>
      </c>
      <c r="BA84" s="2" t="e">
        <f t="shared" ca="1" si="34"/>
        <v>#N/A</v>
      </c>
      <c r="BB84" s="2" t="e">
        <f t="shared" ca="1" si="35"/>
        <v>#N/A</v>
      </c>
      <c r="BC84" s="9" t="e">
        <f t="shared" ca="1" si="23"/>
        <v>#N/A</v>
      </c>
      <c r="BD84" s="9" t="e">
        <f t="shared" ca="1" si="36"/>
        <v>#N/A</v>
      </c>
    </row>
    <row r="85" spans="1:56" ht="15" x14ac:dyDescent="0.25">
      <c r="A85" s="90">
        <v>19</v>
      </c>
      <c r="B85" s="90">
        <v>1542620828.474</v>
      </c>
      <c r="C85" s="91">
        <v>4.5329841344770498E-4</v>
      </c>
      <c r="D85" s="91">
        <v>1.4539668545562301E-4</v>
      </c>
      <c r="E85" s="91">
        <v>1.66688520646659E-3</v>
      </c>
      <c r="F85" s="91">
        <v>1.14006305985901E-4</v>
      </c>
      <c r="G85" s="91">
        <v>1.20339909271093E-3</v>
      </c>
      <c r="H85" s="91">
        <v>5.5083238140801304E-4</v>
      </c>
      <c r="I85" s="91">
        <v>5.61233061552257E-3</v>
      </c>
      <c r="J85" s="91"/>
      <c r="K85" s="91"/>
      <c r="L85" s="89"/>
      <c r="M85" s="89"/>
      <c r="O85" s="11">
        <f t="shared" ca="1" si="37"/>
        <v>5.9511587283198736E-5</v>
      </c>
      <c r="P85" s="11">
        <f t="shared" ca="1" si="38"/>
        <v>-1.8187372254596662E-5</v>
      </c>
      <c r="Q85" s="11">
        <f t="shared" ca="1" si="39"/>
        <v>5.2855804088736006E-5</v>
      </c>
      <c r="R85" s="11">
        <f t="shared" ca="1" si="40"/>
        <v>9.9152545864265371E-5</v>
      </c>
      <c r="S85" s="11">
        <f t="shared" ca="1" si="41"/>
        <v>5.7596408855896657E-5</v>
      </c>
      <c r="T85" s="11">
        <f t="shared" ca="1" si="42"/>
        <v>6.0293037983906277E-5</v>
      </c>
      <c r="U85" s="11">
        <f t="shared" ca="1" si="43"/>
        <v>1.0489105006897693E-4</v>
      </c>
      <c r="V85" s="11"/>
      <c r="W85" s="11">
        <f t="shared" ca="1" si="25"/>
        <v>0</v>
      </c>
      <c r="X85" s="2">
        <f t="shared" ca="1" si="6"/>
        <v>-3.0579172109441004E-5</v>
      </c>
      <c r="Y85" s="2">
        <f t="shared" ca="1" si="7"/>
        <v>-1.3867867623346494E-4</v>
      </c>
      <c r="Z85" s="11">
        <f t="shared" ca="1" si="26"/>
        <v>9.9152545864265371E-5</v>
      </c>
      <c r="AA85" s="2">
        <f t="shared" ca="1" si="8"/>
        <v>5.7218352640780075E-5</v>
      </c>
      <c r="AB85" s="11">
        <f t="shared" ca="1" si="27"/>
        <v>6.0293037983906277E-5</v>
      </c>
      <c r="AC85" s="2">
        <f t="shared" ca="1" si="9"/>
        <v>8.7726112492266621E-5</v>
      </c>
      <c r="AF85" s="11">
        <f t="shared" ca="1" si="28"/>
        <v>0</v>
      </c>
      <c r="AG85" s="2">
        <f t="shared" ca="1" si="10"/>
        <v>-4.2996582129892054E-5</v>
      </c>
      <c r="AH85" s="2">
        <f t="shared" ca="1" si="11"/>
        <v>-3.3074925125927291E-4</v>
      </c>
      <c r="AI85" s="2">
        <f t="shared" ca="1" si="12"/>
        <v>9.9069670050283348E-5</v>
      </c>
      <c r="AJ85" s="2">
        <f t="shared" ca="1" si="13"/>
        <v>5.5561198340909776E-5</v>
      </c>
      <c r="AK85" s="2">
        <f t="shared" ca="1" si="14"/>
        <v>6.0293037983906277E-5</v>
      </c>
      <c r="AL85" s="2">
        <f t="shared" ca="1" si="15"/>
        <v>6.8458870563134914E-5</v>
      </c>
      <c r="AN85" s="2">
        <f t="shared" ca="1" si="16"/>
        <v>1.821138715981566</v>
      </c>
      <c r="AO85" s="2">
        <f t="shared" ca="1" si="29"/>
        <v>8.2322980160947343E-2</v>
      </c>
      <c r="AP85" s="2">
        <f t="shared" ca="1" si="17"/>
        <v>8.1625330660913403E-6</v>
      </c>
      <c r="AQ85" s="2">
        <f t="shared" ca="1" si="18"/>
        <v>5.2130504917814933E-5</v>
      </c>
      <c r="AR85" s="2">
        <f t="shared" ca="1" si="19"/>
        <v>1.9516590228880801</v>
      </c>
      <c r="AS85" s="2">
        <f t="shared" ca="1" si="20"/>
        <v>0.19259174499417572</v>
      </c>
      <c r="AT85" s="9" t="str">
        <f t="shared" ca="1" si="21"/>
        <v>rejected</v>
      </c>
      <c r="AU85" s="9" t="e">
        <f t="shared" ca="1" si="22"/>
        <v>#N/A</v>
      </c>
      <c r="AW85" s="2">
        <f t="shared" ca="1" si="30"/>
        <v>1.2321345220649889</v>
      </c>
      <c r="AX85" s="2">
        <f t="shared" ca="1" si="31"/>
        <v>5.5434241630060464E-2</v>
      </c>
      <c r="AY85" s="2">
        <f t="shared" ca="1" si="32"/>
        <v>5.4918520277777715E-6</v>
      </c>
      <c r="AZ85" s="2">
        <f t="shared" ca="1" si="33"/>
        <v>5.4801185956128506E-5</v>
      </c>
      <c r="BA85" s="2">
        <f t="shared" ca="1" si="34"/>
        <v>2.589273638616056</v>
      </c>
      <c r="BB85" s="2">
        <f t="shared" ca="1" si="35"/>
        <v>-0.83760160519197058</v>
      </c>
      <c r="BC85" s="9" t="str">
        <f t="shared" ca="1" si="23"/>
        <v>rejected</v>
      </c>
      <c r="BD85" s="9" t="e">
        <f t="shared" ca="1" si="36"/>
        <v>#N/A</v>
      </c>
    </row>
    <row r="86" spans="1:56" ht="15" x14ac:dyDescent="0.25">
      <c r="A86" s="90">
        <v>20</v>
      </c>
      <c r="B86" s="90">
        <v>1542620829</v>
      </c>
      <c r="C86" s="91">
        <v>3.9189996554640501E-4</v>
      </c>
      <c r="D86" s="91">
        <v>2.3944953765726E-4</v>
      </c>
      <c r="E86" s="91">
        <v>1.76995338696582E-3</v>
      </c>
      <c r="F86" s="91">
        <v>4.8806399350872399E-5</v>
      </c>
      <c r="G86" s="91">
        <v>1.1208990106026E-3</v>
      </c>
      <c r="H86" s="91">
        <v>5.1045793049991602E-4</v>
      </c>
      <c r="I86" s="91">
        <v>5.4630120777430201E-3</v>
      </c>
      <c r="J86" s="91"/>
      <c r="K86" s="91"/>
      <c r="L86" s="89"/>
      <c r="M86" s="89"/>
      <c r="O86" s="11">
        <f t="shared" ca="1" si="37"/>
        <v>-1.8868606181012405E-6</v>
      </c>
      <c r="P86" s="11">
        <f t="shared" ca="1" si="38"/>
        <v>7.5865479947040328E-5</v>
      </c>
      <c r="Q86" s="11">
        <f t="shared" ca="1" si="39"/>
        <v>1.5592398458796593E-4</v>
      </c>
      <c r="R86" s="11">
        <f t="shared" ca="1" si="40"/>
        <v>3.3952639229236779E-5</v>
      </c>
      <c r="S86" s="11">
        <f t="shared" ca="1" si="41"/>
        <v>-2.4903673252433351E-5</v>
      </c>
      <c r="T86" s="11">
        <f t="shared" ca="1" si="42"/>
        <v>1.9918587075809253E-5</v>
      </c>
      <c r="U86" s="11">
        <f t="shared" ca="1" si="43"/>
        <v>-4.4427487710572977E-5</v>
      </c>
      <c r="V86" s="11"/>
      <c r="W86" s="11">
        <f t="shared" ca="1" si="25"/>
        <v>0</v>
      </c>
      <c r="X86" s="2">
        <f t="shared" ca="1" si="6"/>
        <v>7.5865479947040328E-5</v>
      </c>
      <c r="Y86" s="2">
        <f t="shared" ca="1" si="7"/>
        <v>1.5592398458796593E-4</v>
      </c>
      <c r="Z86" s="11">
        <f t="shared" ca="1" si="26"/>
        <v>3.3952639229236779E-5</v>
      </c>
      <c r="AA86" s="2">
        <f t="shared" ca="1" si="8"/>
        <v>-2.4903673252433351E-5</v>
      </c>
      <c r="AB86" s="11">
        <f t="shared" ca="1" si="27"/>
        <v>1.9918587075809253E-5</v>
      </c>
      <c r="AC86" s="2">
        <f t="shared" ca="1" si="9"/>
        <v>-4.4427487710572977E-5</v>
      </c>
      <c r="AF86" s="11">
        <f t="shared" ca="1" si="28"/>
        <v>0</v>
      </c>
      <c r="AG86" s="2">
        <f t="shared" ca="1" si="10"/>
        <v>7.5865479947040328E-5</v>
      </c>
      <c r="AH86" s="2">
        <f t="shared" ca="1" si="11"/>
        <v>1.5592398458796593E-4</v>
      </c>
      <c r="AI86" s="2">
        <f t="shared" ca="1" si="12"/>
        <v>3.3952639229236779E-5</v>
      </c>
      <c r="AJ86" s="2">
        <f t="shared" ca="1" si="13"/>
        <v>-2.4903673252433351E-5</v>
      </c>
      <c r="AK86" s="2">
        <f t="shared" ca="1" si="14"/>
        <v>1.8286095238820506E-5</v>
      </c>
      <c r="AL86" s="2">
        <f t="shared" ca="1" si="15"/>
        <v>-4.4427487710572977E-5</v>
      </c>
      <c r="AN86" s="2" t="e">
        <f t="shared" ca="1" si="16"/>
        <v>#N/A</v>
      </c>
      <c r="AO86" s="2" t="e">
        <f t="shared" ca="1" si="29"/>
        <v>#N/A</v>
      </c>
      <c r="AP86" s="2" t="e">
        <f t="shared" ca="1" si="17"/>
        <v>#N/A</v>
      </c>
      <c r="AQ86" s="2" t="e">
        <f t="shared" ca="1" si="18"/>
        <v>#N/A</v>
      </c>
      <c r="AR86" s="2" t="e">
        <f t="shared" ca="1" si="19"/>
        <v>#N/A</v>
      </c>
      <c r="AS86" s="2" t="e">
        <f t="shared" ca="1" si="20"/>
        <v>#N/A</v>
      </c>
      <c r="AT86" s="9" t="e">
        <f t="shared" ca="1" si="21"/>
        <v>#N/A</v>
      </c>
      <c r="AU86" s="9" t="e">
        <f t="shared" ca="1" si="22"/>
        <v>#N/A</v>
      </c>
      <c r="AW86" s="2" t="e">
        <f t="shared" ca="1" si="30"/>
        <v>#N/A</v>
      </c>
      <c r="AX86" s="2" t="e">
        <f t="shared" ca="1" si="31"/>
        <v>#N/A</v>
      </c>
      <c r="AY86" s="2" t="e">
        <f t="shared" ca="1" si="32"/>
        <v>#N/A</v>
      </c>
      <c r="AZ86" s="2" t="e">
        <f t="shared" ca="1" si="33"/>
        <v>#N/A</v>
      </c>
      <c r="BA86" s="2" t="e">
        <f t="shared" ca="1" si="34"/>
        <v>#N/A</v>
      </c>
      <c r="BB86" s="2" t="e">
        <f t="shared" ca="1" si="35"/>
        <v>#N/A</v>
      </c>
      <c r="BC86" s="9" t="e">
        <f t="shared" ca="1" si="23"/>
        <v>#N/A</v>
      </c>
      <c r="BD86" s="9" t="e">
        <f t="shared" ca="1" si="36"/>
        <v>#N/A</v>
      </c>
    </row>
    <row r="87" spans="1:56" ht="15" x14ac:dyDescent="0.25">
      <c r="A87" s="90">
        <v>21</v>
      </c>
      <c r="B87" s="90">
        <v>1542620829.527</v>
      </c>
      <c r="C87" s="91">
        <v>4.6852962046007001E-4</v>
      </c>
      <c r="D87" s="91">
        <v>1.81315315681032E-4</v>
      </c>
      <c r="E87" s="91">
        <v>1.61319805827441E-3</v>
      </c>
      <c r="F87" s="91">
        <v>-8.1818561966207301E-5</v>
      </c>
      <c r="G87" s="91">
        <v>1.14235791481942E-3</v>
      </c>
      <c r="H87" s="91">
        <v>5.6437006300879601E-4</v>
      </c>
      <c r="I87" s="91">
        <v>5.5246480741727401E-3</v>
      </c>
      <c r="J87" s="91"/>
      <c r="K87" s="91"/>
      <c r="L87" s="89"/>
      <c r="M87" s="89"/>
      <c r="O87" s="11">
        <f t="shared" ca="1" si="37"/>
        <v>7.4742794295563767E-5</v>
      </c>
      <c r="P87" s="11">
        <f t="shared" ca="1" si="38"/>
        <v>1.7731257970812325E-5</v>
      </c>
      <c r="Q87" s="11">
        <f t="shared" ca="1" si="39"/>
        <v>-8.3134410344405489E-7</v>
      </c>
      <c r="R87" s="11">
        <f t="shared" ca="1" si="40"/>
        <v>-9.6672322087842927E-5</v>
      </c>
      <c r="S87" s="11">
        <f t="shared" ca="1" si="41"/>
        <v>-3.4447690356134188E-6</v>
      </c>
      <c r="T87" s="11">
        <f t="shared" ca="1" si="42"/>
        <v>7.3830719584689242E-5</v>
      </c>
      <c r="U87" s="11">
        <f t="shared" ca="1" si="43"/>
        <v>1.7208508719146996E-5</v>
      </c>
      <c r="V87" s="11"/>
      <c r="W87" s="11">
        <f t="shared" ca="1" si="25"/>
        <v>0</v>
      </c>
      <c r="X87" s="2">
        <f t="shared" ca="1" si="6"/>
        <v>2.167940140035674E-6</v>
      </c>
      <c r="Y87" s="2">
        <f t="shared" ca="1" si="7"/>
        <v>-2.413865522027515E-4</v>
      </c>
      <c r="Z87" s="11">
        <f t="shared" ca="1" si="26"/>
        <v>-9.6672322087842927E-5</v>
      </c>
      <c r="AA87" s="2">
        <f t="shared" ca="1" si="8"/>
        <v>-3.9195837600829805E-6</v>
      </c>
      <c r="AB87" s="11">
        <f t="shared" ca="1" si="27"/>
        <v>7.3830719584689242E-5</v>
      </c>
      <c r="AC87" s="2">
        <f t="shared" ca="1" si="9"/>
        <v>-4.3495685723732499E-6</v>
      </c>
      <c r="AF87" s="11">
        <f t="shared" ca="1" si="28"/>
        <v>0</v>
      </c>
      <c r="AG87" s="2">
        <f t="shared" ca="1" si="10"/>
        <v>-1.342754244095522E-5</v>
      </c>
      <c r="AH87" s="2">
        <f t="shared" ca="1" si="11"/>
        <v>-4.8261506138482055E-4</v>
      </c>
      <c r="AI87" s="2">
        <f t="shared" ca="1" si="12"/>
        <v>-9.6776408874959846E-5</v>
      </c>
      <c r="AJ87" s="2">
        <f t="shared" ca="1" si="13"/>
        <v>-6.0008648786960471E-6</v>
      </c>
      <c r="AK87" s="2">
        <f t="shared" ca="1" si="14"/>
        <v>7.3449174066001434E-5</v>
      </c>
      <c r="AL87" s="2">
        <f t="shared" ca="1" si="15"/>
        <v>-2.8548007328492883E-5</v>
      </c>
      <c r="AN87" s="2" t="e">
        <f t="shared" ca="1" si="16"/>
        <v>#N/A</v>
      </c>
      <c r="AO87" s="2" t="e">
        <f t="shared" ca="1" si="29"/>
        <v>#N/A</v>
      </c>
      <c r="AP87" s="2" t="e">
        <f t="shared" ca="1" si="17"/>
        <v>#N/A</v>
      </c>
      <c r="AQ87" s="2" t="e">
        <f t="shared" ca="1" si="18"/>
        <v>#N/A</v>
      </c>
      <c r="AR87" s="2" t="e">
        <f t="shared" ca="1" si="19"/>
        <v>#N/A</v>
      </c>
      <c r="AS87" s="2" t="e">
        <f t="shared" ca="1" si="20"/>
        <v>#N/A</v>
      </c>
      <c r="AT87" s="9" t="e">
        <f t="shared" ca="1" si="21"/>
        <v>#N/A</v>
      </c>
      <c r="AU87" s="9" t="e">
        <f t="shared" ca="1" si="22"/>
        <v>#N/A</v>
      </c>
      <c r="AW87" s="2" t="e">
        <f t="shared" ca="1" si="30"/>
        <v>#N/A</v>
      </c>
      <c r="AX87" s="2" t="e">
        <f t="shared" ca="1" si="31"/>
        <v>#N/A</v>
      </c>
      <c r="AY87" s="2" t="e">
        <f t="shared" ca="1" si="32"/>
        <v>#N/A</v>
      </c>
      <c r="AZ87" s="2" t="e">
        <f t="shared" ca="1" si="33"/>
        <v>#N/A</v>
      </c>
      <c r="BA87" s="2" t="e">
        <f t="shared" ca="1" si="34"/>
        <v>#N/A</v>
      </c>
      <c r="BB87" s="2" t="e">
        <f t="shared" ca="1" si="35"/>
        <v>#N/A</v>
      </c>
      <c r="BC87" s="9" t="e">
        <f t="shared" ca="1" si="23"/>
        <v>#N/A</v>
      </c>
      <c r="BD87" s="9" t="e">
        <f t="shared" ca="1" si="36"/>
        <v>#N/A</v>
      </c>
    </row>
    <row r="88" spans="1:56" ht="15" x14ac:dyDescent="0.25">
      <c r="A88" s="90">
        <v>22</v>
      </c>
      <c r="B88" s="90">
        <v>1542620830.0539999</v>
      </c>
      <c r="C88" s="91">
        <v>4.70433537667872E-4</v>
      </c>
      <c r="D88" s="91">
        <v>1.35944630408831E-4</v>
      </c>
      <c r="E88" s="91">
        <v>1.59953705376813E-3</v>
      </c>
      <c r="F88" s="91">
        <v>-5.9201632069706797E-6</v>
      </c>
      <c r="G88" s="91">
        <v>1.16906297183664E-3</v>
      </c>
      <c r="H88" s="91">
        <v>5.7553285090888797E-4</v>
      </c>
      <c r="I88" s="91">
        <v>5.6429137965338201E-3</v>
      </c>
      <c r="J88" s="91"/>
      <c r="K88" s="91"/>
      <c r="L88" s="89"/>
      <c r="M88" s="89"/>
      <c r="O88" s="11">
        <f t="shared" ca="1" si="37"/>
        <v>7.6646711503365757E-5</v>
      </c>
      <c r="P88" s="11">
        <f t="shared" ca="1" si="38"/>
        <v>-2.7639427301388674E-5</v>
      </c>
      <c r="Q88" s="11">
        <f t="shared" ca="1" si="39"/>
        <v>-1.4492348609724051E-5</v>
      </c>
      <c r="R88" s="11">
        <f t="shared" ca="1" si="40"/>
        <v>-2.07739233286063E-5</v>
      </c>
      <c r="S88" s="11">
        <f t="shared" ca="1" si="41"/>
        <v>2.3260287981606651E-5</v>
      </c>
      <c r="T88" s="11">
        <f t="shared" ca="1" si="42"/>
        <v>8.4993507484781199E-5</v>
      </c>
      <c r="U88" s="11">
        <f t="shared" ca="1" si="43"/>
        <v>1.3547423108022701E-4</v>
      </c>
      <c r="V88" s="11"/>
      <c r="W88" s="11">
        <f t="shared" ca="1" si="25"/>
        <v>0</v>
      </c>
      <c r="X88" s="2">
        <f t="shared" ca="1" si="6"/>
        <v>-4.3599188279732605E-5</v>
      </c>
      <c r="Y88" s="2">
        <f t="shared" ca="1" si="7"/>
        <v>-2.6117520024234055E-4</v>
      </c>
      <c r="Z88" s="11">
        <f t="shared" ca="1" si="26"/>
        <v>-2.07739233286063E-5</v>
      </c>
      <c r="AA88" s="2">
        <f t="shared" ca="1" si="8"/>
        <v>2.277337833972123E-5</v>
      </c>
      <c r="AB88" s="11">
        <f t="shared" ca="1" si="27"/>
        <v>8.4993507484781199E-5</v>
      </c>
      <c r="AC88" s="2">
        <f t="shared" ca="1" si="9"/>
        <v>1.1336700661392839E-4</v>
      </c>
      <c r="AF88" s="11">
        <f t="shared" ca="1" si="28"/>
        <v>0</v>
      </c>
      <c r="AG88" s="2">
        <f t="shared" ca="1" si="10"/>
        <v>-5.9591933338394702E-5</v>
      </c>
      <c r="AH88" s="2">
        <f t="shared" ca="1" si="11"/>
        <v>-5.0854850390222891E-4</v>
      </c>
      <c r="AI88" s="2">
        <f t="shared" ca="1" si="12"/>
        <v>-2.0880661510107979E-5</v>
      </c>
      <c r="AJ88" s="2">
        <f t="shared" ca="1" si="13"/>
        <v>2.0639080914006625E-5</v>
      </c>
      <c r="AK88" s="2">
        <f t="shared" ca="1" si="14"/>
        <v>8.4993507484781199E-5</v>
      </c>
      <c r="AL88" s="2">
        <f t="shared" ca="1" si="15"/>
        <v>8.8552162967090711E-5</v>
      </c>
      <c r="AN88" s="2">
        <f t="shared" ca="1" si="16"/>
        <v>5.824271444418696</v>
      </c>
      <c r="AO88" s="2">
        <f t="shared" ca="1" si="29"/>
        <v>0.26701980299922229</v>
      </c>
      <c r="AP88" s="2">
        <f t="shared" ca="1" si="17"/>
        <v>-5.5470489147254022E-6</v>
      </c>
      <c r="AQ88" s="2">
        <f t="shared" ca="1" si="18"/>
        <v>9.0540556399506598E-5</v>
      </c>
      <c r="AR88" s="2">
        <f t="shared" ca="1" si="19"/>
        <v>4.6738196623913346</v>
      </c>
      <c r="AS88" s="2">
        <f t="shared" ca="1" si="20"/>
        <v>-0.42963710690630097</v>
      </c>
      <c r="AT88" s="9" t="str">
        <f t="shared" ca="1" si="21"/>
        <v>rejected</v>
      </c>
      <c r="AU88" s="9" t="e">
        <f t="shared" ca="1" si="22"/>
        <v>#N/A</v>
      </c>
      <c r="AW88" s="2">
        <f t="shared" ca="1" si="30"/>
        <v>4.2905090268334165</v>
      </c>
      <c r="AX88" s="2">
        <f t="shared" ca="1" si="31"/>
        <v>0.19597505551296782</v>
      </c>
      <c r="AY88" s="2">
        <f t="shared" ca="1" si="32"/>
        <v>-4.0920887985909016E-6</v>
      </c>
      <c r="AZ88" s="2">
        <f t="shared" ca="1" si="33"/>
        <v>8.9085596283372103E-5</v>
      </c>
      <c r="BA88" s="2">
        <f t="shared" ca="1" si="34"/>
        <v>6.0451120984283149</v>
      </c>
      <c r="BB88" s="2">
        <f t="shared" ca="1" si="35"/>
        <v>-12.427999840779329</v>
      </c>
      <c r="BC88" s="9" t="str">
        <f t="shared" ca="1" si="23"/>
        <v>rejected</v>
      </c>
      <c r="BD88" s="9" t="e">
        <f t="shared" ca="1" si="36"/>
        <v>#N/A</v>
      </c>
    </row>
    <row r="89" spans="1:56" ht="15" x14ac:dyDescent="0.25">
      <c r="A89" s="90">
        <v>23</v>
      </c>
      <c r="B89" s="90">
        <v>1542620830.5810001</v>
      </c>
      <c r="C89" s="91">
        <v>5.3612090386022295E-4</v>
      </c>
      <c r="D89" s="91">
        <v>1.93603566575353E-4</v>
      </c>
      <c r="E89" s="91">
        <v>1.61607408286334E-3</v>
      </c>
      <c r="F89" s="91">
        <v>3.5005505136759903E-5</v>
      </c>
      <c r="G89" s="91">
        <v>1.1929073751832499E-3</v>
      </c>
      <c r="H89" s="91">
        <v>5.0998294668234804E-4</v>
      </c>
      <c r="I89" s="91">
        <v>5.5540340113988101E-3</v>
      </c>
      <c r="J89" s="91"/>
      <c r="K89" s="91"/>
      <c r="L89" s="89"/>
      <c r="M89" s="89"/>
      <c r="O89" s="11">
        <f t="shared" ca="1" si="37"/>
        <v>1.423340776957167E-4</v>
      </c>
      <c r="P89" s="11">
        <f t="shared" ca="1" si="38"/>
        <v>3.0019508865133324E-5</v>
      </c>
      <c r="Q89" s="11">
        <f t="shared" ca="1" si="39"/>
        <v>2.0446804854859762E-6</v>
      </c>
      <c r="R89" s="11">
        <f t="shared" ca="1" si="40"/>
        <v>2.015174501512428E-5</v>
      </c>
      <c r="S89" s="11">
        <f t="shared" ca="1" si="41"/>
        <v>4.7104691328216531E-5</v>
      </c>
      <c r="T89" s="11">
        <f t="shared" ca="1" si="42"/>
        <v>1.9443603258241277E-5</v>
      </c>
      <c r="U89" s="11">
        <f t="shared" ca="1" si="43"/>
        <v>4.6594445945217014E-5</v>
      </c>
      <c r="V89" s="11"/>
      <c r="W89" s="11">
        <f t="shared" ca="1" si="25"/>
        <v>0</v>
      </c>
      <c r="X89" s="2">
        <f t="shared" ca="1" si="6"/>
        <v>3.8199651084373391E-7</v>
      </c>
      <c r="Y89" s="2">
        <f t="shared" ca="1" si="7"/>
        <v>-4.5604902610407803E-4</v>
      </c>
      <c r="Z89" s="11">
        <f t="shared" ca="1" si="26"/>
        <v>2.015174501512428E-5</v>
      </c>
      <c r="AA89" s="2">
        <f t="shared" ca="1" si="8"/>
        <v>4.6200492916574702E-5</v>
      </c>
      <c r="AB89" s="11">
        <f t="shared" ca="1" si="27"/>
        <v>1.9443603258241277E-5</v>
      </c>
      <c r="AC89" s="2">
        <f t="shared" ca="1" si="9"/>
        <v>5.5410029063121741E-6</v>
      </c>
      <c r="AF89" s="11">
        <f t="shared" ca="1" si="28"/>
        <v>0</v>
      </c>
      <c r="AG89" s="2">
        <f t="shared" ca="1" si="10"/>
        <v>-2.9316767768788035E-5</v>
      </c>
      <c r="AH89" s="2">
        <f t="shared" ca="1" si="11"/>
        <v>-9.1542491232754009E-4</v>
      </c>
      <c r="AI89" s="2">
        <f t="shared" ca="1" si="12"/>
        <v>1.9953530632263346E-5</v>
      </c>
      <c r="AJ89" s="2">
        <f t="shared" ca="1" si="13"/>
        <v>4.2237071007676615E-5</v>
      </c>
      <c r="AK89" s="2">
        <f t="shared" ca="1" si="14"/>
        <v>1.8797636170087986E-5</v>
      </c>
      <c r="AL89" s="2">
        <f t="shared" ca="1" si="15"/>
        <v>-4.0540529025830251E-5</v>
      </c>
      <c r="AN89" s="2">
        <f t="shared" ca="1" si="16"/>
        <v>0.98916784361361754</v>
      </c>
      <c r="AO89" s="2">
        <f t="shared" ca="1" si="29"/>
        <v>4.4384673753344928E-2</v>
      </c>
      <c r="AP89" s="2">
        <f t="shared" ca="1" si="17"/>
        <v>8.9442862805688615E-7</v>
      </c>
      <c r="AQ89" s="2">
        <f t="shared" ca="1" si="18"/>
        <v>1.8549174630184392E-5</v>
      </c>
      <c r="AR89" s="2">
        <f t="shared" ca="1" si="19"/>
        <v>1.1546672549597905</v>
      </c>
      <c r="AS89" s="2">
        <f t="shared" ca="1" si="20"/>
        <v>4.8782670380244694E-3</v>
      </c>
      <c r="AT89" s="9" t="str">
        <f t="shared" ca="1" si="21"/>
        <v>rejected</v>
      </c>
      <c r="AU89" s="9" t="e">
        <f t="shared" ca="1" si="22"/>
        <v>#N/A</v>
      </c>
      <c r="AW89" s="2" t="e">
        <f t="shared" ca="1" si="30"/>
        <v>#N/A</v>
      </c>
      <c r="AX89" s="2" t="e">
        <f t="shared" ca="1" si="31"/>
        <v>#N/A</v>
      </c>
      <c r="AY89" s="2" t="e">
        <f t="shared" ca="1" si="32"/>
        <v>#N/A</v>
      </c>
      <c r="AZ89" s="2" t="e">
        <f t="shared" ca="1" si="33"/>
        <v>#N/A</v>
      </c>
      <c r="BA89" s="2" t="e">
        <f t="shared" ca="1" si="34"/>
        <v>#N/A</v>
      </c>
      <c r="BB89" s="2" t="e">
        <f t="shared" ca="1" si="35"/>
        <v>#N/A</v>
      </c>
      <c r="BC89" s="9" t="e">
        <f t="shared" ca="1" si="23"/>
        <v>#N/A</v>
      </c>
      <c r="BD89" s="9" t="e">
        <f t="shared" ca="1" si="36"/>
        <v>#N/A</v>
      </c>
    </row>
    <row r="90" spans="1:56" ht="15" x14ac:dyDescent="0.25">
      <c r="A90" s="90">
        <v>24</v>
      </c>
      <c r="B90" s="90">
        <v>1542620831.108</v>
      </c>
      <c r="C90" s="91">
        <v>4.4068524595522999E-4</v>
      </c>
      <c r="D90" s="91">
        <v>1.66900446063994E-4</v>
      </c>
      <c r="E90" s="91">
        <v>1.6024130392994899E-3</v>
      </c>
      <c r="F90" s="91">
        <v>-1.2820256013793299E-5</v>
      </c>
      <c r="G90" s="91">
        <v>1.0896652059890499E-3</v>
      </c>
      <c r="H90" s="91">
        <v>5.3824487733247002E-4</v>
      </c>
      <c r="I90" s="91">
        <v>5.4085462123238098E-3</v>
      </c>
      <c r="J90" s="91"/>
      <c r="K90" s="91"/>
      <c r="L90" s="89"/>
      <c r="M90" s="89"/>
      <c r="O90" s="11">
        <f t="shared" ca="1" si="37"/>
        <v>4.6898419790723745E-5</v>
      </c>
      <c r="P90" s="11">
        <f t="shared" ca="1" si="38"/>
        <v>3.3163883537743301E-6</v>
      </c>
      <c r="Q90" s="11">
        <f t="shared" ca="1" si="39"/>
        <v>-1.1616363078364132E-5</v>
      </c>
      <c r="R90" s="11">
        <f t="shared" ca="1" si="40"/>
        <v>-2.7674016135428923E-5</v>
      </c>
      <c r="S90" s="11">
        <f t="shared" ca="1" si="41"/>
        <v>-5.6137477865983486E-5</v>
      </c>
      <c r="T90" s="11">
        <f t="shared" ca="1" si="42"/>
        <v>4.7705533908363258E-5</v>
      </c>
      <c r="U90" s="11">
        <f t="shared" ca="1" si="43"/>
        <v>-9.8893353129783299E-5</v>
      </c>
      <c r="V90" s="11"/>
      <c r="W90" s="11">
        <f t="shared" ca="1" si="25"/>
        <v>0</v>
      </c>
      <c r="X90" s="2">
        <f t="shared" ca="1" si="6"/>
        <v>-6.4490347862532444E-6</v>
      </c>
      <c r="Y90" s="2">
        <f t="shared" ca="1" si="7"/>
        <v>-1.6255611905903976E-4</v>
      </c>
      <c r="Z90" s="11">
        <f t="shared" ca="1" si="26"/>
        <v>-2.7674016135428923E-5</v>
      </c>
      <c r="AA90" s="2">
        <f t="shared" ca="1" si="8"/>
        <v>-5.6435407057430803E-5</v>
      </c>
      <c r="AB90" s="11">
        <f t="shared" ca="1" si="27"/>
        <v>4.7705533908363258E-5</v>
      </c>
      <c r="AC90" s="2">
        <f t="shared" ca="1" si="9"/>
        <v>-1.1242027259041408E-4</v>
      </c>
      <c r="AF90" s="11">
        <f t="shared" ca="1" si="28"/>
        <v>0</v>
      </c>
      <c r="AG90" s="2">
        <f t="shared" ca="1" si="10"/>
        <v>-1.6234640152169325E-5</v>
      </c>
      <c r="AH90" s="2">
        <f t="shared" ca="1" si="11"/>
        <v>-3.1391834729436563E-4</v>
      </c>
      <c r="AI90" s="2">
        <f t="shared" ca="1" si="12"/>
        <v>-2.7739326857123022E-5</v>
      </c>
      <c r="AJ90" s="2">
        <f t="shared" ca="1" si="13"/>
        <v>-5.7741336231248378E-5</v>
      </c>
      <c r="AK90" s="2">
        <f t="shared" ca="1" si="14"/>
        <v>4.7634171057701795E-5</v>
      </c>
      <c r="AL90" s="2">
        <f t="shared" ca="1" si="15"/>
        <v>-1.2760392406826598E-4</v>
      </c>
      <c r="AN90" s="2" t="e">
        <f t="shared" ca="1" si="16"/>
        <v>#N/A</v>
      </c>
      <c r="AO90" s="2" t="e">
        <f t="shared" ca="1" si="29"/>
        <v>#N/A</v>
      </c>
      <c r="AP90" s="2" t="e">
        <f t="shared" ca="1" si="17"/>
        <v>#N/A</v>
      </c>
      <c r="AQ90" s="2" t="e">
        <f t="shared" ca="1" si="18"/>
        <v>#N/A</v>
      </c>
      <c r="AR90" s="2" t="e">
        <f t="shared" ca="1" si="19"/>
        <v>#N/A</v>
      </c>
      <c r="AS90" s="2" t="e">
        <f t="shared" ca="1" si="20"/>
        <v>#N/A</v>
      </c>
      <c r="AT90" s="9" t="e">
        <f t="shared" ca="1" si="21"/>
        <v>#N/A</v>
      </c>
      <c r="AU90" s="9" t="e">
        <f t="shared" ca="1" si="22"/>
        <v>#N/A</v>
      </c>
      <c r="AW90" s="2" t="e">
        <f t="shared" ca="1" si="30"/>
        <v>#N/A</v>
      </c>
      <c r="AX90" s="2" t="e">
        <f t="shared" ca="1" si="31"/>
        <v>#N/A</v>
      </c>
      <c r="AY90" s="2" t="e">
        <f t="shared" ca="1" si="32"/>
        <v>#N/A</v>
      </c>
      <c r="AZ90" s="2" t="e">
        <f t="shared" ca="1" si="33"/>
        <v>#N/A</v>
      </c>
      <c r="BA90" s="2" t="e">
        <f t="shared" ca="1" si="34"/>
        <v>#N/A</v>
      </c>
      <c r="BB90" s="2" t="e">
        <f t="shared" ca="1" si="35"/>
        <v>#N/A</v>
      </c>
      <c r="BC90" s="9" t="e">
        <f t="shared" ca="1" si="23"/>
        <v>#N/A</v>
      </c>
      <c r="BD90" s="9" t="e">
        <f t="shared" ca="1" si="36"/>
        <v>#N/A</v>
      </c>
    </row>
    <row r="91" spans="1:56" ht="15" x14ac:dyDescent="0.25">
      <c r="A91" s="90">
        <v>25</v>
      </c>
      <c r="B91" s="90">
        <v>1542620831.635</v>
      </c>
      <c r="C91" s="91">
        <v>4.1760118212195399E-4</v>
      </c>
      <c r="D91" s="91">
        <v>2.2905129666059301E-4</v>
      </c>
      <c r="E91" s="91">
        <v>1.6769518657428499E-3</v>
      </c>
      <c r="F91" s="91">
        <v>6.7128570826942299E-5</v>
      </c>
      <c r="G91" s="91">
        <v>1.02839255995314E-3</v>
      </c>
      <c r="H91" s="91">
        <v>4.2615184447552298E-4</v>
      </c>
      <c r="I91" s="91">
        <v>5.5098359771102098E-3</v>
      </c>
      <c r="J91" s="91"/>
      <c r="K91" s="91"/>
      <c r="L91" s="89"/>
      <c r="M91" s="89"/>
      <c r="O91" s="11">
        <f t="shared" ca="1" si="37"/>
        <v>2.3814355957447748E-5</v>
      </c>
      <c r="P91" s="11">
        <f t="shared" ca="1" si="38"/>
        <v>6.5467238950373338E-5</v>
      </c>
      <c r="Q91" s="11">
        <f t="shared" ca="1" si="39"/>
        <v>6.2922463364995873E-5</v>
      </c>
      <c r="R91" s="11">
        <f t="shared" ca="1" si="40"/>
        <v>5.2274810705306673E-5</v>
      </c>
      <c r="S91" s="11">
        <f t="shared" ca="1" si="41"/>
        <v>-1.1741012390189339E-4</v>
      </c>
      <c r="T91" s="11">
        <f t="shared" ca="1" si="42"/>
        <v>-6.4387498948583789E-5</v>
      </c>
      <c r="U91" s="11">
        <f t="shared" ca="1" si="43"/>
        <v>2.3964116566167759E-6</v>
      </c>
      <c r="V91" s="11"/>
      <c r="W91" s="11">
        <f t="shared" ca="1" si="25"/>
        <v>0</v>
      </c>
      <c r="X91" s="2">
        <f t="shared" ca="1" si="6"/>
        <v>6.0508494844080179E-5</v>
      </c>
      <c r="Y91" s="2">
        <f t="shared" ca="1" si="7"/>
        <v>-1.3722615362477407E-5</v>
      </c>
      <c r="Z91" s="11">
        <f t="shared" ca="1" si="26"/>
        <v>5.2274810705306673E-5</v>
      </c>
      <c r="AA91" s="2">
        <f t="shared" ca="1" si="8"/>
        <v>-1.1756140814231985E-4</v>
      </c>
      <c r="AB91" s="11">
        <f t="shared" ca="1" si="27"/>
        <v>-6.4387498948583789E-5</v>
      </c>
      <c r="AC91" s="2">
        <f t="shared" ca="1" si="9"/>
        <v>-4.4723672165448559E-6</v>
      </c>
      <c r="AF91" s="11">
        <f t="shared" ca="1" si="28"/>
        <v>0</v>
      </c>
      <c r="AG91" s="2">
        <f t="shared" ca="1" si="10"/>
        <v>5.5539502488198503E-5</v>
      </c>
      <c r="AH91" s="2">
        <f t="shared" ca="1" si="11"/>
        <v>-9.0582219540899357E-5</v>
      </c>
      <c r="AI91" s="2">
        <f t="shared" ca="1" si="12"/>
        <v>5.2241646842191426E-5</v>
      </c>
      <c r="AJ91" s="2">
        <f t="shared" ca="1" si="13"/>
        <v>-1.1822454055358841E-4</v>
      </c>
      <c r="AK91" s="2">
        <f t="shared" ca="1" si="14"/>
        <v>-6.5796238908461229E-5</v>
      </c>
      <c r="AL91" s="2">
        <f t="shared" ca="1" si="15"/>
        <v>-1.2182411235957914E-5</v>
      </c>
      <c r="AN91" s="2" t="e">
        <f t="shared" ca="1" si="16"/>
        <v>#N/A</v>
      </c>
      <c r="AO91" s="2" t="e">
        <f t="shared" ca="1" si="29"/>
        <v>#N/A</v>
      </c>
      <c r="AP91" s="2" t="e">
        <f t="shared" ca="1" si="17"/>
        <v>#N/A</v>
      </c>
      <c r="AQ91" s="2" t="e">
        <f t="shared" ca="1" si="18"/>
        <v>#N/A</v>
      </c>
      <c r="AR91" s="2" t="e">
        <f t="shared" ca="1" si="19"/>
        <v>#N/A</v>
      </c>
      <c r="AS91" s="2" t="e">
        <f t="shared" ca="1" si="20"/>
        <v>#N/A</v>
      </c>
      <c r="AT91" s="9" t="e">
        <f t="shared" ca="1" si="21"/>
        <v>#N/A</v>
      </c>
      <c r="AU91" s="9" t="e">
        <f t="shared" ca="1" si="22"/>
        <v>#N/A</v>
      </c>
      <c r="AW91" s="2" t="e">
        <f t="shared" ca="1" si="30"/>
        <v>#N/A</v>
      </c>
      <c r="AX91" s="2" t="e">
        <f t="shared" ca="1" si="31"/>
        <v>#N/A</v>
      </c>
      <c r="AY91" s="2" t="e">
        <f t="shared" ca="1" si="32"/>
        <v>#N/A</v>
      </c>
      <c r="AZ91" s="2" t="e">
        <f t="shared" ca="1" si="33"/>
        <v>#N/A</v>
      </c>
      <c r="BA91" s="2" t="e">
        <f t="shared" ca="1" si="34"/>
        <v>#N/A</v>
      </c>
      <c r="BB91" s="2" t="e">
        <f t="shared" ca="1" si="35"/>
        <v>#N/A</v>
      </c>
      <c r="BC91" s="9" t="e">
        <f t="shared" ca="1" si="23"/>
        <v>#N/A</v>
      </c>
      <c r="BD91" s="9" t="e">
        <f t="shared" ca="1" si="36"/>
        <v>#N/A</v>
      </c>
    </row>
    <row r="92" spans="1:56" ht="15" x14ac:dyDescent="0.25">
      <c r="A92" s="90">
        <v>26</v>
      </c>
      <c r="B92" s="90">
        <v>1542620832.1619999</v>
      </c>
      <c r="C92" s="91">
        <v>3.2312866639421802E-4</v>
      </c>
      <c r="D92" s="91">
        <v>5.9622584327657799E-5</v>
      </c>
      <c r="E92" s="91">
        <v>1.60672703301385E-3</v>
      </c>
      <c r="F92" s="91">
        <v>4.85684512829891E-5</v>
      </c>
      <c r="G92" s="91">
        <v>1.15118004230017E-3</v>
      </c>
      <c r="H92" s="91">
        <v>4.9692098030300802E-4</v>
      </c>
      <c r="I92" s="91">
        <v>5.5198699544295503E-3</v>
      </c>
      <c r="J92" s="91"/>
      <c r="K92" s="91"/>
      <c r="L92" s="89"/>
      <c r="M92" s="89"/>
      <c r="O92" s="11">
        <f t="shared" ca="1" si="37"/>
        <v>-7.0658159770288227E-5</v>
      </c>
      <c r="P92" s="11">
        <f t="shared" ca="1" si="38"/>
        <v>-1.0396147338256187E-4</v>
      </c>
      <c r="Q92" s="11">
        <f t="shared" ca="1" si="39"/>
        <v>-7.3023693640040556E-6</v>
      </c>
      <c r="R92" s="11">
        <f t="shared" ca="1" si="40"/>
        <v>3.3714691161353474E-5</v>
      </c>
      <c r="S92" s="11">
        <f t="shared" ca="1" si="41"/>
        <v>5.3773584451366225E-6</v>
      </c>
      <c r="T92" s="11">
        <f t="shared" ca="1" si="42"/>
        <v>6.3816368789012526E-6</v>
      </c>
      <c r="U92" s="11">
        <f t="shared" ca="1" si="43"/>
        <v>1.2430388975957253E-5</v>
      </c>
      <c r="V92" s="11"/>
      <c r="W92" s="11">
        <f t="shared" ca="1" si="25"/>
        <v>0</v>
      </c>
      <c r="X92" s="2">
        <f t="shared" ca="1" si="6"/>
        <v>-1.0396147338256187E-4</v>
      </c>
      <c r="Y92" s="2">
        <f t="shared" ca="1" si="7"/>
        <v>-7.3023693640040556E-6</v>
      </c>
      <c r="Z92" s="11">
        <f t="shared" ca="1" si="26"/>
        <v>3.3714691161353474E-5</v>
      </c>
      <c r="AA92" s="2">
        <f t="shared" ca="1" si="8"/>
        <v>5.3773584451366225E-6</v>
      </c>
      <c r="AB92" s="11">
        <f t="shared" ca="1" si="27"/>
        <v>6.3816368789012526E-6</v>
      </c>
      <c r="AC92" s="2">
        <f t="shared" ca="1" si="9"/>
        <v>1.2430388975957253E-5</v>
      </c>
      <c r="AF92" s="11">
        <f t="shared" ca="1" si="28"/>
        <v>0</v>
      </c>
      <c r="AG92" s="2">
        <f t="shared" ca="1" si="10"/>
        <v>-1.0396147338256187E-4</v>
      </c>
      <c r="AH92" s="2">
        <f t="shared" ca="1" si="11"/>
        <v>-7.3023693640040556E-6</v>
      </c>
      <c r="AI92" s="2">
        <f t="shared" ca="1" si="12"/>
        <v>3.3714691161353474E-5</v>
      </c>
      <c r="AJ92" s="2">
        <f t="shared" ca="1" si="13"/>
        <v>5.3773584451366225E-6</v>
      </c>
      <c r="AK92" s="2">
        <f t="shared" ca="1" si="14"/>
        <v>6.3816368789012526E-6</v>
      </c>
      <c r="AL92" s="2">
        <f t="shared" ca="1" si="15"/>
        <v>1.2430388975957253E-5</v>
      </c>
      <c r="AN92" s="2">
        <f t="shared" ca="1" si="16"/>
        <v>2.3116162150580672</v>
      </c>
      <c r="AO92" s="2">
        <f t="shared" ca="1" si="29"/>
        <v>0.1047972774279483</v>
      </c>
      <c r="AP92" s="2">
        <f t="shared" ca="1" si="17"/>
        <v>3.5332078430339564E-6</v>
      </c>
      <c r="AQ92" s="2">
        <f t="shared" ca="1" si="18"/>
        <v>2.8484290358672962E-6</v>
      </c>
      <c r="AR92" s="2">
        <f t="shared" ca="1" si="19"/>
        <v>1.01294371976221</v>
      </c>
      <c r="AS92" s="2">
        <f t="shared" ca="1" si="20"/>
        <v>-0.36376090234406705</v>
      </c>
      <c r="AT92" s="9" t="str">
        <f t="shared" ca="1" si="21"/>
        <v>rejected</v>
      </c>
      <c r="AU92" s="9" t="e">
        <f t="shared" ca="1" si="22"/>
        <v>#N/A</v>
      </c>
      <c r="AW92" s="2">
        <f t="shared" ca="1" si="30"/>
        <v>2.3116162150580672</v>
      </c>
      <c r="AX92" s="2">
        <f t="shared" ca="1" si="31"/>
        <v>0.1047972774279483</v>
      </c>
      <c r="AY92" s="2">
        <f t="shared" ca="1" si="32"/>
        <v>3.5332078430339564E-6</v>
      </c>
      <c r="AZ92" s="2">
        <f t="shared" ca="1" si="33"/>
        <v>2.8484290358672962E-6</v>
      </c>
      <c r="BA92" s="2">
        <f t="shared" ca="1" si="34"/>
        <v>1.01294371976221</v>
      </c>
      <c r="BB92" s="2">
        <f t="shared" ca="1" si="35"/>
        <v>-0.36376090234406705</v>
      </c>
      <c r="BC92" s="9" t="str">
        <f t="shared" ca="1" si="23"/>
        <v>rejected</v>
      </c>
      <c r="BD92" s="9" t="e">
        <f t="shared" ca="1" si="36"/>
        <v>#N/A</v>
      </c>
    </row>
    <row r="93" spans="1:56" ht="15" x14ac:dyDescent="0.25">
      <c r="A93" s="90">
        <v>27</v>
      </c>
      <c r="B93" s="90">
        <v>1542620832.6889999</v>
      </c>
      <c r="C93" s="91">
        <v>3.3169507522147701E-4</v>
      </c>
      <c r="D93" s="91">
        <v>1.58866019445567E-4</v>
      </c>
      <c r="E93" s="91">
        <v>1.5789260647476799E-3</v>
      </c>
      <c r="F93" s="91">
        <v>-5.3268117020481703E-5</v>
      </c>
      <c r="G93" s="91">
        <v>1.1273366335331999E-3</v>
      </c>
      <c r="H93" s="91">
        <v>4.1807783254109898E-4</v>
      </c>
      <c r="I93" s="91">
        <v>5.4482008915148596E-3</v>
      </c>
      <c r="J93" s="91"/>
      <c r="K93" s="91"/>
      <c r="L93" s="89"/>
      <c r="M93" s="89"/>
      <c r="O93" s="11">
        <f t="shared" ca="1" si="37"/>
        <v>-6.2091750943029235E-5</v>
      </c>
      <c r="P93" s="11">
        <f t="shared" ca="1" si="38"/>
        <v>-4.718038264652668E-6</v>
      </c>
      <c r="Q93" s="11">
        <f t="shared" ca="1" si="39"/>
        <v>-3.5103337630174123E-5</v>
      </c>
      <c r="R93" s="11">
        <f t="shared" ca="1" si="40"/>
        <v>-6.8121877142117329E-5</v>
      </c>
      <c r="S93" s="11">
        <f t="shared" ca="1" si="41"/>
        <v>-1.8466050321833474E-5</v>
      </c>
      <c r="T93" s="11">
        <f t="shared" ca="1" si="42"/>
        <v>-7.2461510883007783E-5</v>
      </c>
      <c r="U93" s="11">
        <f t="shared" ca="1" si="43"/>
        <v>-5.9238673938733465E-5</v>
      </c>
      <c r="V93" s="11"/>
      <c r="W93" s="11">
        <f t="shared" ca="1" si="25"/>
        <v>0</v>
      </c>
      <c r="X93" s="2">
        <f t="shared" ca="1" si="6"/>
        <v>-4.718038264652668E-6</v>
      </c>
      <c r="Y93" s="2">
        <f t="shared" ca="1" si="7"/>
        <v>-3.5103337630174123E-5</v>
      </c>
      <c r="Z93" s="11">
        <f t="shared" ca="1" si="26"/>
        <v>-6.8121877142117329E-5</v>
      </c>
      <c r="AA93" s="2">
        <f t="shared" ca="1" si="8"/>
        <v>-1.8466050321833474E-5</v>
      </c>
      <c r="AB93" s="11">
        <f t="shared" ca="1" si="27"/>
        <v>-7.2461510883007783E-5</v>
      </c>
      <c r="AC93" s="2">
        <f t="shared" ca="1" si="9"/>
        <v>-5.9238673938733465E-5</v>
      </c>
      <c r="AF93" s="11">
        <f t="shared" ca="1" si="28"/>
        <v>0</v>
      </c>
      <c r="AG93" s="2">
        <f t="shared" ca="1" si="10"/>
        <v>-4.718038264652668E-6</v>
      </c>
      <c r="AH93" s="2">
        <f t="shared" ca="1" si="11"/>
        <v>-3.5103337630174123E-5</v>
      </c>
      <c r="AI93" s="2">
        <f t="shared" ca="1" si="12"/>
        <v>-6.8121877142117329E-5</v>
      </c>
      <c r="AJ93" s="2">
        <f t="shared" ca="1" si="13"/>
        <v>-1.8466050321833474E-5</v>
      </c>
      <c r="AK93" s="2">
        <f t="shared" ca="1" si="14"/>
        <v>-7.2461510883007783E-5</v>
      </c>
      <c r="AL93" s="2">
        <f t="shared" ca="1" si="15"/>
        <v>-5.9238673938733465E-5</v>
      </c>
      <c r="AN93" s="2" t="e">
        <f t="shared" ca="1" si="16"/>
        <v>#N/A</v>
      </c>
      <c r="AO93" s="2" t="e">
        <f t="shared" ca="1" si="29"/>
        <v>#N/A</v>
      </c>
      <c r="AP93" s="2" t="e">
        <f t="shared" ca="1" si="17"/>
        <v>#N/A</v>
      </c>
      <c r="AQ93" s="2" t="e">
        <f t="shared" ca="1" si="18"/>
        <v>#N/A</v>
      </c>
      <c r="AR93" s="2" t="e">
        <f t="shared" ca="1" si="19"/>
        <v>#N/A</v>
      </c>
      <c r="AS93" s="2" t="e">
        <f t="shared" ca="1" si="20"/>
        <v>#N/A</v>
      </c>
      <c r="AT93" s="9" t="e">
        <f t="shared" ca="1" si="21"/>
        <v>#N/A</v>
      </c>
      <c r="AU93" s="9" t="e">
        <f t="shared" ca="1" si="22"/>
        <v>#N/A</v>
      </c>
      <c r="AW93" s="2" t="e">
        <f t="shared" ca="1" si="30"/>
        <v>#N/A</v>
      </c>
      <c r="AX93" s="2" t="e">
        <f t="shared" ca="1" si="31"/>
        <v>#N/A</v>
      </c>
      <c r="AY93" s="2" t="e">
        <f t="shared" ca="1" si="32"/>
        <v>#N/A</v>
      </c>
      <c r="AZ93" s="2" t="e">
        <f t="shared" ca="1" si="33"/>
        <v>#N/A</v>
      </c>
      <c r="BA93" s="2" t="e">
        <f t="shared" ca="1" si="34"/>
        <v>#N/A</v>
      </c>
      <c r="BB93" s="2" t="e">
        <f t="shared" ca="1" si="35"/>
        <v>#N/A</v>
      </c>
      <c r="BC93" s="9" t="e">
        <f t="shared" ca="1" si="23"/>
        <v>#N/A</v>
      </c>
      <c r="BD93" s="9" t="e">
        <f t="shared" ca="1" si="36"/>
        <v>#N/A</v>
      </c>
    </row>
    <row r="94" spans="1:56" ht="15" x14ac:dyDescent="0.25">
      <c r="A94" s="90">
        <v>28</v>
      </c>
      <c r="B94" s="90">
        <v>1542620833.2160001</v>
      </c>
      <c r="C94" s="91">
        <v>3.4692442789426898E-4</v>
      </c>
      <c r="D94" s="91">
        <v>1.5202547817337299E-5</v>
      </c>
      <c r="E94" s="91">
        <v>1.49648633158446E-3</v>
      </c>
      <c r="F94" s="91">
        <v>3.6195229884452703E-5</v>
      </c>
      <c r="G94" s="91">
        <v>1.11970686275452E-3</v>
      </c>
      <c r="H94" s="91">
        <v>3.6488597524260701E-4</v>
      </c>
      <c r="I94" s="91">
        <v>5.5076858521816898E-3</v>
      </c>
      <c r="J94" s="91"/>
      <c r="K94" s="91"/>
      <c r="L94" s="89"/>
      <c r="M94" s="89"/>
      <c r="O94" s="11">
        <f t="shared" ca="1" si="37"/>
        <v>-4.6862398270237264E-5</v>
      </c>
      <c r="P94" s="11">
        <f t="shared" ca="1" si="38"/>
        <v>-1.4838150989288237E-4</v>
      </c>
      <c r="Q94" s="11">
        <f t="shared" ca="1" si="39"/>
        <v>-1.1754307079339405E-4</v>
      </c>
      <c r="R94" s="11">
        <f t="shared" ca="1" si="40"/>
        <v>2.134146976281708E-5</v>
      </c>
      <c r="S94" s="11">
        <f t="shared" ca="1" si="41"/>
        <v>-2.6095821100513387E-5</v>
      </c>
      <c r="T94" s="11">
        <f t="shared" ca="1" si="42"/>
        <v>-1.2565336818149976E-4</v>
      </c>
      <c r="U94" s="11">
        <f t="shared" ca="1" si="43"/>
        <v>2.462867280967479E-7</v>
      </c>
      <c r="V94" s="11"/>
      <c r="W94" s="11">
        <f t="shared" ca="1" si="25"/>
        <v>0</v>
      </c>
      <c r="X94" s="2">
        <f t="shared" ca="1" si="6"/>
        <v>-1.4838150989288237E-4</v>
      </c>
      <c r="Y94" s="2">
        <f t="shared" ca="1" si="7"/>
        <v>-1.1754307079339405E-4</v>
      </c>
      <c r="Z94" s="11">
        <f t="shared" ca="1" si="26"/>
        <v>2.134146976281708E-5</v>
      </c>
      <c r="AA94" s="2">
        <f t="shared" ca="1" si="8"/>
        <v>-2.6095821100513387E-5</v>
      </c>
      <c r="AB94" s="11">
        <f t="shared" ca="1" si="27"/>
        <v>-1.2565336818149976E-4</v>
      </c>
      <c r="AC94" s="2">
        <f t="shared" ca="1" si="9"/>
        <v>2.462867280967479E-7</v>
      </c>
      <c r="AF94" s="11">
        <f t="shared" ca="1" si="28"/>
        <v>0</v>
      </c>
      <c r="AG94" s="2">
        <f t="shared" ca="1" si="10"/>
        <v>-1.4838150989288237E-4</v>
      </c>
      <c r="AH94" s="2">
        <f t="shared" ca="1" si="11"/>
        <v>-1.1754307079339405E-4</v>
      </c>
      <c r="AI94" s="2">
        <f t="shared" ca="1" si="12"/>
        <v>2.134146976281708E-5</v>
      </c>
      <c r="AJ94" s="2">
        <f t="shared" ca="1" si="13"/>
        <v>-2.6095821100513387E-5</v>
      </c>
      <c r="AK94" s="2">
        <f t="shared" ca="1" si="14"/>
        <v>-1.2565336818149976E-4</v>
      </c>
      <c r="AL94" s="2">
        <f t="shared" ca="1" si="15"/>
        <v>2.462867280967479E-7</v>
      </c>
      <c r="AN94" s="2" t="e">
        <f t="shared" ca="1" si="16"/>
        <v>#N/A</v>
      </c>
      <c r="AO94" s="2" t="e">
        <f t="shared" ca="1" si="29"/>
        <v>#N/A</v>
      </c>
      <c r="AP94" s="2" t="e">
        <f t="shared" ca="1" si="17"/>
        <v>#N/A</v>
      </c>
      <c r="AQ94" s="2" t="e">
        <f t="shared" ca="1" si="18"/>
        <v>#N/A</v>
      </c>
      <c r="AR94" s="2" t="e">
        <f t="shared" ca="1" si="19"/>
        <v>#N/A</v>
      </c>
      <c r="AS94" s="2" t="e">
        <f t="shared" ca="1" si="20"/>
        <v>#N/A</v>
      </c>
      <c r="AT94" s="9" t="e">
        <f t="shared" ca="1" si="21"/>
        <v>#N/A</v>
      </c>
      <c r="AU94" s="9" t="e">
        <f t="shared" ca="1" si="22"/>
        <v>#N/A</v>
      </c>
      <c r="AW94" s="2" t="e">
        <f t="shared" ca="1" si="30"/>
        <v>#N/A</v>
      </c>
      <c r="AX94" s="2" t="e">
        <f t="shared" ca="1" si="31"/>
        <v>#N/A</v>
      </c>
      <c r="AY94" s="2" t="e">
        <f t="shared" ca="1" si="32"/>
        <v>#N/A</v>
      </c>
      <c r="AZ94" s="2" t="e">
        <f t="shared" ca="1" si="33"/>
        <v>#N/A</v>
      </c>
      <c r="BA94" s="2" t="e">
        <f t="shared" ca="1" si="34"/>
        <v>#N/A</v>
      </c>
      <c r="BB94" s="2" t="e">
        <f t="shared" ca="1" si="35"/>
        <v>#N/A</v>
      </c>
      <c r="BC94" s="9" t="e">
        <f t="shared" ca="1" si="23"/>
        <v>#N/A</v>
      </c>
      <c r="BD94" s="9" t="e">
        <f t="shared" ca="1" si="36"/>
        <v>#N/A</v>
      </c>
    </row>
    <row r="95" spans="1:56" ht="15" x14ac:dyDescent="0.25">
      <c r="A95" s="90">
        <v>29</v>
      </c>
      <c r="B95" s="90">
        <v>1542620833.743</v>
      </c>
      <c r="C95" s="91">
        <v>4.62579902576663E-4</v>
      </c>
      <c r="D95" s="91">
        <v>1.9431250876927799E-4</v>
      </c>
      <c r="E95" s="91">
        <v>1.73567605265822E-3</v>
      </c>
      <c r="F95" s="91">
        <v>3.4053726359078801E-5</v>
      </c>
      <c r="G95" s="91">
        <v>1.1859924397012299E-3</v>
      </c>
      <c r="H95" s="91">
        <v>5.6793264132457499E-4</v>
      </c>
      <c r="I95" s="91">
        <v>5.60850778350587E-3</v>
      </c>
      <c r="J95" s="91"/>
      <c r="K95" s="91"/>
      <c r="L95" s="89"/>
      <c r="M95" s="89"/>
      <c r="O95" s="11">
        <f t="shared" ca="1" si="37"/>
        <v>6.8793076412156757E-5</v>
      </c>
      <c r="P95" s="11">
        <f t="shared" ca="1" si="38"/>
        <v>3.0728451059058317E-5</v>
      </c>
      <c r="Q95" s="11">
        <f t="shared" ca="1" si="39"/>
        <v>1.2164665028036601E-4</v>
      </c>
      <c r="R95" s="11">
        <f t="shared" ca="1" si="40"/>
        <v>1.9199966237443179E-5</v>
      </c>
      <c r="S95" s="11">
        <f t="shared" ca="1" si="41"/>
        <v>4.0189755846196549E-5</v>
      </c>
      <c r="T95" s="11">
        <f t="shared" ca="1" si="42"/>
        <v>7.7393297900468219E-5</v>
      </c>
      <c r="U95" s="11">
        <f t="shared" ca="1" si="43"/>
        <v>1.0106821805227692E-4</v>
      </c>
      <c r="V95" s="11"/>
      <c r="W95" s="11">
        <f t="shared" ca="1" si="25"/>
        <v>0</v>
      </c>
      <c r="X95" s="2">
        <f t="shared" ca="1" si="6"/>
        <v>1.6404013193843981E-5</v>
      </c>
      <c r="Y95" s="2">
        <f t="shared" ca="1" si="7"/>
        <v>-9.9759747059800541E-5</v>
      </c>
      <c r="Z95" s="11">
        <f t="shared" ca="1" si="26"/>
        <v>1.9199966237443179E-5</v>
      </c>
      <c r="AA95" s="2">
        <f t="shared" ca="1" si="8"/>
        <v>3.9752737590056904E-5</v>
      </c>
      <c r="AB95" s="11">
        <f t="shared" ca="1" si="27"/>
        <v>7.7393297900468219E-5</v>
      </c>
      <c r="AC95" s="2">
        <f t="shared" ca="1" si="9"/>
        <v>8.1226218935276319E-5</v>
      </c>
      <c r="AF95" s="11">
        <f t="shared" ca="1" si="28"/>
        <v>0</v>
      </c>
      <c r="AG95" s="2">
        <f t="shared" ca="1" si="10"/>
        <v>2.0499709749241009E-6</v>
      </c>
      <c r="AH95" s="2">
        <f t="shared" ca="1" si="11"/>
        <v>-3.217858489918459E-4</v>
      </c>
      <c r="AI95" s="2">
        <f t="shared" ca="1" si="12"/>
        <v>1.9104165025204384E-5</v>
      </c>
      <c r="AJ95" s="2">
        <f t="shared" ca="1" si="13"/>
        <v>3.783713177979319E-5</v>
      </c>
      <c r="AK95" s="2">
        <f t="shared" ca="1" si="14"/>
        <v>7.6732075621874061E-5</v>
      </c>
      <c r="AL95" s="2">
        <f t="shared" ca="1" si="15"/>
        <v>5.8954037889679016E-5</v>
      </c>
      <c r="AN95" s="2">
        <f t="shared" ca="1" si="16"/>
        <v>2.5147756169273108</v>
      </c>
      <c r="AO95" s="2">
        <f t="shared" ca="1" si="29"/>
        <v>0.1141240623196402</v>
      </c>
      <c r="AP95" s="2">
        <f t="shared" ca="1" si="17"/>
        <v>2.1911781434169531E-6</v>
      </c>
      <c r="AQ95" s="2">
        <f t="shared" ca="1" si="18"/>
        <v>7.520211975705127E-5</v>
      </c>
      <c r="AR95" s="2">
        <f t="shared" ca="1" si="19"/>
        <v>3.4295757820052297</v>
      </c>
      <c r="AS95" s="2">
        <f t="shared" ca="1" si="20"/>
        <v>0.88377169444042314</v>
      </c>
      <c r="AT95" s="9" t="str">
        <f t="shared" ca="1" si="21"/>
        <v>rejected</v>
      </c>
      <c r="AU95" s="9" t="e">
        <f t="shared" ca="1" si="22"/>
        <v>#N/A</v>
      </c>
      <c r="AW95" s="2">
        <f t="shared" ca="1" si="30"/>
        <v>1.5581000756818266</v>
      </c>
      <c r="AX95" s="2">
        <f t="shared" ca="1" si="31"/>
        <v>7.0299414535581195E-2</v>
      </c>
      <c r="AY95" s="2">
        <f t="shared" ca="1" si="32"/>
        <v>1.3430116164629949E-6</v>
      </c>
      <c r="AZ95" s="2">
        <f t="shared" ca="1" si="33"/>
        <v>7.5389064005411071E-5</v>
      </c>
      <c r="BA95" s="2">
        <f t="shared" ca="1" si="34"/>
        <v>4.6474512050583225</v>
      </c>
      <c r="BB95" s="2">
        <f t="shared" ca="1" si="35"/>
        <v>-1.5214801128289668</v>
      </c>
      <c r="BC95" s="9" t="str">
        <f t="shared" ca="1" si="23"/>
        <v>rejected</v>
      </c>
      <c r="BD95" s="9" t="e">
        <f t="shared" ca="1" si="36"/>
        <v>#N/A</v>
      </c>
    </row>
    <row r="96" spans="1:56" ht="15" x14ac:dyDescent="0.25">
      <c r="A96" s="90">
        <v>30</v>
      </c>
      <c r="B96" s="90">
        <v>1542620834.2690001</v>
      </c>
      <c r="C96" s="91">
        <v>3.0908943303432999E-4</v>
      </c>
      <c r="D96" s="91">
        <v>1.21294122997228E-4</v>
      </c>
      <c r="E96" s="91">
        <v>1.5635879283903301E-3</v>
      </c>
      <c r="F96" s="91">
        <v>-6.6353838945904602E-5</v>
      </c>
      <c r="G96" s="91">
        <v>1.16000224758453E-3</v>
      </c>
      <c r="H96" s="91">
        <v>4.9620851432723005E-4</v>
      </c>
      <c r="I96" s="91">
        <v>5.4599064883021102E-3</v>
      </c>
      <c r="J96" s="91"/>
      <c r="K96" s="91"/>
      <c r="L96" s="89"/>
      <c r="M96" s="89"/>
      <c r="O96" s="11">
        <f t="shared" ca="1" si="37"/>
        <v>-8.4697393130176259E-5</v>
      </c>
      <c r="P96" s="11">
        <f t="shared" ca="1" si="38"/>
        <v>-4.2289934712991673E-5</v>
      </c>
      <c r="Q96" s="11">
        <f t="shared" ca="1" si="39"/>
        <v>-5.0441473987523954E-5</v>
      </c>
      <c r="R96" s="11">
        <f t="shared" ca="1" si="40"/>
        <v>-8.1207599067540227E-5</v>
      </c>
      <c r="S96" s="11">
        <f t="shared" ca="1" si="41"/>
        <v>1.4199563729496573E-5</v>
      </c>
      <c r="T96" s="11">
        <f t="shared" ca="1" si="42"/>
        <v>5.6691709031232804E-6</v>
      </c>
      <c r="U96" s="11">
        <f t="shared" ca="1" si="43"/>
        <v>-4.7533077151482896E-5</v>
      </c>
      <c r="V96" s="11"/>
      <c r="W96" s="11">
        <f t="shared" ca="1" si="25"/>
        <v>0</v>
      </c>
      <c r="X96" s="2">
        <f t="shared" ca="1" si="6"/>
        <v>-4.2289934712991673E-5</v>
      </c>
      <c r="Y96" s="2">
        <f t="shared" ca="1" si="7"/>
        <v>-5.0441473987523954E-5</v>
      </c>
      <c r="Z96" s="11">
        <f t="shared" ca="1" si="26"/>
        <v>-8.1207599067540227E-5</v>
      </c>
      <c r="AA96" s="2">
        <f t="shared" ca="1" si="8"/>
        <v>1.4199563729496573E-5</v>
      </c>
      <c r="AB96" s="11">
        <f t="shared" ca="1" si="27"/>
        <v>5.6691709031232804E-6</v>
      </c>
      <c r="AC96" s="2">
        <f t="shared" ca="1" si="9"/>
        <v>-4.7533077151482896E-5</v>
      </c>
      <c r="AF96" s="11">
        <f t="shared" ca="1" si="28"/>
        <v>0</v>
      </c>
      <c r="AG96" s="2">
        <f t="shared" ca="1" si="10"/>
        <v>-4.2289934712991673E-5</v>
      </c>
      <c r="AH96" s="2">
        <f t="shared" ca="1" si="11"/>
        <v>-5.0441473987523954E-5</v>
      </c>
      <c r="AI96" s="2">
        <f t="shared" ca="1" si="12"/>
        <v>-8.1207599067540227E-5</v>
      </c>
      <c r="AJ96" s="2">
        <f t="shared" ca="1" si="13"/>
        <v>1.4199563729496573E-5</v>
      </c>
      <c r="AK96" s="2">
        <f t="shared" ca="1" si="14"/>
        <v>5.6691709031232804E-6</v>
      </c>
      <c r="AL96" s="2">
        <f t="shared" ca="1" si="15"/>
        <v>-4.7533077151482896E-5</v>
      </c>
      <c r="AN96" s="2" t="e">
        <f t="shared" ca="1" si="16"/>
        <v>#N/A</v>
      </c>
      <c r="AO96" s="2" t="e">
        <f t="shared" ca="1" si="29"/>
        <v>#N/A</v>
      </c>
      <c r="AP96" s="2" t="e">
        <f t="shared" ca="1" si="17"/>
        <v>#N/A</v>
      </c>
      <c r="AQ96" s="2" t="e">
        <f t="shared" ca="1" si="18"/>
        <v>#N/A</v>
      </c>
      <c r="AR96" s="2" t="e">
        <f t="shared" ca="1" si="19"/>
        <v>#N/A</v>
      </c>
      <c r="AS96" s="2" t="e">
        <f t="shared" ca="1" si="20"/>
        <v>#N/A</v>
      </c>
      <c r="AT96" s="9" t="e">
        <f t="shared" ca="1" si="21"/>
        <v>#N/A</v>
      </c>
      <c r="AU96" s="9" t="e">
        <f t="shared" ca="1" si="22"/>
        <v>#N/A</v>
      </c>
      <c r="AW96" s="2" t="e">
        <f t="shared" ca="1" si="30"/>
        <v>#N/A</v>
      </c>
      <c r="AX96" s="2" t="e">
        <f t="shared" ca="1" si="31"/>
        <v>#N/A</v>
      </c>
      <c r="AY96" s="2" t="e">
        <f t="shared" ca="1" si="32"/>
        <v>#N/A</v>
      </c>
      <c r="AZ96" s="2" t="e">
        <f t="shared" ca="1" si="33"/>
        <v>#N/A</v>
      </c>
      <c r="BA96" s="2" t="e">
        <f t="shared" ca="1" si="34"/>
        <v>#N/A</v>
      </c>
      <c r="BB96" s="2" t="e">
        <f t="shared" ca="1" si="35"/>
        <v>#N/A</v>
      </c>
      <c r="BC96" s="9" t="e">
        <f t="shared" ca="1" si="23"/>
        <v>#N/A</v>
      </c>
      <c r="BD96" s="9" t="e">
        <f t="shared" ca="1" si="36"/>
        <v>#N/A</v>
      </c>
    </row>
    <row r="97" spans="1:56" ht="15" x14ac:dyDescent="0.25">
      <c r="A97" s="90">
        <v>31</v>
      </c>
      <c r="B97" s="90">
        <v>1542620834.796</v>
      </c>
      <c r="C97" s="91">
        <v>3.4240318958227601E-4</v>
      </c>
      <c r="D97" s="91">
        <v>2.41340138634189E-4</v>
      </c>
      <c r="E97" s="91">
        <v>1.6510663739880899E-3</v>
      </c>
      <c r="F97" s="91">
        <v>-4.0658077291797402E-5</v>
      </c>
      <c r="G97" s="91">
        <v>1.16858608956689E-3</v>
      </c>
      <c r="H97" s="91">
        <v>5.7885796080506995E-4</v>
      </c>
      <c r="I97" s="91">
        <v>5.54113276213615E-3</v>
      </c>
      <c r="J97" s="91"/>
      <c r="K97" s="91"/>
      <c r="L97" s="89"/>
      <c r="M97" s="89"/>
      <c r="O97" s="11">
        <f t="shared" ca="1" si="37"/>
        <v>-5.138363658223024E-5</v>
      </c>
      <c r="P97" s="11">
        <f t="shared" ca="1" si="38"/>
        <v>7.7756080923969327E-5</v>
      </c>
      <c r="Q97" s="11">
        <f t="shared" ca="1" si="39"/>
        <v>3.70369716102359E-5</v>
      </c>
      <c r="R97" s="11">
        <f t="shared" ca="1" si="40"/>
        <v>-5.5511837413433021E-5</v>
      </c>
      <c r="S97" s="11">
        <f t="shared" ca="1" si="41"/>
        <v>2.278340571185665E-5</v>
      </c>
      <c r="T97" s="11">
        <f t="shared" ca="1" si="42"/>
        <v>8.8318617380963183E-5</v>
      </c>
      <c r="U97" s="11">
        <f t="shared" ca="1" si="43"/>
        <v>3.3693196682556964E-5</v>
      </c>
      <c r="V97" s="11"/>
      <c r="W97" s="11">
        <f t="shared" ca="1" si="25"/>
        <v>0</v>
      </c>
      <c r="X97" s="2">
        <f t="shared" ca="1" si="6"/>
        <v>7.7756080923969327E-5</v>
      </c>
      <c r="Y97" s="2">
        <f t="shared" ca="1" si="7"/>
        <v>3.70369716102359E-5</v>
      </c>
      <c r="Z97" s="11">
        <f t="shared" ca="1" si="26"/>
        <v>-5.5511837413433021E-5</v>
      </c>
      <c r="AA97" s="2">
        <f t="shared" ca="1" si="8"/>
        <v>2.278340571185665E-5</v>
      </c>
      <c r="AB97" s="11">
        <f t="shared" ca="1" si="27"/>
        <v>8.8318617380963183E-5</v>
      </c>
      <c r="AC97" s="2">
        <f t="shared" ca="1" si="9"/>
        <v>3.3693196682556964E-5</v>
      </c>
      <c r="AF97" s="11">
        <f t="shared" ca="1" si="28"/>
        <v>0</v>
      </c>
      <c r="AG97" s="2">
        <f t="shared" ca="1" si="10"/>
        <v>7.7756080923969327E-5</v>
      </c>
      <c r="AH97" s="2">
        <f t="shared" ca="1" si="11"/>
        <v>3.70369716102359E-5</v>
      </c>
      <c r="AI97" s="2">
        <f t="shared" ca="1" si="12"/>
        <v>-5.5511837413433021E-5</v>
      </c>
      <c r="AJ97" s="2">
        <f t="shared" ca="1" si="13"/>
        <v>2.278340571185665E-5</v>
      </c>
      <c r="AK97" s="2">
        <f t="shared" ca="1" si="14"/>
        <v>8.6645443132632756E-5</v>
      </c>
      <c r="AL97" s="2">
        <f t="shared" ca="1" si="15"/>
        <v>3.3693196682556964E-5</v>
      </c>
      <c r="AN97" s="2">
        <f t="shared" ca="1" si="16"/>
        <v>1.4788481190510856</v>
      </c>
      <c r="AO97" s="2">
        <f t="shared" ca="1" si="29"/>
        <v>6.6681437193918142E-2</v>
      </c>
      <c r="AP97" s="2">
        <f t="shared" ca="1" si="17"/>
        <v>-3.7016091000028293E-6</v>
      </c>
      <c r="AQ97" s="2">
        <f t="shared" ca="1" si="18"/>
        <v>9.202022648096601E-5</v>
      </c>
      <c r="AR97" s="2">
        <f t="shared" ca="1" si="19"/>
        <v>9.6717865390582407</v>
      </c>
      <c r="AS97" s="2">
        <f t="shared" ca="1" si="20"/>
        <v>0.2756991748152175</v>
      </c>
      <c r="AT97" s="9" t="str">
        <f t="shared" ca="1" si="21"/>
        <v>rejected</v>
      </c>
      <c r="AU97" s="9" t="e">
        <f t="shared" ca="1" si="22"/>
        <v>#N/A</v>
      </c>
      <c r="AW97" s="2">
        <f t="shared" ca="1" si="30"/>
        <v>1.4788481190510856</v>
      </c>
      <c r="AX97" s="2">
        <f t="shared" ca="1" si="31"/>
        <v>6.6681437193918142E-2</v>
      </c>
      <c r="AY97" s="2">
        <f t="shared" ca="1" si="32"/>
        <v>-3.7016091000028293E-6</v>
      </c>
      <c r="AZ97" s="2">
        <f t="shared" ca="1" si="33"/>
        <v>9.0347052232635583E-5</v>
      </c>
      <c r="BA97" s="2">
        <f t="shared" ca="1" si="34"/>
        <v>9.4959275481455379</v>
      </c>
      <c r="BB97" s="2">
        <f t="shared" ca="1" si="35"/>
        <v>0.2756991748152175</v>
      </c>
      <c r="BC97" s="9" t="str">
        <f t="shared" ca="1" si="23"/>
        <v>rejected</v>
      </c>
      <c r="BD97" s="9" t="e">
        <f t="shared" ca="1" si="36"/>
        <v>#N/A</v>
      </c>
    </row>
    <row r="98" spans="1:56" ht="15" x14ac:dyDescent="0.25">
      <c r="A98" s="90">
        <v>32</v>
      </c>
      <c r="B98" s="90">
        <v>1542620835.323</v>
      </c>
      <c r="C98" s="91">
        <v>2.74349127697549E-4</v>
      </c>
      <c r="D98" s="91">
        <v>1.81315315681032E-4</v>
      </c>
      <c r="E98" s="91">
        <v>1.56718278311545E-3</v>
      </c>
      <c r="F98" s="91">
        <v>5.3089474265766199E-5</v>
      </c>
      <c r="G98" s="91">
        <v>1.0431739442892901E-3</v>
      </c>
      <c r="H98" s="91">
        <v>4.8457164206742602E-4</v>
      </c>
      <c r="I98" s="91">
        <v>5.4634898615878403E-3</v>
      </c>
      <c r="J98" s="91"/>
      <c r="K98" s="91"/>
      <c r="L98" s="89"/>
      <c r="M98" s="89"/>
      <c r="O98" s="11">
        <f t="shared" ca="1" si="37"/>
        <v>-1.1943769846695725E-4</v>
      </c>
      <c r="P98" s="11">
        <f t="shared" ca="1" si="38"/>
        <v>1.7731257970812325E-5</v>
      </c>
      <c r="Q98" s="11">
        <f t="shared" ca="1" si="39"/>
        <v>-4.684661926240407E-5</v>
      </c>
      <c r="R98" s="11">
        <f t="shared" ca="1" si="40"/>
        <v>3.823571414413058E-5</v>
      </c>
      <c r="S98" s="11">
        <f t="shared" ca="1" si="41"/>
        <v>-1.0262873956574329E-4</v>
      </c>
      <c r="T98" s="11">
        <f t="shared" ca="1" si="42"/>
        <v>-5.9677013566807459E-6</v>
      </c>
      <c r="U98" s="11">
        <f t="shared" ca="1" si="43"/>
        <v>-4.3949703865752733E-5</v>
      </c>
      <c r="V98" s="11"/>
      <c r="W98" s="11">
        <f t="shared" ca="1" si="25"/>
        <v>0</v>
      </c>
      <c r="X98" s="2">
        <f t="shared" ca="1" si="6"/>
        <v>1.7731257970812325E-5</v>
      </c>
      <c r="Y98" s="2">
        <f t="shared" ca="1" si="7"/>
        <v>-4.684661926240407E-5</v>
      </c>
      <c r="Z98" s="11">
        <f t="shared" ca="1" si="26"/>
        <v>3.823571414413058E-5</v>
      </c>
      <c r="AA98" s="2">
        <f t="shared" ca="1" si="8"/>
        <v>-1.0262873956574329E-4</v>
      </c>
      <c r="AB98" s="11">
        <f t="shared" ca="1" si="27"/>
        <v>-5.9677013566807459E-6</v>
      </c>
      <c r="AC98" s="2">
        <f t="shared" ca="1" si="9"/>
        <v>-4.3949703865752733E-5</v>
      </c>
      <c r="AF98" s="11">
        <f t="shared" ca="1" si="28"/>
        <v>0</v>
      </c>
      <c r="AG98" s="2">
        <f t="shared" ca="1" si="10"/>
        <v>1.7731257970812325E-5</v>
      </c>
      <c r="AH98" s="2">
        <f t="shared" ca="1" si="11"/>
        <v>-4.684661926240407E-5</v>
      </c>
      <c r="AI98" s="2">
        <f t="shared" ca="1" si="12"/>
        <v>3.823571414413058E-5</v>
      </c>
      <c r="AJ98" s="2">
        <f t="shared" ca="1" si="13"/>
        <v>-1.0262873956574329E-4</v>
      </c>
      <c r="AK98" s="2">
        <f t="shared" ca="1" si="14"/>
        <v>-6.3492468753685508E-6</v>
      </c>
      <c r="AL98" s="2">
        <f t="shared" ca="1" si="15"/>
        <v>-4.3949703865752733E-5</v>
      </c>
      <c r="AN98" s="2" t="e">
        <f t="shared" ca="1" si="16"/>
        <v>#N/A</v>
      </c>
      <c r="AO98" s="2" t="e">
        <f t="shared" ca="1" si="29"/>
        <v>#N/A</v>
      </c>
      <c r="AP98" s="2" t="e">
        <f t="shared" ca="1" si="17"/>
        <v>#N/A</v>
      </c>
      <c r="AQ98" s="2" t="e">
        <f t="shared" ca="1" si="18"/>
        <v>#N/A</v>
      </c>
      <c r="AR98" s="2" t="e">
        <f t="shared" ca="1" si="19"/>
        <v>#N/A</v>
      </c>
      <c r="AS98" s="2" t="e">
        <f t="shared" ca="1" si="20"/>
        <v>#N/A</v>
      </c>
      <c r="AT98" s="9" t="e">
        <f t="shared" ca="1" si="21"/>
        <v>#N/A</v>
      </c>
      <c r="AU98" s="9" t="e">
        <f t="shared" ca="1" si="22"/>
        <v>#N/A</v>
      </c>
      <c r="AW98" s="2" t="e">
        <f t="shared" ca="1" si="30"/>
        <v>#N/A</v>
      </c>
      <c r="AX98" s="2" t="e">
        <f t="shared" ca="1" si="31"/>
        <v>#N/A</v>
      </c>
      <c r="AY98" s="2" t="e">
        <f t="shared" ca="1" si="32"/>
        <v>#N/A</v>
      </c>
      <c r="AZ98" s="2" t="e">
        <f t="shared" ca="1" si="33"/>
        <v>#N/A</v>
      </c>
      <c r="BA98" s="2" t="e">
        <f t="shared" ca="1" si="34"/>
        <v>#N/A</v>
      </c>
      <c r="BB98" s="2" t="e">
        <f t="shared" ca="1" si="35"/>
        <v>#N/A</v>
      </c>
      <c r="BC98" s="9" t="e">
        <f t="shared" ca="1" si="23"/>
        <v>#N/A</v>
      </c>
      <c r="BD98" s="9" t="e">
        <f t="shared" ca="1" si="36"/>
        <v>#N/A</v>
      </c>
    </row>
    <row r="99" spans="1:56" ht="15" x14ac:dyDescent="0.25">
      <c r="A99" s="90">
        <v>33</v>
      </c>
      <c r="B99" s="90">
        <v>1542620835.8510001</v>
      </c>
      <c r="C99" s="91">
        <v>4.2378861081264902E-4</v>
      </c>
      <c r="D99" s="91">
        <v>1.63355838067188E-4</v>
      </c>
      <c r="E99" s="91">
        <v>1.74454490128346E-3</v>
      </c>
      <c r="F99" s="91">
        <v>-1.0440919052123799E-5</v>
      </c>
      <c r="G99" s="91">
        <v>1.1473650587067001E-3</v>
      </c>
      <c r="H99" s="91">
        <v>5.5581992694549902E-4</v>
      </c>
      <c r="I99" s="91">
        <v>5.46062316193433E-3</v>
      </c>
      <c r="J99" s="91"/>
      <c r="K99" s="91"/>
      <c r="L99" s="89"/>
      <c r="M99" s="89"/>
      <c r="O99" s="11">
        <f t="shared" ca="1" si="37"/>
        <v>3.0001784648142778E-5</v>
      </c>
      <c r="P99" s="11">
        <f t="shared" ca="1" si="38"/>
        <v>-2.2821964303166632E-7</v>
      </c>
      <c r="Q99" s="11">
        <f t="shared" ca="1" si="39"/>
        <v>1.3051549890560595E-4</v>
      </c>
      <c r="R99" s="11">
        <f t="shared" ca="1" si="40"/>
        <v>-2.529467917375942E-5</v>
      </c>
      <c r="S99" s="11">
        <f t="shared" ca="1" si="41"/>
        <v>1.562374851666725E-6</v>
      </c>
      <c r="T99" s="11">
        <f t="shared" ca="1" si="42"/>
        <v>6.5280583521392255E-5</v>
      </c>
      <c r="U99" s="11">
        <f t="shared" ca="1" si="43"/>
        <v>-4.6816403519263014E-5</v>
      </c>
      <c r="V99" s="11"/>
      <c r="W99" s="11">
        <f t="shared" ca="1" si="25"/>
        <v>0</v>
      </c>
      <c r="X99" s="2">
        <f t="shared" ref="X99:X131" ca="1" si="44">IF(O99&gt;0,P99-(O99*$X$63/$W$63), P99)</f>
        <v>-6.475341046108181E-6</v>
      </c>
      <c r="Y99" s="2">
        <f t="shared" ref="Y99:Y131" ca="1" si="45">IF(O99&gt;0,Q99-(O99*$Y$63/$W$63),Q99)</f>
        <v>3.395655141903932E-5</v>
      </c>
      <c r="Z99" s="11">
        <f t="shared" ca="1" si="26"/>
        <v>-2.529467917375942E-5</v>
      </c>
      <c r="AA99" s="2">
        <f t="shared" ref="AA99:AA131" ca="1" si="46">IF(O99&gt;0,S99-(O99*$AA$63/$W$63),S99)</f>
        <v>1.3717840496293902E-6</v>
      </c>
      <c r="AB99" s="11">
        <f t="shared" ca="1" si="27"/>
        <v>6.5280583521392255E-5</v>
      </c>
      <c r="AC99" s="2">
        <f t="shared" ref="AC99:AC131" ca="1" si="47">IF(O99&gt;0,U99-(O99*$AC$63/$W$63),U99)</f>
        <v>-5.546982353685789E-5</v>
      </c>
      <c r="AF99" s="11">
        <f t="shared" ca="1" si="28"/>
        <v>0</v>
      </c>
      <c r="AG99" s="2">
        <f t="shared" ref="AG99:AG131" ca="1" si="48">IF(O99&gt;0, X99-(O99*$AG$63/$AF$63), X99)</f>
        <v>-1.2735373391547556E-5</v>
      </c>
      <c r="AH99" s="2">
        <f t="shared" ref="AH99:AH131" ca="1" si="49">IF(O99&gt;0, Y99-(O99*$AH$63/$AF$63), Y99)</f>
        <v>-6.2872659365531607E-5</v>
      </c>
      <c r="AI99" s="2">
        <f t="shared" ref="AI99:AI131" ca="1" si="50">IF(O99&gt;0, Z99-(O99*$AI$63/$AF$63), Z99)</f>
        <v>-2.5336459647733272E-5</v>
      </c>
      <c r="AJ99" s="2">
        <f t="shared" ref="AJ99:AJ131" ca="1" si="51">IF(O99&gt;0, AA99-(O99*$AJ$63/$AF$63), AA99)</f>
        <v>5.3635705627999832E-7</v>
      </c>
      <c r="AK99" s="2">
        <f t="shared" ref="AK99:AK131" ca="1" si="52">IF(P99&gt;0, AB99-(P99*$AK$63/$AG$63), AB99)</f>
        <v>6.5280583521392255E-5</v>
      </c>
      <c r="AL99" s="2">
        <f t="shared" ref="AL99:AL131" ca="1" si="53">IF(O99&gt;0, AC99-(O99*$AL$63/$AF$63), AC99)</f>
        <v>-6.518308560077651E-5</v>
      </c>
      <c r="AN99" s="2" t="e">
        <f t="shared" ca="1" si="16"/>
        <v>#N/A</v>
      </c>
      <c r="AO99" s="2" t="e">
        <f t="shared" ca="1" si="29"/>
        <v>#N/A</v>
      </c>
      <c r="AP99" s="2" t="e">
        <f t="shared" ca="1" si="17"/>
        <v>#N/A</v>
      </c>
      <c r="AQ99" s="2" t="e">
        <f t="shared" ca="1" si="18"/>
        <v>#N/A</v>
      </c>
      <c r="AR99" s="2" t="e">
        <f t="shared" ca="1" si="19"/>
        <v>#N/A</v>
      </c>
      <c r="AS99" s="2" t="e">
        <f t="shared" ca="1" si="20"/>
        <v>#N/A</v>
      </c>
      <c r="AT99" s="9" t="e">
        <f t="shared" ca="1" si="21"/>
        <v>#N/A</v>
      </c>
      <c r="AU99" s="9" t="e">
        <f t="shared" ca="1" si="22"/>
        <v>#N/A</v>
      </c>
      <c r="AW99" s="2" t="e">
        <f t="shared" ca="1" si="30"/>
        <v>#N/A</v>
      </c>
      <c r="AX99" s="2" t="e">
        <f t="shared" ca="1" si="31"/>
        <v>#N/A</v>
      </c>
      <c r="AY99" s="2" t="e">
        <f t="shared" ca="1" si="32"/>
        <v>#N/A</v>
      </c>
      <c r="AZ99" s="2" t="e">
        <f t="shared" ca="1" si="33"/>
        <v>#N/A</v>
      </c>
      <c r="BA99" s="2" t="e">
        <f t="shared" ca="1" si="34"/>
        <v>#N/A</v>
      </c>
      <c r="BB99" s="2" t="e">
        <f t="shared" ca="1" si="35"/>
        <v>#N/A</v>
      </c>
      <c r="BC99" s="9" t="e">
        <f t="shared" ca="1" si="23"/>
        <v>#N/A</v>
      </c>
      <c r="BD99" s="9" t="e">
        <f t="shared" ca="1" si="36"/>
        <v>#N/A</v>
      </c>
    </row>
    <row r="100" spans="1:56" ht="15" x14ac:dyDescent="0.25">
      <c r="A100" s="90">
        <v>34</v>
      </c>
      <c r="B100" s="90">
        <v>1542620836.3770001</v>
      </c>
      <c r="C100" s="91">
        <v>3.1908344332212701E-4</v>
      </c>
      <c r="D100" s="91">
        <v>1.12314886647122E-4</v>
      </c>
      <c r="E100" s="91">
        <v>1.6697613845519401E-3</v>
      </c>
      <c r="F100" s="91">
        <v>1.3399545106591201E-4</v>
      </c>
      <c r="G100" s="91">
        <v>1.2100756975196899E-3</v>
      </c>
      <c r="H100" s="91">
        <v>5.4418235947002703E-4</v>
      </c>
      <c r="I100" s="91">
        <v>5.6285778142497103E-3</v>
      </c>
      <c r="J100" s="91"/>
      <c r="K100" s="91"/>
      <c r="L100" s="89"/>
      <c r="M100" s="89"/>
      <c r="O100" s="11">
        <f t="shared" ca="1" si="37"/>
        <v>-7.4703382842379238E-5</v>
      </c>
      <c r="P100" s="11">
        <f t="shared" ca="1" si="38"/>
        <v>-5.1269171063097674E-5</v>
      </c>
      <c r="Q100" s="11">
        <f t="shared" ca="1" si="39"/>
        <v>5.5731982174086038E-5</v>
      </c>
      <c r="R100" s="11">
        <f t="shared" ca="1" si="40"/>
        <v>1.1914169094427638E-4</v>
      </c>
      <c r="S100" s="11">
        <f t="shared" ca="1" si="41"/>
        <v>6.4273013664656537E-5</v>
      </c>
      <c r="T100" s="11">
        <f t="shared" ca="1" si="42"/>
        <v>5.3643016045920263E-5</v>
      </c>
      <c r="U100" s="11">
        <f t="shared" ca="1" si="43"/>
        <v>1.2113824879611719E-4</v>
      </c>
      <c r="V100" s="11"/>
      <c r="W100" s="11">
        <f t="shared" ca="1" si="25"/>
        <v>0</v>
      </c>
      <c r="X100" s="2">
        <f t="shared" ca="1" si="44"/>
        <v>-5.1269171063097674E-5</v>
      </c>
      <c r="Y100" s="2">
        <f t="shared" ca="1" si="45"/>
        <v>5.5731982174086038E-5</v>
      </c>
      <c r="Z100" s="11">
        <f t="shared" ca="1" si="26"/>
        <v>1.1914169094427638E-4</v>
      </c>
      <c r="AA100" s="2">
        <f t="shared" ca="1" si="46"/>
        <v>6.4273013664656537E-5</v>
      </c>
      <c r="AB100" s="11">
        <f t="shared" ca="1" si="27"/>
        <v>5.3643016045920263E-5</v>
      </c>
      <c r="AC100" s="2">
        <f t="shared" ca="1" si="47"/>
        <v>1.2113824879611719E-4</v>
      </c>
      <c r="AF100" s="11">
        <f t="shared" ca="1" si="28"/>
        <v>0</v>
      </c>
      <c r="AG100" s="2">
        <f t="shared" ca="1" si="48"/>
        <v>-5.1269171063097674E-5</v>
      </c>
      <c r="AH100" s="2">
        <f t="shared" ca="1" si="49"/>
        <v>5.5731982174086038E-5</v>
      </c>
      <c r="AI100" s="2">
        <f t="shared" ca="1" si="50"/>
        <v>1.1914169094427638E-4</v>
      </c>
      <c r="AJ100" s="2">
        <f t="shared" ca="1" si="51"/>
        <v>6.4273013664656537E-5</v>
      </c>
      <c r="AK100" s="2">
        <f t="shared" ca="1" si="52"/>
        <v>5.3643016045920263E-5</v>
      </c>
      <c r="AL100" s="2">
        <f t="shared" ca="1" si="53"/>
        <v>1.2113824879611719E-4</v>
      </c>
      <c r="AN100" s="2">
        <f t="shared" ca="1" si="16"/>
        <v>1.8847451191281328</v>
      </c>
      <c r="AO100" s="2">
        <f t="shared" ca="1" si="29"/>
        <v>8.5233734874386749E-2</v>
      </c>
      <c r="AP100" s="2">
        <f t="shared" ca="1" si="17"/>
        <v>1.0154891298430577E-5</v>
      </c>
      <c r="AQ100" s="2">
        <f t="shared" ca="1" si="18"/>
        <v>4.3488124747489683E-5</v>
      </c>
      <c r="AR100" s="2">
        <f t="shared" ca="1" si="19"/>
        <v>1.4339732859660455</v>
      </c>
      <c r="AS100" s="2">
        <f t="shared" ca="1" si="20"/>
        <v>0.18848312384677954</v>
      </c>
      <c r="AT100" s="9" t="str">
        <f t="shared" ca="1" si="21"/>
        <v>rejected</v>
      </c>
      <c r="AU100" s="9" t="e">
        <f t="shared" ca="1" si="22"/>
        <v>#N/A</v>
      </c>
      <c r="AW100" s="2">
        <f t="shared" ca="1" si="30"/>
        <v>1.8847451191281328</v>
      </c>
      <c r="AX100" s="2">
        <f t="shared" ca="1" si="31"/>
        <v>8.5233734874386749E-2</v>
      </c>
      <c r="AY100" s="2">
        <f t="shared" ca="1" si="32"/>
        <v>1.0154891298430577E-5</v>
      </c>
      <c r="AZ100" s="2">
        <f t="shared" ca="1" si="33"/>
        <v>4.3488124747489683E-5</v>
      </c>
      <c r="BA100" s="2">
        <f t="shared" ca="1" si="34"/>
        <v>1.4339732859660455</v>
      </c>
      <c r="BB100" s="2">
        <f t="shared" ca="1" si="35"/>
        <v>0.18848312384677954</v>
      </c>
      <c r="BC100" s="9" t="str">
        <f t="shared" ca="1" si="23"/>
        <v>rejected</v>
      </c>
      <c r="BD100" s="9" t="e">
        <f t="shared" ca="1" si="36"/>
        <v>#N/A</v>
      </c>
    </row>
    <row r="101" spans="1:56" ht="15" x14ac:dyDescent="0.25">
      <c r="A101" s="90">
        <v>35</v>
      </c>
      <c r="B101" s="90">
        <v>1542620836.904</v>
      </c>
      <c r="C101" s="91">
        <v>2.7125587142886503E-4</v>
      </c>
      <c r="D101" s="91">
        <v>1.23420796137984E-4</v>
      </c>
      <c r="E101" s="91">
        <v>1.64267770012269E-3</v>
      </c>
      <c r="F101" s="91">
        <v>7.6646714653349896E-5</v>
      </c>
      <c r="G101" s="91">
        <v>1.1850386592479E-3</v>
      </c>
      <c r="H101" s="91">
        <v>4.8694650293507101E-4</v>
      </c>
      <c r="I101" s="91">
        <v>5.63407324989138E-3</v>
      </c>
      <c r="J101" s="91"/>
      <c r="K101" s="91"/>
      <c r="L101" s="89"/>
      <c r="M101" s="89"/>
      <c r="O101" s="11">
        <f t="shared" ca="1" si="37"/>
        <v>-1.2253095473564122E-4</v>
      </c>
      <c r="P101" s="11">
        <f t="shared" ca="1" si="38"/>
        <v>-4.0163261572235675E-5</v>
      </c>
      <c r="Q101" s="11">
        <f t="shared" ca="1" si="39"/>
        <v>2.8648297744835989E-5</v>
      </c>
      <c r="R101" s="11">
        <f t="shared" ca="1" si="40"/>
        <v>6.179295453171427E-5</v>
      </c>
      <c r="S101" s="11">
        <f t="shared" ca="1" si="41"/>
        <v>3.9235975392866614E-5</v>
      </c>
      <c r="T101" s="11">
        <f t="shared" ca="1" si="42"/>
        <v>-3.5928404890357528E-6</v>
      </c>
      <c r="U101" s="11">
        <f t="shared" ca="1" si="43"/>
        <v>1.2663368443778696E-4</v>
      </c>
      <c r="V101" s="11"/>
      <c r="W101" s="11">
        <f t="shared" ca="1" si="25"/>
        <v>0</v>
      </c>
      <c r="X101" s="2">
        <f t="shared" ca="1" si="44"/>
        <v>-4.0163261572235675E-5</v>
      </c>
      <c r="Y101" s="2">
        <f t="shared" ca="1" si="45"/>
        <v>2.8648297744835989E-5</v>
      </c>
      <c r="Z101" s="11">
        <f t="shared" ca="1" si="26"/>
        <v>6.179295453171427E-5</v>
      </c>
      <c r="AA101" s="2">
        <f t="shared" ca="1" si="46"/>
        <v>3.9235975392866614E-5</v>
      </c>
      <c r="AB101" s="11">
        <f t="shared" ca="1" si="27"/>
        <v>-3.5928404890357528E-6</v>
      </c>
      <c r="AC101" s="2">
        <f t="shared" ca="1" si="47"/>
        <v>1.2663368443778696E-4</v>
      </c>
      <c r="AF101" s="11">
        <f t="shared" ca="1" si="28"/>
        <v>0</v>
      </c>
      <c r="AG101" s="2">
        <f t="shared" ca="1" si="48"/>
        <v>-4.0163261572235675E-5</v>
      </c>
      <c r="AH101" s="2">
        <f t="shared" ca="1" si="49"/>
        <v>2.8648297744835989E-5</v>
      </c>
      <c r="AI101" s="2">
        <f t="shared" ca="1" si="50"/>
        <v>6.179295453171427E-5</v>
      </c>
      <c r="AJ101" s="2">
        <f t="shared" ca="1" si="51"/>
        <v>3.9235975392866614E-5</v>
      </c>
      <c r="AK101" s="2">
        <f t="shared" ca="1" si="52"/>
        <v>-3.5928404890357528E-6</v>
      </c>
      <c r="AL101" s="2">
        <f t="shared" ca="1" si="53"/>
        <v>1.2663368443778696E-4</v>
      </c>
      <c r="AN101" s="2">
        <f t="shared" ca="1" si="16"/>
        <v>3.2274891389805971</v>
      </c>
      <c r="AO101" s="2">
        <f t="shared" ca="1" si="29"/>
        <v>0.14691194670066637</v>
      </c>
      <c r="AP101" s="2">
        <f t="shared" ca="1" si="17"/>
        <v>9.0781232426399078E-6</v>
      </c>
      <c r="AQ101" s="2">
        <f t="shared" ca="1" si="18"/>
        <v>-1.2670963731675661E-5</v>
      </c>
      <c r="AR101" s="2">
        <f t="shared" ca="1" si="19"/>
        <v>-0.52200987648499331</v>
      </c>
      <c r="AS101" s="2">
        <f t="shared" ca="1" si="20"/>
        <v>0.27520401636025754</v>
      </c>
      <c r="AT101" s="9" t="str">
        <f t="shared" ca="1" si="21"/>
        <v>rejected</v>
      </c>
      <c r="AU101" s="9" t="e">
        <f t="shared" ca="1" si="22"/>
        <v>#N/A</v>
      </c>
      <c r="AW101" s="2">
        <f t="shared" ca="1" si="30"/>
        <v>3.2274891389805971</v>
      </c>
      <c r="AX101" s="2">
        <f t="shared" ca="1" si="31"/>
        <v>0.14691194670066637</v>
      </c>
      <c r="AY101" s="2">
        <f t="shared" ca="1" si="32"/>
        <v>9.0781232426399078E-6</v>
      </c>
      <c r="AZ101" s="2">
        <f t="shared" ca="1" si="33"/>
        <v>-1.2670963731675661E-5</v>
      </c>
      <c r="BA101" s="2">
        <f t="shared" ca="1" si="34"/>
        <v>-0.52200987648499331</v>
      </c>
      <c r="BB101" s="2">
        <f t="shared" ca="1" si="35"/>
        <v>0.27520401636025754</v>
      </c>
      <c r="BC101" s="9" t="str">
        <f t="shared" ca="1" si="23"/>
        <v>rejected</v>
      </c>
      <c r="BD101" s="9" t="e">
        <f t="shared" ca="1" si="36"/>
        <v>#N/A</v>
      </c>
    </row>
    <row r="102" spans="1:56" ht="15" x14ac:dyDescent="0.25">
      <c r="A102" s="90">
        <v>36</v>
      </c>
      <c r="B102" s="90">
        <v>1542620837.431</v>
      </c>
      <c r="C102" s="91">
        <v>3.73814320700343E-4</v>
      </c>
      <c r="D102" s="91">
        <v>2.6686360433220401E-4</v>
      </c>
      <c r="E102" s="91">
        <v>1.5734138950724401E-3</v>
      </c>
      <c r="F102" s="91">
        <v>4.07315917740071E-6</v>
      </c>
      <c r="G102" s="91">
        <v>1.13711236239015E-3</v>
      </c>
      <c r="H102" s="91">
        <v>5.4940737297613795E-4</v>
      </c>
      <c r="I102" s="91">
        <v>5.5327709300113E-3</v>
      </c>
      <c r="J102" s="91"/>
      <c r="K102" s="91"/>
      <c r="L102" s="89"/>
      <c r="M102" s="89"/>
      <c r="O102" s="11">
        <f t="shared" ca="1" si="37"/>
        <v>-1.9972505464163246E-5</v>
      </c>
      <c r="P102" s="11">
        <f t="shared" ca="1" si="38"/>
        <v>1.0327954662198434E-4</v>
      </c>
      <c r="Q102" s="11">
        <f t="shared" ca="1" si="39"/>
        <v>-4.0615507305413962E-5</v>
      </c>
      <c r="R102" s="11">
        <f t="shared" ca="1" si="40"/>
        <v>-1.0780600944234913E-5</v>
      </c>
      <c r="S102" s="11">
        <f t="shared" ca="1" si="41"/>
        <v>-8.6903214648833584E-6</v>
      </c>
      <c r="T102" s="11">
        <f t="shared" ca="1" si="42"/>
        <v>5.8868029552031184E-5</v>
      </c>
      <c r="U102" s="11">
        <f t="shared" ca="1" si="43"/>
        <v>2.5331364557706904E-5</v>
      </c>
      <c r="V102" s="11"/>
      <c r="W102" s="11">
        <f t="shared" ca="1" si="25"/>
        <v>0</v>
      </c>
      <c r="X102" s="2">
        <f t="shared" ca="1" si="44"/>
        <v>1.0327954662198434E-4</v>
      </c>
      <c r="Y102" s="2">
        <f t="shared" ca="1" si="45"/>
        <v>-4.0615507305413962E-5</v>
      </c>
      <c r="Z102" s="11">
        <f t="shared" ca="1" si="26"/>
        <v>-1.0780600944234913E-5</v>
      </c>
      <c r="AA102" s="2">
        <f t="shared" ca="1" si="46"/>
        <v>-8.6903214648833584E-6</v>
      </c>
      <c r="AB102" s="11">
        <f t="shared" ca="1" si="27"/>
        <v>5.8868029552031184E-5</v>
      </c>
      <c r="AC102" s="2">
        <f t="shared" ca="1" si="47"/>
        <v>2.5331364557706904E-5</v>
      </c>
      <c r="AF102" s="11">
        <f t="shared" ca="1" si="28"/>
        <v>0</v>
      </c>
      <c r="AG102" s="2">
        <f t="shared" ca="1" si="48"/>
        <v>1.0327954662198434E-4</v>
      </c>
      <c r="AH102" s="2">
        <f t="shared" ca="1" si="49"/>
        <v>-4.0615507305413962E-5</v>
      </c>
      <c r="AI102" s="2">
        <f t="shared" ca="1" si="50"/>
        <v>-1.0780600944234913E-5</v>
      </c>
      <c r="AJ102" s="2">
        <f t="shared" ca="1" si="51"/>
        <v>-8.6903214648833584E-6</v>
      </c>
      <c r="AK102" s="2">
        <f t="shared" ca="1" si="52"/>
        <v>5.6645635165203532E-5</v>
      </c>
      <c r="AL102" s="2">
        <f t="shared" ca="1" si="53"/>
        <v>2.5331364557706904E-5</v>
      </c>
      <c r="AN102" s="2" t="e">
        <f t="shared" ca="1" si="16"/>
        <v>#N/A</v>
      </c>
      <c r="AO102" s="2" t="e">
        <f t="shared" ca="1" si="29"/>
        <v>#N/A</v>
      </c>
      <c r="AP102" s="2" t="e">
        <f t="shared" ca="1" si="17"/>
        <v>#N/A</v>
      </c>
      <c r="AQ102" s="2" t="e">
        <f t="shared" ca="1" si="18"/>
        <v>#N/A</v>
      </c>
      <c r="AR102" s="2" t="e">
        <f t="shared" ca="1" si="19"/>
        <v>#N/A</v>
      </c>
      <c r="AS102" s="2" t="e">
        <f t="shared" ca="1" si="20"/>
        <v>#N/A</v>
      </c>
      <c r="AT102" s="9" t="e">
        <f t="shared" ca="1" si="21"/>
        <v>#N/A</v>
      </c>
      <c r="AU102" s="9" t="e">
        <f t="shared" ca="1" si="22"/>
        <v>#N/A</v>
      </c>
      <c r="AW102" s="2" t="e">
        <f t="shared" ca="1" si="30"/>
        <v>#N/A</v>
      </c>
      <c r="AX102" s="2" t="e">
        <f t="shared" ca="1" si="31"/>
        <v>#N/A</v>
      </c>
      <c r="AY102" s="2" t="e">
        <f t="shared" ca="1" si="32"/>
        <v>#N/A</v>
      </c>
      <c r="AZ102" s="2" t="e">
        <f t="shared" ca="1" si="33"/>
        <v>#N/A</v>
      </c>
      <c r="BA102" s="2" t="e">
        <f t="shared" ca="1" si="34"/>
        <v>#N/A</v>
      </c>
      <c r="BB102" s="2" t="e">
        <f t="shared" ca="1" si="35"/>
        <v>#N/A</v>
      </c>
      <c r="BC102" s="9" t="e">
        <f t="shared" ca="1" si="23"/>
        <v>#N/A</v>
      </c>
      <c r="BD102" s="9" t="e">
        <f t="shared" ca="1" si="36"/>
        <v>#N/A</v>
      </c>
    </row>
    <row r="103" spans="1:56" ht="15" x14ac:dyDescent="0.25">
      <c r="A103" s="90">
        <v>37</v>
      </c>
      <c r="B103" s="90">
        <v>1542620837.9579999</v>
      </c>
      <c r="C103" s="91">
        <v>3.7048279026489302E-4</v>
      </c>
      <c r="D103" s="91">
        <v>1.76589105851245E-4</v>
      </c>
      <c r="E103" s="91">
        <v>1.5777277644227999E-3</v>
      </c>
      <c r="F103" s="91">
        <v>-1.9958232884773499E-5</v>
      </c>
      <c r="G103" s="91">
        <v>1.1225680199769799E-3</v>
      </c>
      <c r="H103" s="91">
        <v>4.7602218974511599E-4</v>
      </c>
      <c r="I103" s="91">
        <v>5.5026689119523397E-3</v>
      </c>
      <c r="J103" s="91"/>
      <c r="K103" s="91"/>
      <c r="L103" s="89"/>
      <c r="M103" s="89"/>
      <c r="O103" s="11">
        <f t="shared" ca="1" si="37"/>
        <v>-2.3304035899613231E-5</v>
      </c>
      <c r="P103" s="11">
        <f t="shared" ca="1" si="38"/>
        <v>1.3005048141025334E-5</v>
      </c>
      <c r="Q103" s="11">
        <f t="shared" ca="1" si="39"/>
        <v>-3.6301637955054103E-5</v>
      </c>
      <c r="R103" s="11">
        <f t="shared" ca="1" si="40"/>
        <v>-3.4811993006409118E-5</v>
      </c>
      <c r="S103" s="11">
        <f t="shared" ca="1" si="41"/>
        <v>-2.3234663878053457E-5</v>
      </c>
      <c r="T103" s="11">
        <f t="shared" ca="1" si="42"/>
        <v>-1.4517153678990781E-5</v>
      </c>
      <c r="U103" s="11">
        <f t="shared" ca="1" si="43"/>
        <v>-4.7706535012534065E-6</v>
      </c>
      <c r="V103" s="11"/>
      <c r="W103" s="11">
        <f t="shared" ca="1" si="25"/>
        <v>0</v>
      </c>
      <c r="X103" s="2">
        <f t="shared" ca="1" si="44"/>
        <v>1.3005048141025334E-5</v>
      </c>
      <c r="Y103" s="2">
        <f t="shared" ca="1" si="45"/>
        <v>-3.6301637955054103E-5</v>
      </c>
      <c r="Z103" s="11">
        <f t="shared" ca="1" si="26"/>
        <v>-3.4811993006409118E-5</v>
      </c>
      <c r="AA103" s="2">
        <f t="shared" ca="1" si="46"/>
        <v>-2.3234663878053457E-5</v>
      </c>
      <c r="AB103" s="11">
        <f t="shared" ca="1" si="27"/>
        <v>-1.4517153678990781E-5</v>
      </c>
      <c r="AC103" s="2">
        <f t="shared" ca="1" si="47"/>
        <v>-4.7706535012534065E-6</v>
      </c>
      <c r="AF103" s="11">
        <f t="shared" ca="1" si="28"/>
        <v>0</v>
      </c>
      <c r="AG103" s="2">
        <f t="shared" ca="1" si="48"/>
        <v>1.3005048141025334E-5</v>
      </c>
      <c r="AH103" s="2">
        <f t="shared" ca="1" si="49"/>
        <v>-3.6301637955054103E-5</v>
      </c>
      <c r="AI103" s="2">
        <f t="shared" ca="1" si="50"/>
        <v>-3.4811993006409118E-5</v>
      </c>
      <c r="AJ103" s="2">
        <f t="shared" ca="1" si="51"/>
        <v>-2.3234663878053457E-5</v>
      </c>
      <c r="AK103" s="2">
        <f t="shared" ca="1" si="52"/>
        <v>-1.4796999465832044E-5</v>
      </c>
      <c r="AL103" s="2">
        <f t="shared" ca="1" si="53"/>
        <v>-4.7706535012534065E-6</v>
      </c>
      <c r="AN103" s="2" t="e">
        <f t="shared" ca="1" si="16"/>
        <v>#N/A</v>
      </c>
      <c r="AO103" s="2" t="e">
        <f t="shared" ca="1" si="29"/>
        <v>#N/A</v>
      </c>
      <c r="AP103" s="2" t="e">
        <f t="shared" ca="1" si="17"/>
        <v>#N/A</v>
      </c>
      <c r="AQ103" s="2" t="e">
        <f t="shared" ca="1" si="18"/>
        <v>#N/A</v>
      </c>
      <c r="AR103" s="2" t="e">
        <f t="shared" ca="1" si="19"/>
        <v>#N/A</v>
      </c>
      <c r="AS103" s="2" t="e">
        <f t="shared" ca="1" si="20"/>
        <v>#N/A</v>
      </c>
      <c r="AT103" s="9" t="e">
        <f t="shared" ca="1" si="21"/>
        <v>#N/A</v>
      </c>
      <c r="AU103" s="9" t="e">
        <f t="shared" ca="1" si="22"/>
        <v>#N/A</v>
      </c>
      <c r="AW103" s="2" t="e">
        <f t="shared" ca="1" si="30"/>
        <v>#N/A</v>
      </c>
      <c r="AX103" s="2" t="e">
        <f t="shared" ca="1" si="31"/>
        <v>#N/A</v>
      </c>
      <c r="AY103" s="2" t="e">
        <f t="shared" ca="1" si="32"/>
        <v>#N/A</v>
      </c>
      <c r="AZ103" s="2" t="e">
        <f t="shared" ca="1" si="33"/>
        <v>#N/A</v>
      </c>
      <c r="BA103" s="2" t="e">
        <f t="shared" ca="1" si="34"/>
        <v>#N/A</v>
      </c>
      <c r="BB103" s="2" t="e">
        <f t="shared" ca="1" si="35"/>
        <v>#N/A</v>
      </c>
      <c r="BC103" s="9" t="e">
        <f t="shared" ca="1" si="23"/>
        <v>#N/A</v>
      </c>
      <c r="BD103" s="9" t="e">
        <f t="shared" ca="1" si="36"/>
        <v>#N/A</v>
      </c>
    </row>
    <row r="104" spans="1:56" ht="15" x14ac:dyDescent="0.25">
      <c r="A104" s="90">
        <v>38</v>
      </c>
      <c r="B104" s="90">
        <v>1542620838.4849999</v>
      </c>
      <c r="C104" s="91">
        <v>5.07084651291737E-4</v>
      </c>
      <c r="D104" s="91">
        <v>1.5343100302823599E-4</v>
      </c>
      <c r="E104" s="91">
        <v>1.53890360625719E-3</v>
      </c>
      <c r="F104" s="91">
        <v>4.5951026279386803E-5</v>
      </c>
      <c r="G104" s="91">
        <v>1.0894267837504299E-3</v>
      </c>
      <c r="H104" s="91">
        <v>5.1140789881321002E-4</v>
      </c>
      <c r="I104" s="91">
        <v>5.3968412153623403E-3</v>
      </c>
      <c r="J104" s="91"/>
      <c r="K104" s="91"/>
      <c r="L104" s="89"/>
      <c r="M104" s="89"/>
      <c r="O104" s="11">
        <f t="shared" ca="1" si="37"/>
        <v>1.1329782512723075E-4</v>
      </c>
      <c r="P104" s="11">
        <f t="shared" ca="1" si="38"/>
        <v>-1.0153054681983682E-5</v>
      </c>
      <c r="Q104" s="11">
        <f t="shared" ca="1" si="39"/>
        <v>-7.5125796120664072E-5</v>
      </c>
      <c r="R104" s="11">
        <f t="shared" ca="1" si="40"/>
        <v>3.1097266157751184E-5</v>
      </c>
      <c r="S104" s="11">
        <f t="shared" ca="1" si="41"/>
        <v>-5.6375900104603483E-5</v>
      </c>
      <c r="T104" s="11">
        <f t="shared" ca="1" si="42"/>
        <v>2.0868555389103255E-5</v>
      </c>
      <c r="U104" s="11">
        <f t="shared" ca="1" si="43"/>
        <v>-1.1059835009125281E-4</v>
      </c>
      <c r="V104" s="11"/>
      <c r="W104" s="11">
        <f t="shared" ca="1" si="25"/>
        <v>0</v>
      </c>
      <c r="X104" s="2">
        <f t="shared" ca="1" si="44"/>
        <v>-3.3744493543876782E-5</v>
      </c>
      <c r="Y104" s="2">
        <f t="shared" ca="1" si="45"/>
        <v>-4.3976806240930314E-4</v>
      </c>
      <c r="Z104" s="11">
        <f t="shared" ca="1" si="26"/>
        <v>3.1097266157751184E-5</v>
      </c>
      <c r="AA104" s="2">
        <f t="shared" ca="1" si="46"/>
        <v>-5.7095641400440743E-5</v>
      </c>
      <c r="AB104" s="11">
        <f t="shared" ca="1" si="27"/>
        <v>2.0868555389103255E-5</v>
      </c>
      <c r="AC104" s="2">
        <f t="shared" ca="1" si="47"/>
        <v>-1.4327686169994918E-4</v>
      </c>
      <c r="AF104" s="11">
        <f t="shared" ca="1" si="28"/>
        <v>0</v>
      </c>
      <c r="AG104" s="2">
        <f t="shared" ca="1" si="48"/>
        <v>-5.7384688894999115E-5</v>
      </c>
      <c r="AH104" s="2">
        <f t="shared" ca="1" si="49"/>
        <v>-8.0543094277922794E-4</v>
      </c>
      <c r="AI104" s="2">
        <f t="shared" ca="1" si="50"/>
        <v>3.093948764925451E-5</v>
      </c>
      <c r="AJ104" s="2">
        <f t="shared" ca="1" si="51"/>
        <v>-6.0250522435323675E-5</v>
      </c>
      <c r="AK104" s="2">
        <f t="shared" ca="1" si="52"/>
        <v>2.0868555389103255E-5</v>
      </c>
      <c r="AL104" s="2">
        <f t="shared" ca="1" si="53"/>
        <v>-1.7995772850968217E-4</v>
      </c>
      <c r="AN104" s="2" t="e">
        <f t="shared" ca="1" si="16"/>
        <v>#N/A</v>
      </c>
      <c r="AO104" s="2" t="e">
        <f t="shared" ca="1" si="29"/>
        <v>#N/A</v>
      </c>
      <c r="AP104" s="2" t="e">
        <f t="shared" ca="1" si="17"/>
        <v>#N/A</v>
      </c>
      <c r="AQ104" s="2" t="e">
        <f t="shared" ca="1" si="18"/>
        <v>#N/A</v>
      </c>
      <c r="AR104" s="2" t="e">
        <f t="shared" ca="1" si="19"/>
        <v>#N/A</v>
      </c>
      <c r="AS104" s="2" t="e">
        <f t="shared" ca="1" si="20"/>
        <v>#N/A</v>
      </c>
      <c r="AT104" s="9" t="e">
        <f t="shared" ca="1" si="21"/>
        <v>#N/A</v>
      </c>
      <c r="AU104" s="9" t="e">
        <f t="shared" ca="1" si="22"/>
        <v>#N/A</v>
      </c>
      <c r="AW104" s="2" t="e">
        <f t="shared" ca="1" si="30"/>
        <v>#N/A</v>
      </c>
      <c r="AX104" s="2" t="e">
        <f t="shared" ca="1" si="31"/>
        <v>#N/A</v>
      </c>
      <c r="AY104" s="2" t="e">
        <f t="shared" ca="1" si="32"/>
        <v>#N/A</v>
      </c>
      <c r="AZ104" s="2" t="e">
        <f t="shared" ca="1" si="33"/>
        <v>#N/A</v>
      </c>
      <c r="BA104" s="2" t="e">
        <f t="shared" ca="1" si="34"/>
        <v>#N/A</v>
      </c>
      <c r="BB104" s="2" t="e">
        <f t="shared" ca="1" si="35"/>
        <v>#N/A</v>
      </c>
      <c r="BC104" s="9" t="e">
        <f t="shared" ca="1" si="23"/>
        <v>#N/A</v>
      </c>
      <c r="BD104" s="9" t="e">
        <f t="shared" ca="1" si="36"/>
        <v>#N/A</v>
      </c>
    </row>
    <row r="105" spans="1:56" ht="15" x14ac:dyDescent="0.25">
      <c r="A105" s="90">
        <v>39</v>
      </c>
      <c r="B105" s="90">
        <v>1542620839.0120001</v>
      </c>
      <c r="C105" s="91">
        <v>3.6596144530566202E-4</v>
      </c>
      <c r="D105" s="91">
        <v>5.4896954016182301E-5</v>
      </c>
      <c r="E105" s="91">
        <v>1.59618174770725E-3</v>
      </c>
      <c r="F105" s="91">
        <v>3.2388115680578197E-5</v>
      </c>
      <c r="G105" s="91">
        <v>1.17120894486425E-3</v>
      </c>
      <c r="H105" s="91">
        <v>4.2567690078847099E-4</v>
      </c>
      <c r="I105" s="91">
        <v>5.4883349353817201E-3</v>
      </c>
      <c r="J105" s="91"/>
      <c r="K105" s="91"/>
      <c r="L105" s="89"/>
      <c r="M105" s="89"/>
      <c r="O105" s="11">
        <f t="shared" ca="1" si="37"/>
        <v>-2.782538085884423E-5</v>
      </c>
      <c r="P105" s="11">
        <f t="shared" ca="1" si="38"/>
        <v>-1.0868710369403738E-4</v>
      </c>
      <c r="Q105" s="11">
        <f t="shared" ca="1" si="39"/>
        <v>-1.7847654670604058E-5</v>
      </c>
      <c r="R105" s="11">
        <f t="shared" ca="1" si="40"/>
        <v>1.7534355558942574E-5</v>
      </c>
      <c r="S105" s="11">
        <f t="shared" ca="1" si="41"/>
        <v>2.540626100921658E-5</v>
      </c>
      <c r="T105" s="11">
        <f t="shared" ca="1" si="42"/>
        <v>-6.4862442635635776E-5</v>
      </c>
      <c r="U105" s="11">
        <f t="shared" ca="1" si="43"/>
        <v>-1.910463007187297E-5</v>
      </c>
      <c r="V105" s="11"/>
      <c r="W105" s="11">
        <f t="shared" ca="1" si="25"/>
        <v>0</v>
      </c>
      <c r="X105" s="2">
        <f t="shared" ca="1" si="44"/>
        <v>-1.0868710369403738E-4</v>
      </c>
      <c r="Y105" s="2">
        <f t="shared" ca="1" si="45"/>
        <v>-1.7847654670604058E-5</v>
      </c>
      <c r="Z105" s="11">
        <f t="shared" ca="1" si="26"/>
        <v>1.7534355558942574E-5</v>
      </c>
      <c r="AA105" s="2">
        <f t="shared" ca="1" si="46"/>
        <v>2.540626100921658E-5</v>
      </c>
      <c r="AB105" s="11">
        <f t="shared" ca="1" si="27"/>
        <v>-6.4862442635635776E-5</v>
      </c>
      <c r="AC105" s="2">
        <f t="shared" ca="1" si="47"/>
        <v>-1.910463007187297E-5</v>
      </c>
      <c r="AF105" s="11">
        <f t="shared" ca="1" si="28"/>
        <v>0</v>
      </c>
      <c r="AG105" s="2">
        <f t="shared" ca="1" si="48"/>
        <v>-1.0868710369403738E-4</v>
      </c>
      <c r="AH105" s="2">
        <f t="shared" ca="1" si="49"/>
        <v>-1.7847654670604058E-5</v>
      </c>
      <c r="AI105" s="2">
        <f t="shared" ca="1" si="50"/>
        <v>1.7534355558942574E-5</v>
      </c>
      <c r="AJ105" s="2">
        <f t="shared" ca="1" si="51"/>
        <v>2.540626100921658E-5</v>
      </c>
      <c r="AK105" s="2">
        <f t="shared" ca="1" si="52"/>
        <v>-6.4862442635635776E-5</v>
      </c>
      <c r="AL105" s="2">
        <f t="shared" ca="1" si="53"/>
        <v>-1.910463007187297E-5</v>
      </c>
      <c r="AN105" s="2" t="e">
        <f t="shared" ca="1" si="16"/>
        <v>#N/A</v>
      </c>
      <c r="AO105" s="2" t="e">
        <f t="shared" ca="1" si="29"/>
        <v>#N/A</v>
      </c>
      <c r="AP105" s="2" t="e">
        <f t="shared" ca="1" si="17"/>
        <v>#N/A</v>
      </c>
      <c r="AQ105" s="2" t="e">
        <f t="shared" ca="1" si="18"/>
        <v>#N/A</v>
      </c>
      <c r="AR105" s="2" t="e">
        <f t="shared" ca="1" si="19"/>
        <v>#N/A</v>
      </c>
      <c r="AS105" s="2" t="e">
        <f t="shared" ca="1" si="20"/>
        <v>#N/A</v>
      </c>
      <c r="AT105" s="9" t="e">
        <f t="shared" ca="1" si="21"/>
        <v>#N/A</v>
      </c>
      <c r="AU105" s="9" t="e">
        <f t="shared" ca="1" si="22"/>
        <v>#N/A</v>
      </c>
      <c r="AW105" s="2" t="e">
        <f t="shared" ca="1" si="30"/>
        <v>#N/A</v>
      </c>
      <c r="AX105" s="2" t="e">
        <f t="shared" ca="1" si="31"/>
        <v>#N/A</v>
      </c>
      <c r="AY105" s="2" t="e">
        <f t="shared" ca="1" si="32"/>
        <v>#N/A</v>
      </c>
      <c r="AZ105" s="2" t="e">
        <f t="shared" ca="1" si="33"/>
        <v>#N/A</v>
      </c>
      <c r="BA105" s="2" t="e">
        <f t="shared" ca="1" si="34"/>
        <v>#N/A</v>
      </c>
      <c r="BB105" s="2" t="e">
        <f t="shared" ca="1" si="35"/>
        <v>#N/A</v>
      </c>
      <c r="BC105" s="9" t="e">
        <f t="shared" ca="1" si="23"/>
        <v>#N/A</v>
      </c>
      <c r="BD105" s="9" t="e">
        <f t="shared" ca="1" si="36"/>
        <v>#N/A</v>
      </c>
    </row>
    <row r="106" spans="1:56" ht="15" x14ac:dyDescent="0.25">
      <c r="A106" s="90">
        <v>40</v>
      </c>
      <c r="B106" s="90">
        <v>1542620839.539</v>
      </c>
      <c r="C106" s="91">
        <v>5.1089263632469496E-4</v>
      </c>
      <c r="D106" s="91">
        <v>2.5362913277386298E-4</v>
      </c>
      <c r="E106" s="91">
        <v>1.70571430447912E-3</v>
      </c>
      <c r="F106" s="91">
        <v>4.7854607419890902E-5</v>
      </c>
      <c r="G106" s="91">
        <v>1.1504647317682299E-3</v>
      </c>
      <c r="H106" s="91">
        <v>5.2660751482750399E-4</v>
      </c>
      <c r="I106" s="91">
        <v>5.5289484014165004E-3</v>
      </c>
      <c r="J106" s="91"/>
      <c r="K106" s="91"/>
      <c r="L106" s="89"/>
      <c r="M106" s="89"/>
      <c r="O106" s="11">
        <f t="shared" ca="1" si="37"/>
        <v>1.1710581016018872E-4</v>
      </c>
      <c r="P106" s="11">
        <f t="shared" ca="1" si="38"/>
        <v>9.0045075063643312E-5</v>
      </c>
      <c r="Q106" s="11">
        <f t="shared" ca="1" si="39"/>
        <v>9.1684902101265946E-5</v>
      </c>
      <c r="R106" s="11">
        <f t="shared" ca="1" si="40"/>
        <v>3.3000847298255282E-5</v>
      </c>
      <c r="S106" s="11">
        <f t="shared" ca="1" si="41"/>
        <v>4.6620479131965261E-6</v>
      </c>
      <c r="T106" s="11">
        <f t="shared" ca="1" si="42"/>
        <v>3.6068171403397221E-5</v>
      </c>
      <c r="U106" s="11">
        <f t="shared" ca="1" si="43"/>
        <v>2.1508835962907348E-5</v>
      </c>
      <c r="V106" s="11"/>
      <c r="W106" s="11">
        <f t="shared" ca="1" si="25"/>
        <v>0</v>
      </c>
      <c r="X106" s="2">
        <f t="shared" ca="1" si="44"/>
        <v>6.566071854431814E-5</v>
      </c>
      <c r="Y106" s="2">
        <f t="shared" ca="1" si="45"/>
        <v>-2.8521313600692657E-4</v>
      </c>
      <c r="Z106" s="11">
        <f t="shared" ca="1" si="26"/>
        <v>3.3000847298255282E-5</v>
      </c>
      <c r="AA106" s="2">
        <f t="shared" ca="1" si="46"/>
        <v>3.9181158257083948E-6</v>
      </c>
      <c r="AB106" s="11">
        <f t="shared" ca="1" si="27"/>
        <v>3.6068171403397221E-5</v>
      </c>
      <c r="AC106" s="2">
        <f t="shared" ca="1" si="47"/>
        <v>-1.2268013437935658E-5</v>
      </c>
      <c r="AF106" s="11">
        <f t="shared" ca="1" si="28"/>
        <v>0</v>
      </c>
      <c r="AG106" s="2">
        <f t="shared" ca="1" si="48"/>
        <v>4.1225966810739349E-5</v>
      </c>
      <c r="AH106" s="2">
        <f t="shared" ca="1" si="49"/>
        <v>-6.631660914422228E-4</v>
      </c>
      <c r="AI106" s="2">
        <f t="shared" ca="1" si="50"/>
        <v>3.2837765791239412E-5</v>
      </c>
      <c r="AJ106" s="2">
        <f t="shared" ca="1" si="51"/>
        <v>6.5719798254510924E-7</v>
      </c>
      <c r="AK106" s="2">
        <f t="shared" ca="1" si="52"/>
        <v>3.4130559592267151E-5</v>
      </c>
      <c r="AL106" s="2">
        <f t="shared" ca="1" si="53"/>
        <v>-5.0181738792398263E-5</v>
      </c>
      <c r="AN106" s="2">
        <f t="shared" ca="1" si="16"/>
        <v>4.613602511896933</v>
      </c>
      <c r="AO106" s="2">
        <f t="shared" ca="1" si="29"/>
        <v>0.21091845821898916</v>
      </c>
      <c r="AP106" s="2">
        <f t="shared" ca="1" si="17"/>
        <v>6.9604878320682984E-6</v>
      </c>
      <c r="AQ106" s="2">
        <f t="shared" ca="1" si="18"/>
        <v>2.9107683571328923E-5</v>
      </c>
      <c r="AR106" s="2">
        <f t="shared" ca="1" si="19"/>
        <v>8.4302247830619681</v>
      </c>
      <c r="AS106" s="2">
        <f t="shared" ca="1" si="20"/>
        <v>10.684268126422115</v>
      </c>
      <c r="AT106" s="9" t="str">
        <f t="shared" ca="1" si="21"/>
        <v>rejected</v>
      </c>
      <c r="AU106" s="9" t="e">
        <f t="shared" ca="1" si="22"/>
        <v>#N/A</v>
      </c>
      <c r="AW106" s="2" t="e">
        <f t="shared" ca="1" si="30"/>
        <v>#N/A</v>
      </c>
      <c r="AX106" s="2" t="e">
        <f t="shared" ca="1" si="31"/>
        <v>#N/A</v>
      </c>
      <c r="AY106" s="2" t="e">
        <f t="shared" ca="1" si="32"/>
        <v>#N/A</v>
      </c>
      <c r="AZ106" s="2" t="e">
        <f t="shared" ca="1" si="33"/>
        <v>#N/A</v>
      </c>
      <c r="BA106" s="2" t="e">
        <f t="shared" ca="1" si="34"/>
        <v>#N/A</v>
      </c>
      <c r="BB106" s="2" t="e">
        <f t="shared" ca="1" si="35"/>
        <v>#N/A</v>
      </c>
      <c r="BC106" s="9" t="e">
        <f t="shared" ca="1" si="23"/>
        <v>#N/A</v>
      </c>
      <c r="BD106" s="9" t="e">
        <f t="shared" ca="1" si="36"/>
        <v>#N/A</v>
      </c>
    </row>
    <row r="107" spans="1:56" ht="15" x14ac:dyDescent="0.25">
      <c r="A107" s="90">
        <v>41</v>
      </c>
      <c r="B107" s="90">
        <v>1542620840.066</v>
      </c>
      <c r="C107" s="91">
        <v>3.6715127094219199E-4</v>
      </c>
      <c r="D107" s="91">
        <v>1.2412968819756001E-4</v>
      </c>
      <c r="E107" s="91">
        <v>1.6798280726104599E-3</v>
      </c>
      <c r="F107" s="91">
        <v>1.11864635599711E-4</v>
      </c>
      <c r="G107" s="91">
        <v>1.0353064060820399E-3</v>
      </c>
      <c r="H107" s="91">
        <v>4.6129830468223199E-4</v>
      </c>
      <c r="I107" s="91">
        <v>5.4859459592164301E-3</v>
      </c>
      <c r="J107" s="91"/>
      <c r="K107" s="91"/>
      <c r="L107" s="89"/>
      <c r="M107" s="89"/>
      <c r="O107" s="11">
        <f t="shared" ca="1" si="37"/>
        <v>-2.6635555222314256E-5</v>
      </c>
      <c r="P107" s="11">
        <f t="shared" ca="1" si="38"/>
        <v>-3.9454369512659666E-5</v>
      </c>
      <c r="Q107" s="11">
        <f t="shared" ca="1" si="39"/>
        <v>6.5798670232605902E-5</v>
      </c>
      <c r="R107" s="11">
        <f t="shared" ca="1" si="40"/>
        <v>9.7010875478075378E-5</v>
      </c>
      <c r="S107" s="11">
        <f t="shared" ca="1" si="41"/>
        <v>-1.1049627777299348E-4</v>
      </c>
      <c r="T107" s="11">
        <f t="shared" ca="1" si="42"/>
        <v>-2.924103874187478E-5</v>
      </c>
      <c r="U107" s="11">
        <f t="shared" ca="1" si="43"/>
        <v>-2.1493606237162934E-5</v>
      </c>
      <c r="V107" s="11"/>
      <c r="W107" s="11">
        <f t="shared" ca="1" si="25"/>
        <v>0</v>
      </c>
      <c r="X107" s="2">
        <f t="shared" ca="1" si="44"/>
        <v>-3.9454369512659666E-5</v>
      </c>
      <c r="Y107" s="2">
        <f t="shared" ca="1" si="45"/>
        <v>6.5798670232605902E-5</v>
      </c>
      <c r="Z107" s="11">
        <f t="shared" ca="1" si="26"/>
        <v>9.7010875478075378E-5</v>
      </c>
      <c r="AA107" s="2">
        <f t="shared" ca="1" si="46"/>
        <v>-1.1049627777299348E-4</v>
      </c>
      <c r="AB107" s="11">
        <f t="shared" ca="1" si="27"/>
        <v>-2.924103874187478E-5</v>
      </c>
      <c r="AC107" s="2">
        <f t="shared" ca="1" si="47"/>
        <v>-2.1493606237162934E-5</v>
      </c>
      <c r="AF107" s="11">
        <f t="shared" ca="1" si="28"/>
        <v>0</v>
      </c>
      <c r="AG107" s="2">
        <f t="shared" ca="1" si="48"/>
        <v>-3.9454369512659666E-5</v>
      </c>
      <c r="AH107" s="2">
        <f t="shared" ca="1" si="49"/>
        <v>6.5798670232605902E-5</v>
      </c>
      <c r="AI107" s="2">
        <f t="shared" ca="1" si="50"/>
        <v>9.7010875478075378E-5</v>
      </c>
      <c r="AJ107" s="2">
        <f t="shared" ca="1" si="51"/>
        <v>-1.1049627777299348E-4</v>
      </c>
      <c r="AK107" s="2">
        <f t="shared" ca="1" si="52"/>
        <v>-2.924103874187478E-5</v>
      </c>
      <c r="AL107" s="2">
        <f t="shared" ca="1" si="53"/>
        <v>-2.1493606237162934E-5</v>
      </c>
      <c r="AN107" s="2" t="e">
        <f t="shared" ca="1" si="16"/>
        <v>#N/A</v>
      </c>
      <c r="AO107" s="2" t="e">
        <f t="shared" ca="1" si="29"/>
        <v>#N/A</v>
      </c>
      <c r="AP107" s="2" t="e">
        <f t="shared" ca="1" si="17"/>
        <v>#N/A</v>
      </c>
      <c r="AQ107" s="2" t="e">
        <f t="shared" ca="1" si="18"/>
        <v>#N/A</v>
      </c>
      <c r="AR107" s="2" t="e">
        <f t="shared" ca="1" si="19"/>
        <v>#N/A</v>
      </c>
      <c r="AS107" s="2" t="e">
        <f t="shared" ca="1" si="20"/>
        <v>#N/A</v>
      </c>
      <c r="AT107" s="9" t="e">
        <f t="shared" ca="1" si="21"/>
        <v>#N/A</v>
      </c>
      <c r="AU107" s="9" t="e">
        <f t="shared" ca="1" si="22"/>
        <v>#N/A</v>
      </c>
      <c r="AW107" s="2" t="e">
        <f t="shared" ca="1" si="30"/>
        <v>#N/A</v>
      </c>
      <c r="AX107" s="2" t="e">
        <f t="shared" ca="1" si="31"/>
        <v>#N/A</v>
      </c>
      <c r="AY107" s="2" t="e">
        <f t="shared" ca="1" si="32"/>
        <v>#N/A</v>
      </c>
      <c r="AZ107" s="2" t="e">
        <f t="shared" ca="1" si="33"/>
        <v>#N/A</v>
      </c>
      <c r="BA107" s="2" t="e">
        <f t="shared" ca="1" si="34"/>
        <v>#N/A</v>
      </c>
      <c r="BB107" s="2" t="e">
        <f t="shared" ca="1" si="35"/>
        <v>#N/A</v>
      </c>
      <c r="BC107" s="9" t="e">
        <f t="shared" ca="1" si="23"/>
        <v>#N/A</v>
      </c>
      <c r="BD107" s="9" t="e">
        <f t="shared" ca="1" si="36"/>
        <v>#N/A</v>
      </c>
    </row>
    <row r="108" spans="1:56" ht="15" x14ac:dyDescent="0.25">
      <c r="A108" s="90">
        <v>42</v>
      </c>
      <c r="B108" s="90">
        <v>1542620840.5929999</v>
      </c>
      <c r="C108" s="91">
        <v>3.2550821703160201E-4</v>
      </c>
      <c r="D108" s="91">
        <v>1.2247560751281299E-4</v>
      </c>
      <c r="E108" s="91">
        <v>1.54585349976794E-3</v>
      </c>
      <c r="F108" s="91">
        <v>-1.0132756321853699E-4</v>
      </c>
      <c r="G108" s="91">
        <v>1.1611944434552601E-3</v>
      </c>
      <c r="H108" s="91">
        <v>4.34700869501591E-4</v>
      </c>
      <c r="I108" s="91">
        <v>5.4553675671979102E-3</v>
      </c>
      <c r="J108" s="91"/>
      <c r="K108" s="91"/>
      <c r="L108" s="89"/>
      <c r="M108" s="89"/>
      <c r="O108" s="11">
        <f t="shared" ca="1" si="37"/>
        <v>-6.8278609132904232E-5</v>
      </c>
      <c r="P108" s="11">
        <f t="shared" ca="1" si="38"/>
        <v>-4.1108450197406684E-5</v>
      </c>
      <c r="Q108" s="11">
        <f t="shared" ca="1" si="39"/>
        <v>-6.8175902609914074E-5</v>
      </c>
      <c r="R108" s="11">
        <f t="shared" ca="1" si="40"/>
        <v>-1.1618132334017262E-4</v>
      </c>
      <c r="S108" s="11">
        <f t="shared" ca="1" si="41"/>
        <v>1.5391759600226701E-5</v>
      </c>
      <c r="T108" s="11">
        <f t="shared" ca="1" si="42"/>
        <v>-5.5838473922515763E-5</v>
      </c>
      <c r="U108" s="11">
        <f t="shared" ca="1" si="43"/>
        <v>-5.2071998255682865E-5</v>
      </c>
      <c r="V108" s="11"/>
      <c r="W108" s="11">
        <f t="shared" ca="1" si="25"/>
        <v>0</v>
      </c>
      <c r="X108" s="2">
        <f t="shared" ca="1" si="44"/>
        <v>-4.1108450197406684E-5</v>
      </c>
      <c r="Y108" s="2">
        <f t="shared" ca="1" si="45"/>
        <v>-6.8175902609914074E-5</v>
      </c>
      <c r="Z108" s="11">
        <f t="shared" ca="1" si="26"/>
        <v>-1.1618132334017262E-4</v>
      </c>
      <c r="AA108" s="2">
        <f t="shared" ca="1" si="46"/>
        <v>1.5391759600226701E-5</v>
      </c>
      <c r="AB108" s="11">
        <f t="shared" ca="1" si="27"/>
        <v>-5.5838473922515763E-5</v>
      </c>
      <c r="AC108" s="2">
        <f t="shared" ca="1" si="47"/>
        <v>-5.2071998255682865E-5</v>
      </c>
      <c r="AF108" s="11">
        <f t="shared" ca="1" si="28"/>
        <v>0</v>
      </c>
      <c r="AG108" s="2">
        <f t="shared" ca="1" si="48"/>
        <v>-4.1108450197406684E-5</v>
      </c>
      <c r="AH108" s="2">
        <f t="shared" ca="1" si="49"/>
        <v>-6.8175902609914074E-5</v>
      </c>
      <c r="AI108" s="2">
        <f t="shared" ca="1" si="50"/>
        <v>-1.1618132334017262E-4</v>
      </c>
      <c r="AJ108" s="2">
        <f t="shared" ca="1" si="51"/>
        <v>1.5391759600226701E-5</v>
      </c>
      <c r="AK108" s="2">
        <f t="shared" ca="1" si="52"/>
        <v>-5.5838473922515763E-5</v>
      </c>
      <c r="AL108" s="2">
        <f t="shared" ca="1" si="53"/>
        <v>-5.2071998255682865E-5</v>
      </c>
      <c r="AN108" s="2" t="e">
        <f t="shared" ca="1" si="16"/>
        <v>#N/A</v>
      </c>
      <c r="AO108" s="2" t="e">
        <f t="shared" ca="1" si="29"/>
        <v>#N/A</v>
      </c>
      <c r="AP108" s="2" t="e">
        <f t="shared" ca="1" si="17"/>
        <v>#N/A</v>
      </c>
      <c r="AQ108" s="2" t="e">
        <f t="shared" ca="1" si="18"/>
        <v>#N/A</v>
      </c>
      <c r="AR108" s="2" t="e">
        <f t="shared" ca="1" si="19"/>
        <v>#N/A</v>
      </c>
      <c r="AS108" s="2" t="e">
        <f t="shared" ca="1" si="20"/>
        <v>#N/A</v>
      </c>
      <c r="AT108" s="9" t="e">
        <f t="shared" ca="1" si="21"/>
        <v>#N/A</v>
      </c>
      <c r="AU108" s="9" t="e">
        <f t="shared" ca="1" si="22"/>
        <v>#N/A</v>
      </c>
      <c r="AW108" s="2" t="e">
        <f t="shared" ca="1" si="30"/>
        <v>#N/A</v>
      </c>
      <c r="AX108" s="2" t="e">
        <f t="shared" ca="1" si="31"/>
        <v>#N/A</v>
      </c>
      <c r="AY108" s="2" t="e">
        <f t="shared" ca="1" si="32"/>
        <v>#N/A</v>
      </c>
      <c r="AZ108" s="2" t="e">
        <f t="shared" ca="1" si="33"/>
        <v>#N/A</v>
      </c>
      <c r="BA108" s="2" t="e">
        <f t="shared" ca="1" si="34"/>
        <v>#N/A</v>
      </c>
      <c r="BB108" s="2" t="e">
        <f t="shared" ca="1" si="35"/>
        <v>#N/A</v>
      </c>
      <c r="BC108" s="9" t="e">
        <f t="shared" ca="1" si="23"/>
        <v>#N/A</v>
      </c>
      <c r="BD108" s="9" t="e">
        <f t="shared" ca="1" si="36"/>
        <v>#N/A</v>
      </c>
    </row>
    <row r="109" spans="1:56" ht="15" x14ac:dyDescent="0.25">
      <c r="A109" s="90">
        <v>43</v>
      </c>
      <c r="B109" s="90">
        <v>1542620841.1199999</v>
      </c>
      <c r="C109" s="91">
        <v>3.1004123922923201E-4</v>
      </c>
      <c r="D109" s="91">
        <v>1.44924080565288E-4</v>
      </c>
      <c r="E109" s="91">
        <v>1.55328274937893E-3</v>
      </c>
      <c r="F109" s="91">
        <v>-1.4914679563850499E-4</v>
      </c>
      <c r="G109" s="91">
        <v>1.0789362615030299E-3</v>
      </c>
      <c r="H109" s="91">
        <v>3.6227394815244299E-4</v>
      </c>
      <c r="I109" s="91">
        <v>5.4264622887472101E-3</v>
      </c>
      <c r="J109" s="91"/>
      <c r="K109" s="91"/>
      <c r="L109" s="89"/>
      <c r="M109" s="89"/>
      <c r="O109" s="11">
        <f t="shared" ca="1" si="37"/>
        <v>-8.3745586935274233E-5</v>
      </c>
      <c r="P109" s="11">
        <f t="shared" ca="1" si="38"/>
        <v>-1.8659977144931672E-5</v>
      </c>
      <c r="Q109" s="11">
        <f t="shared" ca="1" si="39"/>
        <v>-6.0746652998924008E-5</v>
      </c>
      <c r="R109" s="11">
        <f t="shared" ca="1" si="40"/>
        <v>-1.640005557601406E-4</v>
      </c>
      <c r="S109" s="11">
        <f t="shared" ca="1" si="41"/>
        <v>-6.6866422352003475E-5</v>
      </c>
      <c r="T109" s="11">
        <f t="shared" ca="1" si="42"/>
        <v>-1.2826539527166378E-4</v>
      </c>
      <c r="U109" s="11">
        <f t="shared" ca="1" si="43"/>
        <v>-8.0977276706382939E-5</v>
      </c>
      <c r="V109" s="11"/>
      <c r="W109" s="11">
        <f t="shared" ca="1" si="25"/>
        <v>0</v>
      </c>
      <c r="X109" s="2">
        <f t="shared" ca="1" si="44"/>
        <v>-1.8659977144931672E-5</v>
      </c>
      <c r="Y109" s="2">
        <f t="shared" ca="1" si="45"/>
        <v>-6.0746652998924008E-5</v>
      </c>
      <c r="Z109" s="11">
        <f t="shared" ca="1" si="26"/>
        <v>-1.640005557601406E-4</v>
      </c>
      <c r="AA109" s="2">
        <f t="shared" ca="1" si="46"/>
        <v>-6.6866422352003475E-5</v>
      </c>
      <c r="AB109" s="11">
        <f t="shared" ca="1" si="27"/>
        <v>-1.2826539527166378E-4</v>
      </c>
      <c r="AC109" s="2">
        <f t="shared" ca="1" si="47"/>
        <v>-8.0977276706382939E-5</v>
      </c>
      <c r="AF109" s="11">
        <f t="shared" ca="1" si="28"/>
        <v>0</v>
      </c>
      <c r="AG109" s="2">
        <f t="shared" ca="1" si="48"/>
        <v>-1.8659977144931672E-5</v>
      </c>
      <c r="AH109" s="2">
        <f t="shared" ca="1" si="49"/>
        <v>-6.0746652998924008E-5</v>
      </c>
      <c r="AI109" s="2">
        <f t="shared" ca="1" si="50"/>
        <v>-1.640005557601406E-4</v>
      </c>
      <c r="AJ109" s="2">
        <f t="shared" ca="1" si="51"/>
        <v>-6.6866422352003475E-5</v>
      </c>
      <c r="AK109" s="2">
        <f t="shared" ca="1" si="52"/>
        <v>-1.2826539527166378E-4</v>
      </c>
      <c r="AL109" s="2">
        <f t="shared" ca="1" si="53"/>
        <v>-8.0977276706382939E-5</v>
      </c>
      <c r="AN109" s="2" t="e">
        <f t="shared" ca="1" si="16"/>
        <v>#N/A</v>
      </c>
      <c r="AO109" s="2" t="e">
        <f t="shared" ca="1" si="29"/>
        <v>#N/A</v>
      </c>
      <c r="AP109" s="2" t="e">
        <f t="shared" ca="1" si="17"/>
        <v>#N/A</v>
      </c>
      <c r="AQ109" s="2" t="e">
        <f t="shared" ca="1" si="18"/>
        <v>#N/A</v>
      </c>
      <c r="AR109" s="2" t="e">
        <f t="shared" ca="1" si="19"/>
        <v>#N/A</v>
      </c>
      <c r="AS109" s="2" t="e">
        <f t="shared" ca="1" si="20"/>
        <v>#N/A</v>
      </c>
      <c r="AT109" s="9" t="e">
        <f t="shared" ca="1" si="21"/>
        <v>#N/A</v>
      </c>
      <c r="AU109" s="9" t="e">
        <f t="shared" ca="1" si="22"/>
        <v>#N/A</v>
      </c>
      <c r="AW109" s="2" t="e">
        <f t="shared" ca="1" si="30"/>
        <v>#N/A</v>
      </c>
      <c r="AX109" s="2" t="e">
        <f t="shared" ca="1" si="31"/>
        <v>#N/A</v>
      </c>
      <c r="AY109" s="2" t="e">
        <f t="shared" ca="1" si="32"/>
        <v>#N/A</v>
      </c>
      <c r="AZ109" s="2" t="e">
        <f t="shared" ca="1" si="33"/>
        <v>#N/A</v>
      </c>
      <c r="BA109" s="2" t="e">
        <f t="shared" ca="1" si="34"/>
        <v>#N/A</v>
      </c>
      <c r="BB109" s="2" t="e">
        <f t="shared" ca="1" si="35"/>
        <v>#N/A</v>
      </c>
      <c r="BC109" s="9" t="e">
        <f t="shared" ca="1" si="23"/>
        <v>#N/A</v>
      </c>
      <c r="BD109" s="9" t="e">
        <f t="shared" ca="1" si="36"/>
        <v>#N/A</v>
      </c>
    </row>
    <row r="110" spans="1:56" ht="15" x14ac:dyDescent="0.25">
      <c r="A110" s="90">
        <v>44</v>
      </c>
      <c r="B110" s="90">
        <v>1542620841.6470001</v>
      </c>
      <c r="C110" s="91">
        <v>3.6929296065968701E-4</v>
      </c>
      <c r="D110" s="91">
        <v>2.2456118081897101E-4</v>
      </c>
      <c r="E110" s="91">
        <v>1.51517846947556E-3</v>
      </c>
      <c r="F110" s="91">
        <v>-8.0615764215633904E-6</v>
      </c>
      <c r="G110" s="91">
        <v>1.1249523239134601E-3</v>
      </c>
      <c r="H110" s="91">
        <v>3.8340781804097198E-4</v>
      </c>
      <c r="I110" s="91">
        <v>5.4572786893679996E-3</v>
      </c>
      <c r="J110" s="91"/>
      <c r="K110" s="91"/>
      <c r="L110" s="89"/>
      <c r="M110" s="89"/>
      <c r="O110" s="11">
        <f t="shared" ca="1" si="37"/>
        <v>-2.4493865504819233E-5</v>
      </c>
      <c r="P110" s="11">
        <f t="shared" ca="1" si="38"/>
        <v>6.0977123108751338E-5</v>
      </c>
      <c r="Q110" s="11">
        <f t="shared" ca="1" si="39"/>
        <v>-9.885093290229398E-5</v>
      </c>
      <c r="R110" s="11">
        <f t="shared" ca="1" si="40"/>
        <v>-2.2915336543199013E-5</v>
      </c>
      <c r="S110" s="11">
        <f t="shared" ca="1" si="41"/>
        <v>-2.0850359941573283E-5</v>
      </c>
      <c r="T110" s="11">
        <f t="shared" ca="1" si="42"/>
        <v>-1.0713152538313479E-4</v>
      </c>
      <c r="U110" s="11">
        <f t="shared" ca="1" si="43"/>
        <v>-5.0160876085593442E-5</v>
      </c>
      <c r="V110" s="11"/>
      <c r="W110" s="11">
        <f t="shared" ca="1" si="25"/>
        <v>0</v>
      </c>
      <c r="X110" s="2">
        <f t="shared" ca="1" si="44"/>
        <v>6.0977123108751338E-5</v>
      </c>
      <c r="Y110" s="2">
        <f t="shared" ca="1" si="45"/>
        <v>-9.885093290229398E-5</v>
      </c>
      <c r="Z110" s="11">
        <f t="shared" ca="1" si="26"/>
        <v>-2.2915336543199013E-5</v>
      </c>
      <c r="AA110" s="2">
        <f t="shared" ca="1" si="46"/>
        <v>-2.0850359941573283E-5</v>
      </c>
      <c r="AB110" s="11">
        <f t="shared" ca="1" si="27"/>
        <v>-1.0713152538313479E-4</v>
      </c>
      <c r="AC110" s="2">
        <f t="shared" ca="1" si="47"/>
        <v>-5.0160876085593442E-5</v>
      </c>
      <c r="AF110" s="11">
        <f t="shared" ca="1" si="28"/>
        <v>0</v>
      </c>
      <c r="AG110" s="2">
        <f t="shared" ca="1" si="48"/>
        <v>6.0977123108751338E-5</v>
      </c>
      <c r="AH110" s="2">
        <f t="shared" ca="1" si="49"/>
        <v>-9.885093290229398E-5</v>
      </c>
      <c r="AI110" s="2">
        <f t="shared" ca="1" si="50"/>
        <v>-2.2915336543199013E-5</v>
      </c>
      <c r="AJ110" s="2">
        <f t="shared" ca="1" si="51"/>
        <v>-2.0850359941573283E-5</v>
      </c>
      <c r="AK110" s="2">
        <f t="shared" ca="1" si="52"/>
        <v>-1.0844364593898685E-4</v>
      </c>
      <c r="AL110" s="2">
        <f t="shared" ca="1" si="53"/>
        <v>-5.0160876085593442E-5</v>
      </c>
      <c r="AN110" s="2" t="e">
        <f t="shared" ca="1" si="16"/>
        <v>#N/A</v>
      </c>
      <c r="AO110" s="2" t="e">
        <f t="shared" ca="1" si="29"/>
        <v>#N/A</v>
      </c>
      <c r="AP110" s="2" t="e">
        <f t="shared" ca="1" si="17"/>
        <v>#N/A</v>
      </c>
      <c r="AQ110" s="2" t="e">
        <f t="shared" ca="1" si="18"/>
        <v>#N/A</v>
      </c>
      <c r="AR110" s="2" t="e">
        <f t="shared" ca="1" si="19"/>
        <v>#N/A</v>
      </c>
      <c r="AS110" s="2" t="e">
        <f t="shared" ca="1" si="20"/>
        <v>#N/A</v>
      </c>
      <c r="AT110" s="9" t="e">
        <f t="shared" ca="1" si="21"/>
        <v>#N/A</v>
      </c>
      <c r="AU110" s="9" t="e">
        <f t="shared" ca="1" si="22"/>
        <v>#N/A</v>
      </c>
      <c r="AW110" s="2" t="e">
        <f t="shared" ca="1" si="30"/>
        <v>#N/A</v>
      </c>
      <c r="AX110" s="2" t="e">
        <f t="shared" ca="1" si="31"/>
        <v>#N/A</v>
      </c>
      <c r="AY110" s="2" t="e">
        <f t="shared" ca="1" si="32"/>
        <v>#N/A</v>
      </c>
      <c r="AZ110" s="2" t="e">
        <f t="shared" ca="1" si="33"/>
        <v>#N/A</v>
      </c>
      <c r="BA110" s="2" t="e">
        <f t="shared" ca="1" si="34"/>
        <v>#N/A</v>
      </c>
      <c r="BB110" s="2" t="e">
        <f t="shared" ca="1" si="35"/>
        <v>#N/A</v>
      </c>
      <c r="BC110" s="9" t="e">
        <f t="shared" ca="1" si="23"/>
        <v>#N/A</v>
      </c>
      <c r="BD110" s="9" t="e">
        <f t="shared" ca="1" si="36"/>
        <v>#N/A</v>
      </c>
    </row>
    <row r="111" spans="1:56" ht="15" x14ac:dyDescent="0.25">
      <c r="A111" s="90">
        <v>45</v>
      </c>
      <c r="B111" s="90">
        <v>1542620842.174</v>
      </c>
      <c r="C111" s="91">
        <v>3.2146298432145898E-4</v>
      </c>
      <c r="D111" s="91">
        <v>1.6004754869247299E-4</v>
      </c>
      <c r="E111" s="91">
        <v>1.53027621904556E-3</v>
      </c>
      <c r="F111" s="91">
        <v>6.9284125122049304E-6</v>
      </c>
      <c r="G111" s="91">
        <v>1.19910701315001E-3</v>
      </c>
      <c r="H111" s="91">
        <v>3.4351504540524003E-4</v>
      </c>
      <c r="I111" s="91">
        <v>5.4611009446404396E-3</v>
      </c>
      <c r="J111" s="91"/>
      <c r="K111" s="91"/>
      <c r="L111" s="89"/>
      <c r="M111" s="89"/>
      <c r="O111" s="11">
        <f t="shared" ca="1" si="37"/>
        <v>-7.2323841843047263E-5</v>
      </c>
      <c r="P111" s="11">
        <f t="shared" ca="1" si="38"/>
        <v>-3.5365090177466823E-6</v>
      </c>
      <c r="Q111" s="11">
        <f t="shared" ca="1" si="39"/>
        <v>-8.3753183332294003E-5</v>
      </c>
      <c r="R111" s="11">
        <f t="shared" ca="1" si="40"/>
        <v>-7.9253476094306921E-6</v>
      </c>
      <c r="S111" s="11">
        <f t="shared" ca="1" si="41"/>
        <v>5.3304329294976598E-5</v>
      </c>
      <c r="T111" s="11">
        <f t="shared" ca="1" si="42"/>
        <v>-1.4702429801886674E-4</v>
      </c>
      <c r="U111" s="11">
        <f t="shared" ca="1" si="43"/>
        <v>-4.6338620813153424E-5</v>
      </c>
      <c r="V111" s="11"/>
      <c r="W111" s="11">
        <f t="shared" ca="1" si="25"/>
        <v>0</v>
      </c>
      <c r="X111" s="2">
        <f t="shared" ca="1" si="44"/>
        <v>-3.5365090177466823E-6</v>
      </c>
      <c r="Y111" s="2">
        <f t="shared" ca="1" si="45"/>
        <v>-8.3753183332294003E-5</v>
      </c>
      <c r="Z111" s="11">
        <f t="shared" ca="1" si="26"/>
        <v>-7.9253476094306921E-6</v>
      </c>
      <c r="AA111" s="2">
        <f t="shared" ca="1" si="46"/>
        <v>5.3304329294976598E-5</v>
      </c>
      <c r="AB111" s="11">
        <f t="shared" ca="1" si="27"/>
        <v>-1.4702429801886674E-4</v>
      </c>
      <c r="AC111" s="2">
        <f t="shared" ca="1" si="47"/>
        <v>-4.6338620813153424E-5</v>
      </c>
      <c r="AF111" s="11">
        <f t="shared" ca="1" si="28"/>
        <v>0</v>
      </c>
      <c r="AG111" s="2">
        <f t="shared" ca="1" si="48"/>
        <v>-3.5365090177466823E-6</v>
      </c>
      <c r="AH111" s="2">
        <f t="shared" ca="1" si="49"/>
        <v>-8.3753183332294003E-5</v>
      </c>
      <c r="AI111" s="2">
        <f t="shared" ca="1" si="50"/>
        <v>-7.9253476094306921E-6</v>
      </c>
      <c r="AJ111" s="2">
        <f t="shared" ca="1" si="51"/>
        <v>5.3304329294976598E-5</v>
      </c>
      <c r="AK111" s="2">
        <f t="shared" ca="1" si="52"/>
        <v>-1.4702429801886674E-4</v>
      </c>
      <c r="AL111" s="2">
        <f t="shared" ca="1" si="53"/>
        <v>-4.6338620813153424E-5</v>
      </c>
      <c r="AN111" s="2" t="e">
        <f t="shared" ca="1" si="16"/>
        <v>#N/A</v>
      </c>
      <c r="AO111" s="2" t="e">
        <f t="shared" ca="1" si="29"/>
        <v>#N/A</v>
      </c>
      <c r="AP111" s="2" t="e">
        <f t="shared" ca="1" si="17"/>
        <v>#N/A</v>
      </c>
      <c r="AQ111" s="2" t="e">
        <f t="shared" ca="1" si="18"/>
        <v>#N/A</v>
      </c>
      <c r="AR111" s="2" t="e">
        <f t="shared" ca="1" si="19"/>
        <v>#N/A</v>
      </c>
      <c r="AS111" s="2" t="e">
        <f t="shared" ca="1" si="20"/>
        <v>#N/A</v>
      </c>
      <c r="AT111" s="9" t="e">
        <f t="shared" ca="1" si="21"/>
        <v>#N/A</v>
      </c>
      <c r="AU111" s="9" t="e">
        <f t="shared" ca="1" si="22"/>
        <v>#N/A</v>
      </c>
      <c r="AW111" s="2" t="e">
        <f t="shared" ca="1" si="30"/>
        <v>#N/A</v>
      </c>
      <c r="AX111" s="2" t="e">
        <f t="shared" ca="1" si="31"/>
        <v>#N/A</v>
      </c>
      <c r="AY111" s="2" t="e">
        <f t="shared" ca="1" si="32"/>
        <v>#N/A</v>
      </c>
      <c r="AZ111" s="2" t="e">
        <f t="shared" ca="1" si="33"/>
        <v>#N/A</v>
      </c>
      <c r="BA111" s="2" t="e">
        <f t="shared" ca="1" si="34"/>
        <v>#N/A</v>
      </c>
      <c r="BB111" s="2" t="e">
        <f t="shared" ca="1" si="35"/>
        <v>#N/A</v>
      </c>
      <c r="BC111" s="9" t="e">
        <f t="shared" ca="1" si="23"/>
        <v>#N/A</v>
      </c>
      <c r="BD111" s="9" t="e">
        <f t="shared" ca="1" si="36"/>
        <v>#N/A</v>
      </c>
    </row>
    <row r="112" spans="1:56" ht="15" x14ac:dyDescent="0.25">
      <c r="A112" s="90">
        <v>46</v>
      </c>
      <c r="B112" s="90">
        <v>1542620842.701</v>
      </c>
      <c r="C112" s="91">
        <v>4.1736320486107002E-4</v>
      </c>
      <c r="D112" s="91">
        <v>1.60756466915796E-4</v>
      </c>
      <c r="E112" s="91">
        <v>1.6134377266762399E-3</v>
      </c>
      <c r="F112" s="91">
        <v>-3.2092676473786002E-5</v>
      </c>
      <c r="G112" s="91">
        <v>1.1313899729293001E-3</v>
      </c>
      <c r="H112" s="91">
        <v>5.3990736876980002E-4</v>
      </c>
      <c r="I112" s="91">
        <v>5.5917830648565502E-3</v>
      </c>
      <c r="J112" s="91"/>
      <c r="K112" s="91"/>
      <c r="L112" s="89"/>
      <c r="M112" s="89"/>
      <c r="O112" s="11">
        <f t="shared" ca="1" si="37"/>
        <v>2.3576378696563778E-5</v>
      </c>
      <c r="P112" s="11">
        <f t="shared" ca="1" si="38"/>
        <v>-2.827590794423669E-6</v>
      </c>
      <c r="Q112" s="11">
        <f t="shared" ca="1" si="39"/>
        <v>-5.9167570161410867E-7</v>
      </c>
      <c r="R112" s="11">
        <f t="shared" ca="1" si="40"/>
        <v>-4.6946436595421621E-5</v>
      </c>
      <c r="S112" s="11">
        <f t="shared" ca="1" si="41"/>
        <v>-1.4412710925733319E-5</v>
      </c>
      <c r="T112" s="11">
        <f t="shared" ca="1" si="42"/>
        <v>4.9368025345693256E-5</v>
      </c>
      <c r="U112" s="11">
        <f t="shared" ca="1" si="43"/>
        <v>8.4343499402957101E-5</v>
      </c>
      <c r="V112" s="11"/>
      <c r="W112" s="11">
        <f t="shared" ca="1" si="25"/>
        <v>0</v>
      </c>
      <c r="X112" s="2">
        <f t="shared" ca="1" si="44"/>
        <v>-7.7367820871975875E-6</v>
      </c>
      <c r="Y112" s="2">
        <f t="shared" ca="1" si="45"/>
        <v>-7.6470838864190654E-5</v>
      </c>
      <c r="Z112" s="11">
        <f t="shared" ca="1" si="26"/>
        <v>-4.6946436595421621E-5</v>
      </c>
      <c r="AA112" s="2">
        <f t="shared" ca="1" si="46"/>
        <v>-1.4562483380192697E-5</v>
      </c>
      <c r="AB112" s="11">
        <f t="shared" ca="1" si="27"/>
        <v>4.9368025345693256E-5</v>
      </c>
      <c r="AC112" s="2">
        <f t="shared" ca="1" si="47"/>
        <v>7.7543360352966555E-5</v>
      </c>
      <c r="AF112" s="11">
        <f t="shared" ca="1" si="28"/>
        <v>0</v>
      </c>
      <c r="AG112" s="2">
        <f t="shared" ca="1" si="48"/>
        <v>-1.2656119218628979E-5</v>
      </c>
      <c r="AH112" s="2">
        <f t="shared" ca="1" si="49"/>
        <v>-1.5256238372126502E-4</v>
      </c>
      <c r="AI112" s="2">
        <f t="shared" ca="1" si="50"/>
        <v>-4.6979269051493214E-5</v>
      </c>
      <c r="AJ112" s="2">
        <f t="shared" ca="1" si="51"/>
        <v>-1.5218989098086923E-5</v>
      </c>
      <c r="AK112" s="2">
        <f t="shared" ca="1" si="52"/>
        <v>4.9368025345693256E-5</v>
      </c>
      <c r="AL112" s="2">
        <f t="shared" ca="1" si="53"/>
        <v>6.9910362933525098E-5</v>
      </c>
      <c r="AN112" s="2" t="e">
        <f t="shared" ca="1" si="16"/>
        <v>#N/A</v>
      </c>
      <c r="AO112" s="2" t="e">
        <f t="shared" ca="1" si="29"/>
        <v>#N/A</v>
      </c>
      <c r="AP112" s="2" t="e">
        <f t="shared" ca="1" si="17"/>
        <v>#N/A</v>
      </c>
      <c r="AQ112" s="2" t="e">
        <f t="shared" ca="1" si="18"/>
        <v>#N/A</v>
      </c>
      <c r="AR112" s="2" t="e">
        <f t="shared" ca="1" si="19"/>
        <v>#N/A</v>
      </c>
      <c r="AS112" s="2" t="e">
        <f t="shared" ca="1" si="20"/>
        <v>#N/A</v>
      </c>
      <c r="AT112" s="9" t="e">
        <f t="shared" ca="1" si="21"/>
        <v>#N/A</v>
      </c>
      <c r="AU112" s="9" t="e">
        <f t="shared" ca="1" si="22"/>
        <v>#N/A</v>
      </c>
      <c r="AW112" s="2" t="e">
        <f t="shared" ca="1" si="30"/>
        <v>#N/A</v>
      </c>
      <c r="AX112" s="2" t="e">
        <f t="shared" ca="1" si="31"/>
        <v>#N/A</v>
      </c>
      <c r="AY112" s="2" t="e">
        <f t="shared" ca="1" si="32"/>
        <v>#N/A</v>
      </c>
      <c r="AZ112" s="2" t="e">
        <f t="shared" ca="1" si="33"/>
        <v>#N/A</v>
      </c>
      <c r="BA112" s="2" t="e">
        <f t="shared" ca="1" si="34"/>
        <v>#N/A</v>
      </c>
      <c r="BB112" s="2" t="e">
        <f t="shared" ca="1" si="35"/>
        <v>#N/A</v>
      </c>
      <c r="BC112" s="9" t="e">
        <f t="shared" ca="1" si="23"/>
        <v>#N/A</v>
      </c>
      <c r="BD112" s="9" t="e">
        <f t="shared" ca="1" si="36"/>
        <v>#N/A</v>
      </c>
    </row>
    <row r="113" spans="1:56" ht="15" x14ac:dyDescent="0.25">
      <c r="A113" s="90">
        <v>47</v>
      </c>
      <c r="B113" s="90">
        <v>1542620843.227</v>
      </c>
      <c r="C113" s="91">
        <v>3.5929844793631399E-4</v>
      </c>
      <c r="D113" s="91">
        <v>1.69263525095427E-4</v>
      </c>
      <c r="E113" s="91">
        <v>1.5722156013138701E-3</v>
      </c>
      <c r="F113" s="91">
        <v>1.8111566677551299E-5</v>
      </c>
      <c r="G113" s="91">
        <v>1.1034937930695201E-3</v>
      </c>
      <c r="H113" s="91">
        <v>4.5892350485862601E-4</v>
      </c>
      <c r="I113" s="91">
        <v>5.4969352967250999E-3</v>
      </c>
      <c r="J113" s="91"/>
      <c r="K113" s="91"/>
      <c r="L113" s="89"/>
      <c r="M113" s="89"/>
      <c r="O113" s="11">
        <f t="shared" ca="1" si="37"/>
        <v>-3.4488378228192255E-5</v>
      </c>
      <c r="P113" s="11">
        <f t="shared" ca="1" si="38"/>
        <v>5.6794673852073301E-6</v>
      </c>
      <c r="Q113" s="11">
        <f t="shared" ca="1" si="39"/>
        <v>-4.1813801063983946E-5</v>
      </c>
      <c r="R113" s="11">
        <f t="shared" ca="1" si="40"/>
        <v>3.2578065559156762E-6</v>
      </c>
      <c r="S113" s="11">
        <f t="shared" ca="1" si="41"/>
        <v>-4.2308890785513293E-5</v>
      </c>
      <c r="T113" s="11">
        <f t="shared" ca="1" si="42"/>
        <v>-3.1615838565480755E-5</v>
      </c>
      <c r="U113" s="11">
        <f t="shared" ca="1" si="43"/>
        <v>-1.0504268728493173E-5</v>
      </c>
      <c r="V113" s="11"/>
      <c r="W113" s="11">
        <f t="shared" ca="1" si="25"/>
        <v>0</v>
      </c>
      <c r="X113" s="2">
        <f t="shared" ca="1" si="44"/>
        <v>5.6794673852073301E-6</v>
      </c>
      <c r="Y113" s="2">
        <f t="shared" ca="1" si="45"/>
        <v>-4.1813801063983946E-5</v>
      </c>
      <c r="Z113" s="11">
        <f t="shared" ca="1" si="26"/>
        <v>3.2578065559156762E-6</v>
      </c>
      <c r="AA113" s="2">
        <f t="shared" ca="1" si="46"/>
        <v>-4.2308890785513293E-5</v>
      </c>
      <c r="AB113" s="11">
        <f t="shared" ca="1" si="27"/>
        <v>-3.1615838565480755E-5</v>
      </c>
      <c r="AC113" s="2">
        <f t="shared" ca="1" si="47"/>
        <v>-1.0504268728493173E-5</v>
      </c>
      <c r="AF113" s="11">
        <f t="shared" ca="1" si="28"/>
        <v>0</v>
      </c>
      <c r="AG113" s="2">
        <f t="shared" ca="1" si="48"/>
        <v>5.6794673852073301E-6</v>
      </c>
      <c r="AH113" s="2">
        <f t="shared" ca="1" si="49"/>
        <v>-4.1813801063983946E-5</v>
      </c>
      <c r="AI113" s="2">
        <f t="shared" ca="1" si="50"/>
        <v>3.2578065559156762E-6</v>
      </c>
      <c r="AJ113" s="2">
        <f t="shared" ca="1" si="51"/>
        <v>-4.2308890785513293E-5</v>
      </c>
      <c r="AK113" s="2">
        <f t="shared" ca="1" si="52"/>
        <v>-3.1738050725098899E-5</v>
      </c>
      <c r="AL113" s="2">
        <f t="shared" ca="1" si="53"/>
        <v>-1.0504268728493173E-5</v>
      </c>
      <c r="AN113" s="2" t="e">
        <f t="shared" ca="1" si="16"/>
        <v>#N/A</v>
      </c>
      <c r="AO113" s="2" t="e">
        <f t="shared" ca="1" si="29"/>
        <v>#N/A</v>
      </c>
      <c r="AP113" s="2" t="e">
        <f t="shared" ca="1" si="17"/>
        <v>#N/A</v>
      </c>
      <c r="AQ113" s="2" t="e">
        <f t="shared" ca="1" si="18"/>
        <v>#N/A</v>
      </c>
      <c r="AR113" s="2" t="e">
        <f t="shared" ca="1" si="19"/>
        <v>#N/A</v>
      </c>
      <c r="AS113" s="2" t="e">
        <f t="shared" ca="1" si="20"/>
        <v>#N/A</v>
      </c>
      <c r="AT113" s="9" t="e">
        <f t="shared" ca="1" si="21"/>
        <v>#N/A</v>
      </c>
      <c r="AU113" s="9" t="e">
        <f t="shared" ca="1" si="22"/>
        <v>#N/A</v>
      </c>
      <c r="AW113" s="2" t="e">
        <f t="shared" ca="1" si="30"/>
        <v>#N/A</v>
      </c>
      <c r="AX113" s="2" t="e">
        <f t="shared" ca="1" si="31"/>
        <v>#N/A</v>
      </c>
      <c r="AY113" s="2" t="e">
        <f t="shared" ca="1" si="32"/>
        <v>#N/A</v>
      </c>
      <c r="AZ113" s="2" t="e">
        <f t="shared" ca="1" si="33"/>
        <v>#N/A</v>
      </c>
      <c r="BA113" s="2" t="e">
        <f t="shared" ca="1" si="34"/>
        <v>#N/A</v>
      </c>
      <c r="BB113" s="2" t="e">
        <f t="shared" ca="1" si="35"/>
        <v>#N/A</v>
      </c>
      <c r="BC113" s="9" t="e">
        <f t="shared" ca="1" si="23"/>
        <v>#N/A</v>
      </c>
      <c r="BD113" s="9" t="e">
        <f t="shared" ca="1" si="36"/>
        <v>#N/A</v>
      </c>
    </row>
    <row r="114" spans="1:56" ht="15" x14ac:dyDescent="0.25">
      <c r="A114" s="90">
        <v>48</v>
      </c>
      <c r="B114" s="90">
        <v>1542620843.7539999</v>
      </c>
      <c r="C114" s="91">
        <v>3.7191058766209198E-4</v>
      </c>
      <c r="D114" s="91">
        <v>1.74226009376558E-4</v>
      </c>
      <c r="E114" s="91">
        <v>1.55040690431075E-3</v>
      </c>
      <c r="F114" s="91">
        <v>1.1257852521814401E-4</v>
      </c>
      <c r="G114" s="91">
        <v>1.0608165276571201E-3</v>
      </c>
      <c r="H114" s="91">
        <v>4.4301249183498198E-4</v>
      </c>
      <c r="I114" s="91">
        <v>5.4427064748617197E-3</v>
      </c>
      <c r="J114" s="91"/>
      <c r="K114" s="91"/>
      <c r="L114" s="89"/>
      <c r="M114" s="89"/>
      <c r="O114" s="11">
        <f t="shared" ca="1" si="37"/>
        <v>-2.1876238502414262E-5</v>
      </c>
      <c r="P114" s="11">
        <f t="shared" ca="1" si="38"/>
        <v>1.0641951666338326E-5</v>
      </c>
      <c r="Q114" s="11">
        <f t="shared" ca="1" si="39"/>
        <v>-6.3622498067103994E-5</v>
      </c>
      <c r="R114" s="11">
        <f t="shared" ca="1" si="40"/>
        <v>9.772476509650838E-5</v>
      </c>
      <c r="S114" s="11">
        <f t="shared" ca="1" si="41"/>
        <v>-8.498615619791333E-5</v>
      </c>
      <c r="T114" s="11">
        <f t="shared" ca="1" si="42"/>
        <v>-4.7526851589124784E-5</v>
      </c>
      <c r="U114" s="11">
        <f t="shared" ca="1" si="43"/>
        <v>-6.4733090591873391E-5</v>
      </c>
      <c r="V114" s="11"/>
      <c r="W114" s="11">
        <f t="shared" ca="1" si="25"/>
        <v>0</v>
      </c>
      <c r="X114" s="2">
        <f t="shared" ca="1" si="44"/>
        <v>1.0641951666338326E-5</v>
      </c>
      <c r="Y114" s="2">
        <f t="shared" ca="1" si="45"/>
        <v>-6.3622498067103994E-5</v>
      </c>
      <c r="Z114" s="11">
        <f t="shared" ca="1" si="26"/>
        <v>9.772476509650838E-5</v>
      </c>
      <c r="AA114" s="2">
        <f t="shared" ca="1" si="46"/>
        <v>-8.498615619791333E-5</v>
      </c>
      <c r="AB114" s="11">
        <f t="shared" ca="1" si="27"/>
        <v>-4.7526851589124784E-5</v>
      </c>
      <c r="AC114" s="2">
        <f t="shared" ca="1" si="47"/>
        <v>-6.4733090591873391E-5</v>
      </c>
      <c r="AF114" s="11">
        <f t="shared" ca="1" si="28"/>
        <v>0</v>
      </c>
      <c r="AG114" s="2">
        <f t="shared" ca="1" si="48"/>
        <v>1.0641951666338326E-5</v>
      </c>
      <c r="AH114" s="2">
        <f t="shared" ca="1" si="49"/>
        <v>-6.3622498067103994E-5</v>
      </c>
      <c r="AI114" s="2">
        <f t="shared" ca="1" si="50"/>
        <v>9.772476509650838E-5</v>
      </c>
      <c r="AJ114" s="2">
        <f t="shared" ca="1" si="51"/>
        <v>-8.498615619791333E-5</v>
      </c>
      <c r="AK114" s="2">
        <f t="shared" ca="1" si="52"/>
        <v>-4.7755847691661189E-5</v>
      </c>
      <c r="AL114" s="2">
        <f t="shared" ca="1" si="53"/>
        <v>-6.4733090591873391E-5</v>
      </c>
      <c r="AN114" s="2" t="e">
        <f t="shared" ca="1" si="16"/>
        <v>#N/A</v>
      </c>
      <c r="AO114" s="2" t="e">
        <f t="shared" ca="1" si="29"/>
        <v>#N/A</v>
      </c>
      <c r="AP114" s="2" t="e">
        <f t="shared" ca="1" si="17"/>
        <v>#N/A</v>
      </c>
      <c r="AQ114" s="2" t="e">
        <f t="shared" ca="1" si="18"/>
        <v>#N/A</v>
      </c>
      <c r="AR114" s="2" t="e">
        <f t="shared" ca="1" si="19"/>
        <v>#N/A</v>
      </c>
      <c r="AS114" s="2" t="e">
        <f t="shared" ca="1" si="20"/>
        <v>#N/A</v>
      </c>
      <c r="AT114" s="9" t="e">
        <f t="shared" ca="1" si="21"/>
        <v>#N/A</v>
      </c>
      <c r="AU114" s="9" t="e">
        <f t="shared" ca="1" si="22"/>
        <v>#N/A</v>
      </c>
      <c r="AW114" s="2" t="e">
        <f t="shared" ca="1" si="30"/>
        <v>#N/A</v>
      </c>
      <c r="AX114" s="2" t="e">
        <f t="shared" ca="1" si="31"/>
        <v>#N/A</v>
      </c>
      <c r="AY114" s="2" t="e">
        <f t="shared" ca="1" si="32"/>
        <v>#N/A</v>
      </c>
      <c r="AZ114" s="2" t="e">
        <f t="shared" ca="1" si="33"/>
        <v>#N/A</v>
      </c>
      <c r="BA114" s="2" t="e">
        <f t="shared" ca="1" si="34"/>
        <v>#N/A</v>
      </c>
      <c r="BB114" s="2" t="e">
        <f t="shared" ca="1" si="35"/>
        <v>#N/A</v>
      </c>
      <c r="BC114" s="9" t="e">
        <f t="shared" ca="1" si="23"/>
        <v>#N/A</v>
      </c>
      <c r="BD114" s="9" t="e">
        <f t="shared" ca="1" si="36"/>
        <v>#N/A</v>
      </c>
    </row>
    <row r="115" spans="1:56" ht="15" x14ac:dyDescent="0.25">
      <c r="A115" s="90">
        <v>49</v>
      </c>
      <c r="B115" s="90">
        <v>1542620844.2809999</v>
      </c>
      <c r="C115" s="91">
        <v>4.3449771259060799E-4</v>
      </c>
      <c r="D115" s="91">
        <v>1.1160600302718599E-4</v>
      </c>
      <c r="E115" s="91">
        <v>1.6287766231560599E-3</v>
      </c>
      <c r="F115" s="91">
        <v>1.71598040006029E-5</v>
      </c>
      <c r="G115" s="91">
        <v>1.1616713222013699E-3</v>
      </c>
      <c r="H115" s="91">
        <v>4.2971392933487199E-4</v>
      </c>
      <c r="I115" s="91">
        <v>5.5363545638085704E-3</v>
      </c>
      <c r="J115" s="91"/>
      <c r="K115" s="91"/>
      <c r="L115" s="89"/>
      <c r="M115" s="89"/>
      <c r="O115" s="11">
        <f t="shared" ca="1" si="37"/>
        <v>4.0710886426101745E-5</v>
      </c>
      <c r="P115" s="11">
        <f t="shared" ca="1" si="38"/>
        <v>-5.1978054683033678E-5</v>
      </c>
      <c r="Q115" s="11">
        <f t="shared" ca="1" si="39"/>
        <v>1.4747220778205897E-5</v>
      </c>
      <c r="R115" s="11">
        <f t="shared" ca="1" si="40"/>
        <v>2.3060438789672775E-6</v>
      </c>
      <c r="S115" s="11">
        <f t="shared" ca="1" si="41"/>
        <v>1.5868638346336556E-5</v>
      </c>
      <c r="T115" s="11">
        <f t="shared" ca="1" si="42"/>
        <v>-6.0825414089234772E-5</v>
      </c>
      <c r="U115" s="11">
        <f t="shared" ca="1" si="43"/>
        <v>2.8914998354977357E-5</v>
      </c>
      <c r="V115" s="11"/>
      <c r="W115" s="11">
        <f t="shared" ca="1" si="25"/>
        <v>0</v>
      </c>
      <c r="X115" s="2">
        <f t="shared" ca="1" si="44"/>
        <v>-6.0455078730550172E-5</v>
      </c>
      <c r="Y115" s="2">
        <f t="shared" ca="1" si="45"/>
        <v>-1.1627832955660993E-4</v>
      </c>
      <c r="Z115" s="11">
        <f t="shared" ca="1" si="26"/>
        <v>2.3060438789672775E-6</v>
      </c>
      <c r="AA115" s="2">
        <f t="shared" ca="1" si="46"/>
        <v>1.5610016381456814E-5</v>
      </c>
      <c r="AB115" s="11">
        <f t="shared" ca="1" si="27"/>
        <v>-6.0825414089234772E-5</v>
      </c>
      <c r="AC115" s="2">
        <f t="shared" ca="1" si="47"/>
        <v>1.7172750229898961E-5</v>
      </c>
      <c r="AF115" s="11">
        <f t="shared" ca="1" si="28"/>
        <v>0</v>
      </c>
      <c r="AG115" s="2">
        <f t="shared" ca="1" si="48"/>
        <v>-6.8949622266135544E-5</v>
      </c>
      <c r="AH115" s="2">
        <f t="shared" ca="1" si="49"/>
        <v>-2.4767061335609244E-4</v>
      </c>
      <c r="AI115" s="2">
        <f t="shared" ca="1" si="50"/>
        <v>2.2493499139006522E-6</v>
      </c>
      <c r="AJ115" s="2">
        <f t="shared" ca="1" si="51"/>
        <v>1.4476384704460821E-5</v>
      </c>
      <c r="AK115" s="2">
        <f t="shared" ca="1" si="52"/>
        <v>-6.0825414089234772E-5</v>
      </c>
      <c r="AL115" s="2">
        <f t="shared" ca="1" si="53"/>
        <v>3.9923506853794359E-6</v>
      </c>
      <c r="AN115" s="2">
        <f t="shared" ca="1" si="16"/>
        <v>1.8221474157959301</v>
      </c>
      <c r="AO115" s="2">
        <f t="shared" ca="1" si="29"/>
        <v>8.2369130748355737E-2</v>
      </c>
      <c r="AP115" s="2">
        <f t="shared" ca="1" si="17"/>
        <v>1.899468297781011E-7</v>
      </c>
      <c r="AQ115" s="2">
        <f t="shared" ca="1" si="18"/>
        <v>-6.1015360919012875E-5</v>
      </c>
      <c r="AR115" s="2">
        <f t="shared" ca="1" si="19"/>
        <v>-8.2886888168004802</v>
      </c>
      <c r="AS115" s="2">
        <f t="shared" ca="1" si="20"/>
        <v>0.19514479997668033</v>
      </c>
      <c r="AT115" s="9" t="str">
        <f t="shared" ca="1" si="21"/>
        <v>rejected</v>
      </c>
      <c r="AU115" s="9" t="e">
        <f t="shared" ca="1" si="22"/>
        <v>#N/A</v>
      </c>
      <c r="AW115" s="2">
        <f t="shared" ca="1" si="30"/>
        <v>0.27578368265864156</v>
      </c>
      <c r="AX115" s="2">
        <f t="shared" ca="1" si="31"/>
        <v>1.2184388940705362E-2</v>
      </c>
      <c r="AY115" s="2">
        <f t="shared" ca="1" si="32"/>
        <v>2.7406954214707662E-8</v>
      </c>
      <c r="AZ115" s="2">
        <f t="shared" ca="1" si="33"/>
        <v>-6.0852821043449482E-5</v>
      </c>
      <c r="BA115" s="2">
        <f t="shared" ca="1" si="34"/>
        <v>-23.450976912350175</v>
      </c>
      <c r="BB115" s="2">
        <f t="shared" ca="1" si="35"/>
        <v>-0.52037946869589446</v>
      </c>
      <c r="BC115" s="9" t="str">
        <f t="shared" ca="1" si="23"/>
        <v>rejected</v>
      </c>
      <c r="BD115" s="9" t="e">
        <f t="shared" ca="1" si="36"/>
        <v>#N/A</v>
      </c>
    </row>
    <row r="116" spans="1:56" ht="15" x14ac:dyDescent="0.25">
      <c r="A116" s="90">
        <v>50</v>
      </c>
      <c r="B116" s="90">
        <v>1542620844.8080001</v>
      </c>
      <c r="C116" s="91">
        <v>4.3092799923975702E-4</v>
      </c>
      <c r="D116" s="91">
        <v>1.9124042958667601E-4</v>
      </c>
      <c r="E116" s="91">
        <v>1.5408208134639501E-3</v>
      </c>
      <c r="F116" s="91">
        <v>-1.4723721501509201E-5</v>
      </c>
      <c r="G116" s="91">
        <v>1.1735933647383399E-3</v>
      </c>
      <c r="H116" s="91">
        <v>5.0974545485833397E-4</v>
      </c>
      <c r="I116" s="91">
        <v>5.4085462123238098E-3</v>
      </c>
      <c r="J116" s="91"/>
      <c r="K116" s="91"/>
      <c r="L116" s="89"/>
      <c r="M116" s="89"/>
      <c r="O116" s="11">
        <f t="shared" ca="1" si="37"/>
        <v>3.7141173075250775E-5</v>
      </c>
      <c r="P116" s="11">
        <f t="shared" ca="1" si="38"/>
        <v>2.765637187645634E-5</v>
      </c>
      <c r="Q116" s="11">
        <f t="shared" ca="1" si="39"/>
        <v>-7.3208588913903925E-5</v>
      </c>
      <c r="R116" s="11">
        <f t="shared" ca="1" si="40"/>
        <v>-2.9577481623144823E-5</v>
      </c>
      <c r="S116" s="11">
        <f t="shared" ca="1" si="41"/>
        <v>2.7790680883306527E-5</v>
      </c>
      <c r="T116" s="11">
        <f t="shared" ca="1" si="42"/>
        <v>1.9206111434227208E-5</v>
      </c>
      <c r="U116" s="11">
        <f t="shared" ca="1" si="43"/>
        <v>-9.8893353129783299E-5</v>
      </c>
      <c r="V116" s="11"/>
      <c r="W116" s="11">
        <f t="shared" ca="1" si="25"/>
        <v>0</v>
      </c>
      <c r="X116" s="2">
        <f t="shared" ca="1" si="44"/>
        <v>1.9922651366995528E-5</v>
      </c>
      <c r="Y116" s="2">
        <f t="shared" ca="1" si="45"/>
        <v>-1.9274523057114039E-4</v>
      </c>
      <c r="Z116" s="11">
        <f t="shared" ca="1" si="26"/>
        <v>-2.9577481623144823E-5</v>
      </c>
      <c r="AA116" s="2">
        <f t="shared" ca="1" si="46"/>
        <v>2.7554736053755937E-5</v>
      </c>
      <c r="AB116" s="11">
        <f t="shared" ca="1" si="27"/>
        <v>1.9206111434227208E-5</v>
      </c>
      <c r="AC116" s="2">
        <f t="shared" ca="1" si="47"/>
        <v>-1.0960598820585123E-4</v>
      </c>
      <c r="AF116" s="11">
        <f t="shared" ca="1" si="28"/>
        <v>0</v>
      </c>
      <c r="AG116" s="2">
        <f t="shared" ca="1" si="48"/>
        <v>1.2172947556858194E-5</v>
      </c>
      <c r="AH116" s="2">
        <f t="shared" ca="1" si="49"/>
        <v>-3.1261644885589379E-4</v>
      </c>
      <c r="AI116" s="2">
        <f t="shared" ca="1" si="50"/>
        <v>-2.9629204406746795E-5</v>
      </c>
      <c r="AJ116" s="2">
        <f t="shared" ca="1" si="51"/>
        <v>2.6520506293239111E-5</v>
      </c>
      <c r="AK116" s="2">
        <f t="shared" ca="1" si="52"/>
        <v>1.8610994902168658E-5</v>
      </c>
      <c r="AL116" s="2">
        <f t="shared" ca="1" si="53"/>
        <v>-1.2163067112629217E-4</v>
      </c>
      <c r="AN116" s="2" t="e">
        <f t="shared" ca="1" si="16"/>
        <v>#N/A</v>
      </c>
      <c r="AO116" s="2" t="e">
        <f t="shared" ca="1" si="29"/>
        <v>#N/A</v>
      </c>
      <c r="AP116" s="2" t="e">
        <f t="shared" ca="1" si="17"/>
        <v>#N/A</v>
      </c>
      <c r="AQ116" s="2" t="e">
        <f t="shared" ca="1" si="18"/>
        <v>#N/A</v>
      </c>
      <c r="AR116" s="2" t="e">
        <f t="shared" ca="1" si="19"/>
        <v>#N/A</v>
      </c>
      <c r="AS116" s="2" t="e">
        <f t="shared" ca="1" si="20"/>
        <v>#N/A</v>
      </c>
      <c r="AT116" s="9" t="e">
        <f t="shared" ca="1" si="21"/>
        <v>#N/A</v>
      </c>
      <c r="AU116" s="9" t="e">
        <f t="shared" ca="1" si="22"/>
        <v>#N/A</v>
      </c>
      <c r="AW116" s="2" t="e">
        <f t="shared" ca="1" si="30"/>
        <v>#N/A</v>
      </c>
      <c r="AX116" s="2" t="e">
        <f t="shared" ca="1" si="31"/>
        <v>#N/A</v>
      </c>
      <c r="AY116" s="2" t="e">
        <f t="shared" ca="1" si="32"/>
        <v>#N/A</v>
      </c>
      <c r="AZ116" s="2" t="e">
        <f t="shared" ca="1" si="33"/>
        <v>#N/A</v>
      </c>
      <c r="BA116" s="2" t="e">
        <f t="shared" ca="1" si="34"/>
        <v>#N/A</v>
      </c>
      <c r="BB116" s="2" t="e">
        <f t="shared" ca="1" si="35"/>
        <v>#N/A</v>
      </c>
      <c r="BC116" s="9" t="e">
        <f t="shared" ca="1" si="23"/>
        <v>#N/A</v>
      </c>
      <c r="BD116" s="9" t="e">
        <f t="shared" ca="1" si="36"/>
        <v>#N/A</v>
      </c>
    </row>
    <row r="117" spans="1:56" ht="15" x14ac:dyDescent="0.25">
      <c r="A117" s="90">
        <v>51</v>
      </c>
      <c r="B117" s="90">
        <v>1542620845.335</v>
      </c>
      <c r="C117" s="91">
        <v>4.45682897040953E-4</v>
      </c>
      <c r="D117" s="91">
        <v>7.7343898420290197E-5</v>
      </c>
      <c r="E117" s="91">
        <v>1.6553805763578999E-3</v>
      </c>
      <c r="F117" s="91">
        <v>-9.3476425616065094E-5</v>
      </c>
      <c r="G117" s="91">
        <v>1.1995839099695801E-3</v>
      </c>
      <c r="H117" s="91">
        <v>3.7984589849232998E-4</v>
      </c>
      <c r="I117" s="91">
        <v>5.5072080472684604E-3</v>
      </c>
      <c r="J117" s="91"/>
      <c r="K117" s="91"/>
      <c r="L117" s="89"/>
      <c r="M117" s="89"/>
      <c r="O117" s="11">
        <f t="shared" ca="1" si="37"/>
        <v>5.1896070876446753E-5</v>
      </c>
      <c r="P117" s="11">
        <f t="shared" ca="1" si="38"/>
        <v>-8.6240159289929474E-5</v>
      </c>
      <c r="Q117" s="11">
        <f t="shared" ca="1" si="39"/>
        <v>4.1351173980045883E-5</v>
      </c>
      <c r="R117" s="11">
        <f t="shared" ca="1" si="40"/>
        <v>-1.0833018573770072E-4</v>
      </c>
      <c r="S117" s="11">
        <f t="shared" ca="1" si="41"/>
        <v>5.3781226114546716E-5</v>
      </c>
      <c r="T117" s="11">
        <f t="shared" ca="1" si="42"/>
        <v>-1.1069344493177678E-4</v>
      </c>
      <c r="U117" s="11">
        <f t="shared" ca="1" si="43"/>
        <v>-2.3151818513266614E-7</v>
      </c>
      <c r="V117" s="11"/>
      <c r="W117" s="11">
        <f t="shared" ca="1" si="25"/>
        <v>0</v>
      </c>
      <c r="X117" s="2">
        <f t="shared" ca="1" si="44"/>
        <v>-9.7046218293085992E-5</v>
      </c>
      <c r="Y117" s="2">
        <f t="shared" ca="1" si="45"/>
        <v>-1.2567322277790374E-4</v>
      </c>
      <c r="Z117" s="11">
        <f t="shared" ca="1" si="26"/>
        <v>-1.0833018573770072E-4</v>
      </c>
      <c r="AA117" s="2">
        <f t="shared" ca="1" si="46"/>
        <v>5.3451548600794526E-5</v>
      </c>
      <c r="AB117" s="11">
        <f t="shared" ca="1" si="27"/>
        <v>-1.1069344493177678E-4</v>
      </c>
      <c r="AC117" s="2">
        <f t="shared" ca="1" si="47"/>
        <v>-1.5199911026542064E-5</v>
      </c>
      <c r="AF117" s="11">
        <f t="shared" ca="1" si="28"/>
        <v>0</v>
      </c>
      <c r="AG117" s="2">
        <f t="shared" ca="1" si="48"/>
        <v>-1.0787461020702775E-4</v>
      </c>
      <c r="AH117" s="2">
        <f t="shared" ca="1" si="49"/>
        <v>-2.9316511183449573E-4</v>
      </c>
      <c r="AI117" s="2">
        <f t="shared" ca="1" si="50"/>
        <v>-1.0840245618640993E-4</v>
      </c>
      <c r="AJ117" s="2">
        <f t="shared" ca="1" si="51"/>
        <v>5.200645528493271E-5</v>
      </c>
      <c r="AK117" s="2">
        <f t="shared" ca="1" si="52"/>
        <v>-1.1069344493177678E-4</v>
      </c>
      <c r="AL117" s="2">
        <f t="shared" ca="1" si="53"/>
        <v>-3.2001582741155448E-5</v>
      </c>
      <c r="AN117" s="2" t="e">
        <f t="shared" ca="1" si="16"/>
        <v>#N/A</v>
      </c>
      <c r="AO117" s="2" t="e">
        <f t="shared" ca="1" si="29"/>
        <v>#N/A</v>
      </c>
      <c r="AP117" s="2" t="e">
        <f t="shared" ca="1" si="17"/>
        <v>#N/A</v>
      </c>
      <c r="AQ117" s="2" t="e">
        <f t="shared" ca="1" si="18"/>
        <v>#N/A</v>
      </c>
      <c r="AR117" s="2" t="e">
        <f t="shared" ca="1" si="19"/>
        <v>#N/A</v>
      </c>
      <c r="AS117" s="2" t="e">
        <f t="shared" ca="1" si="20"/>
        <v>#N/A</v>
      </c>
      <c r="AT117" s="9" t="e">
        <f t="shared" ca="1" si="21"/>
        <v>#N/A</v>
      </c>
      <c r="AU117" s="9" t="e">
        <f t="shared" ca="1" si="22"/>
        <v>#N/A</v>
      </c>
      <c r="AW117" s="2" t="e">
        <f t="shared" ca="1" si="30"/>
        <v>#N/A</v>
      </c>
      <c r="AX117" s="2" t="e">
        <f t="shared" ca="1" si="31"/>
        <v>#N/A</v>
      </c>
      <c r="AY117" s="2" t="e">
        <f t="shared" ca="1" si="32"/>
        <v>#N/A</v>
      </c>
      <c r="AZ117" s="2" t="e">
        <f t="shared" ca="1" si="33"/>
        <v>#N/A</v>
      </c>
      <c r="BA117" s="2" t="e">
        <f t="shared" ca="1" si="34"/>
        <v>#N/A</v>
      </c>
      <c r="BB117" s="2" t="e">
        <f t="shared" ca="1" si="35"/>
        <v>#N/A</v>
      </c>
      <c r="BC117" s="9" t="e">
        <f t="shared" ca="1" si="23"/>
        <v>#N/A</v>
      </c>
      <c r="BD117" s="9" t="e">
        <f t="shared" ca="1" si="36"/>
        <v>#N/A</v>
      </c>
    </row>
    <row r="118" spans="1:56" ht="15" x14ac:dyDescent="0.25">
      <c r="A118" s="90">
        <v>52</v>
      </c>
      <c r="B118" s="90">
        <v>1542620845.8610001</v>
      </c>
      <c r="C118" s="91">
        <v>3.4644850710818499E-4</v>
      </c>
      <c r="D118" s="91">
        <v>1.7729803589079001E-4</v>
      </c>
      <c r="E118" s="91">
        <v>1.5554396385756401E-3</v>
      </c>
      <c r="F118" s="91">
        <v>-4.9937178605388603E-5</v>
      </c>
      <c r="G118" s="91">
        <v>1.05437933280601E-3</v>
      </c>
      <c r="H118" s="91">
        <v>4.0240493705767498E-4</v>
      </c>
      <c r="I118" s="91">
        <v>5.4687454989150001E-3</v>
      </c>
      <c r="J118" s="91"/>
      <c r="K118" s="91"/>
      <c r="L118" s="89"/>
      <c r="M118" s="89"/>
      <c r="O118" s="11">
        <f t="shared" ca="1" si="37"/>
        <v>-4.7338319056321253E-5</v>
      </c>
      <c r="P118" s="11">
        <f t="shared" ca="1" si="38"/>
        <v>1.3713978180570339E-5</v>
      </c>
      <c r="Q118" s="11">
        <f t="shared" ca="1" si="39"/>
        <v>-5.8589763802213918E-5</v>
      </c>
      <c r="R118" s="11">
        <f t="shared" ca="1" si="40"/>
        <v>-6.4790938727024222E-5</v>
      </c>
      <c r="S118" s="11">
        <f t="shared" ca="1" si="41"/>
        <v>-9.1423351049023382E-5</v>
      </c>
      <c r="T118" s="11">
        <f t="shared" ca="1" si="42"/>
        <v>-8.813440636643179E-5</v>
      </c>
      <c r="U118" s="11">
        <f t="shared" ca="1" si="43"/>
        <v>-3.8694066538592919E-5</v>
      </c>
      <c r="V118" s="11"/>
      <c r="W118" s="11">
        <f t="shared" ca="1" si="25"/>
        <v>0</v>
      </c>
      <c r="X118" s="2">
        <f t="shared" ca="1" si="44"/>
        <v>1.3713978180570339E-5</v>
      </c>
      <c r="Y118" s="2">
        <f t="shared" ca="1" si="45"/>
        <v>-5.8589763802213918E-5</v>
      </c>
      <c r="Z118" s="11">
        <f t="shared" ca="1" si="26"/>
        <v>-6.4790938727024222E-5</v>
      </c>
      <c r="AA118" s="2">
        <f t="shared" ca="1" si="46"/>
        <v>-9.1423351049023382E-5</v>
      </c>
      <c r="AB118" s="11">
        <f t="shared" ca="1" si="27"/>
        <v>-8.813440636643179E-5</v>
      </c>
      <c r="AC118" s="2">
        <f t="shared" ca="1" si="47"/>
        <v>-3.8694066538592919E-5</v>
      </c>
      <c r="AF118" s="11">
        <f t="shared" ca="1" si="28"/>
        <v>0</v>
      </c>
      <c r="AG118" s="2">
        <f t="shared" ca="1" si="48"/>
        <v>1.3713978180570339E-5</v>
      </c>
      <c r="AH118" s="2">
        <f t="shared" ca="1" si="49"/>
        <v>-5.8589763802213918E-5</v>
      </c>
      <c r="AI118" s="2">
        <f t="shared" ca="1" si="50"/>
        <v>-6.4790938727024222E-5</v>
      </c>
      <c r="AJ118" s="2">
        <f t="shared" ca="1" si="51"/>
        <v>-9.1423351049023382E-5</v>
      </c>
      <c r="AK118" s="2">
        <f t="shared" ca="1" si="52"/>
        <v>-8.8429507082173008E-5</v>
      </c>
      <c r="AL118" s="2">
        <f t="shared" ca="1" si="53"/>
        <v>-3.8694066538592919E-5</v>
      </c>
      <c r="AN118" s="2" t="e">
        <f t="shared" ca="1" si="16"/>
        <v>#N/A</v>
      </c>
      <c r="AO118" s="2" t="e">
        <f t="shared" ca="1" si="29"/>
        <v>#N/A</v>
      </c>
      <c r="AP118" s="2" t="e">
        <f t="shared" ca="1" si="17"/>
        <v>#N/A</v>
      </c>
      <c r="AQ118" s="2" t="e">
        <f t="shared" ca="1" si="18"/>
        <v>#N/A</v>
      </c>
      <c r="AR118" s="2" t="e">
        <f t="shared" ca="1" si="19"/>
        <v>#N/A</v>
      </c>
      <c r="AS118" s="2" t="e">
        <f t="shared" ca="1" si="20"/>
        <v>#N/A</v>
      </c>
      <c r="AT118" s="9" t="e">
        <f t="shared" ca="1" si="21"/>
        <v>#N/A</v>
      </c>
      <c r="AU118" s="9" t="e">
        <f t="shared" ca="1" si="22"/>
        <v>#N/A</v>
      </c>
      <c r="AW118" s="2" t="e">
        <f t="shared" ca="1" si="30"/>
        <v>#N/A</v>
      </c>
      <c r="AX118" s="2" t="e">
        <f t="shared" ca="1" si="31"/>
        <v>#N/A</v>
      </c>
      <c r="AY118" s="2" t="e">
        <f t="shared" ca="1" si="32"/>
        <v>#N/A</v>
      </c>
      <c r="AZ118" s="2" t="e">
        <f t="shared" ca="1" si="33"/>
        <v>#N/A</v>
      </c>
      <c r="BA118" s="2" t="e">
        <f t="shared" ca="1" si="34"/>
        <v>#N/A</v>
      </c>
      <c r="BB118" s="2" t="e">
        <f t="shared" ca="1" si="35"/>
        <v>#N/A</v>
      </c>
      <c r="BC118" s="9" t="e">
        <f t="shared" ca="1" si="23"/>
        <v>#N/A</v>
      </c>
      <c r="BD118" s="9" t="e">
        <f t="shared" ca="1" si="36"/>
        <v>#N/A</v>
      </c>
    </row>
    <row r="119" spans="1:56" ht="15" x14ac:dyDescent="0.25">
      <c r="A119" s="90">
        <v>53</v>
      </c>
      <c r="B119" s="90">
        <v>1542620846.388</v>
      </c>
      <c r="C119" s="91">
        <v>4.9137686648623299E-4</v>
      </c>
      <c r="D119" s="91">
        <v>1.94548822946411E-4</v>
      </c>
      <c r="E119" s="91">
        <v>1.75509174196487E-3</v>
      </c>
      <c r="F119" s="91">
        <v>3.7860846912720597E-5</v>
      </c>
      <c r="G119" s="91">
        <v>1.1786006649736E-3</v>
      </c>
      <c r="H119" s="91">
        <v>5.7387030011588004E-4</v>
      </c>
      <c r="I119" s="91">
        <v>5.5093581711718699E-3</v>
      </c>
      <c r="J119" s="91"/>
      <c r="K119" s="91"/>
      <c r="L119" s="89"/>
      <c r="M119" s="89"/>
      <c r="O119" s="11">
        <f t="shared" ca="1" si="37"/>
        <v>9.7590040321726744E-5</v>
      </c>
      <c r="P119" s="11">
        <f t="shared" ca="1" si="38"/>
        <v>3.0964765236191332E-5</v>
      </c>
      <c r="Q119" s="11">
        <f t="shared" ca="1" si="39"/>
        <v>1.4106233958701602E-4</v>
      </c>
      <c r="R119" s="11">
        <f t="shared" ca="1" si="40"/>
        <v>2.3007086791084975E-5</v>
      </c>
      <c r="S119" s="11">
        <f t="shared" ca="1" si="41"/>
        <v>3.2797981118566589E-5</v>
      </c>
      <c r="T119" s="11">
        <f t="shared" ca="1" si="42"/>
        <v>8.3330956691773277E-5</v>
      </c>
      <c r="U119" s="11">
        <f t="shared" ca="1" si="43"/>
        <v>1.9186057182768099E-6</v>
      </c>
      <c r="V119" s="11"/>
      <c r="W119" s="11">
        <f t="shared" ca="1" si="25"/>
        <v>0</v>
      </c>
      <c r="X119" s="2">
        <f t="shared" ca="1" si="44"/>
        <v>1.064407975794598E-5</v>
      </c>
      <c r="Y119" s="2">
        <f t="shared" ca="1" si="45"/>
        <v>-1.7302536183313473E-4</v>
      </c>
      <c r="Z119" s="11">
        <f t="shared" ca="1" si="26"/>
        <v>2.3007086791084975E-5</v>
      </c>
      <c r="AA119" s="2">
        <f t="shared" ca="1" si="46"/>
        <v>3.2178025863440617E-5</v>
      </c>
      <c r="AB119" s="11">
        <f t="shared" ca="1" si="27"/>
        <v>8.3330956691773277E-5</v>
      </c>
      <c r="AC119" s="2">
        <f t="shared" ca="1" si="47"/>
        <v>-2.6229306758996374E-5</v>
      </c>
      <c r="AF119" s="11">
        <f t="shared" ca="1" si="28"/>
        <v>0</v>
      </c>
      <c r="AG119" s="2">
        <f t="shared" ca="1" si="48"/>
        <v>-9.7186025348408967E-6</v>
      </c>
      <c r="AH119" s="2">
        <f t="shared" ca="1" si="49"/>
        <v>-4.8799217782793648E-4</v>
      </c>
      <c r="AI119" s="2">
        <f t="shared" ca="1" si="50"/>
        <v>2.2871182937777982E-5</v>
      </c>
      <c r="AJ119" s="2">
        <f t="shared" ca="1" si="51"/>
        <v>2.9460542389607568E-5</v>
      </c>
      <c r="AK119" s="2">
        <f t="shared" ca="1" si="52"/>
        <v>8.2664649347278225E-5</v>
      </c>
      <c r="AL119" s="2">
        <f t="shared" ca="1" si="53"/>
        <v>-5.7824681753863467E-5</v>
      </c>
      <c r="AN119" s="2">
        <f t="shared" ca="1" si="16"/>
        <v>5.8497677382669984E-2</v>
      </c>
      <c r="AO119" s="2">
        <f t="shared" ca="1" si="29"/>
        <v>2.5363309546000269E-3</v>
      </c>
      <c r="AP119" s="2">
        <f t="shared" ca="1" si="17"/>
        <v>5.8353586403398225E-8</v>
      </c>
      <c r="AQ119" s="2">
        <f t="shared" ca="1" si="18"/>
        <v>8.3272603105369883E-5</v>
      </c>
      <c r="AR119" s="2">
        <f t="shared" ca="1" si="19"/>
        <v>30.926457140911371</v>
      </c>
      <c r="AS119" s="2">
        <f t="shared" ca="1" si="20"/>
        <v>2.6765924926008745E-2</v>
      </c>
      <c r="AT119" s="9" t="str">
        <f t="shared" ca="1" si="21"/>
        <v>rejected</v>
      </c>
      <c r="AU119" s="9" t="e">
        <f t="shared" ca="1" si="22"/>
        <v>#N/A</v>
      </c>
      <c r="AW119" s="2" t="e">
        <f t="shared" ca="1" si="30"/>
        <v>#N/A</v>
      </c>
      <c r="AX119" s="2" t="e">
        <f t="shared" ca="1" si="31"/>
        <v>#N/A</v>
      </c>
      <c r="AY119" s="2" t="e">
        <f t="shared" ca="1" si="32"/>
        <v>#N/A</v>
      </c>
      <c r="AZ119" s="2" t="e">
        <f t="shared" ca="1" si="33"/>
        <v>#N/A</v>
      </c>
      <c r="BA119" s="2" t="e">
        <f t="shared" ca="1" si="34"/>
        <v>#N/A</v>
      </c>
      <c r="BB119" s="2" t="e">
        <f t="shared" ca="1" si="35"/>
        <v>#N/A</v>
      </c>
      <c r="BC119" s="9" t="e">
        <f t="shared" ca="1" si="23"/>
        <v>#N/A</v>
      </c>
      <c r="BD119" s="9" t="e">
        <f t="shared" ca="1" si="36"/>
        <v>#N/A</v>
      </c>
    </row>
    <row r="120" spans="1:56" ht="15" x14ac:dyDescent="0.25">
      <c r="A120" s="90">
        <v>54</v>
      </c>
      <c r="B120" s="90">
        <v>1542620846.915</v>
      </c>
      <c r="C120" s="91">
        <v>3.8975822735148798E-4</v>
      </c>
      <c r="D120" s="91">
        <v>1.54139916525071E-4</v>
      </c>
      <c r="E120" s="91">
        <v>1.6048097001902001E-3</v>
      </c>
      <c r="F120" s="91">
        <v>8.1167864749914298E-5</v>
      </c>
      <c r="G120" s="91">
        <v>1.1037322186610401E-3</v>
      </c>
      <c r="H120" s="91">
        <v>5.5415740899643199E-4</v>
      </c>
      <c r="I120" s="91">
        <v>5.4818847128032602E-3</v>
      </c>
      <c r="J120" s="91"/>
      <c r="K120" s="91"/>
      <c r="L120" s="89"/>
      <c r="M120" s="89"/>
      <c r="O120" s="11">
        <f t="shared" ca="1" si="37"/>
        <v>-4.0285988130182642E-6</v>
      </c>
      <c r="P120" s="11">
        <f t="shared" ca="1" si="38"/>
        <v>-9.4441411851486684E-6</v>
      </c>
      <c r="Q120" s="11">
        <f t="shared" ca="1" si="39"/>
        <v>-9.2197021876539234E-6</v>
      </c>
      <c r="R120" s="11">
        <f t="shared" ca="1" si="40"/>
        <v>6.6314104628278672E-5</v>
      </c>
      <c r="S120" s="11">
        <f t="shared" ca="1" si="41"/>
        <v>-4.2070465193993307E-5</v>
      </c>
      <c r="T120" s="11">
        <f t="shared" ca="1" si="42"/>
        <v>6.3618065572325225E-5</v>
      </c>
      <c r="U120" s="11">
        <f t="shared" ca="1" si="43"/>
        <v>-2.5554852650332832E-5</v>
      </c>
      <c r="V120" s="11"/>
      <c r="W120" s="11">
        <f t="shared" ca="1" si="25"/>
        <v>0</v>
      </c>
      <c r="X120" s="2">
        <f t="shared" ca="1" si="44"/>
        <v>-9.4441411851486684E-6</v>
      </c>
      <c r="Y120" s="2">
        <f t="shared" ca="1" si="45"/>
        <v>-9.2197021876539234E-6</v>
      </c>
      <c r="Z120" s="11">
        <f t="shared" ca="1" si="26"/>
        <v>6.6314104628278672E-5</v>
      </c>
      <c r="AA120" s="2">
        <f t="shared" ca="1" si="46"/>
        <v>-4.2070465193993307E-5</v>
      </c>
      <c r="AB120" s="11">
        <f t="shared" ca="1" si="27"/>
        <v>6.3618065572325225E-5</v>
      </c>
      <c r="AC120" s="2">
        <f t="shared" ca="1" si="47"/>
        <v>-2.5554852650332832E-5</v>
      </c>
      <c r="AF120" s="11">
        <f t="shared" ca="1" si="28"/>
        <v>0</v>
      </c>
      <c r="AG120" s="2">
        <f t="shared" ca="1" si="48"/>
        <v>-9.4441411851486684E-6</v>
      </c>
      <c r="AH120" s="2">
        <f t="shared" ca="1" si="49"/>
        <v>-9.2197021876539234E-6</v>
      </c>
      <c r="AI120" s="2">
        <f t="shared" ca="1" si="50"/>
        <v>6.6314104628278672E-5</v>
      </c>
      <c r="AJ120" s="2">
        <f t="shared" ca="1" si="51"/>
        <v>-4.2070465193993307E-5</v>
      </c>
      <c r="AK120" s="2">
        <f t="shared" ca="1" si="52"/>
        <v>6.3618065572325225E-5</v>
      </c>
      <c r="AL120" s="2">
        <f t="shared" ca="1" si="53"/>
        <v>-2.5554852650332832E-5</v>
      </c>
      <c r="AN120" s="2" t="e">
        <f t="shared" ca="1" si="16"/>
        <v>#N/A</v>
      </c>
      <c r="AO120" s="2" t="e">
        <f t="shared" ca="1" si="29"/>
        <v>#N/A</v>
      </c>
      <c r="AP120" s="2" t="e">
        <f t="shared" ca="1" si="17"/>
        <v>#N/A</v>
      </c>
      <c r="AQ120" s="2" t="e">
        <f t="shared" ca="1" si="18"/>
        <v>#N/A</v>
      </c>
      <c r="AR120" s="2" t="e">
        <f t="shared" ca="1" si="19"/>
        <v>#N/A</v>
      </c>
      <c r="AS120" s="2" t="e">
        <f t="shared" ca="1" si="20"/>
        <v>#N/A</v>
      </c>
      <c r="AT120" s="9" t="e">
        <f t="shared" ca="1" si="21"/>
        <v>#N/A</v>
      </c>
      <c r="AU120" s="9" t="e">
        <f t="shared" ca="1" si="22"/>
        <v>#N/A</v>
      </c>
      <c r="AW120" s="2" t="e">
        <f t="shared" ca="1" si="30"/>
        <v>#N/A</v>
      </c>
      <c r="AX120" s="2" t="e">
        <f t="shared" ca="1" si="31"/>
        <v>#N/A</v>
      </c>
      <c r="AY120" s="2" t="e">
        <f t="shared" ca="1" si="32"/>
        <v>#N/A</v>
      </c>
      <c r="AZ120" s="2" t="e">
        <f t="shared" ca="1" si="33"/>
        <v>#N/A</v>
      </c>
      <c r="BA120" s="2" t="e">
        <f t="shared" ca="1" si="34"/>
        <v>#N/A</v>
      </c>
      <c r="BB120" s="2" t="e">
        <f t="shared" ca="1" si="35"/>
        <v>#N/A</v>
      </c>
      <c r="BC120" s="9" t="e">
        <f t="shared" ca="1" si="23"/>
        <v>#N/A</v>
      </c>
      <c r="BD120" s="9" t="e">
        <f t="shared" ca="1" si="36"/>
        <v>#N/A</v>
      </c>
    </row>
    <row r="121" spans="1:56" ht="15" x14ac:dyDescent="0.25">
      <c r="A121" s="90">
        <v>55</v>
      </c>
      <c r="B121" s="90">
        <v>1542620847.4419999</v>
      </c>
      <c r="C121" s="91">
        <v>3.34550561158637E-4</v>
      </c>
      <c r="D121" s="91">
        <v>1.6548260134599099E-4</v>
      </c>
      <c r="E121" s="91">
        <v>1.6412396487696199E-3</v>
      </c>
      <c r="F121" s="91">
        <v>1.1329241534695E-4</v>
      </c>
      <c r="G121" s="91">
        <v>1.2141293721797299E-3</v>
      </c>
      <c r="H121" s="91">
        <v>5.2921997214715102E-4</v>
      </c>
      <c r="I121" s="91">
        <v>5.4701788593324203E-3</v>
      </c>
      <c r="J121" s="91"/>
      <c r="K121" s="91"/>
      <c r="L121" s="89"/>
      <c r="M121" s="89"/>
      <c r="O121" s="11">
        <f t="shared" ca="1" si="37"/>
        <v>-5.9236265005869245E-5</v>
      </c>
      <c r="P121" s="11">
        <f t="shared" ca="1" si="38"/>
        <v>1.8985436357713155E-6</v>
      </c>
      <c r="Q121" s="11">
        <f t="shared" ca="1" si="39"/>
        <v>2.7210246391765882E-5</v>
      </c>
      <c r="R121" s="11">
        <f t="shared" ca="1" si="40"/>
        <v>9.8438655225314376E-5</v>
      </c>
      <c r="S121" s="11">
        <f t="shared" ca="1" si="41"/>
        <v>6.8326688324696567E-5</v>
      </c>
      <c r="T121" s="11">
        <f t="shared" ca="1" si="42"/>
        <v>3.8680628723044251E-5</v>
      </c>
      <c r="U121" s="11">
        <f t="shared" ca="1" si="43"/>
        <v>-3.7260706121172715E-5</v>
      </c>
      <c r="V121" s="11"/>
      <c r="W121" s="11">
        <f t="shared" ca="1" si="25"/>
        <v>0</v>
      </c>
      <c r="X121" s="2">
        <f t="shared" ca="1" si="44"/>
        <v>1.8985436357713155E-6</v>
      </c>
      <c r="Y121" s="2">
        <f t="shared" ca="1" si="45"/>
        <v>2.7210246391765882E-5</v>
      </c>
      <c r="Z121" s="11">
        <f t="shared" ca="1" si="26"/>
        <v>9.8438655225314376E-5</v>
      </c>
      <c r="AA121" s="2">
        <f t="shared" ca="1" si="46"/>
        <v>6.8326688324696567E-5</v>
      </c>
      <c r="AB121" s="11">
        <f t="shared" ca="1" si="27"/>
        <v>3.8680628723044251E-5</v>
      </c>
      <c r="AC121" s="2">
        <f t="shared" ca="1" si="47"/>
        <v>-3.7260706121172715E-5</v>
      </c>
      <c r="AF121" s="11">
        <f t="shared" ca="1" si="28"/>
        <v>0</v>
      </c>
      <c r="AG121" s="2">
        <f t="shared" ca="1" si="48"/>
        <v>1.8985436357713155E-6</v>
      </c>
      <c r="AH121" s="2">
        <f t="shared" ca="1" si="49"/>
        <v>2.7210246391765882E-5</v>
      </c>
      <c r="AI121" s="2">
        <f t="shared" ca="1" si="50"/>
        <v>9.8438655225314376E-5</v>
      </c>
      <c r="AJ121" s="2">
        <f t="shared" ca="1" si="51"/>
        <v>6.8326688324696567E-5</v>
      </c>
      <c r="AK121" s="2">
        <f t="shared" ca="1" si="52"/>
        <v>3.8639775399639097E-5</v>
      </c>
      <c r="AL121" s="2">
        <f t="shared" ca="1" si="53"/>
        <v>-3.7260706121172715E-5</v>
      </c>
      <c r="AN121" s="2" t="e">
        <f t="shared" ca="1" si="16"/>
        <v>#N/A</v>
      </c>
      <c r="AO121" s="2" t="e">
        <f t="shared" ca="1" si="29"/>
        <v>#N/A</v>
      </c>
      <c r="AP121" s="2" t="e">
        <f t="shared" ca="1" si="17"/>
        <v>#N/A</v>
      </c>
      <c r="AQ121" s="2" t="e">
        <f t="shared" ca="1" si="18"/>
        <v>#N/A</v>
      </c>
      <c r="AR121" s="2" t="e">
        <f t="shared" ca="1" si="19"/>
        <v>#N/A</v>
      </c>
      <c r="AS121" s="2" t="e">
        <f t="shared" ca="1" si="20"/>
        <v>#N/A</v>
      </c>
      <c r="AT121" s="9" t="e">
        <f t="shared" ca="1" si="21"/>
        <v>#N/A</v>
      </c>
      <c r="AU121" s="9" t="e">
        <f t="shared" ca="1" si="22"/>
        <v>#N/A</v>
      </c>
      <c r="AW121" s="2" t="e">
        <f t="shared" ca="1" si="30"/>
        <v>#N/A</v>
      </c>
      <c r="AX121" s="2" t="e">
        <f t="shared" ca="1" si="31"/>
        <v>#N/A</v>
      </c>
      <c r="AY121" s="2" t="e">
        <f t="shared" ca="1" si="32"/>
        <v>#N/A</v>
      </c>
      <c r="AZ121" s="2" t="e">
        <f t="shared" ca="1" si="33"/>
        <v>#N/A</v>
      </c>
      <c r="BA121" s="2" t="e">
        <f t="shared" ca="1" si="34"/>
        <v>#N/A</v>
      </c>
      <c r="BB121" s="2" t="e">
        <f t="shared" ca="1" si="35"/>
        <v>#N/A</v>
      </c>
      <c r="BC121" s="9" t="e">
        <f t="shared" ca="1" si="23"/>
        <v>#N/A</v>
      </c>
      <c r="BD121" s="9" t="e">
        <f t="shared" ca="1" si="36"/>
        <v>#N/A</v>
      </c>
    </row>
    <row r="122" spans="1:56" ht="15" x14ac:dyDescent="0.25">
      <c r="A122" s="90">
        <v>56</v>
      </c>
      <c r="B122" s="90">
        <v>1542620847.9690001</v>
      </c>
      <c r="C122" s="91">
        <v>3.6738923623952298E-4</v>
      </c>
      <c r="D122" s="91">
        <v>1.4894122930803199E-4</v>
      </c>
      <c r="E122" s="91">
        <v>1.6455538089959899E-3</v>
      </c>
      <c r="F122" s="91">
        <v>4.52371842872773E-5</v>
      </c>
      <c r="G122" s="91">
        <v>1.19934546153122E-3</v>
      </c>
      <c r="H122" s="91">
        <v>5.0499563024901004E-4</v>
      </c>
      <c r="I122" s="91">
        <v>5.4878571396931404E-3</v>
      </c>
      <c r="J122" s="91"/>
      <c r="K122" s="91"/>
      <c r="L122" s="89"/>
      <c r="M122" s="89"/>
      <c r="O122" s="11">
        <f t="shared" ca="1" si="37"/>
        <v>-2.6397589924983264E-5</v>
      </c>
      <c r="P122" s="11">
        <f t="shared" ca="1" si="38"/>
        <v>-1.4642828402187681E-5</v>
      </c>
      <c r="Q122" s="11">
        <f t="shared" ca="1" si="39"/>
        <v>3.1524406618135868E-5</v>
      </c>
      <c r="R122" s="11">
        <f t="shared" ca="1" si="40"/>
        <v>3.0383424165641677E-5</v>
      </c>
      <c r="S122" s="11">
        <f t="shared" ca="1" si="41"/>
        <v>5.3542777676186641E-5</v>
      </c>
      <c r="T122" s="11">
        <f t="shared" ca="1" si="42"/>
        <v>1.4456286824903277E-5</v>
      </c>
      <c r="U122" s="11">
        <f t="shared" ca="1" si="43"/>
        <v>-1.9582425760452694E-5</v>
      </c>
      <c r="V122" s="11"/>
      <c r="W122" s="11">
        <f t="shared" ca="1" si="25"/>
        <v>0</v>
      </c>
      <c r="X122" s="2">
        <f t="shared" ca="1" si="44"/>
        <v>-1.4642828402187681E-5</v>
      </c>
      <c r="Y122" s="2">
        <f t="shared" ca="1" si="45"/>
        <v>3.1524406618135868E-5</v>
      </c>
      <c r="Z122" s="11">
        <f t="shared" ca="1" si="26"/>
        <v>3.0383424165641677E-5</v>
      </c>
      <c r="AA122" s="2">
        <f t="shared" ca="1" si="46"/>
        <v>5.3542777676186641E-5</v>
      </c>
      <c r="AB122" s="11">
        <f t="shared" ca="1" si="27"/>
        <v>1.4456286824903277E-5</v>
      </c>
      <c r="AC122" s="2">
        <f t="shared" ca="1" si="47"/>
        <v>-1.9582425760452694E-5</v>
      </c>
      <c r="AF122" s="11">
        <f t="shared" ca="1" si="28"/>
        <v>0</v>
      </c>
      <c r="AG122" s="2">
        <f t="shared" ca="1" si="48"/>
        <v>-1.4642828402187681E-5</v>
      </c>
      <c r="AH122" s="2">
        <f t="shared" ca="1" si="49"/>
        <v>3.1524406618135868E-5</v>
      </c>
      <c r="AI122" s="2">
        <f t="shared" ca="1" si="50"/>
        <v>3.0383424165641677E-5</v>
      </c>
      <c r="AJ122" s="2">
        <f t="shared" ca="1" si="51"/>
        <v>5.3542777676186641E-5</v>
      </c>
      <c r="AK122" s="2">
        <f t="shared" ca="1" si="52"/>
        <v>1.4456286824903277E-5</v>
      </c>
      <c r="AL122" s="2">
        <f t="shared" ca="1" si="53"/>
        <v>-1.9582425760452694E-5</v>
      </c>
      <c r="AN122" s="2" t="e">
        <f t="shared" ca="1" si="16"/>
        <v>#N/A</v>
      </c>
      <c r="AO122" s="2" t="e">
        <f t="shared" ca="1" si="29"/>
        <v>#N/A</v>
      </c>
      <c r="AP122" s="2" t="e">
        <f t="shared" ca="1" si="17"/>
        <v>#N/A</v>
      </c>
      <c r="AQ122" s="2" t="e">
        <f t="shared" ca="1" si="18"/>
        <v>#N/A</v>
      </c>
      <c r="AR122" s="2" t="e">
        <f t="shared" ca="1" si="19"/>
        <v>#N/A</v>
      </c>
      <c r="AS122" s="2" t="e">
        <f t="shared" ca="1" si="20"/>
        <v>#N/A</v>
      </c>
      <c r="AT122" s="9" t="e">
        <f t="shared" ca="1" si="21"/>
        <v>#N/A</v>
      </c>
      <c r="AU122" s="9" t="e">
        <f t="shared" ca="1" si="22"/>
        <v>#N/A</v>
      </c>
      <c r="AW122" s="2" t="e">
        <f t="shared" ca="1" si="30"/>
        <v>#N/A</v>
      </c>
      <c r="AX122" s="2" t="e">
        <f t="shared" ca="1" si="31"/>
        <v>#N/A</v>
      </c>
      <c r="AY122" s="2" t="e">
        <f t="shared" ca="1" si="32"/>
        <v>#N/A</v>
      </c>
      <c r="AZ122" s="2" t="e">
        <f t="shared" ca="1" si="33"/>
        <v>#N/A</v>
      </c>
      <c r="BA122" s="2" t="e">
        <f t="shared" ca="1" si="34"/>
        <v>#N/A</v>
      </c>
      <c r="BB122" s="2" t="e">
        <f t="shared" ca="1" si="35"/>
        <v>#N/A</v>
      </c>
      <c r="BC122" s="9" t="e">
        <f t="shared" ca="1" si="23"/>
        <v>#N/A</v>
      </c>
      <c r="BD122" s="9" t="e">
        <f t="shared" ca="1" si="36"/>
        <v>#N/A</v>
      </c>
    </row>
    <row r="123" spans="1:56" ht="15" x14ac:dyDescent="0.25">
      <c r="A123" s="90">
        <v>57</v>
      </c>
      <c r="B123" s="90">
        <v>1542620848.4949999</v>
      </c>
      <c r="C123" s="91">
        <v>4.4830072425632099E-4</v>
      </c>
      <c r="D123" s="91">
        <v>1.8958623704282601E-4</v>
      </c>
      <c r="E123" s="91">
        <v>1.6043303675551399E-3</v>
      </c>
      <c r="F123" s="91">
        <v>3.0960451595903503E-5</v>
      </c>
      <c r="G123" s="91">
        <v>1.21746770482161E-3</v>
      </c>
      <c r="H123" s="91">
        <v>4.8124684634866997E-4</v>
      </c>
      <c r="I123" s="91">
        <v>5.6190206066342599E-3</v>
      </c>
      <c r="J123" s="91"/>
      <c r="K123" s="91"/>
      <c r="L123" s="89"/>
      <c r="M123" s="89"/>
      <c r="O123" s="11">
        <f t="shared" ca="1" si="37"/>
        <v>5.4513898091814741E-5</v>
      </c>
      <c r="P123" s="11">
        <f t="shared" ca="1" si="38"/>
        <v>2.6002179332606341E-5</v>
      </c>
      <c r="Q123" s="11">
        <f t="shared" ca="1" si="39"/>
        <v>-9.6990348227141056E-6</v>
      </c>
      <c r="R123" s="11">
        <f t="shared" ca="1" si="40"/>
        <v>1.6106691474267881E-5</v>
      </c>
      <c r="S123" s="11">
        <f t="shared" ca="1" si="41"/>
        <v>7.1665020966576619E-5</v>
      </c>
      <c r="T123" s="11">
        <f t="shared" ca="1" si="42"/>
        <v>-9.2924970754367929E-6</v>
      </c>
      <c r="U123" s="11">
        <f t="shared" ca="1" si="43"/>
        <v>1.1158104118066687E-4</v>
      </c>
      <c r="V123" s="11"/>
      <c r="W123" s="11">
        <f t="shared" ca="1" si="25"/>
        <v>0</v>
      </c>
      <c r="X123" s="2">
        <f t="shared" ca="1" si="44"/>
        <v>1.4651023275441938E-5</v>
      </c>
      <c r="Y123" s="2">
        <f t="shared" ca="1" si="45"/>
        <v>-1.8514875172685277E-4</v>
      </c>
      <c r="Z123" s="11">
        <f t="shared" ca="1" si="26"/>
        <v>1.6106691474267881E-5</v>
      </c>
      <c r="AA123" s="2">
        <f t="shared" ca="1" si="46"/>
        <v>7.1318713315836788E-5</v>
      </c>
      <c r="AB123" s="11">
        <f t="shared" ca="1" si="27"/>
        <v>-9.2924970754367929E-6</v>
      </c>
      <c r="AC123" s="2">
        <f t="shared" ca="1" si="47"/>
        <v>9.5857587975557661E-5</v>
      </c>
      <c r="AF123" s="11">
        <f t="shared" ca="1" si="28"/>
        <v>0</v>
      </c>
      <c r="AG123" s="2">
        <f t="shared" ca="1" si="48"/>
        <v>3.2764077539659108E-6</v>
      </c>
      <c r="AH123" s="2">
        <f t="shared" ca="1" si="49"/>
        <v>-3.6108954294734137E-4</v>
      </c>
      <c r="AI123" s="2">
        <f t="shared" ca="1" si="50"/>
        <v>1.6030775440366901E-5</v>
      </c>
      <c r="AJ123" s="2">
        <f t="shared" ca="1" si="51"/>
        <v>6.9800724219097536E-5</v>
      </c>
      <c r="AK123" s="2">
        <f t="shared" ca="1" si="52"/>
        <v>-9.8520182902769213E-6</v>
      </c>
      <c r="AL123" s="2">
        <f t="shared" ca="1" si="53"/>
        <v>7.8208378620129248E-5</v>
      </c>
      <c r="AN123" s="2">
        <f t="shared" ca="1" si="16"/>
        <v>1.5569805140042647</v>
      </c>
      <c r="AO123" s="2">
        <f t="shared" ca="1" si="29"/>
        <v>7.0248288953233817E-2</v>
      </c>
      <c r="AP123" s="2">
        <f t="shared" ca="1" si="17"/>
        <v>1.1314675167649576E-6</v>
      </c>
      <c r="AQ123" s="2">
        <f t="shared" ca="1" si="18"/>
        <v>-1.042396459220175E-5</v>
      </c>
      <c r="AR123" s="2">
        <f t="shared" ca="1" si="19"/>
        <v>-0.33939668611804313</v>
      </c>
      <c r="AS123" s="2">
        <f t="shared" ca="1" si="20"/>
        <v>-2.4194653290183395E-2</v>
      </c>
      <c r="AT123" s="9" t="str">
        <f t="shared" ca="1" si="21"/>
        <v>rejected</v>
      </c>
      <c r="AU123" s="9" t="e">
        <f t="shared" ca="1" si="22"/>
        <v>#N/A</v>
      </c>
      <c r="AW123" s="2">
        <f t="shared" ca="1" si="30"/>
        <v>1.1204522516792363</v>
      </c>
      <c r="AX123" s="2">
        <f t="shared" ca="1" si="31"/>
        <v>5.0351550295092404E-2</v>
      </c>
      <c r="AY123" s="2">
        <f t="shared" ca="1" si="32"/>
        <v>8.071743958549661E-7</v>
      </c>
      <c r="AZ123" s="2">
        <f t="shared" ca="1" si="33"/>
        <v>-1.0659192686131888E-5</v>
      </c>
      <c r="BA123" s="2">
        <f t="shared" ca="1" si="34"/>
        <v>-0.42053741756430085</v>
      </c>
      <c r="BB123" s="2">
        <f t="shared" ca="1" si="35"/>
        <v>-0.66045163664033335</v>
      </c>
      <c r="BC123" s="9" t="str">
        <f t="shared" ca="1" si="23"/>
        <v>rejected</v>
      </c>
      <c r="BD123" s="9" t="e">
        <f t="shared" ca="1" si="36"/>
        <v>#N/A</v>
      </c>
    </row>
    <row r="124" spans="1:56" ht="15" x14ac:dyDescent="0.25">
      <c r="A124" s="90">
        <v>58</v>
      </c>
      <c r="B124" s="90">
        <v>1542620849.0220001</v>
      </c>
      <c r="C124" s="91">
        <v>3.9856318041286498E-4</v>
      </c>
      <c r="D124" s="91">
        <v>1.1940375069828399E-4</v>
      </c>
      <c r="E124" s="91">
        <v>1.6424380247542401E-3</v>
      </c>
      <c r="F124" s="91">
        <v>2.5249815667122601E-5</v>
      </c>
      <c r="G124" s="91">
        <v>1.1335358651411601E-3</v>
      </c>
      <c r="H124" s="91">
        <v>5.0974545485833397E-4</v>
      </c>
      <c r="I124" s="91">
        <v>5.5346821997754002E-3</v>
      </c>
      <c r="J124" s="91"/>
      <c r="K124" s="91"/>
      <c r="L124" s="89"/>
      <c r="M124" s="89"/>
      <c r="O124" s="11">
        <f t="shared" ca="1" si="37"/>
        <v>4.7763542483587385E-6</v>
      </c>
      <c r="P124" s="11">
        <f t="shared" ca="1" si="38"/>
        <v>-4.4180307011935677E-5</v>
      </c>
      <c r="Q124" s="11">
        <f t="shared" ca="1" si="39"/>
        <v>2.8408622376386054E-5</v>
      </c>
      <c r="R124" s="11">
        <f t="shared" ca="1" si="40"/>
        <v>1.0396055545486979E-5</v>
      </c>
      <c r="S124" s="11">
        <f t="shared" ca="1" si="41"/>
        <v>-1.2266818713873315E-5</v>
      </c>
      <c r="T124" s="11">
        <f t="shared" ca="1" si="42"/>
        <v>1.9206111434227208E-5</v>
      </c>
      <c r="U124" s="11">
        <f t="shared" ca="1" si="43"/>
        <v>2.7242634321807124E-5</v>
      </c>
      <c r="V124" s="11"/>
      <c r="W124" s="11">
        <f t="shared" ca="1" si="25"/>
        <v>0</v>
      </c>
      <c r="X124" s="2">
        <f t="shared" ca="1" si="44"/>
        <v>-4.5174863342618639E-5</v>
      </c>
      <c r="Y124" s="2">
        <f t="shared" ca="1" si="45"/>
        <v>1.3036212219676899E-5</v>
      </c>
      <c r="Z124" s="11">
        <f t="shared" ca="1" si="26"/>
        <v>1.0396055545486979E-5</v>
      </c>
      <c r="AA124" s="2">
        <f t="shared" ca="1" si="46"/>
        <v>-1.2297161215084005E-5</v>
      </c>
      <c r="AB124" s="11">
        <f t="shared" ca="1" si="27"/>
        <v>1.9206111434227208E-5</v>
      </c>
      <c r="AC124" s="2">
        <f t="shared" ca="1" si="47"/>
        <v>2.5864989626712946E-5</v>
      </c>
      <c r="AF124" s="11">
        <f t="shared" ca="1" si="28"/>
        <v>0</v>
      </c>
      <c r="AG124" s="2">
        <f t="shared" ca="1" si="48"/>
        <v>-4.6171475125506473E-5</v>
      </c>
      <c r="AH124" s="2">
        <f t="shared" ca="1" si="49"/>
        <v>-2.3792244858438496E-6</v>
      </c>
      <c r="AI124" s="2">
        <f t="shared" ca="1" si="50"/>
        <v>1.0389403996364023E-5</v>
      </c>
      <c r="AJ124" s="2">
        <f t="shared" ca="1" si="51"/>
        <v>-1.243016314532501E-5</v>
      </c>
      <c r="AK124" s="2">
        <f t="shared" ca="1" si="52"/>
        <v>1.9206111434227208E-5</v>
      </c>
      <c r="AL124" s="2">
        <f t="shared" ca="1" si="53"/>
        <v>2.4318615600350101E-5</v>
      </c>
      <c r="AN124" s="2" t="e">
        <f t="shared" ca="1" si="16"/>
        <v>#N/A</v>
      </c>
      <c r="AO124" s="2" t="e">
        <f t="shared" ca="1" si="29"/>
        <v>#N/A</v>
      </c>
      <c r="AP124" s="2" t="e">
        <f t="shared" ca="1" si="17"/>
        <v>#N/A</v>
      </c>
      <c r="AQ124" s="2" t="e">
        <f t="shared" ca="1" si="18"/>
        <v>#N/A</v>
      </c>
      <c r="AR124" s="2" t="e">
        <f t="shared" ca="1" si="19"/>
        <v>#N/A</v>
      </c>
      <c r="AS124" s="2" t="e">
        <f t="shared" ca="1" si="20"/>
        <v>#N/A</v>
      </c>
      <c r="AT124" s="9" t="e">
        <f t="shared" ca="1" si="21"/>
        <v>#N/A</v>
      </c>
      <c r="AU124" s="9" t="e">
        <f t="shared" ca="1" si="22"/>
        <v>#N/A</v>
      </c>
      <c r="AW124" s="2" t="e">
        <f t="shared" ca="1" si="30"/>
        <v>#N/A</v>
      </c>
      <c r="AX124" s="2" t="e">
        <f t="shared" ca="1" si="31"/>
        <v>#N/A</v>
      </c>
      <c r="AY124" s="2" t="e">
        <f t="shared" ca="1" si="32"/>
        <v>#N/A</v>
      </c>
      <c r="AZ124" s="2" t="e">
        <f t="shared" ca="1" si="33"/>
        <v>#N/A</v>
      </c>
      <c r="BA124" s="2" t="e">
        <f t="shared" ca="1" si="34"/>
        <v>#N/A</v>
      </c>
      <c r="BB124" s="2" t="e">
        <f t="shared" ca="1" si="35"/>
        <v>#N/A</v>
      </c>
      <c r="BC124" s="9" t="e">
        <f t="shared" ca="1" si="23"/>
        <v>#N/A</v>
      </c>
      <c r="BD124" s="9" t="e">
        <f t="shared" ca="1" si="36"/>
        <v>#N/A</v>
      </c>
    </row>
    <row r="125" spans="1:56" ht="15" x14ac:dyDescent="0.25">
      <c r="A125" s="90">
        <v>59</v>
      </c>
      <c r="B125" s="90">
        <v>1542620849.549</v>
      </c>
      <c r="C125" s="91">
        <v>3.4525870613497198E-4</v>
      </c>
      <c r="D125" s="91">
        <v>1.1184229751084399E-4</v>
      </c>
      <c r="E125" s="91">
        <v>1.62326418030979E-3</v>
      </c>
      <c r="F125" s="91">
        <v>-6.0643726829157097E-5</v>
      </c>
      <c r="G125" s="91">
        <v>1.1981532201926399E-3</v>
      </c>
      <c r="H125" s="91">
        <v>5.1140789881321002E-4</v>
      </c>
      <c r="I125" s="91">
        <v>5.4541731176920502E-3</v>
      </c>
      <c r="J125" s="91"/>
      <c r="K125" s="91"/>
      <c r="L125" s="89"/>
      <c r="M125" s="89"/>
      <c r="O125" s="11">
        <f t="shared" ca="1" si="37"/>
        <v>-4.8528120029534265E-5</v>
      </c>
      <c r="P125" s="11">
        <f t="shared" ca="1" si="38"/>
        <v>-5.1741760199375676E-5</v>
      </c>
      <c r="Q125" s="11">
        <f t="shared" ca="1" si="39"/>
        <v>9.2347779319359915E-6</v>
      </c>
      <c r="R125" s="11">
        <f t="shared" ca="1" si="40"/>
        <v>-7.5497486950792717E-5</v>
      </c>
      <c r="S125" s="11">
        <f t="shared" ca="1" si="41"/>
        <v>5.2350536337606541E-5</v>
      </c>
      <c r="T125" s="11">
        <f t="shared" ca="1" si="42"/>
        <v>2.0868555389103255E-5</v>
      </c>
      <c r="U125" s="11">
        <f t="shared" ca="1" si="43"/>
        <v>-5.3266447761542851E-5</v>
      </c>
      <c r="V125" s="11"/>
      <c r="W125" s="11">
        <f t="shared" ca="1" si="25"/>
        <v>0</v>
      </c>
      <c r="X125" s="2">
        <f t="shared" ca="1" si="44"/>
        <v>-5.1741760199375676E-5</v>
      </c>
      <c r="Y125" s="2">
        <f t="shared" ca="1" si="45"/>
        <v>9.2347779319359915E-6</v>
      </c>
      <c r="Z125" s="11">
        <f t="shared" ca="1" si="26"/>
        <v>-7.5497486950792717E-5</v>
      </c>
      <c r="AA125" s="2">
        <f t="shared" ca="1" si="46"/>
        <v>5.2350536337606541E-5</v>
      </c>
      <c r="AB125" s="11">
        <f t="shared" ca="1" si="27"/>
        <v>2.0868555389103255E-5</v>
      </c>
      <c r="AC125" s="2">
        <f t="shared" ca="1" si="47"/>
        <v>-5.3266447761542851E-5</v>
      </c>
      <c r="AF125" s="11">
        <f t="shared" ca="1" si="28"/>
        <v>0</v>
      </c>
      <c r="AG125" s="2">
        <f t="shared" ca="1" si="48"/>
        <v>-5.1741760199375676E-5</v>
      </c>
      <c r="AH125" s="2">
        <f t="shared" ca="1" si="49"/>
        <v>9.2347779319359915E-6</v>
      </c>
      <c r="AI125" s="2">
        <f t="shared" ca="1" si="50"/>
        <v>-7.5497486950792717E-5</v>
      </c>
      <c r="AJ125" s="2">
        <f t="shared" ca="1" si="51"/>
        <v>5.2350536337606541E-5</v>
      </c>
      <c r="AK125" s="2">
        <f t="shared" ca="1" si="52"/>
        <v>2.0868555389103255E-5</v>
      </c>
      <c r="AL125" s="2">
        <f t="shared" ca="1" si="53"/>
        <v>-5.3266447761542851E-5</v>
      </c>
      <c r="AN125" s="2" t="e">
        <f t="shared" ca="1" si="16"/>
        <v>#N/A</v>
      </c>
      <c r="AO125" s="2" t="e">
        <f t="shared" ca="1" si="29"/>
        <v>#N/A</v>
      </c>
      <c r="AP125" s="2" t="e">
        <f t="shared" ca="1" si="17"/>
        <v>#N/A</v>
      </c>
      <c r="AQ125" s="2" t="e">
        <f t="shared" ca="1" si="18"/>
        <v>#N/A</v>
      </c>
      <c r="AR125" s="2" t="e">
        <f t="shared" ca="1" si="19"/>
        <v>#N/A</v>
      </c>
      <c r="AS125" s="2" t="e">
        <f t="shared" ca="1" si="20"/>
        <v>#N/A</v>
      </c>
      <c r="AT125" s="9" t="e">
        <f t="shared" ca="1" si="21"/>
        <v>#N/A</v>
      </c>
      <c r="AU125" s="9" t="e">
        <f t="shared" ca="1" si="22"/>
        <v>#N/A</v>
      </c>
      <c r="AW125" s="2" t="e">
        <f t="shared" ca="1" si="30"/>
        <v>#N/A</v>
      </c>
      <c r="AX125" s="2" t="e">
        <f t="shared" ca="1" si="31"/>
        <v>#N/A</v>
      </c>
      <c r="AY125" s="2" t="e">
        <f t="shared" ca="1" si="32"/>
        <v>#N/A</v>
      </c>
      <c r="AZ125" s="2" t="e">
        <f t="shared" ca="1" si="33"/>
        <v>#N/A</v>
      </c>
      <c r="BA125" s="2" t="e">
        <f t="shared" ca="1" si="34"/>
        <v>#N/A</v>
      </c>
      <c r="BB125" s="2" t="e">
        <f t="shared" ca="1" si="35"/>
        <v>#N/A</v>
      </c>
      <c r="BC125" s="9" t="e">
        <f t="shared" ca="1" si="23"/>
        <v>#N/A</v>
      </c>
      <c r="BD125" s="9" t="e">
        <f t="shared" ca="1" si="36"/>
        <v>#N/A</v>
      </c>
    </row>
    <row r="126" spans="1:56" ht="15" x14ac:dyDescent="0.25">
      <c r="A126" s="90">
        <v>60</v>
      </c>
      <c r="B126" s="90">
        <v>1542620850.076</v>
      </c>
      <c r="C126" s="91">
        <v>3.9261387929869098E-4</v>
      </c>
      <c r="D126" s="91">
        <v>1.8722310961992E-4</v>
      </c>
      <c r="E126" s="91">
        <v>1.5635879283903301E-3</v>
      </c>
      <c r="F126" s="91">
        <v>9.5457352407014202E-6</v>
      </c>
      <c r="G126" s="91">
        <v>1.03959778288767E-3</v>
      </c>
      <c r="H126" s="91">
        <v>5.3396991206977498E-4</v>
      </c>
      <c r="I126" s="91">
        <v>5.4826014021509004E-3</v>
      </c>
      <c r="J126" s="91"/>
      <c r="K126" s="91"/>
      <c r="L126" s="89"/>
      <c r="M126" s="89"/>
      <c r="O126" s="11">
        <f t="shared" ca="1" si="37"/>
        <v>-1.1729468658152687E-6</v>
      </c>
      <c r="P126" s="11">
        <f t="shared" ca="1" si="38"/>
        <v>2.3639051909700329E-5</v>
      </c>
      <c r="Q126" s="11">
        <f t="shared" ca="1" si="39"/>
        <v>-5.0441473987523954E-5</v>
      </c>
      <c r="R126" s="11">
        <f t="shared" ca="1" si="40"/>
        <v>-5.3080248809342023E-6</v>
      </c>
      <c r="S126" s="11">
        <f t="shared" ca="1" si="41"/>
        <v>-1.0620490096736337E-4</v>
      </c>
      <c r="T126" s="11">
        <f t="shared" ca="1" si="42"/>
        <v>4.3430568645668214E-5</v>
      </c>
      <c r="U126" s="11">
        <f t="shared" ca="1" si="43"/>
        <v>-2.4838163302692666E-5</v>
      </c>
      <c r="V126" s="11"/>
      <c r="W126" s="11">
        <f t="shared" ca="1" si="25"/>
        <v>0</v>
      </c>
      <c r="X126" s="2">
        <f t="shared" ca="1" si="44"/>
        <v>2.3639051909700329E-5</v>
      </c>
      <c r="Y126" s="2">
        <f t="shared" ca="1" si="45"/>
        <v>-5.0441473987523954E-5</v>
      </c>
      <c r="Z126" s="11">
        <f t="shared" ca="1" si="26"/>
        <v>-5.3080248809342023E-6</v>
      </c>
      <c r="AA126" s="2">
        <f t="shared" ca="1" si="46"/>
        <v>-1.0620490096736337E-4</v>
      </c>
      <c r="AB126" s="11">
        <f t="shared" ca="1" si="27"/>
        <v>4.3430568645668214E-5</v>
      </c>
      <c r="AC126" s="2">
        <f t="shared" ca="1" si="47"/>
        <v>-2.4838163302692666E-5</v>
      </c>
      <c r="AF126" s="11">
        <f t="shared" ca="1" si="28"/>
        <v>0</v>
      </c>
      <c r="AG126" s="2">
        <f t="shared" ca="1" si="48"/>
        <v>2.3639051909700329E-5</v>
      </c>
      <c r="AH126" s="2">
        <f t="shared" ca="1" si="49"/>
        <v>-5.0441473987523954E-5</v>
      </c>
      <c r="AI126" s="2">
        <f t="shared" ca="1" si="50"/>
        <v>-5.3080248809342023E-6</v>
      </c>
      <c r="AJ126" s="2">
        <f t="shared" ca="1" si="51"/>
        <v>-1.0620490096736337E-4</v>
      </c>
      <c r="AK126" s="2">
        <f t="shared" ca="1" si="52"/>
        <v>4.2921897781084241E-5</v>
      </c>
      <c r="AL126" s="2">
        <f t="shared" ca="1" si="53"/>
        <v>-2.4838163302692666E-5</v>
      </c>
      <c r="AN126" s="2" t="e">
        <f t="shared" ca="1" si="16"/>
        <v>#N/A</v>
      </c>
      <c r="AO126" s="2" t="e">
        <f t="shared" ca="1" si="29"/>
        <v>#N/A</v>
      </c>
      <c r="AP126" s="2" t="e">
        <f t="shared" ca="1" si="17"/>
        <v>#N/A</v>
      </c>
      <c r="AQ126" s="2" t="e">
        <f t="shared" ca="1" si="18"/>
        <v>#N/A</v>
      </c>
      <c r="AR126" s="2" t="e">
        <f t="shared" ca="1" si="19"/>
        <v>#N/A</v>
      </c>
      <c r="AS126" s="2" t="e">
        <f t="shared" ca="1" si="20"/>
        <v>#N/A</v>
      </c>
      <c r="AT126" s="9" t="e">
        <f t="shared" ca="1" si="21"/>
        <v>#N/A</v>
      </c>
      <c r="AU126" s="9" t="e">
        <f t="shared" ca="1" si="22"/>
        <v>#N/A</v>
      </c>
      <c r="AW126" s="2" t="e">
        <f t="shared" ca="1" si="30"/>
        <v>#N/A</v>
      </c>
      <c r="AX126" s="2" t="e">
        <f t="shared" ca="1" si="31"/>
        <v>#N/A</v>
      </c>
      <c r="AY126" s="2" t="e">
        <f t="shared" ca="1" si="32"/>
        <v>#N/A</v>
      </c>
      <c r="AZ126" s="2" t="e">
        <f t="shared" ca="1" si="33"/>
        <v>#N/A</v>
      </c>
      <c r="BA126" s="2" t="e">
        <f t="shared" ca="1" si="34"/>
        <v>#N/A</v>
      </c>
      <c r="BB126" s="2" t="e">
        <f t="shared" ca="1" si="35"/>
        <v>#N/A</v>
      </c>
      <c r="BC126" s="9" t="e">
        <f t="shared" ca="1" si="23"/>
        <v>#N/A</v>
      </c>
      <c r="BD126" s="9" t="e">
        <f t="shared" ca="1" si="36"/>
        <v>#N/A</v>
      </c>
    </row>
    <row r="127" spans="1:56" ht="15" x14ac:dyDescent="0.25">
      <c r="A127" s="90">
        <v>61</v>
      </c>
      <c r="B127" s="90">
        <v>1542620850.6029999</v>
      </c>
      <c r="C127" s="91">
        <v>3.6619941031969402E-4</v>
      </c>
      <c r="D127" s="91">
        <v>1.66664138470378E-4</v>
      </c>
      <c r="E127" s="91">
        <v>1.52740043975181E-3</v>
      </c>
      <c r="F127" s="91">
        <v>-1.1013028045979701E-4</v>
      </c>
      <c r="G127" s="91">
        <v>1.09324154638994E-3</v>
      </c>
      <c r="H127" s="91">
        <v>4.4491230094685999E-4</v>
      </c>
      <c r="I127" s="91">
        <v>5.5041023208839699E-3</v>
      </c>
      <c r="J127" s="91"/>
      <c r="K127" s="91"/>
      <c r="L127" s="89"/>
      <c r="M127" s="89"/>
      <c r="O127" s="11">
        <f t="shared" ca="1" si="37"/>
        <v>-2.7587415844812231E-5</v>
      </c>
      <c r="P127" s="11">
        <f t="shared" ca="1" si="38"/>
        <v>3.0800807601583308E-6</v>
      </c>
      <c r="Q127" s="11">
        <f t="shared" ca="1" si="39"/>
        <v>-8.6628962626044033E-5</v>
      </c>
      <c r="R127" s="11">
        <f t="shared" ca="1" si="40"/>
        <v>-1.2498404058143263E-4</v>
      </c>
      <c r="S127" s="11">
        <f t="shared" ca="1" si="41"/>
        <v>-5.2561137465093359E-5</v>
      </c>
      <c r="T127" s="11">
        <f t="shared" ca="1" si="42"/>
        <v>-4.5627042477246779E-5</v>
      </c>
      <c r="U127" s="11">
        <f t="shared" ca="1" si="43"/>
        <v>-3.337244569623192E-6</v>
      </c>
      <c r="V127" s="11"/>
      <c r="W127" s="11">
        <f t="shared" ca="1" si="25"/>
        <v>0</v>
      </c>
      <c r="X127" s="2">
        <f t="shared" ca="1" si="44"/>
        <v>3.0800807601583308E-6</v>
      </c>
      <c r="Y127" s="2">
        <f t="shared" ca="1" si="45"/>
        <v>-8.6628962626044033E-5</v>
      </c>
      <c r="Z127" s="11">
        <f t="shared" ca="1" si="26"/>
        <v>-1.2498404058143263E-4</v>
      </c>
      <c r="AA127" s="2">
        <f t="shared" ca="1" si="46"/>
        <v>-5.2561137465093359E-5</v>
      </c>
      <c r="AB127" s="11">
        <f t="shared" ca="1" si="27"/>
        <v>-4.5627042477246779E-5</v>
      </c>
      <c r="AC127" s="2">
        <f t="shared" ca="1" si="47"/>
        <v>-3.337244569623192E-6</v>
      </c>
      <c r="AF127" s="11">
        <f t="shared" ca="1" si="28"/>
        <v>0</v>
      </c>
      <c r="AG127" s="2">
        <f t="shared" ca="1" si="48"/>
        <v>3.0800807601583308E-6</v>
      </c>
      <c r="AH127" s="2">
        <f t="shared" ca="1" si="49"/>
        <v>-8.6628962626044033E-5</v>
      </c>
      <c r="AI127" s="2">
        <f t="shared" ca="1" si="50"/>
        <v>-1.2498404058143263E-4</v>
      </c>
      <c r="AJ127" s="2">
        <f t="shared" ca="1" si="51"/>
        <v>-5.2561137465093359E-5</v>
      </c>
      <c r="AK127" s="2">
        <f t="shared" ca="1" si="52"/>
        <v>-4.569332040367306E-5</v>
      </c>
      <c r="AL127" s="2">
        <f t="shared" ca="1" si="53"/>
        <v>-3.337244569623192E-6</v>
      </c>
      <c r="AN127" s="2" t="e">
        <f t="shared" ca="1" si="16"/>
        <v>#N/A</v>
      </c>
      <c r="AO127" s="2" t="e">
        <f t="shared" ca="1" si="29"/>
        <v>#N/A</v>
      </c>
      <c r="AP127" s="2" t="e">
        <f t="shared" ca="1" si="17"/>
        <v>#N/A</v>
      </c>
      <c r="AQ127" s="2" t="e">
        <f t="shared" ca="1" si="18"/>
        <v>#N/A</v>
      </c>
      <c r="AR127" s="2" t="e">
        <f t="shared" ca="1" si="19"/>
        <v>#N/A</v>
      </c>
      <c r="AS127" s="2" t="e">
        <f t="shared" ca="1" si="20"/>
        <v>#N/A</v>
      </c>
      <c r="AT127" s="9" t="e">
        <f t="shared" ca="1" si="21"/>
        <v>#N/A</v>
      </c>
      <c r="AU127" s="9" t="e">
        <f t="shared" ca="1" si="22"/>
        <v>#N/A</v>
      </c>
      <c r="AW127" s="2" t="e">
        <f t="shared" ca="1" si="30"/>
        <v>#N/A</v>
      </c>
      <c r="AX127" s="2" t="e">
        <f t="shared" ca="1" si="31"/>
        <v>#N/A</v>
      </c>
      <c r="AY127" s="2" t="e">
        <f t="shared" ca="1" si="32"/>
        <v>#N/A</v>
      </c>
      <c r="AZ127" s="2" t="e">
        <f t="shared" ca="1" si="33"/>
        <v>#N/A</v>
      </c>
      <c r="BA127" s="2" t="e">
        <f t="shared" ca="1" si="34"/>
        <v>#N/A</v>
      </c>
      <c r="BB127" s="2" t="e">
        <f t="shared" ca="1" si="35"/>
        <v>#N/A</v>
      </c>
      <c r="BC127" s="9" t="e">
        <f t="shared" ca="1" si="23"/>
        <v>#N/A</v>
      </c>
      <c r="BD127" s="9" t="e">
        <f t="shared" ca="1" si="36"/>
        <v>#N/A</v>
      </c>
    </row>
    <row r="128" spans="1:56" ht="15" x14ac:dyDescent="0.25">
      <c r="A128" s="90">
        <v>62</v>
      </c>
      <c r="B128" s="90">
        <v>1542620851.1289999</v>
      </c>
      <c r="C128" s="91">
        <v>4.98754734645269E-4</v>
      </c>
      <c r="D128" s="91">
        <v>1.3381793043005299E-4</v>
      </c>
      <c r="E128" s="91">
        <v>1.59953705376813E-3</v>
      </c>
      <c r="F128" s="91">
        <v>9.4969396915234598E-5</v>
      </c>
      <c r="G128" s="91">
        <v>1.25657471682162E-3</v>
      </c>
      <c r="H128" s="91">
        <v>6.0783438745988397E-4</v>
      </c>
      <c r="I128" s="91">
        <v>5.5014744060753696E-3</v>
      </c>
      <c r="J128" s="91"/>
      <c r="K128" s="91"/>
      <c r="L128" s="89"/>
      <c r="M128" s="89"/>
      <c r="O128" s="11">
        <f t="shared" ca="1" si="37"/>
        <v>1.0496790848076276E-4</v>
      </c>
      <c r="P128" s="11">
        <f t="shared" ca="1" si="38"/>
        <v>-2.9766127280166684E-5</v>
      </c>
      <c r="Q128" s="11">
        <f t="shared" ca="1" si="39"/>
        <v>-1.4492348609724051E-5</v>
      </c>
      <c r="R128" s="11">
        <f t="shared" ca="1" si="40"/>
        <v>8.0115636793598973E-5</v>
      </c>
      <c r="S128" s="11">
        <f t="shared" ca="1" si="41"/>
        <v>1.1077203296658658E-4</v>
      </c>
      <c r="T128" s="11">
        <f t="shared" ca="1" si="42"/>
        <v>1.172950440357772E-4</v>
      </c>
      <c r="U128" s="11">
        <f t="shared" ca="1" si="43"/>
        <v>-5.9651593782234294E-6</v>
      </c>
      <c r="V128" s="11"/>
      <c r="W128" s="11">
        <f t="shared" ca="1" si="25"/>
        <v>0</v>
      </c>
      <c r="X128" s="2">
        <f t="shared" ca="1" si="44"/>
        <v>-5.162306930534528E-5</v>
      </c>
      <c r="Y128" s="2">
        <f t="shared" ca="1" si="45"/>
        <v>-3.5232527693841042E-4</v>
      </c>
      <c r="Z128" s="11">
        <f t="shared" ca="1" si="26"/>
        <v>8.0115636793598973E-5</v>
      </c>
      <c r="AA128" s="2">
        <f t="shared" ca="1" si="46"/>
        <v>1.1010520870595819E-4</v>
      </c>
      <c r="AB128" s="11">
        <f t="shared" ca="1" si="27"/>
        <v>1.172950440357772E-4</v>
      </c>
      <c r="AC128" s="2">
        <f t="shared" ca="1" si="47"/>
        <v>-3.6241071664952287E-5</v>
      </c>
      <c r="AF128" s="11">
        <f t="shared" ca="1" si="28"/>
        <v>0</v>
      </c>
      <c r="AG128" s="2">
        <f t="shared" ca="1" si="48"/>
        <v>-7.3525183130543077E-5</v>
      </c>
      <c r="AH128" s="2">
        <f t="shared" ca="1" si="49"/>
        <v>-6.9110378145409142E-4</v>
      </c>
      <c r="AI128" s="2">
        <f t="shared" ca="1" si="50"/>
        <v>7.9969458523879218E-5</v>
      </c>
      <c r="AJ128" s="2">
        <f t="shared" ca="1" si="51"/>
        <v>1.0718228177981994E-4</v>
      </c>
      <c r="AK128" s="2">
        <f t="shared" ca="1" si="52"/>
        <v>1.172950440357772E-4</v>
      </c>
      <c r="AL128" s="2">
        <f t="shared" ca="1" si="53"/>
        <v>-7.0225076794400184E-5</v>
      </c>
      <c r="AN128" s="2" t="e">
        <f t="shared" ca="1" si="16"/>
        <v>#N/A</v>
      </c>
      <c r="AO128" s="2" t="e">
        <f t="shared" ca="1" si="29"/>
        <v>#N/A</v>
      </c>
      <c r="AP128" s="2" t="e">
        <f t="shared" ca="1" si="17"/>
        <v>#N/A</v>
      </c>
      <c r="AQ128" s="2" t="e">
        <f t="shared" ca="1" si="18"/>
        <v>#N/A</v>
      </c>
      <c r="AR128" s="2" t="e">
        <f t="shared" ca="1" si="19"/>
        <v>#N/A</v>
      </c>
      <c r="AS128" s="2" t="e">
        <f t="shared" ca="1" si="20"/>
        <v>#N/A</v>
      </c>
      <c r="AT128" s="9" t="e">
        <f t="shared" ca="1" si="21"/>
        <v>#N/A</v>
      </c>
      <c r="AU128" s="9" t="e">
        <f t="shared" ca="1" si="22"/>
        <v>#N/A</v>
      </c>
      <c r="AW128" s="2" t="e">
        <f t="shared" ca="1" si="30"/>
        <v>#N/A</v>
      </c>
      <c r="AX128" s="2" t="e">
        <f t="shared" ca="1" si="31"/>
        <v>#N/A</v>
      </c>
      <c r="AY128" s="2" t="e">
        <f t="shared" ca="1" si="32"/>
        <v>#N/A</v>
      </c>
      <c r="AZ128" s="2" t="e">
        <f t="shared" ca="1" si="33"/>
        <v>#N/A</v>
      </c>
      <c r="BA128" s="2" t="e">
        <f t="shared" ca="1" si="34"/>
        <v>#N/A</v>
      </c>
      <c r="BB128" s="2" t="e">
        <f t="shared" ca="1" si="35"/>
        <v>#N/A</v>
      </c>
      <c r="BC128" s="9" t="e">
        <f t="shared" ca="1" si="23"/>
        <v>#N/A</v>
      </c>
      <c r="BD128" s="9" t="e">
        <f t="shared" ca="1" si="36"/>
        <v>#N/A</v>
      </c>
    </row>
    <row r="129" spans="1:56" ht="15" x14ac:dyDescent="0.25">
      <c r="A129" s="90">
        <v>63</v>
      </c>
      <c r="B129" s="90">
        <v>1542620851.6559999</v>
      </c>
      <c r="C129" s="91">
        <v>4.6662570688125798E-4</v>
      </c>
      <c r="D129" s="91">
        <v>2.21016366872685E-4</v>
      </c>
      <c r="E129" s="91">
        <v>1.6477108960475E-3</v>
      </c>
      <c r="F129" s="91">
        <v>7.6170805307675698E-5</v>
      </c>
      <c r="G129" s="91">
        <v>1.1769315621103101E-3</v>
      </c>
      <c r="H129" s="91">
        <v>5.5676993844578802E-4</v>
      </c>
      <c r="I129" s="91">
        <v>5.5858100186822199E-3</v>
      </c>
      <c r="J129" s="91"/>
      <c r="K129" s="91"/>
      <c r="L129" s="89"/>
      <c r="M129" s="89"/>
      <c r="O129" s="11">
        <f t="shared" ca="1" si="37"/>
        <v>7.2838880716751735E-5</v>
      </c>
      <c r="P129" s="11">
        <f t="shared" ca="1" si="38"/>
        <v>5.7432309162465324E-5</v>
      </c>
      <c r="Q129" s="11">
        <f t="shared" ca="1" si="39"/>
        <v>3.3681493669645993E-5</v>
      </c>
      <c r="R129" s="11">
        <f t="shared" ca="1" si="40"/>
        <v>6.1317045186040073E-5</v>
      </c>
      <c r="S129" s="11">
        <f t="shared" ca="1" si="41"/>
        <v>3.1128878255276722E-5</v>
      </c>
      <c r="T129" s="11">
        <f t="shared" ca="1" si="42"/>
        <v>6.6230595021681254E-5</v>
      </c>
      <c r="U129" s="11">
        <f t="shared" ca="1" si="43"/>
        <v>7.8370453228626853E-5</v>
      </c>
      <c r="V129" s="11"/>
      <c r="W129" s="11">
        <f t="shared" ca="1" si="25"/>
        <v>0</v>
      </c>
      <c r="X129" s="2">
        <f t="shared" ca="1" si="44"/>
        <v>4.2265433723609548E-5</v>
      </c>
      <c r="Y129" s="2">
        <f t="shared" ca="1" si="45"/>
        <v>-2.0074608257603929E-4</v>
      </c>
      <c r="Z129" s="11">
        <f t="shared" ca="1" si="26"/>
        <v>6.1317045186040073E-5</v>
      </c>
      <c r="AA129" s="2">
        <f t="shared" ca="1" si="46"/>
        <v>3.0666158425169319E-5</v>
      </c>
      <c r="AB129" s="11">
        <f t="shared" ca="1" si="27"/>
        <v>6.6230595021681254E-5</v>
      </c>
      <c r="AC129" s="2">
        <f t="shared" ca="1" si="47"/>
        <v>5.7361522065174777E-5</v>
      </c>
      <c r="AF129" s="11">
        <f t="shared" ca="1" si="28"/>
        <v>0</v>
      </c>
      <c r="AG129" s="2">
        <f t="shared" ca="1" si="48"/>
        <v>2.7067212863081752E-5</v>
      </c>
      <c r="AH129" s="2">
        <f t="shared" ca="1" si="49"/>
        <v>-4.3582980899266679E-4</v>
      </c>
      <c r="AI129" s="2">
        <f t="shared" ca="1" si="50"/>
        <v>6.1215609788254182E-5</v>
      </c>
      <c r="AJ129" s="2">
        <f t="shared" ca="1" si="51"/>
        <v>2.8637893512605264E-5</v>
      </c>
      <c r="AK129" s="2">
        <f t="shared" ca="1" si="52"/>
        <v>6.4994752633910308E-5</v>
      </c>
      <c r="AL129" s="2">
        <f t="shared" ca="1" si="53"/>
        <v>3.3779487024865406E-5</v>
      </c>
      <c r="AN129" s="2">
        <f t="shared" ca="1" si="16"/>
        <v>2.5176125071369095</v>
      </c>
      <c r="AO129" s="2">
        <f t="shared" ca="1" si="29"/>
        <v>0.11425436677249928</v>
      </c>
      <c r="AP129" s="2">
        <f t="shared" ca="1" si="17"/>
        <v>7.005740170091734E-6</v>
      </c>
      <c r="AQ129" s="2">
        <f t="shared" ca="1" si="18"/>
        <v>5.9224854851589521E-5</v>
      </c>
      <c r="AR129" s="2">
        <f t="shared" ca="1" si="19"/>
        <v>3.485135280284295</v>
      </c>
      <c r="AS129" s="2">
        <f t="shared" ca="1" si="20"/>
        <v>0.31628908452556392</v>
      </c>
      <c r="AT129" s="9" t="str">
        <f t="shared" ca="1" si="21"/>
        <v>rejected</v>
      </c>
      <c r="AU129" s="9" t="e">
        <f t="shared" ca="1" si="22"/>
        <v>#N/A</v>
      </c>
      <c r="AW129" s="2">
        <f t="shared" ca="1" si="30"/>
        <v>1.1795381182626794</v>
      </c>
      <c r="AX129" s="2">
        <f t="shared" ca="1" si="31"/>
        <v>5.3039835827628549E-2</v>
      </c>
      <c r="AY129" s="2">
        <f t="shared" ca="1" si="32"/>
        <v>3.2468658932571732E-6</v>
      </c>
      <c r="AZ129" s="2">
        <f t="shared" ca="1" si="33"/>
        <v>6.1747886740653131E-5</v>
      </c>
      <c r="BA129" s="2">
        <f t="shared" ca="1" si="34"/>
        <v>5.7860446075596306</v>
      </c>
      <c r="BB129" s="2">
        <f t="shared" ca="1" si="35"/>
        <v>-2.0478561367907733</v>
      </c>
      <c r="BC129" s="9" t="str">
        <f t="shared" ca="1" si="23"/>
        <v>rejected</v>
      </c>
      <c r="BD129" s="9" t="e">
        <f t="shared" ca="1" si="36"/>
        <v>#N/A</v>
      </c>
    </row>
    <row r="130" spans="1:56" ht="15" x14ac:dyDescent="0.25">
      <c r="A130" s="90">
        <v>64</v>
      </c>
      <c r="B130" s="90">
        <v>1542620852.1830001</v>
      </c>
      <c r="C130" s="91">
        <v>3.8238116427763397E-4</v>
      </c>
      <c r="D130" s="91">
        <v>2.2999658679474501E-4</v>
      </c>
      <c r="E130" s="91">
        <v>1.5590344641809399E-3</v>
      </c>
      <c r="F130" s="91">
        <v>-4.0658077291797402E-5</v>
      </c>
      <c r="G130" s="91">
        <v>1.1724011540908299E-3</v>
      </c>
      <c r="H130" s="91">
        <v>4.6676036572651497E-4</v>
      </c>
      <c r="I130" s="91">
        <v>5.3844197354416898E-3</v>
      </c>
      <c r="J130" s="91"/>
      <c r="K130" s="91"/>
      <c r="L130" s="89"/>
      <c r="M130" s="89"/>
      <c r="O130" s="11">
        <f t="shared" ca="1" si="37"/>
        <v>-1.1405661886872273E-5</v>
      </c>
      <c r="P130" s="11">
        <f t="shared" ca="1" si="38"/>
        <v>6.6412529084525337E-5</v>
      </c>
      <c r="Q130" s="11">
        <f t="shared" ca="1" si="39"/>
        <v>-5.4994938196914088E-5</v>
      </c>
      <c r="R130" s="11">
        <f t="shared" ca="1" si="40"/>
        <v>-5.5511837413433021E-5</v>
      </c>
      <c r="S130" s="11">
        <f t="shared" ca="1" si="41"/>
        <v>2.6598470235796555E-5</v>
      </c>
      <c r="T130" s="11">
        <f t="shared" ca="1" si="42"/>
        <v>-2.3778977697591793E-5</v>
      </c>
      <c r="U130" s="11">
        <f t="shared" ca="1" si="43"/>
        <v>-1.2301983001190321E-4</v>
      </c>
      <c r="V130" s="11"/>
      <c r="W130" s="11">
        <f t="shared" ca="1" si="25"/>
        <v>0</v>
      </c>
      <c r="X130" s="2">
        <f t="shared" ca="1" si="44"/>
        <v>6.6412529084525337E-5</v>
      </c>
      <c r="Y130" s="2">
        <f t="shared" ca="1" si="45"/>
        <v>-5.4994938196914088E-5</v>
      </c>
      <c r="Z130" s="11">
        <f t="shared" ca="1" si="26"/>
        <v>-5.5511837413433021E-5</v>
      </c>
      <c r="AA130" s="2">
        <f t="shared" ca="1" si="46"/>
        <v>2.6598470235796555E-5</v>
      </c>
      <c r="AB130" s="11">
        <f t="shared" ca="1" si="27"/>
        <v>-2.3778977697591793E-5</v>
      </c>
      <c r="AC130" s="2">
        <f t="shared" ca="1" si="47"/>
        <v>-1.2301983001190321E-4</v>
      </c>
      <c r="AF130" s="11">
        <f t="shared" ca="1" si="28"/>
        <v>0</v>
      </c>
      <c r="AG130" s="2">
        <f t="shared" ca="1" si="48"/>
        <v>6.6412529084525337E-5</v>
      </c>
      <c r="AH130" s="2">
        <f t="shared" ca="1" si="49"/>
        <v>-5.4994938196914088E-5</v>
      </c>
      <c r="AI130" s="2">
        <f t="shared" ca="1" si="50"/>
        <v>-5.5511837413433021E-5</v>
      </c>
      <c r="AJ130" s="2">
        <f t="shared" ca="1" si="51"/>
        <v>2.6598470235796555E-5</v>
      </c>
      <c r="AK130" s="2">
        <f t="shared" ca="1" si="52"/>
        <v>-2.5208058640333457E-5</v>
      </c>
      <c r="AL130" s="2">
        <f t="shared" ca="1" si="53"/>
        <v>-1.2301983001190321E-4</v>
      </c>
      <c r="AN130" s="2" t="e">
        <f t="shared" ca="1" si="16"/>
        <v>#N/A</v>
      </c>
      <c r="AO130" s="2" t="e">
        <f t="shared" ca="1" si="29"/>
        <v>#N/A</v>
      </c>
      <c r="AP130" s="2" t="e">
        <f t="shared" ca="1" si="17"/>
        <v>#N/A</v>
      </c>
      <c r="AQ130" s="2" t="e">
        <f t="shared" ca="1" si="18"/>
        <v>#N/A</v>
      </c>
      <c r="AR130" s="2" t="e">
        <f t="shared" ca="1" si="19"/>
        <v>#N/A</v>
      </c>
      <c r="AS130" s="2" t="e">
        <f t="shared" ca="1" si="20"/>
        <v>#N/A</v>
      </c>
      <c r="AT130" s="9" t="e">
        <f t="shared" ca="1" si="21"/>
        <v>#N/A</v>
      </c>
      <c r="AU130" s="9" t="e">
        <f t="shared" ca="1" si="22"/>
        <v>#N/A</v>
      </c>
      <c r="AW130" s="2" t="e">
        <f t="shared" ca="1" si="30"/>
        <v>#N/A</v>
      </c>
      <c r="AX130" s="2" t="e">
        <f t="shared" ca="1" si="31"/>
        <v>#N/A</v>
      </c>
      <c r="AY130" s="2" t="e">
        <f t="shared" ca="1" si="32"/>
        <v>#N/A</v>
      </c>
      <c r="AZ130" s="2" t="e">
        <f t="shared" ca="1" si="33"/>
        <v>#N/A</v>
      </c>
      <c r="BA130" s="2" t="e">
        <f t="shared" ca="1" si="34"/>
        <v>#N/A</v>
      </c>
      <c r="BB130" s="2" t="e">
        <f t="shared" ca="1" si="35"/>
        <v>#N/A</v>
      </c>
      <c r="BC130" s="9" t="e">
        <f t="shared" ca="1" si="23"/>
        <v>#N/A</v>
      </c>
      <c r="BD130" s="9" t="e">
        <f t="shared" ca="1" si="36"/>
        <v>#N/A</v>
      </c>
    </row>
    <row r="131" spans="1:56" ht="15" x14ac:dyDescent="0.25">
      <c r="A131" s="90">
        <v>65</v>
      </c>
      <c r="B131" s="90">
        <v>1542620852.71</v>
      </c>
      <c r="C131" s="91">
        <v>3.8452288665354999E-4</v>
      </c>
      <c r="D131" s="91">
        <v>2.13217820758601E-4</v>
      </c>
      <c r="E131" s="91">
        <v>1.65705832672072E-3</v>
      </c>
      <c r="F131" s="91">
        <v>6.0465924123797401E-5</v>
      </c>
      <c r="G131" s="91">
        <v>1.35196408480279E-3</v>
      </c>
      <c r="H131" s="91">
        <v>4.9739595790275904E-4</v>
      </c>
      <c r="I131" s="91">
        <v>5.4114127630301798E-3</v>
      </c>
      <c r="J131" s="91"/>
      <c r="K131" s="91"/>
      <c r="L131" s="89"/>
      <c r="M131" s="89"/>
      <c r="O131" s="11">
        <f t="shared" ca="1" si="37"/>
        <v>-9.2639395109562518E-6</v>
      </c>
      <c r="P131" s="11">
        <f t="shared" ca="1" si="38"/>
        <v>4.9633763048381334E-5</v>
      </c>
      <c r="Q131" s="11">
        <f t="shared" ca="1" si="39"/>
        <v>4.3028924342865997E-5</v>
      </c>
      <c r="R131" s="11">
        <f t="shared" ca="1" si="40"/>
        <v>4.5612164002161782E-5</v>
      </c>
      <c r="S131" s="11">
        <f t="shared" ca="1" si="41"/>
        <v>2.0616140094775661E-4</v>
      </c>
      <c r="T131" s="11">
        <f t="shared" ca="1" si="42"/>
        <v>6.8566144786522771E-6</v>
      </c>
      <c r="U131" s="11">
        <f t="shared" ca="1" si="43"/>
        <v>-9.6026802423413229E-5</v>
      </c>
      <c r="V131" s="11"/>
      <c r="W131" s="11">
        <f t="shared" ca="1" si="25"/>
        <v>0</v>
      </c>
      <c r="X131" s="2">
        <f t="shared" ca="1" si="44"/>
        <v>4.9633763048381334E-5</v>
      </c>
      <c r="Y131" s="2">
        <f t="shared" ca="1" si="45"/>
        <v>4.3028924342865997E-5</v>
      </c>
      <c r="Z131" s="11">
        <f t="shared" ca="1" si="26"/>
        <v>4.5612164002161782E-5</v>
      </c>
      <c r="AA131" s="2">
        <f t="shared" ca="1" si="46"/>
        <v>2.0616140094775661E-4</v>
      </c>
      <c r="AB131" s="11">
        <f t="shared" ca="1" si="27"/>
        <v>6.8566144786522771E-6</v>
      </c>
      <c r="AC131" s="2">
        <f t="shared" ca="1" si="47"/>
        <v>-9.6026802423413229E-5</v>
      </c>
      <c r="AF131" s="11">
        <f t="shared" ca="1" si="28"/>
        <v>0</v>
      </c>
      <c r="AG131" s="2">
        <f t="shared" ca="1" si="48"/>
        <v>4.9633763048381334E-5</v>
      </c>
      <c r="AH131" s="2">
        <f t="shared" ca="1" si="49"/>
        <v>4.3028924342865997E-5</v>
      </c>
      <c r="AI131" s="2">
        <f t="shared" ca="1" si="50"/>
        <v>4.5612164002161782E-5</v>
      </c>
      <c r="AJ131" s="2">
        <f t="shared" ca="1" si="51"/>
        <v>2.0616140094775661E-4</v>
      </c>
      <c r="AK131" s="2">
        <f t="shared" ca="1" si="52"/>
        <v>5.7885831016402446E-6</v>
      </c>
      <c r="AL131" s="2">
        <f t="shared" ca="1" si="53"/>
        <v>-9.6026802423413229E-5</v>
      </c>
      <c r="AN131" s="2" t="e">
        <f t="shared" ref="AN131:AN194" ca="1" si="54">IF(AND(S131&gt;0,U131&gt;0),U131/S131, #N/A)</f>
        <v>#N/A</v>
      </c>
      <c r="AO131" s="2" t="e">
        <f t="shared" ref="AO131:AO194" ca="1" si="55">$B$8*((AN131/$B$10)^$B$11)</f>
        <v>#N/A</v>
      </c>
      <c r="AP131" s="2" t="e">
        <f t="shared" ref="AP131:AP194" ca="1" si="56">AO131*R131</f>
        <v>#N/A</v>
      </c>
      <c r="AQ131" s="2" t="e">
        <f t="shared" ref="AQ131:AQ194" ca="1" si="57">T131-AP131</f>
        <v>#N/A</v>
      </c>
      <c r="AR131" s="2" t="e">
        <f t="shared" ref="AR131:AR194" ca="1" si="58">(AQ131/S131)/((AN131/$B$10)^$B$12)</f>
        <v>#N/A</v>
      </c>
      <c r="AS131" s="2" t="e">
        <f t="shared" ref="AS131:AS194" ca="1" si="59">(Q131/S131)/((AN131/$B$10)^$B$13)</f>
        <v>#N/A</v>
      </c>
      <c r="AT131" s="9" t="e">
        <f t="shared" ref="AT131:AT194" ca="1" si="60">IF(AND(AR131&lt;$M$3,AR131&gt;$M$4),AR131,"rejected")</f>
        <v>#N/A</v>
      </c>
      <c r="AU131" s="9" t="e">
        <f t="shared" ref="AU131:AU194" ca="1" si="61">IF(AND(AR131&lt;$M$3,AR131&gt;$M$4),AR131,#N/A)</f>
        <v>#N/A</v>
      </c>
      <c r="AW131" s="2" t="e">
        <f t="shared" ca="1" si="30"/>
        <v>#N/A</v>
      </c>
      <c r="AX131" s="2" t="e">
        <f t="shared" ca="1" si="31"/>
        <v>#N/A</v>
      </c>
      <c r="AY131" s="2" t="e">
        <f t="shared" ca="1" si="32"/>
        <v>#N/A</v>
      </c>
      <c r="AZ131" s="2" t="e">
        <f t="shared" ca="1" si="33"/>
        <v>#N/A</v>
      </c>
      <c r="BA131" s="2" t="e">
        <f t="shared" ca="1" si="34"/>
        <v>#N/A</v>
      </c>
      <c r="BB131" s="2" t="e">
        <f t="shared" ca="1" si="35"/>
        <v>#N/A</v>
      </c>
      <c r="BC131" s="9" t="e">
        <f t="shared" ref="BC131:BC194" ca="1" si="62">IF(AND(BA131&lt;$P$3,BA131&gt;$P$4),BA131,"rejected")</f>
        <v>#N/A</v>
      </c>
      <c r="BD131" s="9" t="e">
        <f t="shared" ca="1" si="36"/>
        <v>#N/A</v>
      </c>
    </row>
    <row r="132" spans="1:56" ht="15" x14ac:dyDescent="0.25">
      <c r="A132" s="90">
        <v>66</v>
      </c>
      <c r="B132" s="90">
        <v>1542620853.237</v>
      </c>
      <c r="C132" s="91">
        <v>4.6186593881223297E-4</v>
      </c>
      <c r="D132" s="91">
        <v>1.89822550094508E-4</v>
      </c>
      <c r="E132" s="91">
        <v>1.6889361152764299E-3</v>
      </c>
      <c r="F132" s="91">
        <v>3.3101948488247497E-5</v>
      </c>
      <c r="G132" s="91">
        <v>1.15284910219737E-3</v>
      </c>
      <c r="H132" s="91">
        <v>6.0712184228706796E-4</v>
      </c>
      <c r="I132" s="91">
        <v>5.4720900097446502E-3</v>
      </c>
      <c r="J132" s="91"/>
      <c r="K132" s="91"/>
      <c r="L132" s="89"/>
      <c r="M132" s="89"/>
      <c r="O132" s="11">
        <f t="shared" ca="1" si="37"/>
        <v>6.8079112647726728E-5</v>
      </c>
      <c r="P132" s="11">
        <f t="shared" ca="1" si="38"/>
        <v>2.6238492384288332E-5</v>
      </c>
      <c r="Q132" s="11">
        <f t="shared" ca="1" si="39"/>
        <v>7.490671289857591E-5</v>
      </c>
      <c r="R132" s="11">
        <f t="shared" ca="1" si="40"/>
        <v>1.8248188366611875E-5</v>
      </c>
      <c r="S132" s="11">
        <f t="shared" ca="1" si="41"/>
        <v>7.0464183423366022E-6</v>
      </c>
      <c r="T132" s="11">
        <f t="shared" ca="1" si="42"/>
        <v>1.165824988629612E-4</v>
      </c>
      <c r="U132" s="11">
        <f t="shared" ca="1" si="43"/>
        <v>-3.5349555708942895E-5</v>
      </c>
      <c r="V132" s="11"/>
      <c r="W132" s="11">
        <f t="shared" ref="W132:W195" ca="1" si="63">O132-O132</f>
        <v>0</v>
      </c>
      <c r="X132" s="2">
        <f t="shared" ref="X132:X195" ca="1" si="64">IF(O132&gt;0,P132-(O132*$X$63/$W$63), P132)</f>
        <v>1.206271961903724E-5</v>
      </c>
      <c r="Y132" s="2">
        <f t="shared" ref="Y132:Y195" ca="1" si="65">IF(O132&gt;0,Q132-(O132*$Y$63/$W$63),Q132)</f>
        <v>-1.4420183481546258E-4</v>
      </c>
      <c r="Z132" s="11">
        <f t="shared" ref="Z132:Z195" ca="1" si="66">R132</f>
        <v>1.8248188366611875E-5</v>
      </c>
      <c r="AA132" s="2">
        <f t="shared" ref="AA132:AA195" ca="1" si="67">IF(O132&gt;0,S132-(O132*$AA$63/$W$63),S132)</f>
        <v>6.6139356472672098E-6</v>
      </c>
      <c r="AB132" s="11">
        <f t="shared" ref="AB132:AB195" ca="1" si="68">T132</f>
        <v>1.165824988629612E-4</v>
      </c>
      <c r="AC132" s="2">
        <f t="shared" ref="AC132:AC195" ca="1" si="69">IF(O132&gt;0,U132-(O132*$AC$63/$W$63),U132)</f>
        <v>-5.4985626131920335E-5</v>
      </c>
      <c r="AF132" s="11">
        <f t="shared" ref="AF132:AF195" ca="1" si="70">W132</f>
        <v>0</v>
      </c>
      <c r="AG132" s="2">
        <f t="shared" ref="AG132:AG195" ca="1" si="71">IF(O132&gt;0, X132-(O132*$AG$63/$AF$63), X132)</f>
        <v>-2.1423502533632364E-6</v>
      </c>
      <c r="AH132" s="2">
        <f t="shared" ref="AH132:AH195" ca="1" si="72">IF(O132&gt;0, Y132-(O132*$AH$63/$AF$63), Y132)</f>
        <v>-3.6392365556392768E-4</v>
      </c>
      <c r="AI132" s="2">
        <f t="shared" ref="AI132:AI195" ca="1" si="73">IF(O132&gt;0, Z132-(O132*$AI$63/$AF$63), Z132)</f>
        <v>1.8153381420041866E-5</v>
      </c>
      <c r="AJ132" s="2">
        <f t="shared" ref="AJ132:AJ195" ca="1" si="74">IF(O132&gt;0, AA132-(O132*$AJ$63/$AF$63), AA132)</f>
        <v>4.7182108076881862E-6</v>
      </c>
      <c r="AK132" s="2">
        <f t="shared" ref="AK132:AK195" ca="1" si="75">IF(P132&gt;0, AB132-(P132*$AK$63/$AG$63), AB132)</f>
        <v>1.160178926064379E-4</v>
      </c>
      <c r="AL132" s="2">
        <f t="shared" ref="AL132:AL195" ca="1" si="76">IF(O132&gt;0, AC132-(O132*$AL$63/$AF$63), AC132)</f>
        <v>-7.702665702330572E-5</v>
      </c>
      <c r="AN132" s="2" t="e">
        <f t="shared" ca="1" si="54"/>
        <v>#N/A</v>
      </c>
      <c r="AO132" s="2" t="e">
        <f t="shared" ca="1" si="55"/>
        <v>#N/A</v>
      </c>
      <c r="AP132" s="2" t="e">
        <f t="shared" ca="1" si="56"/>
        <v>#N/A</v>
      </c>
      <c r="AQ132" s="2" t="e">
        <f t="shared" ca="1" si="57"/>
        <v>#N/A</v>
      </c>
      <c r="AR132" s="2" t="e">
        <f t="shared" ca="1" si="58"/>
        <v>#N/A</v>
      </c>
      <c r="AS132" s="2" t="e">
        <f t="shared" ca="1" si="59"/>
        <v>#N/A</v>
      </c>
      <c r="AT132" s="9" t="e">
        <f t="shared" ca="1" si="60"/>
        <v>#N/A</v>
      </c>
      <c r="AU132" s="9" t="e">
        <f t="shared" ca="1" si="61"/>
        <v>#N/A</v>
      </c>
      <c r="AW132" s="2" t="e">
        <f t="shared" ref="AW132:AW195" ca="1" si="77">IF(AND(AL132&gt;0, AJ132&gt;0), AL132/AJ132, #N/A)</f>
        <v>#N/A</v>
      </c>
      <c r="AX132" s="2" t="e">
        <f t="shared" ref="AX132:AX195" ca="1" si="78">$B$8*((AW132/$B$10)^$B$11)</f>
        <v>#N/A</v>
      </c>
      <c r="AY132" s="2" t="e">
        <f t="shared" ref="AY132:AY195" ca="1" si="79">AX132*AI132</f>
        <v>#N/A</v>
      </c>
      <c r="AZ132" s="2" t="e">
        <f t="shared" ref="AZ132:AZ195" ca="1" si="80">AK132-AY132</f>
        <v>#N/A</v>
      </c>
      <c r="BA132" s="2" t="e">
        <f t="shared" ref="BA132:BA195" ca="1" si="81">(AZ132/AJ132)/((AW132/$B$10)^$B$12)</f>
        <v>#N/A</v>
      </c>
      <c r="BB132" s="2" t="e">
        <f t="shared" ref="BB132:BB195" ca="1" si="82">(AH132/AJ132)/((AW132/$B$10)^$B$13)</f>
        <v>#N/A</v>
      </c>
      <c r="BC132" s="9" t="e">
        <f t="shared" ca="1" si="62"/>
        <v>#N/A</v>
      </c>
      <c r="BD132" s="9" t="e">
        <f t="shared" ref="BD132:BD195" ca="1" si="83">IF(AND(BA132&lt;$P$3,BA132&gt;$P$4),BA132,#N/A)</f>
        <v>#N/A</v>
      </c>
    </row>
    <row r="133" spans="1:56" ht="15" x14ac:dyDescent="0.25">
      <c r="A133" s="90">
        <v>67</v>
      </c>
      <c r="B133" s="90">
        <v>1542620853.7639999</v>
      </c>
      <c r="C133" s="91">
        <v>3.7072075635595899E-4</v>
      </c>
      <c r="D133" s="91">
        <v>1.7682541580810499E-4</v>
      </c>
      <c r="E133" s="91">
        <v>1.66616616323016E-3</v>
      </c>
      <c r="F133" s="91">
        <v>4.6902816396213998E-5</v>
      </c>
      <c r="G133" s="91">
        <v>1.0884730953634801E-3</v>
      </c>
      <c r="H133" s="91">
        <v>5.63657548871951E-4</v>
      </c>
      <c r="I133" s="91">
        <v>5.5048190261186803E-3</v>
      </c>
      <c r="J133" s="91"/>
      <c r="K133" s="91"/>
      <c r="L133" s="89"/>
      <c r="M133" s="89"/>
      <c r="O133" s="11">
        <f t="shared" ca="1" si="37"/>
        <v>-2.3066069808547261E-5</v>
      </c>
      <c r="P133" s="11">
        <f t="shared" ca="1" si="38"/>
        <v>1.324135809788532E-5</v>
      </c>
      <c r="Q133" s="11">
        <f t="shared" ca="1" si="39"/>
        <v>5.2136760852306008E-5</v>
      </c>
      <c r="R133" s="11">
        <f t="shared" ca="1" si="40"/>
        <v>3.2049056274578372E-5</v>
      </c>
      <c r="S133" s="11">
        <f t="shared" ca="1" si="41"/>
        <v>-5.7329588491553292E-5</v>
      </c>
      <c r="T133" s="11">
        <f t="shared" ca="1" si="42"/>
        <v>7.311820544784423E-5</v>
      </c>
      <c r="U133" s="11">
        <f t="shared" ca="1" si="43"/>
        <v>-2.6205393349127207E-6</v>
      </c>
      <c r="V133" s="11"/>
      <c r="W133" s="11">
        <f t="shared" ca="1" si="63"/>
        <v>0</v>
      </c>
      <c r="X133" s="2">
        <f t="shared" ca="1" si="64"/>
        <v>1.324135809788532E-5</v>
      </c>
      <c r="Y133" s="2">
        <f t="shared" ca="1" si="65"/>
        <v>5.2136760852306008E-5</v>
      </c>
      <c r="Z133" s="11">
        <f t="shared" ca="1" si="66"/>
        <v>3.2049056274578372E-5</v>
      </c>
      <c r="AA133" s="2">
        <f t="shared" ca="1" si="67"/>
        <v>-5.7329588491553292E-5</v>
      </c>
      <c r="AB133" s="11">
        <f t="shared" ca="1" si="68"/>
        <v>7.311820544784423E-5</v>
      </c>
      <c r="AC133" s="2">
        <f t="shared" ca="1" si="69"/>
        <v>-2.6205393349127207E-6</v>
      </c>
      <c r="AF133" s="11">
        <f t="shared" ca="1" si="70"/>
        <v>0</v>
      </c>
      <c r="AG133" s="2">
        <f t="shared" ca="1" si="71"/>
        <v>1.324135809788532E-5</v>
      </c>
      <c r="AH133" s="2">
        <f t="shared" ca="1" si="72"/>
        <v>5.2136760852306008E-5</v>
      </c>
      <c r="AI133" s="2">
        <f t="shared" ca="1" si="73"/>
        <v>3.2049056274578372E-5</v>
      </c>
      <c r="AJ133" s="2">
        <f t="shared" ca="1" si="74"/>
        <v>-5.7329588491553292E-5</v>
      </c>
      <c r="AK133" s="2">
        <f t="shared" ca="1" si="75"/>
        <v>7.2833274685914922E-5</v>
      </c>
      <c r="AL133" s="2">
        <f t="shared" ca="1" si="76"/>
        <v>-2.6205393349127207E-6</v>
      </c>
      <c r="AN133" s="2" t="e">
        <f t="shared" ca="1" si="54"/>
        <v>#N/A</v>
      </c>
      <c r="AO133" s="2" t="e">
        <f t="shared" ca="1" si="55"/>
        <v>#N/A</v>
      </c>
      <c r="AP133" s="2" t="e">
        <f t="shared" ca="1" si="56"/>
        <v>#N/A</v>
      </c>
      <c r="AQ133" s="2" t="e">
        <f t="shared" ca="1" si="57"/>
        <v>#N/A</v>
      </c>
      <c r="AR133" s="2" t="e">
        <f t="shared" ca="1" si="58"/>
        <v>#N/A</v>
      </c>
      <c r="AS133" s="2" t="e">
        <f t="shared" ca="1" si="59"/>
        <v>#N/A</v>
      </c>
      <c r="AT133" s="9" t="e">
        <f t="shared" ca="1" si="60"/>
        <v>#N/A</v>
      </c>
      <c r="AU133" s="9" t="e">
        <f t="shared" ca="1" si="61"/>
        <v>#N/A</v>
      </c>
      <c r="AW133" s="2" t="e">
        <f t="shared" ca="1" si="77"/>
        <v>#N/A</v>
      </c>
      <c r="AX133" s="2" t="e">
        <f t="shared" ca="1" si="78"/>
        <v>#N/A</v>
      </c>
      <c r="AY133" s="2" t="e">
        <f t="shared" ca="1" si="79"/>
        <v>#N/A</v>
      </c>
      <c r="AZ133" s="2" t="e">
        <f t="shared" ca="1" si="80"/>
        <v>#N/A</v>
      </c>
      <c r="BA133" s="2" t="e">
        <f t="shared" ca="1" si="81"/>
        <v>#N/A</v>
      </c>
      <c r="BB133" s="2" t="e">
        <f t="shared" ca="1" si="82"/>
        <v>#N/A</v>
      </c>
      <c r="BC133" s="9" t="e">
        <f t="shared" ca="1" si="62"/>
        <v>#N/A</v>
      </c>
      <c r="BD133" s="9" t="e">
        <f t="shared" ca="1" si="83"/>
        <v>#N/A</v>
      </c>
    </row>
    <row r="134" spans="1:56" ht="15" x14ac:dyDescent="0.25">
      <c r="A134" s="90">
        <v>68</v>
      </c>
      <c r="B134" s="90">
        <v>1542620854.2909999</v>
      </c>
      <c r="C134" s="91">
        <v>3.8547476473936099E-4</v>
      </c>
      <c r="D134" s="91">
        <v>1.51776873504916E-4</v>
      </c>
      <c r="E134" s="91">
        <v>1.51997138129648E-3</v>
      </c>
      <c r="F134" s="91">
        <v>1.5732161686234E-5</v>
      </c>
      <c r="G134" s="91">
        <v>1.0934799695379699E-3</v>
      </c>
      <c r="H134" s="91">
        <v>4.22352301309041E-4</v>
      </c>
      <c r="I134" s="91">
        <v>5.4467675625275904E-3</v>
      </c>
      <c r="J134" s="91"/>
      <c r="K134" s="91"/>
      <c r="L134" s="89"/>
      <c r="M134" s="89"/>
      <c r="O134" s="11">
        <f t="shared" ca="1" si="37"/>
        <v>-8.3120614251452549E-6</v>
      </c>
      <c r="P134" s="11">
        <f t="shared" ca="1" si="38"/>
        <v>-1.180718420530367E-5</v>
      </c>
      <c r="Q134" s="11">
        <f t="shared" ca="1" si="39"/>
        <v>-9.4058021081374005E-5</v>
      </c>
      <c r="R134" s="11">
        <f t="shared" ca="1" si="40"/>
        <v>8.784015645983772E-7</v>
      </c>
      <c r="S134" s="11">
        <f t="shared" ca="1" si="41"/>
        <v>-5.2322714317063444E-5</v>
      </c>
      <c r="T134" s="11">
        <f t="shared" ca="1" si="42"/>
        <v>-6.8187042115065764E-5</v>
      </c>
      <c r="U134" s="11">
        <f t="shared" ca="1" si="43"/>
        <v>-6.0672002926002652E-5</v>
      </c>
      <c r="V134" s="11"/>
      <c r="W134" s="11">
        <f t="shared" ca="1" si="63"/>
        <v>0</v>
      </c>
      <c r="X134" s="2">
        <f t="shared" ca="1" si="64"/>
        <v>-1.180718420530367E-5</v>
      </c>
      <c r="Y134" s="2">
        <f t="shared" ca="1" si="65"/>
        <v>-9.4058021081374005E-5</v>
      </c>
      <c r="Z134" s="11">
        <f t="shared" ca="1" si="66"/>
        <v>8.784015645983772E-7</v>
      </c>
      <c r="AA134" s="2">
        <f t="shared" ca="1" si="67"/>
        <v>-5.2322714317063444E-5</v>
      </c>
      <c r="AB134" s="11">
        <f t="shared" ca="1" si="68"/>
        <v>-6.8187042115065764E-5</v>
      </c>
      <c r="AC134" s="2">
        <f t="shared" ca="1" si="69"/>
        <v>-6.0672002926002652E-5</v>
      </c>
      <c r="AF134" s="11">
        <f t="shared" ca="1" si="70"/>
        <v>0</v>
      </c>
      <c r="AG134" s="2">
        <f t="shared" ca="1" si="71"/>
        <v>-1.180718420530367E-5</v>
      </c>
      <c r="AH134" s="2">
        <f t="shared" ca="1" si="72"/>
        <v>-9.4058021081374005E-5</v>
      </c>
      <c r="AI134" s="2">
        <f t="shared" ca="1" si="73"/>
        <v>8.784015645983772E-7</v>
      </c>
      <c r="AJ134" s="2">
        <f t="shared" ca="1" si="74"/>
        <v>-5.2322714317063444E-5</v>
      </c>
      <c r="AK134" s="2">
        <f t="shared" ca="1" si="75"/>
        <v>-6.8187042115065764E-5</v>
      </c>
      <c r="AL134" s="2">
        <f t="shared" ca="1" si="76"/>
        <v>-6.0672002926002652E-5</v>
      </c>
      <c r="AN134" s="2" t="e">
        <f t="shared" ca="1" si="54"/>
        <v>#N/A</v>
      </c>
      <c r="AO134" s="2" t="e">
        <f t="shared" ca="1" si="55"/>
        <v>#N/A</v>
      </c>
      <c r="AP134" s="2" t="e">
        <f t="shared" ca="1" si="56"/>
        <v>#N/A</v>
      </c>
      <c r="AQ134" s="2" t="e">
        <f t="shared" ca="1" si="57"/>
        <v>#N/A</v>
      </c>
      <c r="AR134" s="2" t="e">
        <f t="shared" ca="1" si="58"/>
        <v>#N/A</v>
      </c>
      <c r="AS134" s="2" t="e">
        <f t="shared" ca="1" si="59"/>
        <v>#N/A</v>
      </c>
      <c r="AT134" s="9" t="e">
        <f t="shared" ca="1" si="60"/>
        <v>#N/A</v>
      </c>
      <c r="AU134" s="9" t="e">
        <f t="shared" ca="1" si="61"/>
        <v>#N/A</v>
      </c>
      <c r="AW134" s="2" t="e">
        <f t="shared" ca="1" si="77"/>
        <v>#N/A</v>
      </c>
      <c r="AX134" s="2" t="e">
        <f t="shared" ca="1" si="78"/>
        <v>#N/A</v>
      </c>
      <c r="AY134" s="2" t="e">
        <f t="shared" ca="1" si="79"/>
        <v>#N/A</v>
      </c>
      <c r="AZ134" s="2" t="e">
        <f t="shared" ca="1" si="80"/>
        <v>#N/A</v>
      </c>
      <c r="BA134" s="2" t="e">
        <f t="shared" ca="1" si="81"/>
        <v>#N/A</v>
      </c>
      <c r="BB134" s="2" t="e">
        <f t="shared" ca="1" si="82"/>
        <v>#N/A</v>
      </c>
      <c r="BC134" s="9" t="e">
        <f t="shared" ca="1" si="62"/>
        <v>#N/A</v>
      </c>
      <c r="BD134" s="9" t="e">
        <f t="shared" ca="1" si="83"/>
        <v>#N/A</v>
      </c>
    </row>
    <row r="135" spans="1:56" ht="15" x14ac:dyDescent="0.25">
      <c r="A135" s="90">
        <v>69</v>
      </c>
      <c r="B135" s="90">
        <v>1542620854.8180001</v>
      </c>
      <c r="C135" s="91">
        <v>3.7928757339825402E-4</v>
      </c>
      <c r="D135" s="91">
        <v>6.4348237142955502E-5</v>
      </c>
      <c r="E135" s="91">
        <v>1.5789260647476799E-3</v>
      </c>
      <c r="F135" s="91">
        <v>-3.4234033565766402E-5</v>
      </c>
      <c r="G135" s="91">
        <v>1.19409961026993E-3</v>
      </c>
      <c r="H135" s="91">
        <v>3.91481549428103E-4</v>
      </c>
      <c r="I135" s="91">
        <v>5.3966023392965998E-3</v>
      </c>
      <c r="J135" s="91"/>
      <c r="K135" s="91"/>
      <c r="L135" s="89"/>
      <c r="M135" s="89"/>
      <c r="O135" s="11">
        <f t="shared" ca="1" si="37"/>
        <v>-1.4499252766252222E-5</v>
      </c>
      <c r="P135" s="11">
        <f t="shared" ca="1" si="38"/>
        <v>-9.9235820567264169E-5</v>
      </c>
      <c r="Q135" s="11">
        <f t="shared" ca="1" si="39"/>
        <v>-3.5103337630174123E-5</v>
      </c>
      <c r="R135" s="11">
        <f t="shared" ca="1" si="40"/>
        <v>-4.9087793687402028E-5</v>
      </c>
      <c r="S135" s="11">
        <f t="shared" ca="1" si="41"/>
        <v>4.8296926414896591E-5</v>
      </c>
      <c r="T135" s="11">
        <f t="shared" ca="1" si="42"/>
        <v>-9.9057793996003762E-5</v>
      </c>
      <c r="U135" s="11">
        <f t="shared" ca="1" si="43"/>
        <v>-1.1083722615699322E-4</v>
      </c>
      <c r="V135" s="11"/>
      <c r="W135" s="11">
        <f t="shared" ca="1" si="63"/>
        <v>0</v>
      </c>
      <c r="X135" s="2">
        <f t="shared" ca="1" si="64"/>
        <v>-9.9235820567264169E-5</v>
      </c>
      <c r="Y135" s="2">
        <f t="shared" ca="1" si="65"/>
        <v>-3.5103337630174123E-5</v>
      </c>
      <c r="Z135" s="11">
        <f t="shared" ca="1" si="66"/>
        <v>-4.9087793687402028E-5</v>
      </c>
      <c r="AA135" s="2">
        <f t="shared" ca="1" si="67"/>
        <v>4.8296926414896591E-5</v>
      </c>
      <c r="AB135" s="11">
        <f t="shared" ca="1" si="68"/>
        <v>-9.9057793996003762E-5</v>
      </c>
      <c r="AC135" s="2">
        <f t="shared" ca="1" si="69"/>
        <v>-1.1083722615699322E-4</v>
      </c>
      <c r="AF135" s="11">
        <f t="shared" ca="1" si="70"/>
        <v>0</v>
      </c>
      <c r="AG135" s="2">
        <f t="shared" ca="1" si="71"/>
        <v>-9.9235820567264169E-5</v>
      </c>
      <c r="AH135" s="2">
        <f t="shared" ca="1" si="72"/>
        <v>-3.5103337630174123E-5</v>
      </c>
      <c r="AI135" s="2">
        <f t="shared" ca="1" si="73"/>
        <v>-4.9087793687402028E-5</v>
      </c>
      <c r="AJ135" s="2">
        <f t="shared" ca="1" si="74"/>
        <v>4.8296926414896591E-5</v>
      </c>
      <c r="AK135" s="2">
        <f t="shared" ca="1" si="75"/>
        <v>-9.9057793996003762E-5</v>
      </c>
      <c r="AL135" s="2">
        <f t="shared" ca="1" si="76"/>
        <v>-1.1083722615699322E-4</v>
      </c>
      <c r="AN135" s="2" t="e">
        <f t="shared" ca="1" si="54"/>
        <v>#N/A</v>
      </c>
      <c r="AO135" s="2" t="e">
        <f t="shared" ca="1" si="55"/>
        <v>#N/A</v>
      </c>
      <c r="AP135" s="2" t="e">
        <f t="shared" ca="1" si="56"/>
        <v>#N/A</v>
      </c>
      <c r="AQ135" s="2" t="e">
        <f t="shared" ca="1" si="57"/>
        <v>#N/A</v>
      </c>
      <c r="AR135" s="2" t="e">
        <f t="shared" ca="1" si="58"/>
        <v>#N/A</v>
      </c>
      <c r="AS135" s="2" t="e">
        <f t="shared" ca="1" si="59"/>
        <v>#N/A</v>
      </c>
      <c r="AT135" s="9" t="e">
        <f t="shared" ca="1" si="60"/>
        <v>#N/A</v>
      </c>
      <c r="AU135" s="9" t="e">
        <f t="shared" ca="1" si="61"/>
        <v>#N/A</v>
      </c>
      <c r="AW135" s="2" t="e">
        <f t="shared" ca="1" si="77"/>
        <v>#N/A</v>
      </c>
      <c r="AX135" s="2" t="e">
        <f t="shared" ca="1" si="78"/>
        <v>#N/A</v>
      </c>
      <c r="AY135" s="2" t="e">
        <f t="shared" ca="1" si="79"/>
        <v>#N/A</v>
      </c>
      <c r="AZ135" s="2" t="e">
        <f t="shared" ca="1" si="80"/>
        <v>#N/A</v>
      </c>
      <c r="BA135" s="2" t="e">
        <f t="shared" ca="1" si="81"/>
        <v>#N/A</v>
      </c>
      <c r="BB135" s="2" t="e">
        <f t="shared" ca="1" si="82"/>
        <v>#N/A</v>
      </c>
      <c r="BC135" s="9" t="e">
        <f t="shared" ca="1" si="62"/>
        <v>#N/A</v>
      </c>
      <c r="BD135" s="9" t="e">
        <f t="shared" ca="1" si="83"/>
        <v>#N/A</v>
      </c>
    </row>
    <row r="136" spans="1:56" ht="15" x14ac:dyDescent="0.25">
      <c r="A136" s="90">
        <v>70</v>
      </c>
      <c r="B136" s="90">
        <v>1542620855.345</v>
      </c>
      <c r="C136" s="91">
        <v>3.9642142792934798E-4</v>
      </c>
      <c r="D136" s="91">
        <v>1.66427830932933E-4</v>
      </c>
      <c r="E136" s="91">
        <v>1.62302450956682E-3</v>
      </c>
      <c r="F136" s="91">
        <v>-2.09099592793188E-5</v>
      </c>
      <c r="G136" s="91">
        <v>1.0968178995768899E-3</v>
      </c>
      <c r="H136" s="91">
        <v>4.9027131764567303E-4</v>
      </c>
      <c r="I136" s="91">
        <v>5.4923962079312504E-3</v>
      </c>
      <c r="J136" s="91"/>
      <c r="K136" s="91"/>
      <c r="L136" s="89"/>
      <c r="M136" s="89"/>
      <c r="O136" s="11">
        <f t="shared" ca="1" si="37"/>
        <v>2.634601764841735E-6</v>
      </c>
      <c r="P136" s="11">
        <f t="shared" ca="1" si="38"/>
        <v>2.8437732227133282E-6</v>
      </c>
      <c r="Q136" s="11">
        <f t="shared" ca="1" si="39"/>
        <v>8.9951071889659596E-6</v>
      </c>
      <c r="R136" s="11">
        <f t="shared" ca="1" si="40"/>
        <v>-3.5763719400954419E-5</v>
      </c>
      <c r="S136" s="11">
        <f t="shared" ca="1" si="41"/>
        <v>-4.8984784278143477E-5</v>
      </c>
      <c r="T136" s="11">
        <f t="shared" ca="1" si="42"/>
        <v>-2.6802577843374094E-7</v>
      </c>
      <c r="U136" s="11">
        <f t="shared" ca="1" si="43"/>
        <v>-1.5043357522342635E-5</v>
      </c>
      <c r="V136" s="11"/>
      <c r="W136" s="11">
        <f t="shared" ca="1" si="63"/>
        <v>0</v>
      </c>
      <c r="X136" s="2">
        <f t="shared" ca="1" si="64"/>
        <v>2.2951832882560521E-6</v>
      </c>
      <c r="Y136" s="2">
        <f t="shared" ca="1" si="65"/>
        <v>5.1579915969788084E-7</v>
      </c>
      <c r="Z136" s="11">
        <f t="shared" ca="1" si="66"/>
        <v>-3.5763719400954419E-5</v>
      </c>
      <c r="AA136" s="2">
        <f t="shared" ca="1" si="67"/>
        <v>-4.9001520977953141E-5</v>
      </c>
      <c r="AB136" s="11">
        <f t="shared" ca="1" si="68"/>
        <v>-2.6802577843374094E-7</v>
      </c>
      <c r="AC136" s="2">
        <f t="shared" ca="1" si="69"/>
        <v>-1.5803256172294567E-5</v>
      </c>
      <c r="AF136" s="11">
        <f t="shared" ca="1" si="70"/>
        <v>0</v>
      </c>
      <c r="AG136" s="2">
        <f t="shared" ca="1" si="71"/>
        <v>1.7454595815270966E-6</v>
      </c>
      <c r="AH136" s="2">
        <f t="shared" ca="1" si="72"/>
        <v>-7.9872419964573053E-6</v>
      </c>
      <c r="AI136" s="2">
        <f t="shared" ca="1" si="73"/>
        <v>-3.5767388346377447E-5</v>
      </c>
      <c r="AJ136" s="2">
        <f t="shared" ca="1" si="74"/>
        <v>-4.9074883861424505E-5</v>
      </c>
      <c r="AK136" s="2">
        <f t="shared" ca="1" si="75"/>
        <v>-3.2921878183354083E-7</v>
      </c>
      <c r="AL136" s="2">
        <f t="shared" ca="1" si="76"/>
        <v>-1.6656224676538345E-5</v>
      </c>
      <c r="AN136" s="2" t="e">
        <f t="shared" ca="1" si="54"/>
        <v>#N/A</v>
      </c>
      <c r="AO136" s="2" t="e">
        <f t="shared" ca="1" si="55"/>
        <v>#N/A</v>
      </c>
      <c r="AP136" s="2" t="e">
        <f t="shared" ca="1" si="56"/>
        <v>#N/A</v>
      </c>
      <c r="AQ136" s="2" t="e">
        <f t="shared" ca="1" si="57"/>
        <v>#N/A</v>
      </c>
      <c r="AR136" s="2" t="e">
        <f t="shared" ca="1" si="58"/>
        <v>#N/A</v>
      </c>
      <c r="AS136" s="2" t="e">
        <f t="shared" ca="1" si="59"/>
        <v>#N/A</v>
      </c>
      <c r="AT136" s="9" t="e">
        <f t="shared" ca="1" si="60"/>
        <v>#N/A</v>
      </c>
      <c r="AU136" s="9" t="e">
        <f t="shared" ca="1" si="61"/>
        <v>#N/A</v>
      </c>
      <c r="AW136" s="2" t="e">
        <f t="shared" ca="1" si="77"/>
        <v>#N/A</v>
      </c>
      <c r="AX136" s="2" t="e">
        <f t="shared" ca="1" si="78"/>
        <v>#N/A</v>
      </c>
      <c r="AY136" s="2" t="e">
        <f t="shared" ca="1" si="79"/>
        <v>#N/A</v>
      </c>
      <c r="AZ136" s="2" t="e">
        <f t="shared" ca="1" si="80"/>
        <v>#N/A</v>
      </c>
      <c r="BA136" s="2" t="e">
        <f t="shared" ca="1" si="81"/>
        <v>#N/A</v>
      </c>
      <c r="BB136" s="2" t="e">
        <f t="shared" ca="1" si="82"/>
        <v>#N/A</v>
      </c>
      <c r="BC136" s="9" t="e">
        <f t="shared" ca="1" si="62"/>
        <v>#N/A</v>
      </c>
      <c r="BD136" s="9" t="e">
        <f t="shared" ca="1" si="83"/>
        <v>#N/A</v>
      </c>
    </row>
    <row r="137" spans="1:56" ht="15" x14ac:dyDescent="0.25">
      <c r="A137" s="90">
        <v>71</v>
      </c>
      <c r="B137" s="90">
        <v>1542620855.872</v>
      </c>
      <c r="C137" s="91">
        <v>3.4287910844075001E-4</v>
      </c>
      <c r="D137" s="91">
        <v>2.07782506675754E-4</v>
      </c>
      <c r="E137" s="91">
        <v>2.04661182631747E-3</v>
      </c>
      <c r="F137" s="91">
        <v>2.6439528792634099E-5</v>
      </c>
      <c r="G137" s="91">
        <v>9.29185926494259E-3</v>
      </c>
      <c r="H137" s="91">
        <v>6.2349446167219002E-3</v>
      </c>
      <c r="I137" s="91">
        <v>7.3130478331113899E-2</v>
      </c>
      <c r="J137" s="91"/>
      <c r="K137" s="91"/>
      <c r="L137" s="89"/>
      <c r="M137" s="89"/>
      <c r="O137" s="11">
        <f t="shared" ca="1" si="37"/>
        <v>-5.0907717723756233E-5</v>
      </c>
      <c r="P137" s="11">
        <f t="shared" ca="1" si="38"/>
        <v>4.4198448965534332E-5</v>
      </c>
      <c r="Q137" s="11">
        <f t="shared" ca="1" si="39"/>
        <v>4.3258242393961598E-4</v>
      </c>
      <c r="R137" s="11">
        <f t="shared" ca="1" si="40"/>
        <v>1.1585768670998477E-5</v>
      </c>
      <c r="S137" s="11">
        <f t="shared" ca="1" si="41"/>
        <v>8.146056581087557E-3</v>
      </c>
      <c r="T137" s="11">
        <f t="shared" ca="1" si="42"/>
        <v>5.7444052732977934E-3</v>
      </c>
      <c r="U137" s="11">
        <f t="shared" ca="1" si="43"/>
        <v>6.7623038765660309E-2</v>
      </c>
      <c r="V137" s="11"/>
      <c r="W137" s="11">
        <f t="shared" ca="1" si="63"/>
        <v>0</v>
      </c>
      <c r="X137" s="2">
        <f t="shared" ca="1" si="64"/>
        <v>4.4198448965534332E-5</v>
      </c>
      <c r="Y137" s="2">
        <f t="shared" ca="1" si="65"/>
        <v>4.3258242393961598E-4</v>
      </c>
      <c r="Z137" s="11">
        <f t="shared" ca="1" si="66"/>
        <v>1.1585768670998477E-5</v>
      </c>
      <c r="AA137" s="2">
        <f t="shared" ca="1" si="67"/>
        <v>8.146056581087557E-3</v>
      </c>
      <c r="AB137" s="11">
        <f t="shared" ca="1" si="68"/>
        <v>5.7444052732977934E-3</v>
      </c>
      <c r="AC137" s="2">
        <f t="shared" ca="1" si="69"/>
        <v>6.7623038765660309E-2</v>
      </c>
      <c r="AF137" s="11">
        <f t="shared" ca="1" si="70"/>
        <v>0</v>
      </c>
      <c r="AG137" s="2">
        <f t="shared" ca="1" si="71"/>
        <v>4.4198448965534332E-5</v>
      </c>
      <c r="AH137" s="2">
        <f t="shared" ca="1" si="72"/>
        <v>4.3258242393961598E-4</v>
      </c>
      <c r="AI137" s="2">
        <f t="shared" ca="1" si="73"/>
        <v>1.1585768670998477E-5</v>
      </c>
      <c r="AJ137" s="2">
        <f t="shared" ca="1" si="74"/>
        <v>8.146056581087557E-3</v>
      </c>
      <c r="AK137" s="2">
        <f t="shared" ca="1" si="75"/>
        <v>5.7434542003302969E-3</v>
      </c>
      <c r="AL137" s="2">
        <f t="shared" ca="1" si="76"/>
        <v>6.7623038765660309E-2</v>
      </c>
      <c r="AN137" s="2">
        <f t="shared" ca="1" si="54"/>
        <v>8.3013220068540381</v>
      </c>
      <c r="AO137" s="2">
        <f t="shared" ca="1" si="55"/>
        <v>0.38222211648171456</v>
      </c>
      <c r="AP137" s="2">
        <f t="shared" ca="1" si="56"/>
        <v>4.4283370224965793E-6</v>
      </c>
      <c r="AQ137" s="2">
        <f t="shared" ca="1" si="57"/>
        <v>5.7399769362752968E-3</v>
      </c>
      <c r="AR137" s="2">
        <f t="shared" ca="1" si="58"/>
        <v>0.70778401495057075</v>
      </c>
      <c r="AS137" s="2">
        <f t="shared" ca="1" si="59"/>
        <v>5.2623966238289147E-2</v>
      </c>
      <c r="AT137" s="9" t="str">
        <f t="shared" ca="1" si="60"/>
        <v>rejected</v>
      </c>
      <c r="AU137" s="9" t="e">
        <f t="shared" ca="1" si="61"/>
        <v>#N/A</v>
      </c>
      <c r="AW137" s="2">
        <f t="shared" ca="1" si="77"/>
        <v>8.3013220068540381</v>
      </c>
      <c r="AX137" s="2">
        <f t="shared" ca="1" si="78"/>
        <v>0.38222211648171456</v>
      </c>
      <c r="AY137" s="2">
        <f t="shared" ca="1" si="79"/>
        <v>4.4283370224965793E-6</v>
      </c>
      <c r="AZ137" s="2">
        <f t="shared" ca="1" si="80"/>
        <v>5.7390258633078003E-3</v>
      </c>
      <c r="BA137" s="2">
        <f t="shared" ca="1" si="81"/>
        <v>0.70766674022091258</v>
      </c>
      <c r="BB137" s="2">
        <f t="shared" ca="1" si="82"/>
        <v>5.2623966238289147E-2</v>
      </c>
      <c r="BC137" s="9" t="str">
        <f t="shared" ca="1" si="62"/>
        <v>rejected</v>
      </c>
      <c r="BD137" s="9" t="e">
        <f t="shared" ca="1" si="83"/>
        <v>#N/A</v>
      </c>
    </row>
    <row r="138" spans="1:56" ht="15" x14ac:dyDescent="0.25">
      <c r="A138" s="90">
        <v>72</v>
      </c>
      <c r="B138" s="90">
        <v>1542620856.4000001</v>
      </c>
      <c r="C138" s="91">
        <v>3.2170093873317899E-4</v>
      </c>
      <c r="D138" s="91">
        <v>1.7729803589079001E-4</v>
      </c>
      <c r="E138" s="91">
        <v>1.00735707060793E-2</v>
      </c>
      <c r="F138" s="91">
        <v>2.2633145638271599E-4</v>
      </c>
      <c r="G138" s="91">
        <v>0.15924706178127099</v>
      </c>
      <c r="H138" s="91">
        <v>0.11394348502469499</v>
      </c>
      <c r="I138" s="91">
        <v>1.35940290253981</v>
      </c>
      <c r="J138" s="91"/>
      <c r="K138" s="91"/>
      <c r="L138" s="89"/>
      <c r="M138" s="89"/>
      <c r="O138" s="11">
        <f t="shared" ca="1" si="37"/>
        <v>-7.2085887431327261E-5</v>
      </c>
      <c r="P138" s="11">
        <f t="shared" ca="1" si="38"/>
        <v>1.3713978180570339E-5</v>
      </c>
      <c r="Q138" s="11">
        <f t="shared" ca="1" si="39"/>
        <v>8.4595413037014452E-3</v>
      </c>
      <c r="R138" s="11">
        <f t="shared" ca="1" si="40"/>
        <v>2.1147769626108037E-4</v>
      </c>
      <c r="S138" s="11">
        <f t="shared" ca="1" si="41"/>
        <v>0.15810125909741596</v>
      </c>
      <c r="T138" s="11">
        <f t="shared" ca="1" si="42"/>
        <v>0.11345294568127089</v>
      </c>
      <c r="U138" s="11">
        <f t="shared" ca="1" si="43"/>
        <v>1.3538954629743565</v>
      </c>
      <c r="V138" s="11"/>
      <c r="W138" s="11">
        <f t="shared" ca="1" si="63"/>
        <v>0</v>
      </c>
      <c r="X138" s="2">
        <f t="shared" ca="1" si="64"/>
        <v>1.3713978180570339E-5</v>
      </c>
      <c r="Y138" s="2">
        <f t="shared" ca="1" si="65"/>
        <v>8.4595413037014452E-3</v>
      </c>
      <c r="Z138" s="11">
        <f t="shared" ca="1" si="66"/>
        <v>2.1147769626108037E-4</v>
      </c>
      <c r="AA138" s="2">
        <f t="shared" ca="1" si="67"/>
        <v>0.15810125909741596</v>
      </c>
      <c r="AB138" s="11">
        <f t="shared" ca="1" si="68"/>
        <v>0.11345294568127089</v>
      </c>
      <c r="AC138" s="2">
        <f t="shared" ca="1" si="69"/>
        <v>1.3538954629743565</v>
      </c>
      <c r="AF138" s="11">
        <f t="shared" ca="1" si="70"/>
        <v>0</v>
      </c>
      <c r="AG138" s="2">
        <f t="shared" ca="1" si="71"/>
        <v>1.3713978180570339E-5</v>
      </c>
      <c r="AH138" s="2">
        <f t="shared" ca="1" si="72"/>
        <v>8.4595413037014452E-3</v>
      </c>
      <c r="AI138" s="2">
        <f t="shared" ca="1" si="73"/>
        <v>2.1147769626108037E-4</v>
      </c>
      <c r="AJ138" s="2">
        <f t="shared" ca="1" si="74"/>
        <v>0.15810125909741596</v>
      </c>
      <c r="AK138" s="2">
        <f t="shared" ca="1" si="75"/>
        <v>0.11345265058055515</v>
      </c>
      <c r="AL138" s="2">
        <f t="shared" ca="1" si="76"/>
        <v>1.3538954629743565</v>
      </c>
      <c r="AN138" s="2">
        <f t="shared" ca="1" si="54"/>
        <v>8.5634704663556018</v>
      </c>
      <c r="AO138" s="2">
        <f t="shared" ca="1" si="55"/>
        <v>0.39444106827006326</v>
      </c>
      <c r="AP138" s="2">
        <f t="shared" ca="1" si="56"/>
        <v>8.3415488428512506E-5</v>
      </c>
      <c r="AQ138" s="2">
        <f t="shared" ca="1" si="57"/>
        <v>0.11336953019284238</v>
      </c>
      <c r="AR138" s="2">
        <f t="shared" ca="1" si="58"/>
        <v>0.70908655814259791</v>
      </c>
      <c r="AS138" s="2">
        <f t="shared" ca="1" si="59"/>
        <v>5.4738148178611161E-2</v>
      </c>
      <c r="AT138" s="9">
        <f t="shared" ca="1" si="60"/>
        <v>0.70908655814259791</v>
      </c>
      <c r="AU138" s="9">
        <f t="shared" ca="1" si="61"/>
        <v>0.70908655814259791</v>
      </c>
      <c r="AW138" s="2">
        <f t="shared" ca="1" si="77"/>
        <v>8.5634704663556018</v>
      </c>
      <c r="AX138" s="2">
        <f t="shared" ca="1" si="78"/>
        <v>0.39444106827006326</v>
      </c>
      <c r="AY138" s="2">
        <f t="shared" ca="1" si="79"/>
        <v>8.3415488428512506E-5</v>
      </c>
      <c r="AZ138" s="2">
        <f t="shared" ca="1" si="80"/>
        <v>0.11336923509212664</v>
      </c>
      <c r="BA138" s="2">
        <f t="shared" ca="1" si="81"/>
        <v>0.70908471239135873</v>
      </c>
      <c r="BB138" s="2">
        <f t="shared" ca="1" si="82"/>
        <v>5.4738148178611161E-2</v>
      </c>
      <c r="BC138" s="9">
        <f t="shared" ca="1" si="62"/>
        <v>0.70908471239135873</v>
      </c>
      <c r="BD138" s="9">
        <f t="shared" ca="1" si="83"/>
        <v>0.70908471239135873</v>
      </c>
    </row>
    <row r="139" spans="1:56" ht="15" x14ac:dyDescent="0.25">
      <c r="A139" s="90">
        <v>73</v>
      </c>
      <c r="B139" s="90">
        <v>1542620856.9260001</v>
      </c>
      <c r="C139" s="91">
        <v>4.1688725050891901E-4</v>
      </c>
      <c r="D139" s="91">
        <v>1.3003714172030799E-4</v>
      </c>
      <c r="E139" s="91">
        <v>1.22253960286927E-2</v>
      </c>
      <c r="F139" s="91">
        <v>3.4223950482786602E-4</v>
      </c>
      <c r="G139" s="91">
        <v>0.19645180568059301</v>
      </c>
      <c r="H139" s="91">
        <v>0.14143315726251299</v>
      </c>
      <c r="I139" s="91">
        <v>1.7002784913645399</v>
      </c>
      <c r="J139" s="91"/>
      <c r="K139" s="91"/>
      <c r="L139" s="89"/>
      <c r="M139" s="89"/>
      <c r="O139" s="11">
        <f t="shared" ca="1" si="37"/>
        <v>2.3100424344412764E-5</v>
      </c>
      <c r="P139" s="11">
        <f t="shared" ca="1" si="38"/>
        <v>-3.3546915989911681E-5</v>
      </c>
      <c r="Q139" s="11">
        <f t="shared" ca="1" si="39"/>
        <v>1.0611366626314846E-2</v>
      </c>
      <c r="R139" s="11">
        <f t="shared" ca="1" si="40"/>
        <v>3.2738574470623041E-4</v>
      </c>
      <c r="S139" s="11">
        <f t="shared" ca="1" si="41"/>
        <v>0.19530600299673798</v>
      </c>
      <c r="T139" s="11">
        <f t="shared" ca="1" si="42"/>
        <v>0.14094261791908888</v>
      </c>
      <c r="U139" s="11">
        <f t="shared" ca="1" si="43"/>
        <v>1.6947710517990864</v>
      </c>
      <c r="V139" s="11"/>
      <c r="W139" s="11">
        <f t="shared" ca="1" si="63"/>
        <v>0</v>
      </c>
      <c r="X139" s="2">
        <f t="shared" ca="1" si="64"/>
        <v>-3.8357001690965604E-5</v>
      </c>
      <c r="Y139" s="2">
        <f t="shared" ca="1" si="65"/>
        <v>1.053701929373616E-2</v>
      </c>
      <c r="Z139" s="11">
        <f t="shared" ca="1" si="66"/>
        <v>3.2738574470623041E-4</v>
      </c>
      <c r="AA139" s="2">
        <f t="shared" ca="1" si="67"/>
        <v>0.19530585624785438</v>
      </c>
      <c r="AB139" s="11">
        <f t="shared" ca="1" si="68"/>
        <v>0.14094261791908888</v>
      </c>
      <c r="AC139" s="2">
        <f t="shared" ca="1" si="69"/>
        <v>1.6947643889396338</v>
      </c>
      <c r="AF139" s="11">
        <f t="shared" ca="1" si="70"/>
        <v>0</v>
      </c>
      <c r="AG139" s="2">
        <f t="shared" ca="1" si="71"/>
        <v>-4.3177028408887896E-5</v>
      </c>
      <c r="AH139" s="2">
        <f t="shared" ca="1" si="72"/>
        <v>1.0462463866974352E-2</v>
      </c>
      <c r="AI139" s="2">
        <f t="shared" ca="1" si="73"/>
        <v>3.2735357506400993E-4</v>
      </c>
      <c r="AJ139" s="2">
        <f t="shared" ca="1" si="74"/>
        <v>0.19530521299551851</v>
      </c>
      <c r="AK139" s="2">
        <f t="shared" ca="1" si="75"/>
        <v>0.14094261791908888</v>
      </c>
      <c r="AL139" s="2">
        <f t="shared" ca="1" si="76"/>
        <v>1.6947569100353594</v>
      </c>
      <c r="AN139" s="2">
        <f t="shared" ca="1" si="54"/>
        <v>8.6775164398167153</v>
      </c>
      <c r="AO139" s="2">
        <f t="shared" ca="1" si="55"/>
        <v>0.39975826803434639</v>
      </c>
      <c r="AP139" s="2">
        <f t="shared" ca="1" si="56"/>
        <v>1.3087515828289736E-4</v>
      </c>
      <c r="AQ139" s="2">
        <f t="shared" ca="1" si="57"/>
        <v>0.14081174276080599</v>
      </c>
      <c r="AR139" s="2">
        <f t="shared" ca="1" si="58"/>
        <v>0.70821977606406539</v>
      </c>
      <c r="AS139" s="2">
        <f t="shared" ca="1" si="59"/>
        <v>5.6339575667763861E-2</v>
      </c>
      <c r="AT139" s="9" t="str">
        <f t="shared" ca="1" si="60"/>
        <v>rejected</v>
      </c>
      <c r="AU139" s="9" t="e">
        <f t="shared" ca="1" si="61"/>
        <v>#N/A</v>
      </c>
      <c r="AW139" s="2">
        <f t="shared" ca="1" si="77"/>
        <v>8.6774791314671536</v>
      </c>
      <c r="AX139" s="2">
        <f t="shared" ca="1" si="78"/>
        <v>0.39975652845672244</v>
      </c>
      <c r="AY139" s="2">
        <f t="shared" ca="1" si="79"/>
        <v>1.3086172874548572E-4</v>
      </c>
      <c r="AZ139" s="2">
        <f t="shared" ca="1" si="80"/>
        <v>0.14081175619034339</v>
      </c>
      <c r="BA139" s="2">
        <f t="shared" ca="1" si="81"/>
        <v>0.70822424174985188</v>
      </c>
      <c r="BB139" s="2">
        <f t="shared" ca="1" si="82"/>
        <v>5.554897748149884E-2</v>
      </c>
      <c r="BC139" s="9" t="str">
        <f t="shared" ca="1" si="62"/>
        <v>rejected</v>
      </c>
      <c r="BD139" s="9" t="e">
        <f t="shared" ca="1" si="83"/>
        <v>#N/A</v>
      </c>
    </row>
    <row r="140" spans="1:56" ht="15" x14ac:dyDescent="0.25">
      <c r="A140" s="90">
        <v>74</v>
      </c>
      <c r="B140" s="90">
        <v>1542620857.454</v>
      </c>
      <c r="C140" s="91">
        <v>4.0141885753518702E-4</v>
      </c>
      <c r="D140" s="91">
        <v>1.43033663254171E-4</v>
      </c>
      <c r="E140" s="91">
        <v>1.10313701558789E-2</v>
      </c>
      <c r="F140" s="91">
        <v>1.8206622359617799E-4</v>
      </c>
      <c r="G140" s="91">
        <v>0.175064308631218</v>
      </c>
      <c r="H140" s="91">
        <v>0.1262845600842</v>
      </c>
      <c r="I140" s="91">
        <v>1.52191889791308</v>
      </c>
      <c r="J140" s="91"/>
      <c r="K140" s="91"/>
      <c r="L140" s="89"/>
      <c r="M140" s="89"/>
      <c r="O140" s="11">
        <f t="shared" ca="1" si="37"/>
        <v>7.6320313706807765E-6</v>
      </c>
      <c r="P140" s="11">
        <f t="shared" ca="1" si="38"/>
        <v>-2.0550394456048674E-5</v>
      </c>
      <c r="Q140" s="11">
        <f t="shared" ca="1" si="39"/>
        <v>9.417340753501046E-3</v>
      </c>
      <c r="R140" s="11">
        <f t="shared" ca="1" si="40"/>
        <v>1.6721246347454238E-4</v>
      </c>
      <c r="S140" s="11">
        <f t="shared" ca="1" si="41"/>
        <v>0.17391850594736297</v>
      </c>
      <c r="T140" s="11">
        <f t="shared" ca="1" si="42"/>
        <v>0.12579402074077589</v>
      </c>
      <c r="U140" s="11">
        <f t="shared" ca="1" si="43"/>
        <v>1.5164114583476265</v>
      </c>
      <c r="V140" s="11"/>
      <c r="W140" s="11">
        <f t="shared" ca="1" si="63"/>
        <v>0</v>
      </c>
      <c r="X140" s="2">
        <f t="shared" ca="1" si="64"/>
        <v>-2.2139574135987571E-5</v>
      </c>
      <c r="Y140" s="2">
        <f t="shared" ca="1" si="65"/>
        <v>9.3927775175142482E-3</v>
      </c>
      <c r="Z140" s="11">
        <f t="shared" ca="1" si="66"/>
        <v>1.6721246347454238E-4</v>
      </c>
      <c r="AA140" s="2">
        <f t="shared" ca="1" si="67"/>
        <v>0.17391845746374784</v>
      </c>
      <c r="AB140" s="11">
        <f t="shared" ca="1" si="68"/>
        <v>0.12579402074077589</v>
      </c>
      <c r="AC140" s="2">
        <f t="shared" ca="1" si="69"/>
        <v>1.5164092570394772</v>
      </c>
      <c r="AF140" s="11">
        <f t="shared" ca="1" si="70"/>
        <v>0</v>
      </c>
      <c r="AG140" s="2">
        <f t="shared" ca="1" si="71"/>
        <v>-2.3732038177783406E-5</v>
      </c>
      <c r="AH140" s="2">
        <f t="shared" ca="1" si="72"/>
        <v>9.3681455303517153E-3</v>
      </c>
      <c r="AI140" s="2">
        <f t="shared" ca="1" si="73"/>
        <v>1.6720183511053703E-4</v>
      </c>
      <c r="AJ140" s="2">
        <f t="shared" ca="1" si="74"/>
        <v>0.17391824494288963</v>
      </c>
      <c r="AK140" s="2">
        <f t="shared" ca="1" si="75"/>
        <v>0.12579402074077589</v>
      </c>
      <c r="AL140" s="2">
        <f t="shared" ca="1" si="76"/>
        <v>1.5164067861224417</v>
      </c>
      <c r="AN140" s="2">
        <f t="shared" ca="1" si="54"/>
        <v>8.7190920258168134</v>
      </c>
      <c r="AO140" s="2">
        <f t="shared" ca="1" si="55"/>
        <v>0.40169687051748476</v>
      </c>
      <c r="AP140" s="2">
        <f t="shared" ca="1" si="56"/>
        <v>6.7168723289242902E-5</v>
      </c>
      <c r="AQ140" s="2">
        <f t="shared" ca="1" si="57"/>
        <v>0.12572685201748665</v>
      </c>
      <c r="AR140" s="2">
        <f t="shared" ca="1" si="58"/>
        <v>0.70840504726601894</v>
      </c>
      <c r="AS140" s="2">
        <f t="shared" ca="1" si="59"/>
        <v>5.6424070457522603E-2</v>
      </c>
      <c r="AT140" s="9" t="str">
        <f t="shared" ca="1" si="60"/>
        <v>rejected</v>
      </c>
      <c r="AU140" s="9" t="e">
        <f t="shared" ca="1" si="61"/>
        <v>#N/A</v>
      </c>
      <c r="AW140" s="2">
        <f t="shared" ca="1" si="77"/>
        <v>8.7190782463357515</v>
      </c>
      <c r="AX140" s="2">
        <f t="shared" ca="1" si="78"/>
        <v>0.40169622798391608</v>
      </c>
      <c r="AY140" s="2">
        <f t="shared" ca="1" si="79"/>
        <v>6.716434647589143E-5</v>
      </c>
      <c r="AZ140" s="2">
        <f t="shared" ca="1" si="80"/>
        <v>0.12572685639430001</v>
      </c>
      <c r="BA140" s="2">
        <f t="shared" ca="1" si="81"/>
        <v>0.70840669885149621</v>
      </c>
      <c r="BB140" s="2">
        <f t="shared" ca="1" si="82"/>
        <v>5.6129310361688341E-2</v>
      </c>
      <c r="BC140" s="9" t="str">
        <f t="shared" ca="1" si="62"/>
        <v>rejected</v>
      </c>
      <c r="BD140" s="9" t="e">
        <f t="shared" ca="1" si="83"/>
        <v>#N/A</v>
      </c>
    </row>
    <row r="141" spans="1:56" ht="15" x14ac:dyDescent="0.25">
      <c r="A141" s="90">
        <v>75</v>
      </c>
      <c r="B141" s="90">
        <v>1542620857.98</v>
      </c>
      <c r="C141" s="91">
        <v>4.2854819742710299E-4</v>
      </c>
      <c r="D141" s="91">
        <v>2.45594004000956E-4</v>
      </c>
      <c r="E141" s="91">
        <v>1.12127538964367E-2</v>
      </c>
      <c r="F141" s="91">
        <v>2.3965900750715701E-4</v>
      </c>
      <c r="G141" s="91">
        <v>0.176327205207403</v>
      </c>
      <c r="H141" s="91">
        <v>0.12716842341999199</v>
      </c>
      <c r="I141" s="91">
        <v>1.5269823963907401</v>
      </c>
      <c r="J141" s="91"/>
      <c r="K141" s="91"/>
      <c r="L141" s="89"/>
      <c r="M141" s="89"/>
      <c r="O141" s="11">
        <f t="shared" ca="1" si="37"/>
        <v>3.4761371262596744E-5</v>
      </c>
      <c r="P141" s="11">
        <f t="shared" ca="1" si="38"/>
        <v>8.2009946290736329E-5</v>
      </c>
      <c r="Q141" s="11">
        <f t="shared" ca="1" si="39"/>
        <v>9.5987244940588454E-3</v>
      </c>
      <c r="R141" s="11">
        <f t="shared" ca="1" si="40"/>
        <v>2.248052473855214E-4</v>
      </c>
      <c r="S141" s="11">
        <f t="shared" ca="1" si="41"/>
        <v>0.17518140252354797</v>
      </c>
      <c r="T141" s="11">
        <f t="shared" ca="1" si="42"/>
        <v>0.12667788407656788</v>
      </c>
      <c r="U141" s="11">
        <f t="shared" ca="1" si="43"/>
        <v>1.5214749568252866</v>
      </c>
      <c r="V141" s="11"/>
      <c r="W141" s="11">
        <f t="shared" ca="1" si="63"/>
        <v>0</v>
      </c>
      <c r="X141" s="2">
        <f t="shared" ca="1" si="64"/>
        <v>7.4771759997431937E-5</v>
      </c>
      <c r="Y141" s="2">
        <f t="shared" ca="1" si="65"/>
        <v>9.4868471020413039E-3</v>
      </c>
      <c r="Z141" s="11">
        <f t="shared" ca="1" si="66"/>
        <v>2.248052473855214E-4</v>
      </c>
      <c r="AA141" s="2">
        <f t="shared" ca="1" si="67"/>
        <v>0.17518118169676361</v>
      </c>
      <c r="AB141" s="11">
        <f t="shared" ca="1" si="68"/>
        <v>0.12667788407656788</v>
      </c>
      <c r="AC141" s="2">
        <f t="shared" ca="1" si="69"/>
        <v>1.5214649305968655</v>
      </c>
      <c r="AF141" s="11">
        <f t="shared" ca="1" si="70"/>
        <v>0</v>
      </c>
      <c r="AG141" s="2">
        <f t="shared" ca="1" si="71"/>
        <v>6.7518614525329061E-5</v>
      </c>
      <c r="AH141" s="2">
        <f t="shared" ca="1" si="72"/>
        <v>9.374656571223829E-3</v>
      </c>
      <c r="AI141" s="2">
        <f t="shared" ca="1" si="73"/>
        <v>2.2475683871302525E-4</v>
      </c>
      <c r="AJ141" s="2">
        <f t="shared" ca="1" si="74"/>
        <v>0.17518021373475004</v>
      </c>
      <c r="AK141" s="2">
        <f t="shared" ca="1" si="75"/>
        <v>0.12667611936661066</v>
      </c>
      <c r="AL141" s="2">
        <f t="shared" ca="1" si="76"/>
        <v>1.5214536763893998</v>
      </c>
      <c r="AN141" s="2">
        <f t="shared" ca="1" si="54"/>
        <v>8.6851397175037981</v>
      </c>
      <c r="AO141" s="2">
        <f t="shared" ca="1" si="55"/>
        <v>0.40011372075250162</v>
      </c>
      <c r="AP141" s="2">
        <f t="shared" ca="1" si="56"/>
        <v>8.994766397610756E-5</v>
      </c>
      <c r="AQ141" s="2">
        <f t="shared" ca="1" si="57"/>
        <v>0.12658793641259178</v>
      </c>
      <c r="AR141" s="2">
        <f t="shared" ca="1" si="58"/>
        <v>0.70950757569510414</v>
      </c>
      <c r="AS141" s="2">
        <f t="shared" ca="1" si="59"/>
        <v>5.6868739558487667E-2</v>
      </c>
      <c r="AT141" s="9">
        <f t="shared" ca="1" si="60"/>
        <v>0.70950757569510414</v>
      </c>
      <c r="AU141" s="9">
        <f t="shared" ca="1" si="61"/>
        <v>0.70950757569510414</v>
      </c>
      <c r="AW141" s="2">
        <f t="shared" ca="1" si="77"/>
        <v>8.6850771782543674</v>
      </c>
      <c r="AX141" s="2">
        <f t="shared" ca="1" si="78"/>
        <v>0.40011080470188581</v>
      </c>
      <c r="AY141" s="2">
        <f t="shared" ca="1" si="79"/>
        <v>8.9927639599720498E-5</v>
      </c>
      <c r="AZ141" s="2">
        <f t="shared" ca="1" si="80"/>
        <v>0.12658619172701094</v>
      </c>
      <c r="BA141" s="2">
        <f t="shared" ca="1" si="81"/>
        <v>0.70950518453040334</v>
      </c>
      <c r="BB141" s="2">
        <f t="shared" ca="1" si="82"/>
        <v>5.5541191227892965E-2</v>
      </c>
      <c r="BC141" s="9">
        <f t="shared" ca="1" si="62"/>
        <v>0.70950518453040334</v>
      </c>
      <c r="BD141" s="9">
        <f t="shared" ca="1" si="83"/>
        <v>0.70950518453040334</v>
      </c>
    </row>
    <row r="142" spans="1:56" ht="15" x14ac:dyDescent="0.25">
      <c r="A142" s="90">
        <v>76</v>
      </c>
      <c r="B142" s="90">
        <v>1542620858.507</v>
      </c>
      <c r="C142" s="91">
        <v>4.2450254735884802E-4</v>
      </c>
      <c r="D142" s="91">
        <v>1.7918851847243501E-4</v>
      </c>
      <c r="E142" s="91">
        <v>1.4568282404577099E-2</v>
      </c>
      <c r="F142" s="91">
        <v>2.4917879576777602E-4</v>
      </c>
      <c r="G142" s="91">
        <v>0.240207557551333</v>
      </c>
      <c r="H142" s="91">
        <v>0.17320164663474</v>
      </c>
      <c r="I142" s="91">
        <v>2.0792527141746699</v>
      </c>
      <c r="J142" s="91"/>
      <c r="K142" s="91"/>
      <c r="L142" s="89"/>
      <c r="M142" s="89"/>
      <c r="O142" s="11">
        <f t="shared" ca="1" si="37"/>
        <v>3.0715721194341775E-5</v>
      </c>
      <c r="P142" s="11">
        <f t="shared" ca="1" si="38"/>
        <v>1.5604460762215337E-5</v>
      </c>
      <c r="Q142" s="11">
        <f t="shared" ca="1" si="39"/>
        <v>1.2954253002199245E-2</v>
      </c>
      <c r="R142" s="11">
        <f t="shared" ca="1" si="40"/>
        <v>2.3432503564614041E-4</v>
      </c>
      <c r="S142" s="11">
        <f t="shared" ca="1" si="41"/>
        <v>0.23906175486747797</v>
      </c>
      <c r="T142" s="11">
        <f t="shared" ca="1" si="42"/>
        <v>0.17271110729131589</v>
      </c>
      <c r="U142" s="11">
        <f t="shared" ca="1" si="43"/>
        <v>2.0737452746092164</v>
      </c>
      <c r="V142" s="11"/>
      <c r="W142" s="11">
        <f t="shared" ca="1" si="63"/>
        <v>0</v>
      </c>
      <c r="X142" s="2">
        <f t="shared" ca="1" si="64"/>
        <v>9.2086799266915455E-6</v>
      </c>
      <c r="Y142" s="2">
        <f t="shared" ca="1" si="65"/>
        <v>1.2855396292686797E-2</v>
      </c>
      <c r="Z142" s="11">
        <f t="shared" ca="1" si="66"/>
        <v>2.3432503564614041E-4</v>
      </c>
      <c r="AA142" s="2">
        <f t="shared" ca="1" si="67"/>
        <v>0.23906155974128776</v>
      </c>
      <c r="AB142" s="11">
        <f t="shared" ca="1" si="68"/>
        <v>0.17271110729131589</v>
      </c>
      <c r="AC142" s="2">
        <f t="shared" ca="1" si="69"/>
        <v>2.0737364152683555</v>
      </c>
      <c r="AF142" s="11">
        <f t="shared" ca="1" si="70"/>
        <v>0</v>
      </c>
      <c r="AG142" s="2">
        <f t="shared" ca="1" si="71"/>
        <v>2.7996809139618086E-6</v>
      </c>
      <c r="AH142" s="2">
        <f t="shared" ca="1" si="72"/>
        <v>1.2756262888564081E-2</v>
      </c>
      <c r="AI142" s="2">
        <f t="shared" ca="1" si="73"/>
        <v>2.3428226094440187E-4</v>
      </c>
      <c r="AJ142" s="2">
        <f t="shared" ca="1" si="74"/>
        <v>0.23906070443408164</v>
      </c>
      <c r="AK142" s="2">
        <f t="shared" ca="1" si="75"/>
        <v>0.17271077151073647</v>
      </c>
      <c r="AL142" s="2">
        <f t="shared" ca="1" si="76"/>
        <v>2.0737264708649494</v>
      </c>
      <c r="AN142" s="2">
        <f t="shared" ca="1" si="54"/>
        <v>8.67451707513308</v>
      </c>
      <c r="AO142" s="2">
        <f t="shared" ca="1" si="55"/>
        <v>0.39961841684959254</v>
      </c>
      <c r="AP142" s="2">
        <f t="shared" ca="1" si="56"/>
        <v>9.364059977313497E-5</v>
      </c>
      <c r="AQ142" s="2">
        <f t="shared" ca="1" si="57"/>
        <v>0.17261746669154276</v>
      </c>
      <c r="AR142" s="2">
        <f t="shared" ca="1" si="58"/>
        <v>0.70940625372895993</v>
      </c>
      <c r="AS142" s="2">
        <f t="shared" ca="1" si="59"/>
        <v>5.6170266693674774E-2</v>
      </c>
      <c r="AT142" s="9">
        <f t="shared" ca="1" si="60"/>
        <v>0.70940625372895993</v>
      </c>
      <c r="AU142" s="9">
        <f t="shared" ca="1" si="61"/>
        <v>0.70940625372895993</v>
      </c>
      <c r="AW142" s="2">
        <f t="shared" ca="1" si="77"/>
        <v>8.6744765342091448</v>
      </c>
      <c r="AX142" s="2">
        <f t="shared" ca="1" si="78"/>
        <v>0.39961652655454888</v>
      </c>
      <c r="AY142" s="2">
        <f t="shared" ca="1" si="79"/>
        <v>9.3623063351948316E-5</v>
      </c>
      <c r="AZ142" s="2">
        <f t="shared" ca="1" si="80"/>
        <v>0.17261714844738452</v>
      </c>
      <c r="BA142" s="2">
        <f t="shared" ca="1" si="81"/>
        <v>0.70940973261961116</v>
      </c>
      <c r="BB142" s="2">
        <f t="shared" ca="1" si="82"/>
        <v>5.5311750523668851E-2</v>
      </c>
      <c r="BC142" s="9">
        <f t="shared" ca="1" si="62"/>
        <v>0.70940973261961116</v>
      </c>
      <c r="BD142" s="9">
        <f t="shared" ca="1" si="83"/>
        <v>0.70940973261961116</v>
      </c>
    </row>
    <row r="143" spans="1:56" ht="15" x14ac:dyDescent="0.25">
      <c r="A143" s="90">
        <v>77</v>
      </c>
      <c r="B143" s="90">
        <v>1542620859.0339999</v>
      </c>
      <c r="C143" s="91">
        <v>3.9594548355675202E-4</v>
      </c>
      <c r="D143" s="91">
        <v>1.29800842904263E-4</v>
      </c>
      <c r="E143" s="91">
        <v>1.4367872103537399E-2</v>
      </c>
      <c r="F143" s="91">
        <v>1.13768342382901E-4</v>
      </c>
      <c r="G143" s="91">
        <v>0.23474401080315399</v>
      </c>
      <c r="H143" s="91">
        <v>0.16945915165117001</v>
      </c>
      <c r="I143" s="91">
        <v>2.0383513341008901</v>
      </c>
      <c r="J143" s="91"/>
      <c r="K143" s="91"/>
      <c r="L143" s="89"/>
      <c r="M143" s="89"/>
      <c r="O143" s="11">
        <f t="shared" ca="1" si="37"/>
        <v>2.1586573922457715E-6</v>
      </c>
      <c r="P143" s="11">
        <f t="shared" ca="1" si="38"/>
        <v>-3.3783214805956671E-5</v>
      </c>
      <c r="Q143" s="11">
        <f t="shared" ca="1" si="39"/>
        <v>1.2753842701159545E-2</v>
      </c>
      <c r="R143" s="11">
        <f t="shared" ca="1" si="40"/>
        <v>9.8914582261265375E-5</v>
      </c>
      <c r="S143" s="11">
        <f t="shared" ca="1" si="41"/>
        <v>0.23359820811929896</v>
      </c>
      <c r="T143" s="11">
        <f t="shared" ca="1" si="42"/>
        <v>0.1689686123077459</v>
      </c>
      <c r="U143" s="11">
        <f t="shared" ca="1" si="43"/>
        <v>2.0328438945354366</v>
      </c>
      <c r="V143" s="11"/>
      <c r="W143" s="11">
        <f t="shared" ca="1" si="63"/>
        <v>0</v>
      </c>
      <c r="X143" s="2">
        <f t="shared" ca="1" si="64"/>
        <v>-3.4232701226686736E-5</v>
      </c>
      <c r="Y143" s="2">
        <f t="shared" ca="1" si="65"/>
        <v>1.2746895191595569E-2</v>
      </c>
      <c r="Z143" s="11">
        <f t="shared" ca="1" si="66"/>
        <v>9.8914582261265375E-5</v>
      </c>
      <c r="AA143" s="2">
        <f t="shared" ca="1" si="67"/>
        <v>0.2335981944061066</v>
      </c>
      <c r="AB143" s="11">
        <f t="shared" ca="1" si="68"/>
        <v>0.1689686123077459</v>
      </c>
      <c r="AC143" s="2">
        <f t="shared" ca="1" si="69"/>
        <v>2.0328432719135057</v>
      </c>
      <c r="AF143" s="11">
        <f t="shared" ca="1" si="70"/>
        <v>0</v>
      </c>
      <c r="AG143" s="2">
        <f t="shared" ca="1" si="71"/>
        <v>-3.4683116602193971E-5</v>
      </c>
      <c r="AH143" s="2">
        <f t="shared" ca="1" si="72"/>
        <v>1.273992823632618E-2</v>
      </c>
      <c r="AI143" s="2">
        <f t="shared" ca="1" si="73"/>
        <v>9.8911576115795927E-5</v>
      </c>
      <c r="AJ143" s="2">
        <f t="shared" ca="1" si="74"/>
        <v>0.23359813429632725</v>
      </c>
      <c r="AK143" s="2">
        <f t="shared" ca="1" si="75"/>
        <v>0.1689686123077459</v>
      </c>
      <c r="AL143" s="2">
        <f t="shared" ca="1" si="76"/>
        <v>2.0328425730349156</v>
      </c>
      <c r="AN143" s="2">
        <f t="shared" ca="1" si="54"/>
        <v>8.7023094522080413</v>
      </c>
      <c r="AO143" s="2">
        <f t="shared" ca="1" si="55"/>
        <v>0.40091431266812572</v>
      </c>
      <c r="AP143" s="2">
        <f t="shared" ca="1" si="56"/>
        <v>3.9656271760129985E-5</v>
      </c>
      <c r="AQ143" s="2">
        <f t="shared" ca="1" si="57"/>
        <v>0.16892895603598576</v>
      </c>
      <c r="AR143" s="2">
        <f t="shared" ca="1" si="58"/>
        <v>0.70934149870475982</v>
      </c>
      <c r="AS143" s="2">
        <f t="shared" ca="1" si="59"/>
        <v>5.6780247326157801E-2</v>
      </c>
      <c r="AT143" s="9">
        <f t="shared" ca="1" si="60"/>
        <v>0.70934149870475982</v>
      </c>
      <c r="AU143" s="9">
        <f t="shared" ca="1" si="61"/>
        <v>0.70934149870475982</v>
      </c>
      <c r="AW143" s="2">
        <f t="shared" ca="1" si="77"/>
        <v>8.7023065452063282</v>
      </c>
      <c r="AX143" s="2">
        <f t="shared" ca="1" si="78"/>
        <v>0.40091417711856886</v>
      </c>
      <c r="AY143" s="2">
        <f t="shared" ca="1" si="79"/>
        <v>3.9655053145965011E-5</v>
      </c>
      <c r="AZ143" s="2">
        <f t="shared" ca="1" si="80"/>
        <v>0.16892895725459994</v>
      </c>
      <c r="BA143" s="2">
        <f t="shared" ca="1" si="81"/>
        <v>0.70934184732088901</v>
      </c>
      <c r="BB143" s="2">
        <f t="shared" ca="1" si="82"/>
        <v>5.6718298513580373E-2</v>
      </c>
      <c r="BC143" s="9">
        <f t="shared" ca="1" si="62"/>
        <v>0.70934184732088901</v>
      </c>
      <c r="BD143" s="9">
        <f t="shared" ca="1" si="83"/>
        <v>0.70934184732088901</v>
      </c>
    </row>
    <row r="144" spans="1:56" ht="15" x14ac:dyDescent="0.25">
      <c r="A144" s="90">
        <v>78</v>
      </c>
      <c r="B144" s="90">
        <v>1542620859.5610001</v>
      </c>
      <c r="C144" s="91">
        <v>4.0451251696478402E-4</v>
      </c>
      <c r="D144" s="91">
        <v>2.0281985459770101E-4</v>
      </c>
      <c r="E144" s="91">
        <v>1.4197262515788499E-2</v>
      </c>
      <c r="F144" s="91">
        <v>2.5560470413997402E-4</v>
      </c>
      <c r="G144" s="91">
        <v>0.23301748790678101</v>
      </c>
      <c r="H144" s="91">
        <v>0.16808337754494601</v>
      </c>
      <c r="I144" s="91">
        <v>2.0223266795641899</v>
      </c>
      <c r="J144" s="91"/>
      <c r="K144" s="91"/>
      <c r="L144" s="89"/>
      <c r="M144" s="89"/>
      <c r="O144" s="11">
        <f t="shared" ca="1" si="37"/>
        <v>1.0725690800277769E-5</v>
      </c>
      <c r="P144" s="11">
        <f t="shared" ca="1" si="38"/>
        <v>3.9235796887481336E-5</v>
      </c>
      <c r="Q144" s="11">
        <f t="shared" ca="1" si="39"/>
        <v>1.2583233113410645E-2</v>
      </c>
      <c r="R144" s="11">
        <f t="shared" ca="1" si="40"/>
        <v>2.4075094401833841E-4</v>
      </c>
      <c r="S144" s="11">
        <f t="shared" ca="1" si="41"/>
        <v>0.23187168522292598</v>
      </c>
      <c r="T144" s="11">
        <f t="shared" ca="1" si="42"/>
        <v>0.1675928382015219</v>
      </c>
      <c r="U144" s="11">
        <f t="shared" ca="1" si="43"/>
        <v>2.0168192399987364</v>
      </c>
      <c r="V144" s="11"/>
      <c r="W144" s="11">
        <f t="shared" ca="1" si="63"/>
        <v>0</v>
      </c>
      <c r="X144" s="2">
        <f t="shared" ca="1" si="64"/>
        <v>3.7002439993982535E-5</v>
      </c>
      <c r="Y144" s="2">
        <f t="shared" ca="1" si="65"/>
        <v>1.2548713119787357E-2</v>
      </c>
      <c r="Z144" s="11">
        <f t="shared" ca="1" si="66"/>
        <v>2.4075094401833841E-4</v>
      </c>
      <c r="AA144" s="2">
        <f t="shared" ca="1" si="67"/>
        <v>0.23187161708637891</v>
      </c>
      <c r="AB144" s="11">
        <f t="shared" ca="1" si="68"/>
        <v>0.1675928382015219</v>
      </c>
      <c r="AC144" s="2">
        <f t="shared" ca="1" si="69"/>
        <v>2.016816146385854</v>
      </c>
      <c r="AF144" s="11">
        <f t="shared" ca="1" si="70"/>
        <v>0</v>
      </c>
      <c r="AG144" s="2">
        <f t="shared" ca="1" si="71"/>
        <v>3.4764467415872027E-5</v>
      </c>
      <c r="AH144" s="2">
        <f t="shared" ca="1" si="72"/>
        <v>1.25140965065595E-2</v>
      </c>
      <c r="AI144" s="2">
        <f t="shared" ca="1" si="73"/>
        <v>2.4073600742537942E-4</v>
      </c>
      <c r="AJ144" s="2">
        <f t="shared" ca="1" si="74"/>
        <v>0.23187131841975883</v>
      </c>
      <c r="AK144" s="2">
        <f t="shared" ca="1" si="75"/>
        <v>0.16759199391610802</v>
      </c>
      <c r="AL144" s="2">
        <f t="shared" ca="1" si="76"/>
        <v>2.0168126738775758</v>
      </c>
      <c r="AN144" s="2">
        <f t="shared" ca="1" si="54"/>
        <v>8.69799707566591</v>
      </c>
      <c r="AO144" s="2">
        <f t="shared" ca="1" si="55"/>
        <v>0.4007132329883572</v>
      </c>
      <c r="AP144" s="2">
        <f t="shared" ca="1" si="56"/>
        <v>9.6472089122587383E-5</v>
      </c>
      <c r="AQ144" s="2">
        <f t="shared" ca="1" si="57"/>
        <v>0.16749636611239932</v>
      </c>
      <c r="AR144" s="2">
        <f t="shared" ca="1" si="58"/>
        <v>0.70873985294597686</v>
      </c>
      <c r="AS144" s="2">
        <f t="shared" ca="1" si="59"/>
        <v>5.6409205661272145E-2</v>
      </c>
      <c r="AT144" s="9" t="str">
        <f t="shared" ca="1" si="60"/>
        <v>rejected</v>
      </c>
      <c r="AU144" s="9" t="e">
        <f t="shared" ca="1" si="61"/>
        <v>#N/A</v>
      </c>
      <c r="AW144" s="2">
        <f t="shared" ca="1" si="77"/>
        <v>8.6979825172966017</v>
      </c>
      <c r="AX144" s="2">
        <f t="shared" ca="1" si="78"/>
        <v>0.40071255415537949</v>
      </c>
      <c r="AY144" s="2">
        <f t="shared" ca="1" si="79"/>
        <v>9.6465940412592192E-5</v>
      </c>
      <c r="AZ144" s="2">
        <f t="shared" ca="1" si="80"/>
        <v>0.16749552797569542</v>
      </c>
      <c r="BA144" s="2">
        <f t="shared" ca="1" si="81"/>
        <v>0.70873802503567829</v>
      </c>
      <c r="BB144" s="2">
        <f t="shared" ca="1" si="82"/>
        <v>5.6099266765600841E-2</v>
      </c>
      <c r="BC144" s="9" t="str">
        <f t="shared" ca="1" si="62"/>
        <v>rejected</v>
      </c>
      <c r="BD144" s="9" t="e">
        <f t="shared" ca="1" si="83"/>
        <v>#N/A</v>
      </c>
    </row>
    <row r="145" spans="1:56" ht="15" x14ac:dyDescent="0.25">
      <c r="A145" s="90">
        <v>79</v>
      </c>
      <c r="B145" s="90">
        <v>1542620860.0880001</v>
      </c>
      <c r="C145" s="91">
        <v>4.2712031906117501E-4</v>
      </c>
      <c r="D145" s="91">
        <v>1.8934992404731399E-4</v>
      </c>
      <c r="E145" s="91">
        <v>1.7228461357961002E-2</v>
      </c>
      <c r="F145" s="91">
        <v>2.8963890820667398E-4</v>
      </c>
      <c r="G145" s="91">
        <v>0.28867712576528998</v>
      </c>
      <c r="H145" s="91">
        <v>0.20819486448785299</v>
      </c>
      <c r="I145" s="91">
        <v>2.50042896369377</v>
      </c>
      <c r="J145" s="91"/>
      <c r="K145" s="91"/>
      <c r="L145" s="89"/>
      <c r="M145" s="89"/>
      <c r="O145" s="11">
        <f t="shared" ca="1" si="37"/>
        <v>3.3333492896668766E-5</v>
      </c>
      <c r="P145" s="11">
        <f t="shared" ca="1" si="38"/>
        <v>2.5765866337094316E-5</v>
      </c>
      <c r="Q145" s="11">
        <f t="shared" ca="1" si="39"/>
        <v>1.5614431955583147E-2</v>
      </c>
      <c r="R145" s="11">
        <f t="shared" ca="1" si="40"/>
        <v>2.7478514808503836E-4</v>
      </c>
      <c r="S145" s="11">
        <f t="shared" ca="1" si="41"/>
        <v>0.28753132308143492</v>
      </c>
      <c r="T145" s="11">
        <f t="shared" ca="1" si="42"/>
        <v>0.20770432514442888</v>
      </c>
      <c r="U145" s="11">
        <f t="shared" ca="1" si="43"/>
        <v>2.4949215241283165</v>
      </c>
      <c r="V145" s="11"/>
      <c r="W145" s="11">
        <f t="shared" ca="1" si="63"/>
        <v>0</v>
      </c>
      <c r="X145" s="2">
        <f t="shared" ca="1" si="64"/>
        <v>1.8825000006765225E-5</v>
      </c>
      <c r="Y145" s="2">
        <f t="shared" ca="1" si="65"/>
        <v>1.5507150104589909E-2</v>
      </c>
      <c r="Z145" s="11">
        <f t="shared" ca="1" si="66"/>
        <v>2.7478514808503836E-4</v>
      </c>
      <c r="AA145" s="2">
        <f t="shared" ca="1" si="67"/>
        <v>0.28753111132546039</v>
      </c>
      <c r="AB145" s="11">
        <f t="shared" ca="1" si="68"/>
        <v>0.20770432514442888</v>
      </c>
      <c r="AC145" s="2">
        <f t="shared" ca="1" si="69"/>
        <v>2.4949119097431032</v>
      </c>
      <c r="AF145" s="11">
        <f t="shared" ca="1" si="70"/>
        <v>0</v>
      </c>
      <c r="AG145" s="2">
        <f t="shared" ca="1" si="71"/>
        <v>1.1869788969593226E-5</v>
      </c>
      <c r="AH145" s="2">
        <f t="shared" ca="1" si="72"/>
        <v>1.539956797746877E-2</v>
      </c>
      <c r="AI145" s="2">
        <f t="shared" ca="1" si="73"/>
        <v>2.747387278754155E-4</v>
      </c>
      <c r="AJ145" s="2">
        <f t="shared" ca="1" si="74"/>
        <v>0.28753018312401918</v>
      </c>
      <c r="AK145" s="2">
        <f t="shared" ca="1" si="75"/>
        <v>0.20770377070825452</v>
      </c>
      <c r="AL145" s="2">
        <f t="shared" ca="1" si="76"/>
        <v>2.4949011178200289</v>
      </c>
      <c r="AN145" s="2">
        <f t="shared" ca="1" si="54"/>
        <v>8.6770425475408199</v>
      </c>
      <c r="AO145" s="2">
        <f t="shared" ca="1" si="55"/>
        <v>0.39973617185058502</v>
      </c>
      <c r="AP145" s="2">
        <f t="shared" ca="1" si="56"/>
        <v>1.0984156317690934E-4</v>
      </c>
      <c r="AQ145" s="2">
        <f t="shared" ca="1" si="57"/>
        <v>0.20759448358125196</v>
      </c>
      <c r="AR145" s="2">
        <f t="shared" ca="1" si="58"/>
        <v>0.70923042594399088</v>
      </c>
      <c r="AS145" s="2">
        <f t="shared" ca="1" si="59"/>
        <v>5.6308583338821598E-2</v>
      </c>
      <c r="AT145" s="9">
        <f t="shared" ca="1" si="60"/>
        <v>0.70923042594399088</v>
      </c>
      <c r="AU145" s="9">
        <f t="shared" ca="1" si="61"/>
        <v>0.70923042594399088</v>
      </c>
      <c r="AW145" s="2">
        <f t="shared" ca="1" si="77"/>
        <v>8.6770059779912341</v>
      </c>
      <c r="AX145" s="2">
        <f t="shared" ca="1" si="78"/>
        <v>0.39973446672214019</v>
      </c>
      <c r="AY145" s="2">
        <f t="shared" ca="1" si="79"/>
        <v>1.098225388751984E-4</v>
      </c>
      <c r="AZ145" s="2">
        <f t="shared" ca="1" si="80"/>
        <v>0.20759394816937932</v>
      </c>
      <c r="BA145" s="2">
        <f t="shared" ca="1" si="81"/>
        <v>0.70923291387577536</v>
      </c>
      <c r="BB145" s="2">
        <f t="shared" ca="1" si="82"/>
        <v>5.55337240355002E-2</v>
      </c>
      <c r="BC145" s="9">
        <f t="shared" ca="1" si="62"/>
        <v>0.70923291387577536</v>
      </c>
      <c r="BD145" s="9">
        <f t="shared" ca="1" si="83"/>
        <v>0.70923291387577536</v>
      </c>
    </row>
    <row r="146" spans="1:56" ht="15" x14ac:dyDescent="0.25">
      <c r="A146" s="90">
        <v>80</v>
      </c>
      <c r="B146" s="90">
        <v>1542620860.615</v>
      </c>
      <c r="C146" s="91">
        <v>4.2117084784254802E-4</v>
      </c>
      <c r="D146" s="91">
        <v>1.58866019445567E-4</v>
      </c>
      <c r="E146" s="91">
        <v>1.7881606349849598E-2</v>
      </c>
      <c r="F146" s="91">
        <v>3.2177016512862999E-4</v>
      </c>
      <c r="G146" s="91">
        <v>0.30042898884057301</v>
      </c>
      <c r="H146" s="91">
        <v>0.216963159222748</v>
      </c>
      <c r="I146" s="91">
        <v>2.6084910848130201</v>
      </c>
      <c r="J146" s="91"/>
      <c r="K146" s="91"/>
      <c r="L146" s="89"/>
      <c r="M146" s="89"/>
      <c r="O146" s="11">
        <f t="shared" ref="O146:O209" ca="1" si="84">C146-AVERAGE(OFFSET(C$67,$J$2,0,$J$3))</f>
        <v>2.7384021678041775E-5</v>
      </c>
      <c r="P146" s="11">
        <f t="shared" ref="P146:P209" ca="1" si="85">D146-AVERAGE(OFFSET(D$67,$J$2,0,$J$3))</f>
        <v>-4.718038264652668E-6</v>
      </c>
      <c r="Q146" s="11">
        <f t="shared" ref="Q146:Q209" ca="1" si="86">E146-AVERAGE(OFFSET(E$67,$J$2,0,$J$3))</f>
        <v>1.6267576947471746E-2</v>
      </c>
      <c r="R146" s="11">
        <f t="shared" ref="R146:R209" ca="1" si="87">F146-AVERAGE(OFFSET(F$67,$J$2,0,$J$3))</f>
        <v>3.0691640500699437E-4</v>
      </c>
      <c r="S146" s="11">
        <f t="shared" ref="S146:S209" ca="1" si="88">G146-AVERAGE(OFFSET(G$67,$J$2,0,$J$3))</f>
        <v>0.29928318615671795</v>
      </c>
      <c r="T146" s="11">
        <f t="shared" ref="T146:T209" ca="1" si="89">H146-AVERAGE(OFFSET(H$67,$J$2,0,$J$3))</f>
        <v>0.2164726198793239</v>
      </c>
      <c r="U146" s="11">
        <f t="shared" ref="U146:U209" ca="1" si="90">I146-AVERAGE(OFFSET(I$67,$J$2,0,$J$3))</f>
        <v>2.6029836452475665</v>
      </c>
      <c r="V146" s="11"/>
      <c r="W146" s="11">
        <f t="shared" ca="1" si="63"/>
        <v>0</v>
      </c>
      <c r="X146" s="2">
        <f t="shared" ca="1" si="64"/>
        <v>-1.0420075991191579E-5</v>
      </c>
      <c r="Y146" s="2">
        <f t="shared" ca="1" si="65"/>
        <v>1.6179443113361822E-2</v>
      </c>
      <c r="Z146" s="11">
        <f t="shared" ca="1" si="66"/>
        <v>3.0691640500699437E-4</v>
      </c>
      <c r="AA146" s="2">
        <f t="shared" ca="1" si="67"/>
        <v>0.29928301219564479</v>
      </c>
      <c r="AB146" s="11">
        <f t="shared" ca="1" si="68"/>
        <v>0.2164726198793239</v>
      </c>
      <c r="AC146" s="2">
        <f t="shared" ca="1" si="69"/>
        <v>2.6029757468693822</v>
      </c>
      <c r="AF146" s="11">
        <f t="shared" ca="1" si="70"/>
        <v>0</v>
      </c>
      <c r="AG146" s="2">
        <f t="shared" ca="1" si="71"/>
        <v>-1.6133898134214206E-5</v>
      </c>
      <c r="AH146" s="2">
        <f t="shared" ca="1" si="72"/>
        <v>1.6091062597392864E-2</v>
      </c>
      <c r="AI146" s="2">
        <f t="shared" ca="1" si="73"/>
        <v>3.0687827002874433E-4</v>
      </c>
      <c r="AJ146" s="2">
        <f t="shared" ca="1" si="74"/>
        <v>0.29928224966264333</v>
      </c>
      <c r="AK146" s="2">
        <f t="shared" ca="1" si="75"/>
        <v>0.2164726198793239</v>
      </c>
      <c r="AL146" s="2">
        <f t="shared" ca="1" si="76"/>
        <v>2.6029668811241593</v>
      </c>
      <c r="AN146" s="2">
        <f t="shared" ca="1" si="54"/>
        <v>8.6973935244211447</v>
      </c>
      <c r="AO146" s="2">
        <f t="shared" ca="1" si="55"/>
        <v>0.40068509039136196</v>
      </c>
      <c r="AP146" s="2">
        <f t="shared" ca="1" si="56"/>
        <v>1.2297682748281939E-4</v>
      </c>
      <c r="AQ146" s="2">
        <f t="shared" ca="1" si="57"/>
        <v>0.21634964305184107</v>
      </c>
      <c r="AR146" s="2">
        <f t="shared" ca="1" si="58"/>
        <v>0.70928083326099844</v>
      </c>
      <c r="AS146" s="2">
        <f t="shared" ca="1" si="59"/>
        <v>5.6495671371499599E-2</v>
      </c>
      <c r="AT146" s="9">
        <f t="shared" ca="1" si="60"/>
        <v>0.70928083326099844</v>
      </c>
      <c r="AU146" s="9">
        <f t="shared" ca="1" si="61"/>
        <v>0.70928083326099844</v>
      </c>
      <c r="AW146" s="2">
        <f t="shared" ca="1" si="77"/>
        <v>8.6973647252995239</v>
      </c>
      <c r="AX146" s="2">
        <f t="shared" ca="1" si="78"/>
        <v>0.40068374753651192</v>
      </c>
      <c r="AY146" s="2">
        <f t="shared" ca="1" si="79"/>
        <v>1.2296113527263892E-4</v>
      </c>
      <c r="AZ146" s="2">
        <f t="shared" ca="1" si="80"/>
        <v>0.21634965874405127</v>
      </c>
      <c r="BA146" s="2">
        <f t="shared" ca="1" si="81"/>
        <v>0.70928428688484035</v>
      </c>
      <c r="BB146" s="2">
        <f t="shared" ca="1" si="82"/>
        <v>5.588264016908067E-2</v>
      </c>
      <c r="BC146" s="9">
        <f t="shared" ca="1" si="62"/>
        <v>0.70928428688484035</v>
      </c>
      <c r="BD146" s="9">
        <f t="shared" ca="1" si="83"/>
        <v>0.70928428688484035</v>
      </c>
    </row>
    <row r="147" spans="1:56" ht="15" x14ac:dyDescent="0.25">
      <c r="A147" s="90">
        <v>81</v>
      </c>
      <c r="B147" s="90">
        <v>1542620861.142</v>
      </c>
      <c r="C147" s="91">
        <v>5.2826675226197298E-4</v>
      </c>
      <c r="D147" s="91">
        <v>1.59338630975591E-4</v>
      </c>
      <c r="E147" s="91">
        <v>1.7118557857155398E-2</v>
      </c>
      <c r="F147" s="91">
        <v>2.00628824295931E-4</v>
      </c>
      <c r="G147" s="91">
        <v>0.28679959722907</v>
      </c>
      <c r="H147" s="91">
        <v>0.20712912380543899</v>
      </c>
      <c r="I147" s="91">
        <v>2.4945615016602498</v>
      </c>
      <c r="J147" s="91"/>
      <c r="K147" s="91"/>
      <c r="L147" s="89"/>
      <c r="M147" s="89"/>
      <c r="O147" s="11">
        <f t="shared" ca="1" si="84"/>
        <v>1.3447992609746674E-4</v>
      </c>
      <c r="P147" s="11">
        <f t="shared" ca="1" si="85"/>
        <v>-4.2454267346286694E-6</v>
      </c>
      <c r="Q147" s="11">
        <f t="shared" ca="1" si="86"/>
        <v>1.5504528454777544E-2</v>
      </c>
      <c r="R147" s="11">
        <f t="shared" ca="1" si="87"/>
        <v>1.8577506417429538E-4</v>
      </c>
      <c r="S147" s="11">
        <f t="shared" ca="1" si="88"/>
        <v>0.28565379454521495</v>
      </c>
      <c r="T147" s="11">
        <f t="shared" ca="1" si="89"/>
        <v>0.20663858446201488</v>
      </c>
      <c r="U147" s="11">
        <f t="shared" ca="1" si="90"/>
        <v>2.4890540620947963</v>
      </c>
      <c r="V147" s="11"/>
      <c r="W147" s="11">
        <f t="shared" ca="1" si="63"/>
        <v>0</v>
      </c>
      <c r="X147" s="2">
        <f t="shared" ca="1" si="64"/>
        <v>-3.2247508426113593E-5</v>
      </c>
      <c r="Y147" s="2">
        <f t="shared" ca="1" si="65"/>
        <v>1.5071712864827414E-2</v>
      </c>
      <c r="Z147" s="11">
        <f t="shared" ca="1" si="66"/>
        <v>1.8577506417429538E-4</v>
      </c>
      <c r="AA147" s="2">
        <f t="shared" ca="1" si="67"/>
        <v>0.28565294024147025</v>
      </c>
      <c r="AB147" s="11">
        <f t="shared" ca="1" si="68"/>
        <v>0.20663858446201488</v>
      </c>
      <c r="AC147" s="2">
        <f t="shared" ca="1" si="69"/>
        <v>2.4890152740260829</v>
      </c>
      <c r="AF147" s="11">
        <f t="shared" ca="1" si="70"/>
        <v>0</v>
      </c>
      <c r="AG147" s="2">
        <f t="shared" ca="1" si="71"/>
        <v>-6.0307462094054878E-5</v>
      </c>
      <c r="AH147" s="2">
        <f t="shared" ca="1" si="72"/>
        <v>1.46376858473316E-2</v>
      </c>
      <c r="AI147" s="2">
        <f t="shared" ca="1" si="73"/>
        <v>1.8558778747998484E-4</v>
      </c>
      <c r="AJ147" s="2">
        <f t="shared" ca="1" si="74"/>
        <v>0.2856491955255594</v>
      </c>
      <c r="AK147" s="2">
        <f t="shared" ca="1" si="75"/>
        <v>0.20663858446201488</v>
      </c>
      <c r="AL147" s="2">
        <f t="shared" ca="1" si="76"/>
        <v>2.4889717353239744</v>
      </c>
      <c r="AN147" s="2">
        <f t="shared" ca="1" si="54"/>
        <v>8.7135340388444043</v>
      </c>
      <c r="AO147" s="2">
        <f t="shared" ca="1" si="55"/>
        <v>0.40143770405001261</v>
      </c>
      <c r="AP147" s="2">
        <f t="shared" ca="1" si="56"/>
        <v>7.4577115231872886E-5</v>
      </c>
      <c r="AQ147" s="2">
        <f t="shared" ca="1" si="57"/>
        <v>0.20656400734678301</v>
      </c>
      <c r="AR147" s="2">
        <f t="shared" ca="1" si="58"/>
        <v>0.70884864522162472</v>
      </c>
      <c r="AS147" s="2">
        <f t="shared" ca="1" si="59"/>
        <v>5.6521947957152568E-2</v>
      </c>
      <c r="AT147" s="9">
        <f t="shared" ca="1" si="60"/>
        <v>0.70884864522162472</v>
      </c>
      <c r="AU147" s="9">
        <f t="shared" ca="1" si="61"/>
        <v>0.70884864522162472</v>
      </c>
      <c r="AW147" s="2">
        <f t="shared" ca="1" si="77"/>
        <v>8.7133861194482716</v>
      </c>
      <c r="AX147" s="2">
        <f t="shared" ca="1" si="78"/>
        <v>0.40143080666156056</v>
      </c>
      <c r="AY147" s="2">
        <f t="shared" ca="1" si="79"/>
        <v>7.4500655234624582E-5</v>
      </c>
      <c r="AZ147" s="2">
        <f t="shared" ca="1" si="80"/>
        <v>0.20656408380678026</v>
      </c>
      <c r="BA147" s="2">
        <f t="shared" ca="1" si="81"/>
        <v>0.70886638029848792</v>
      </c>
      <c r="BB147" s="2">
        <f t="shared" ca="1" si="82"/>
        <v>5.336179483907115E-2</v>
      </c>
      <c r="BC147" s="9">
        <f t="shared" ca="1" si="62"/>
        <v>0.70886638029848792</v>
      </c>
      <c r="BD147" s="9">
        <f t="shared" ca="1" si="83"/>
        <v>0.70886638029848792</v>
      </c>
    </row>
    <row r="148" spans="1:56" ht="15" x14ac:dyDescent="0.25">
      <c r="A148" s="90">
        <v>82</v>
      </c>
      <c r="B148" s="90">
        <v>1542620861.6689999</v>
      </c>
      <c r="C148" s="91">
        <v>2.8077361363762498E-4</v>
      </c>
      <c r="D148" s="91">
        <v>1.9525776581551599E-4</v>
      </c>
      <c r="E148" s="91">
        <v>1.67939893910013E-2</v>
      </c>
      <c r="F148" s="91">
        <v>1.24238794556121E-4</v>
      </c>
      <c r="G148" s="91">
        <v>0.28044540853557098</v>
      </c>
      <c r="H148" s="91">
        <v>0.20252555439730299</v>
      </c>
      <c r="I148" s="91">
        <v>2.4347807605335401</v>
      </c>
      <c r="J148" s="91"/>
      <c r="K148" s="91"/>
      <c r="L148" s="89"/>
      <c r="M148" s="89"/>
      <c r="O148" s="11">
        <f t="shared" ca="1" si="84"/>
        <v>-1.1301321252688126E-4</v>
      </c>
      <c r="P148" s="11">
        <f t="shared" ca="1" si="85"/>
        <v>3.1673708105296316E-5</v>
      </c>
      <c r="Q148" s="11">
        <f t="shared" ca="1" si="86"/>
        <v>1.5179959988623445E-2</v>
      </c>
      <c r="R148" s="11">
        <f t="shared" ca="1" si="87"/>
        <v>1.0938503443448537E-4</v>
      </c>
      <c r="S148" s="11">
        <f t="shared" ca="1" si="88"/>
        <v>0.27929960585171593</v>
      </c>
      <c r="T148" s="11">
        <f t="shared" ca="1" si="89"/>
        <v>0.20203501505387889</v>
      </c>
      <c r="U148" s="11">
        <f t="shared" ca="1" si="90"/>
        <v>2.4292733209680866</v>
      </c>
      <c r="V148" s="11"/>
      <c r="W148" s="11">
        <f t="shared" ca="1" si="63"/>
        <v>0</v>
      </c>
      <c r="X148" s="2">
        <f t="shared" ca="1" si="64"/>
        <v>3.1673708105296316E-5</v>
      </c>
      <c r="Y148" s="2">
        <f t="shared" ca="1" si="65"/>
        <v>1.5179959988623445E-2</v>
      </c>
      <c r="Z148" s="11">
        <f t="shared" ca="1" si="66"/>
        <v>1.0938503443448537E-4</v>
      </c>
      <c r="AA148" s="2">
        <f t="shared" ca="1" si="67"/>
        <v>0.27929960585171593</v>
      </c>
      <c r="AB148" s="11">
        <f t="shared" ca="1" si="68"/>
        <v>0.20203501505387889</v>
      </c>
      <c r="AC148" s="2">
        <f t="shared" ca="1" si="69"/>
        <v>2.4292733209680866</v>
      </c>
      <c r="AF148" s="11">
        <f t="shared" ca="1" si="70"/>
        <v>0</v>
      </c>
      <c r="AG148" s="2">
        <f t="shared" ca="1" si="71"/>
        <v>3.1673708105296316E-5</v>
      </c>
      <c r="AH148" s="2">
        <f t="shared" ca="1" si="72"/>
        <v>1.5179959988623445E-2</v>
      </c>
      <c r="AI148" s="2">
        <f t="shared" ca="1" si="73"/>
        <v>1.0938503443448537E-4</v>
      </c>
      <c r="AJ148" s="2">
        <f t="shared" ca="1" si="74"/>
        <v>0.27929960585171593</v>
      </c>
      <c r="AK148" s="2">
        <f t="shared" ca="1" si="75"/>
        <v>0.20203433349132943</v>
      </c>
      <c r="AL148" s="2">
        <f t="shared" ca="1" si="76"/>
        <v>2.4292733209680866</v>
      </c>
      <c r="AN148" s="2">
        <f t="shared" ca="1" si="54"/>
        <v>8.6977327216774576</v>
      </c>
      <c r="AO148" s="2">
        <f t="shared" ca="1" si="55"/>
        <v>0.40070090659588409</v>
      </c>
      <c r="AP148" s="2">
        <f t="shared" ca="1" si="56"/>
        <v>4.3830682465920289E-5</v>
      </c>
      <c r="AQ148" s="2">
        <f t="shared" ca="1" si="57"/>
        <v>0.20199118437141297</v>
      </c>
      <c r="AR148" s="2">
        <f t="shared" ca="1" si="58"/>
        <v>0.70957437491300801</v>
      </c>
      <c r="AS148" s="2">
        <f t="shared" ca="1" si="59"/>
        <v>5.6492690389711983E-2</v>
      </c>
      <c r="AT148" s="9">
        <f t="shared" ca="1" si="60"/>
        <v>0.70957437491300801</v>
      </c>
      <c r="AU148" s="9">
        <f t="shared" ca="1" si="61"/>
        <v>0.70957437491300801</v>
      </c>
      <c r="AW148" s="2">
        <f t="shared" ca="1" si="77"/>
        <v>8.6977327216774576</v>
      </c>
      <c r="AX148" s="2">
        <f t="shared" ca="1" si="78"/>
        <v>0.40070090659588409</v>
      </c>
      <c r="AY148" s="2">
        <f t="shared" ca="1" si="79"/>
        <v>4.3830682465920289E-5</v>
      </c>
      <c r="AZ148" s="2">
        <f t="shared" ca="1" si="80"/>
        <v>0.20199050280886352</v>
      </c>
      <c r="BA148" s="2">
        <f t="shared" ca="1" si="81"/>
        <v>0.70957198065346905</v>
      </c>
      <c r="BB148" s="2">
        <f t="shared" ca="1" si="82"/>
        <v>5.6492690389711983E-2</v>
      </c>
      <c r="BC148" s="9">
        <f t="shared" ca="1" si="62"/>
        <v>0.70957198065346905</v>
      </c>
      <c r="BD148" s="9">
        <f t="shared" ca="1" si="83"/>
        <v>0.70957198065346905</v>
      </c>
    </row>
    <row r="149" spans="1:56" ht="15" x14ac:dyDescent="0.25">
      <c r="A149" s="90">
        <v>83</v>
      </c>
      <c r="B149" s="90">
        <v>1542620862.1949999</v>
      </c>
      <c r="C149" s="91">
        <v>2.9148118204314402E-4</v>
      </c>
      <c r="D149" s="91">
        <v>1.0380831662694999E-4</v>
      </c>
      <c r="E149" s="91">
        <v>1.75275558250335E-2</v>
      </c>
      <c r="F149" s="91">
        <v>9.6873071492866903E-5</v>
      </c>
      <c r="G149" s="91">
        <v>0.29444987043274001</v>
      </c>
      <c r="H149" s="91">
        <v>0.212529983876006</v>
      </c>
      <c r="I149" s="91">
        <v>2.5557020943678501</v>
      </c>
      <c r="J149" s="91"/>
      <c r="K149" s="91"/>
      <c r="L149" s="89"/>
      <c r="M149" s="89"/>
      <c r="O149" s="11">
        <f t="shared" ca="1" si="84"/>
        <v>-1.0230564412136222E-4</v>
      </c>
      <c r="P149" s="11">
        <f t="shared" ca="1" si="85"/>
        <v>-5.9775741083269678E-5</v>
      </c>
      <c r="Q149" s="11">
        <f t="shared" ca="1" si="86"/>
        <v>1.5913526422655647E-2</v>
      </c>
      <c r="R149" s="11">
        <f t="shared" ca="1" si="87"/>
        <v>8.2019311371231277E-5</v>
      </c>
      <c r="S149" s="11">
        <f t="shared" ca="1" si="88"/>
        <v>0.29330406774888496</v>
      </c>
      <c r="T149" s="11">
        <f t="shared" ca="1" si="89"/>
        <v>0.21203944453258189</v>
      </c>
      <c r="U149" s="11">
        <f t="shared" ca="1" si="90"/>
        <v>2.5501946548023966</v>
      </c>
      <c r="V149" s="11"/>
      <c r="W149" s="11">
        <f t="shared" ca="1" si="63"/>
        <v>0</v>
      </c>
      <c r="X149" s="2">
        <f t="shared" ca="1" si="64"/>
        <v>-5.9775741083269678E-5</v>
      </c>
      <c r="Y149" s="2">
        <f t="shared" ca="1" si="65"/>
        <v>1.5913526422655647E-2</v>
      </c>
      <c r="Z149" s="11">
        <f t="shared" ca="1" si="66"/>
        <v>8.2019311371231277E-5</v>
      </c>
      <c r="AA149" s="2">
        <f t="shared" ca="1" si="67"/>
        <v>0.29330406774888496</v>
      </c>
      <c r="AB149" s="11">
        <f t="shared" ca="1" si="68"/>
        <v>0.21203944453258189</v>
      </c>
      <c r="AC149" s="2">
        <f t="shared" ca="1" si="69"/>
        <v>2.5501946548023966</v>
      </c>
      <c r="AF149" s="11">
        <f t="shared" ca="1" si="70"/>
        <v>0</v>
      </c>
      <c r="AG149" s="2">
        <f t="shared" ca="1" si="71"/>
        <v>-5.9775741083269678E-5</v>
      </c>
      <c r="AH149" s="2">
        <f t="shared" ca="1" si="72"/>
        <v>1.5913526422655647E-2</v>
      </c>
      <c r="AI149" s="2">
        <f t="shared" ca="1" si="73"/>
        <v>8.2019311371231277E-5</v>
      </c>
      <c r="AJ149" s="2">
        <f t="shared" ca="1" si="74"/>
        <v>0.29330406774888496</v>
      </c>
      <c r="AK149" s="2">
        <f t="shared" ca="1" si="75"/>
        <v>0.21203944453258189</v>
      </c>
      <c r="AL149" s="2">
        <f t="shared" ca="1" si="76"/>
        <v>2.5501946548023966</v>
      </c>
      <c r="AN149" s="2">
        <f t="shared" ca="1" si="54"/>
        <v>8.6947128772375901</v>
      </c>
      <c r="AO149" s="2">
        <f t="shared" ca="1" si="55"/>
        <v>0.40056009653001445</v>
      </c>
      <c r="AP149" s="2">
        <f t="shared" ca="1" si="56"/>
        <v>3.2853663280185711E-5</v>
      </c>
      <c r="AQ149" s="2">
        <f t="shared" ca="1" si="57"/>
        <v>0.21200659086930171</v>
      </c>
      <c r="AR149" s="2">
        <f t="shared" ca="1" si="58"/>
        <v>0.70932138785866561</v>
      </c>
      <c r="AS149" s="2">
        <f t="shared" ca="1" si="59"/>
        <v>5.6374925124306356E-2</v>
      </c>
      <c r="AT149" s="9">
        <f t="shared" ca="1" si="60"/>
        <v>0.70932138785866561</v>
      </c>
      <c r="AU149" s="9">
        <f t="shared" ca="1" si="61"/>
        <v>0.70932138785866561</v>
      </c>
      <c r="AW149" s="2">
        <f t="shared" ca="1" si="77"/>
        <v>8.6947128772375901</v>
      </c>
      <c r="AX149" s="2">
        <f t="shared" ca="1" si="78"/>
        <v>0.40056009653001445</v>
      </c>
      <c r="AY149" s="2">
        <f t="shared" ca="1" si="79"/>
        <v>3.2853663280185711E-5</v>
      </c>
      <c r="AZ149" s="2">
        <f t="shared" ca="1" si="80"/>
        <v>0.21200659086930171</v>
      </c>
      <c r="BA149" s="2">
        <f t="shared" ca="1" si="81"/>
        <v>0.70932138785866561</v>
      </c>
      <c r="BB149" s="2">
        <f t="shared" ca="1" si="82"/>
        <v>5.6374925124306356E-2</v>
      </c>
      <c r="BC149" s="9">
        <f t="shared" ca="1" si="62"/>
        <v>0.70932138785866561</v>
      </c>
      <c r="BD149" s="9">
        <f t="shared" ca="1" si="83"/>
        <v>0.70932138785866561</v>
      </c>
    </row>
    <row r="150" spans="1:56" ht="15" x14ac:dyDescent="0.25">
      <c r="A150" s="90">
        <v>84</v>
      </c>
      <c r="B150" s="90">
        <v>1542620862.7219999</v>
      </c>
      <c r="C150" s="91">
        <v>3.9071011042662201E-4</v>
      </c>
      <c r="D150" s="91">
        <v>2.3070555498616899E-4</v>
      </c>
      <c r="E150" s="91">
        <v>2.0501026691415E-2</v>
      </c>
      <c r="F150" s="91">
        <v>2.2085769226412201E-4</v>
      </c>
      <c r="G150" s="91">
        <v>0.35030480613997</v>
      </c>
      <c r="H150" s="91">
        <v>0.25241149455115203</v>
      </c>
      <c r="I150" s="91">
        <v>3.0343949850794001</v>
      </c>
      <c r="J150" s="91"/>
      <c r="K150" s="91"/>
      <c r="L150" s="89"/>
      <c r="M150" s="89"/>
      <c r="O150" s="11">
        <f t="shared" ca="1" si="84"/>
        <v>-3.0767157378842392E-6</v>
      </c>
      <c r="P150" s="11">
        <f t="shared" ca="1" si="85"/>
        <v>6.7121497275949324E-5</v>
      </c>
      <c r="Q150" s="11">
        <f t="shared" ca="1" si="86"/>
        <v>1.8886997289037148E-2</v>
      </c>
      <c r="R150" s="11">
        <f t="shared" ca="1" si="87"/>
        <v>2.0600393214248639E-4</v>
      </c>
      <c r="S150" s="11">
        <f t="shared" ca="1" si="88"/>
        <v>0.34915900345611495</v>
      </c>
      <c r="T150" s="11">
        <f t="shared" ca="1" si="89"/>
        <v>0.25192095520772795</v>
      </c>
      <c r="U150" s="11">
        <f t="shared" ca="1" si="90"/>
        <v>3.0288875455139466</v>
      </c>
      <c r="V150" s="11"/>
      <c r="W150" s="11">
        <f t="shared" ca="1" si="63"/>
        <v>0</v>
      </c>
      <c r="X150" s="2">
        <f t="shared" ca="1" si="64"/>
        <v>6.7121497275949324E-5</v>
      </c>
      <c r="Y150" s="2">
        <f t="shared" ca="1" si="65"/>
        <v>1.8886997289037148E-2</v>
      </c>
      <c r="Z150" s="11">
        <f t="shared" ca="1" si="66"/>
        <v>2.0600393214248639E-4</v>
      </c>
      <c r="AA150" s="2">
        <f t="shared" ca="1" si="67"/>
        <v>0.34915900345611495</v>
      </c>
      <c r="AB150" s="11">
        <f t="shared" ca="1" si="68"/>
        <v>0.25192095520772795</v>
      </c>
      <c r="AC150" s="2">
        <f t="shared" ca="1" si="69"/>
        <v>3.0288875455139466</v>
      </c>
      <c r="AF150" s="11">
        <f t="shared" ca="1" si="70"/>
        <v>0</v>
      </c>
      <c r="AG150" s="2">
        <f t="shared" ca="1" si="71"/>
        <v>6.7121497275949324E-5</v>
      </c>
      <c r="AH150" s="2">
        <f t="shared" ca="1" si="72"/>
        <v>1.8886997289037148E-2</v>
      </c>
      <c r="AI150" s="2">
        <f t="shared" ca="1" si="73"/>
        <v>2.0600393214248639E-4</v>
      </c>
      <c r="AJ150" s="2">
        <f t="shared" ca="1" si="74"/>
        <v>0.34915900345611495</v>
      </c>
      <c r="AK150" s="2">
        <f t="shared" ca="1" si="75"/>
        <v>0.25191951087103537</v>
      </c>
      <c r="AL150" s="2">
        <f t="shared" ca="1" si="76"/>
        <v>3.0288875455139466</v>
      </c>
      <c r="AN150" s="2">
        <f t="shared" ca="1" si="54"/>
        <v>8.67480865603582</v>
      </c>
      <c r="AO150" s="2">
        <f t="shared" ca="1" si="55"/>
        <v>0.39963201234791196</v>
      </c>
      <c r="AP150" s="2">
        <f t="shared" ca="1" si="56"/>
        <v>8.2325765953684534E-5</v>
      </c>
      <c r="AQ150" s="2">
        <f t="shared" ca="1" si="57"/>
        <v>0.25183862944177426</v>
      </c>
      <c r="AR150" s="2">
        <f t="shared" ca="1" si="58"/>
        <v>0.70861791470000568</v>
      </c>
      <c r="AS150" s="2">
        <f t="shared" ca="1" si="59"/>
        <v>5.6073649714700635E-2</v>
      </c>
      <c r="AT150" s="9" t="str">
        <f t="shared" ca="1" si="60"/>
        <v>rejected</v>
      </c>
      <c r="AU150" s="9" t="e">
        <f t="shared" ca="1" si="61"/>
        <v>#N/A</v>
      </c>
      <c r="AW150" s="2">
        <f t="shared" ca="1" si="77"/>
        <v>8.67480865603582</v>
      </c>
      <c r="AX150" s="2">
        <f t="shared" ca="1" si="78"/>
        <v>0.39963201234791196</v>
      </c>
      <c r="AY150" s="2">
        <f t="shared" ca="1" si="79"/>
        <v>8.2325765953684534E-5</v>
      </c>
      <c r="AZ150" s="2">
        <f t="shared" ca="1" si="80"/>
        <v>0.25183718510508168</v>
      </c>
      <c r="BA150" s="2">
        <f t="shared" ca="1" si="81"/>
        <v>0.70861385065765647</v>
      </c>
      <c r="BB150" s="2">
        <f t="shared" ca="1" si="82"/>
        <v>5.6073649714700635E-2</v>
      </c>
      <c r="BC150" s="9" t="str">
        <f t="shared" ca="1" si="62"/>
        <v>rejected</v>
      </c>
      <c r="BD150" s="9" t="e">
        <f t="shared" ca="1" si="83"/>
        <v>#N/A</v>
      </c>
    </row>
    <row r="151" spans="1:56" ht="15" x14ac:dyDescent="0.25">
      <c r="A151" s="90">
        <v>85</v>
      </c>
      <c r="B151" s="90">
        <v>1542620863.2490001</v>
      </c>
      <c r="C151" s="91">
        <v>3.9570751145548899E-4</v>
      </c>
      <c r="D151" s="91">
        <v>8.0651912100823605E-5</v>
      </c>
      <c r="E151" s="91">
        <v>2.32037136963462E-2</v>
      </c>
      <c r="F151" s="91">
        <v>3.1939003657484701E-4</v>
      </c>
      <c r="G151" s="91">
        <v>0.399241448857654</v>
      </c>
      <c r="H151" s="91">
        <v>0.28819477892484102</v>
      </c>
      <c r="I151" s="91">
        <v>3.4646316550807001</v>
      </c>
      <c r="J151" s="91"/>
      <c r="K151" s="91"/>
      <c r="L151" s="89"/>
      <c r="M151" s="89"/>
      <c r="O151" s="11">
        <f t="shared" ca="1" si="84"/>
        <v>1.9206852909827419E-6</v>
      </c>
      <c r="P151" s="11">
        <f t="shared" ca="1" si="85"/>
        <v>-8.2932145609396066E-5</v>
      </c>
      <c r="Q151" s="11">
        <f t="shared" ca="1" si="86"/>
        <v>2.1589684293968348E-2</v>
      </c>
      <c r="R151" s="11">
        <f t="shared" ca="1" si="87"/>
        <v>3.045362764532114E-4</v>
      </c>
      <c r="S151" s="11">
        <f t="shared" ca="1" si="88"/>
        <v>0.39809564617379894</v>
      </c>
      <c r="T151" s="11">
        <f t="shared" ca="1" si="89"/>
        <v>0.28770423958141689</v>
      </c>
      <c r="U151" s="11">
        <f t="shared" ca="1" si="90"/>
        <v>3.4591242155152466</v>
      </c>
      <c r="V151" s="11"/>
      <c r="W151" s="11">
        <f t="shared" ca="1" si="63"/>
        <v>0</v>
      </c>
      <c r="X151" s="2">
        <f t="shared" ca="1" si="64"/>
        <v>-8.3332080290968923E-5</v>
      </c>
      <c r="Y151" s="2">
        <f t="shared" ca="1" si="65"/>
        <v>2.1583502683363336E-2</v>
      </c>
      <c r="Z151" s="11">
        <f t="shared" ca="1" si="66"/>
        <v>3.045362764532114E-4</v>
      </c>
      <c r="AA151" s="2">
        <f t="shared" ca="1" si="67"/>
        <v>0.39809563397235981</v>
      </c>
      <c r="AB151" s="11">
        <f t="shared" ca="1" si="68"/>
        <v>0.28770423958141689</v>
      </c>
      <c r="AC151" s="2">
        <f t="shared" ca="1" si="69"/>
        <v>3.4591236615316507</v>
      </c>
      <c r="AF151" s="11">
        <f t="shared" ca="1" si="70"/>
        <v>0</v>
      </c>
      <c r="AG151" s="2">
        <f t="shared" ca="1" si="71"/>
        <v>-8.3732841518608286E-5</v>
      </c>
      <c r="AH151" s="2">
        <f t="shared" ca="1" si="72"/>
        <v>2.1577303770762883E-2</v>
      </c>
      <c r="AI151" s="2">
        <f t="shared" ca="1" si="73"/>
        <v>3.0453360170760031E-4</v>
      </c>
      <c r="AJ151" s="2">
        <f t="shared" ca="1" si="74"/>
        <v>0.39809558048913019</v>
      </c>
      <c r="AK151" s="2">
        <f t="shared" ca="1" si="75"/>
        <v>0.28770423958141689</v>
      </c>
      <c r="AL151" s="2">
        <f t="shared" ca="1" si="76"/>
        <v>3.4591230396979902</v>
      </c>
      <c r="AN151" s="2">
        <f t="shared" ca="1" si="54"/>
        <v>8.6891787156222158</v>
      </c>
      <c r="AO151" s="2">
        <f t="shared" ca="1" si="55"/>
        <v>0.40030204979039541</v>
      </c>
      <c r="AP151" s="2">
        <f t="shared" ca="1" si="56"/>
        <v>1.2190649569975506E-4</v>
      </c>
      <c r="AQ151" s="2">
        <f t="shared" ca="1" si="57"/>
        <v>0.28758233308571712</v>
      </c>
      <c r="AR151" s="2">
        <f t="shared" ca="1" si="58"/>
        <v>0.70912991196733299</v>
      </c>
      <c r="AS151" s="2">
        <f t="shared" ca="1" si="59"/>
        <v>5.6313634017263761E-2</v>
      </c>
      <c r="AT151" s="9">
        <f t="shared" ca="1" si="60"/>
        <v>0.70912991196733299</v>
      </c>
      <c r="AU151" s="9">
        <f t="shared" ca="1" si="61"/>
        <v>0.70912991196733299</v>
      </c>
      <c r="AW151" s="2">
        <f t="shared" ca="1" si="77"/>
        <v>8.6891771957072503</v>
      </c>
      <c r="AX151" s="2">
        <f t="shared" ca="1" si="78"/>
        <v>0.40030197892011476</v>
      </c>
      <c r="AY151" s="2">
        <f t="shared" ca="1" si="79"/>
        <v>1.2190540341122244E-4</v>
      </c>
      <c r="AZ151" s="2">
        <f t="shared" ca="1" si="80"/>
        <v>0.28758233417800566</v>
      </c>
      <c r="BA151" s="2">
        <f t="shared" ca="1" si="81"/>
        <v>0.70913009413160044</v>
      </c>
      <c r="BB151" s="2">
        <f t="shared" ca="1" si="82"/>
        <v>5.6281340388384934E-2</v>
      </c>
      <c r="BC151" s="9">
        <f t="shared" ca="1" si="62"/>
        <v>0.70913009413160044</v>
      </c>
      <c r="BD151" s="9">
        <f t="shared" ca="1" si="83"/>
        <v>0.70913009413160044</v>
      </c>
    </row>
    <row r="152" spans="1:56" ht="15" x14ac:dyDescent="0.25">
      <c r="A152" s="90">
        <v>86</v>
      </c>
      <c r="B152" s="90">
        <v>1542620863.777</v>
      </c>
      <c r="C152" s="91">
        <v>3.6738923623952298E-4</v>
      </c>
      <c r="D152" s="91">
        <v>2.3212349288857101E-4</v>
      </c>
      <c r="E152" s="91">
        <v>2.4808681505042202E-2</v>
      </c>
      <c r="F152" s="91">
        <v>2.5108276430864498E-4</v>
      </c>
      <c r="G152" s="91">
        <v>0.42896950711691201</v>
      </c>
      <c r="H152" s="91">
        <v>0.30974544618947503</v>
      </c>
      <c r="I152" s="91">
        <v>3.7239972632392</v>
      </c>
      <c r="J152" s="91"/>
      <c r="K152" s="91"/>
      <c r="L152" s="89"/>
      <c r="M152" s="89"/>
      <c r="O152" s="11">
        <f t="shared" ca="1" si="84"/>
        <v>-2.6397589924983264E-5</v>
      </c>
      <c r="P152" s="11">
        <f t="shared" ca="1" si="85"/>
        <v>6.8539435178351338E-5</v>
      </c>
      <c r="Q152" s="11">
        <f t="shared" ca="1" si="86"/>
        <v>2.3194652102664349E-2</v>
      </c>
      <c r="R152" s="11">
        <f t="shared" ca="1" si="87"/>
        <v>2.3622900418700937E-4</v>
      </c>
      <c r="S152" s="11">
        <f t="shared" ca="1" si="88"/>
        <v>0.42782370443305695</v>
      </c>
      <c r="T152" s="11">
        <f t="shared" ca="1" si="89"/>
        <v>0.30925490684605095</v>
      </c>
      <c r="U152" s="11">
        <f t="shared" ca="1" si="90"/>
        <v>3.7184898236737465</v>
      </c>
      <c r="V152" s="11"/>
      <c r="W152" s="11">
        <f t="shared" ca="1" si="63"/>
        <v>0</v>
      </c>
      <c r="X152" s="2">
        <f t="shared" ca="1" si="64"/>
        <v>6.8539435178351338E-5</v>
      </c>
      <c r="Y152" s="2">
        <f t="shared" ca="1" si="65"/>
        <v>2.3194652102664349E-2</v>
      </c>
      <c r="Z152" s="11">
        <f t="shared" ca="1" si="66"/>
        <v>2.3622900418700937E-4</v>
      </c>
      <c r="AA152" s="2">
        <f t="shared" ca="1" si="67"/>
        <v>0.42782370443305695</v>
      </c>
      <c r="AB152" s="11">
        <f t="shared" ca="1" si="68"/>
        <v>0.30925490684605095</v>
      </c>
      <c r="AC152" s="2">
        <f t="shared" ca="1" si="69"/>
        <v>3.7184898236737465</v>
      </c>
      <c r="AF152" s="11">
        <f t="shared" ca="1" si="70"/>
        <v>0</v>
      </c>
      <c r="AG152" s="2">
        <f t="shared" ca="1" si="71"/>
        <v>6.8539435178351338E-5</v>
      </c>
      <c r="AH152" s="2">
        <f t="shared" ca="1" si="72"/>
        <v>2.3194652102664349E-2</v>
      </c>
      <c r="AI152" s="2">
        <f t="shared" ca="1" si="73"/>
        <v>2.3622900418700937E-4</v>
      </c>
      <c r="AJ152" s="2">
        <f t="shared" ca="1" si="74"/>
        <v>0.42782370443305695</v>
      </c>
      <c r="AK152" s="2">
        <f t="shared" ca="1" si="75"/>
        <v>0.3092534319978259</v>
      </c>
      <c r="AL152" s="2">
        <f t="shared" ca="1" si="76"/>
        <v>3.7184898236737465</v>
      </c>
      <c r="AN152" s="2">
        <f t="shared" ca="1" si="54"/>
        <v>8.6916404704629713</v>
      </c>
      <c r="AO152" s="2">
        <f t="shared" ca="1" si="55"/>
        <v>0.40041683618313179</v>
      </c>
      <c r="AP152" s="2">
        <f t="shared" ca="1" si="56"/>
        <v>9.4590070471254091E-5</v>
      </c>
      <c r="AQ152" s="2">
        <f t="shared" ca="1" si="57"/>
        <v>0.3091603167755797</v>
      </c>
      <c r="AR152" s="2">
        <f t="shared" ca="1" si="58"/>
        <v>0.70926409611147068</v>
      </c>
      <c r="AS152" s="2">
        <f t="shared" ca="1" si="59"/>
        <v>5.6312342462229416E-2</v>
      </c>
      <c r="AT152" s="9">
        <f t="shared" ca="1" si="60"/>
        <v>0.70926409611147068</v>
      </c>
      <c r="AU152" s="9">
        <f t="shared" ca="1" si="61"/>
        <v>0.70926409611147068</v>
      </c>
      <c r="AW152" s="2">
        <f t="shared" ca="1" si="77"/>
        <v>8.6916404704629713</v>
      </c>
      <c r="AX152" s="2">
        <f t="shared" ca="1" si="78"/>
        <v>0.40041683618313179</v>
      </c>
      <c r="AY152" s="2">
        <f t="shared" ca="1" si="79"/>
        <v>9.4590070471254091E-5</v>
      </c>
      <c r="AZ152" s="2">
        <f t="shared" ca="1" si="80"/>
        <v>0.30915884192735466</v>
      </c>
      <c r="BA152" s="2">
        <f t="shared" ca="1" si="81"/>
        <v>0.70926071256954604</v>
      </c>
      <c r="BB152" s="2">
        <f t="shared" ca="1" si="82"/>
        <v>5.6312342462229416E-2</v>
      </c>
      <c r="BC152" s="9">
        <f t="shared" ca="1" si="62"/>
        <v>0.70926071256954604</v>
      </c>
      <c r="BD152" s="9">
        <f t="shared" ca="1" si="83"/>
        <v>0.70926071256954604</v>
      </c>
    </row>
    <row r="153" spans="1:56" ht="15" x14ac:dyDescent="0.25">
      <c r="A153" s="90">
        <v>87</v>
      </c>
      <c r="B153" s="90">
        <v>1542620864.3039999</v>
      </c>
      <c r="C153" s="91">
        <v>4.0260872541248501E-4</v>
      </c>
      <c r="D153" s="91">
        <v>1.2531117608882001E-4</v>
      </c>
      <c r="E153" s="91">
        <v>2.60584384485423E-2</v>
      </c>
      <c r="F153" s="91">
        <v>3.3557502259050099E-4</v>
      </c>
      <c r="G153" s="91">
        <v>0.449655376748962</v>
      </c>
      <c r="H153" s="91">
        <v>0.32469485482242999</v>
      </c>
      <c r="I153" s="91">
        <v>3.9041068008230302</v>
      </c>
      <c r="J153" s="91"/>
      <c r="K153" s="91"/>
      <c r="L153" s="89"/>
      <c r="M153" s="89"/>
      <c r="O153" s="11">
        <f t="shared" ca="1" si="84"/>
        <v>8.8218992479787632E-6</v>
      </c>
      <c r="P153" s="11">
        <f t="shared" ca="1" si="85"/>
        <v>-3.8272881621399666E-5</v>
      </c>
      <c r="Q153" s="11">
        <f t="shared" ca="1" si="86"/>
        <v>2.4444409046164448E-2</v>
      </c>
      <c r="R153" s="11">
        <f t="shared" ca="1" si="87"/>
        <v>3.2072126246886538E-4</v>
      </c>
      <c r="S153" s="11">
        <f t="shared" ca="1" si="88"/>
        <v>0.44850957406510694</v>
      </c>
      <c r="T153" s="11">
        <f t="shared" ca="1" si="89"/>
        <v>0.32420431547900586</v>
      </c>
      <c r="U153" s="11">
        <f t="shared" ca="1" si="90"/>
        <v>3.8985993612575767</v>
      </c>
      <c r="V153" s="11"/>
      <c r="W153" s="11">
        <f t="shared" ca="1" si="63"/>
        <v>0</v>
      </c>
      <c r="X153" s="2">
        <f t="shared" ca="1" si="64"/>
        <v>-4.0109821531947429E-5</v>
      </c>
      <c r="Y153" s="2">
        <f t="shared" ca="1" si="65"/>
        <v>2.4416016291659754E-2</v>
      </c>
      <c r="Z153" s="11">
        <f t="shared" ca="1" si="66"/>
        <v>3.2072126246886538E-4</v>
      </c>
      <c r="AA153" s="2">
        <f t="shared" ca="1" si="67"/>
        <v>0.44850951802267902</v>
      </c>
      <c r="AB153" s="11">
        <f t="shared" ca="1" si="68"/>
        <v>0.32420431547900586</v>
      </c>
      <c r="AC153" s="2">
        <f t="shared" ca="1" si="69"/>
        <v>3.8985968167556266</v>
      </c>
      <c r="AF153" s="11">
        <f t="shared" ca="1" si="70"/>
        <v>0</v>
      </c>
      <c r="AG153" s="2">
        <f t="shared" ca="1" si="71"/>
        <v>-4.1950557851077462E-5</v>
      </c>
      <c r="AH153" s="2">
        <f t="shared" ca="1" si="72"/>
        <v>2.4387544067363067E-2</v>
      </c>
      <c r="AI153" s="2">
        <f t="shared" ca="1" si="73"/>
        <v>3.2070897709530333E-4</v>
      </c>
      <c r="AJ153" s="2">
        <f t="shared" ca="1" si="74"/>
        <v>0.44850927236886706</v>
      </c>
      <c r="AK153" s="2">
        <f t="shared" ca="1" si="75"/>
        <v>0.32420431547900586</v>
      </c>
      <c r="AL153" s="2">
        <f t="shared" ca="1" si="76"/>
        <v>3.8985939606115569</v>
      </c>
      <c r="AN153" s="2">
        <f t="shared" ca="1" si="54"/>
        <v>8.6923436793606665</v>
      </c>
      <c r="AO153" s="2">
        <f t="shared" ca="1" si="55"/>
        <v>0.40044962539090828</v>
      </c>
      <c r="AP153" s="2">
        <f t="shared" ca="1" si="56"/>
        <v>1.2843270941055631E-4</v>
      </c>
      <c r="AQ153" s="2">
        <f t="shared" ca="1" si="57"/>
        <v>0.32407588276959531</v>
      </c>
      <c r="AR153" s="2">
        <f t="shared" ca="1" si="58"/>
        <v>0.70916350292785513</v>
      </c>
      <c r="AS153" s="2">
        <f t="shared" ca="1" si="59"/>
        <v>5.6614066586776229E-2</v>
      </c>
      <c r="AT153" s="9">
        <f t="shared" ca="1" si="60"/>
        <v>0.70916350292785513</v>
      </c>
      <c r="AU153" s="9">
        <f t="shared" ca="1" si="61"/>
        <v>0.70916350292785513</v>
      </c>
      <c r="AW153" s="2">
        <f t="shared" ca="1" si="77"/>
        <v>8.6923374850659503</v>
      </c>
      <c r="AX153" s="2">
        <f t="shared" ca="1" si="78"/>
        <v>0.40044933656334103</v>
      </c>
      <c r="AY153" s="2">
        <f t="shared" ca="1" si="79"/>
        <v>1.2842769710772194E-4</v>
      </c>
      <c r="AZ153" s="2">
        <f t="shared" ca="1" si="80"/>
        <v>0.32407588778189811</v>
      </c>
      <c r="BA153" s="2">
        <f t="shared" ca="1" si="81"/>
        <v>0.70916424542167988</v>
      </c>
      <c r="BB153" s="2">
        <f t="shared" ca="1" si="82"/>
        <v>5.6482362207024371E-2</v>
      </c>
      <c r="BC153" s="9">
        <f t="shared" ca="1" si="62"/>
        <v>0.70916424542167988</v>
      </c>
      <c r="BD153" s="9">
        <f t="shared" ca="1" si="83"/>
        <v>0.70916424542167988</v>
      </c>
    </row>
    <row r="154" spans="1:56" ht="15" x14ac:dyDescent="0.25">
      <c r="A154" s="90">
        <v>88</v>
      </c>
      <c r="B154" s="90">
        <v>1542620864.8310001</v>
      </c>
      <c r="C154" s="91">
        <v>4.9470880019673402E-4</v>
      </c>
      <c r="D154" s="91">
        <v>1.7517124729125199E-4</v>
      </c>
      <c r="E154" s="91">
        <v>2.6778540232143901E-2</v>
      </c>
      <c r="F154" s="91">
        <v>3.1343974000451903E-4</v>
      </c>
      <c r="G154" s="91">
        <v>0.465195487023423</v>
      </c>
      <c r="H154" s="91">
        <v>0.33608028408907897</v>
      </c>
      <c r="I154" s="91">
        <v>4.0417893166131602</v>
      </c>
      <c r="J154" s="91"/>
      <c r="K154" s="91"/>
      <c r="L154" s="89"/>
      <c r="M154" s="89"/>
      <c r="O154" s="11">
        <f t="shared" ca="1" si="84"/>
        <v>1.0092197403222778E-4</v>
      </c>
      <c r="P154" s="11">
        <f t="shared" ca="1" si="85"/>
        <v>1.1587189581032319E-5</v>
      </c>
      <c r="Q154" s="11">
        <f t="shared" ca="1" si="86"/>
        <v>2.5164510829766049E-2</v>
      </c>
      <c r="R154" s="11">
        <f t="shared" ca="1" si="87"/>
        <v>2.9858597988288341E-4</v>
      </c>
      <c r="S154" s="11">
        <f t="shared" ca="1" si="88"/>
        <v>0.46404968433956795</v>
      </c>
      <c r="T154" s="11">
        <f t="shared" ca="1" si="89"/>
        <v>0.33558974474565484</v>
      </c>
      <c r="U154" s="11">
        <f t="shared" ca="1" si="90"/>
        <v>4.0362818770477062</v>
      </c>
      <c r="V154" s="11"/>
      <c r="W154" s="11">
        <f t="shared" ca="1" si="63"/>
        <v>0</v>
      </c>
      <c r="X154" s="2">
        <f t="shared" ca="1" si="64"/>
        <v>-9.4272877712838189E-6</v>
      </c>
      <c r="Y154" s="2">
        <f t="shared" ca="1" si="65"/>
        <v>2.4839699499203359E-2</v>
      </c>
      <c r="Z154" s="11">
        <f t="shared" ca="1" si="66"/>
        <v>2.9858597988288341E-4</v>
      </c>
      <c r="AA154" s="2">
        <f t="shared" ca="1" si="67"/>
        <v>0.46404904321770807</v>
      </c>
      <c r="AB154" s="11">
        <f t="shared" ca="1" si="68"/>
        <v>0.33558974474565484</v>
      </c>
      <c r="AC154" s="2">
        <f t="shared" ca="1" si="69"/>
        <v>4.0362527681050038</v>
      </c>
      <c r="AF154" s="11">
        <f t="shared" ca="1" si="70"/>
        <v>0</v>
      </c>
      <c r="AG154" s="2">
        <f t="shared" ca="1" si="71"/>
        <v>-3.0485195799646648E-5</v>
      </c>
      <c r="AH154" s="2">
        <f t="shared" ca="1" si="72"/>
        <v>2.4513979039205106E-2</v>
      </c>
      <c r="AI154" s="2">
        <f t="shared" ca="1" si="73"/>
        <v>2.9844543597994913E-4</v>
      </c>
      <c r="AJ154" s="2">
        <f t="shared" ca="1" si="74"/>
        <v>0.46404623295350822</v>
      </c>
      <c r="AK154" s="2">
        <f t="shared" ca="1" si="75"/>
        <v>0.33558949540969313</v>
      </c>
      <c r="AL154" s="2">
        <f t="shared" ca="1" si="76"/>
        <v>4.036220093996004</v>
      </c>
      <c r="AN154" s="2">
        <f t="shared" ca="1" si="54"/>
        <v>8.6979519936364404</v>
      </c>
      <c r="AO154" s="2">
        <f t="shared" ca="1" si="55"/>
        <v>0.40071113088701588</v>
      </c>
      <c r="AP154" s="2">
        <f t="shared" ca="1" si="56"/>
        <v>1.1964672566587799E-4</v>
      </c>
      <c r="AQ154" s="2">
        <f t="shared" ca="1" si="57"/>
        <v>0.33547009801998895</v>
      </c>
      <c r="AR154" s="2">
        <f t="shared" ca="1" si="58"/>
        <v>0.70928316326666596</v>
      </c>
      <c r="AS154" s="2">
        <f t="shared" ca="1" si="59"/>
        <v>5.6367291622861034E-2</v>
      </c>
      <c r="AT154" s="9">
        <f t="shared" ca="1" si="60"/>
        <v>0.70928316326666596</v>
      </c>
      <c r="AU154" s="9">
        <f t="shared" ca="1" si="61"/>
        <v>0.70928316326666596</v>
      </c>
      <c r="AW154" s="2">
        <f t="shared" ca="1" si="77"/>
        <v>8.6978835455828047</v>
      </c>
      <c r="AX154" s="2">
        <f t="shared" ca="1" si="78"/>
        <v>0.40070793926641557</v>
      </c>
      <c r="AY154" s="2">
        <f t="shared" ca="1" si="79"/>
        <v>1.1958945563499238E-4</v>
      </c>
      <c r="AZ154" s="2">
        <f t="shared" ca="1" si="80"/>
        <v>0.33546990595405812</v>
      </c>
      <c r="BA154" s="2">
        <f t="shared" ca="1" si="81"/>
        <v>0.70929084346226212</v>
      </c>
      <c r="BB154" s="2">
        <f t="shared" ca="1" si="82"/>
        <v>5.4910097996830824E-2</v>
      </c>
      <c r="BC154" s="9">
        <f t="shared" ca="1" si="62"/>
        <v>0.70929084346226212</v>
      </c>
      <c r="BD154" s="9">
        <f t="shared" ca="1" si="83"/>
        <v>0.70929084346226212</v>
      </c>
    </row>
    <row r="155" spans="1:56" ht="15" x14ac:dyDescent="0.25">
      <c r="A155" s="90">
        <v>89</v>
      </c>
      <c r="B155" s="90">
        <v>1542620865.358</v>
      </c>
      <c r="C155" s="91">
        <v>4.6020002534687799E-4</v>
      </c>
      <c r="D155" s="91">
        <v>2.2030740560270801E-4</v>
      </c>
      <c r="E155" s="91">
        <v>2.93477584524987E-2</v>
      </c>
      <c r="F155" s="91">
        <v>1.78020574362769E-4</v>
      </c>
      <c r="G155" s="91">
        <v>0.51281575545903102</v>
      </c>
      <c r="H155" s="91">
        <v>0.37044895104268</v>
      </c>
      <c r="I155" s="91">
        <v>4.4514897439527701</v>
      </c>
      <c r="J155" s="91"/>
      <c r="K155" s="91"/>
      <c r="L155" s="89"/>
      <c r="M155" s="89"/>
      <c r="O155" s="11">
        <f t="shared" ca="1" si="84"/>
        <v>6.6413199182371744E-5</v>
      </c>
      <c r="P155" s="11">
        <f t="shared" ca="1" si="85"/>
        <v>5.6723347892488342E-5</v>
      </c>
      <c r="Q155" s="11">
        <f t="shared" ca="1" si="86"/>
        <v>2.7733729050120847E-2</v>
      </c>
      <c r="R155" s="11">
        <f t="shared" ca="1" si="87"/>
        <v>1.6316681424113338E-4</v>
      </c>
      <c r="S155" s="11">
        <f t="shared" ca="1" si="88"/>
        <v>0.51166995277517602</v>
      </c>
      <c r="T155" s="11">
        <f t="shared" ca="1" si="89"/>
        <v>0.36995841169925592</v>
      </c>
      <c r="U155" s="11">
        <f t="shared" ca="1" si="90"/>
        <v>4.4459823043873161</v>
      </c>
      <c r="V155" s="11"/>
      <c r="W155" s="11">
        <f t="shared" ca="1" si="63"/>
        <v>0</v>
      </c>
      <c r="X155" s="2">
        <f t="shared" ca="1" si="64"/>
        <v>4.2894459947162008E-5</v>
      </c>
      <c r="Y155" s="2">
        <f t="shared" ca="1" si="65"/>
        <v>2.7519982145145897E-2</v>
      </c>
      <c r="Z155" s="11">
        <f t="shared" ca="1" si="66"/>
        <v>1.6316681424113338E-4</v>
      </c>
      <c r="AA155" s="2">
        <f t="shared" ca="1" si="67"/>
        <v>0.5116695308754442</v>
      </c>
      <c r="AB155" s="11">
        <f t="shared" ca="1" si="68"/>
        <v>0.36995841169925592</v>
      </c>
      <c r="AC155" s="2">
        <f t="shared" ca="1" si="69"/>
        <v>4.4459631488166069</v>
      </c>
      <c r="AF155" s="11">
        <f t="shared" ca="1" si="70"/>
        <v>0</v>
      </c>
      <c r="AG155" s="2">
        <f t="shared" ca="1" si="71"/>
        <v>2.9036991802463112E-5</v>
      </c>
      <c r="AH155" s="2">
        <f t="shared" ca="1" si="72"/>
        <v>2.7305636974086025E-2</v>
      </c>
      <c r="AI155" s="2">
        <f t="shared" ca="1" si="73"/>
        <v>1.6307432724502627E-4</v>
      </c>
      <c r="AJ155" s="2">
        <f t="shared" ca="1" si="74"/>
        <v>0.51166768153948095</v>
      </c>
      <c r="AK155" s="2">
        <f t="shared" ca="1" si="75"/>
        <v>0.36995719111246905</v>
      </c>
      <c r="AL155" s="2">
        <f t="shared" ca="1" si="76"/>
        <v>4.4459416471354327</v>
      </c>
      <c r="AN155" s="2">
        <f t="shared" ca="1" si="54"/>
        <v>8.6891604251400079</v>
      </c>
      <c r="AO155" s="2">
        <f t="shared" ca="1" si="55"/>
        <v>0.40030119694558497</v>
      </c>
      <c r="AP155" s="2">
        <f t="shared" ca="1" si="56"/>
        <v>6.5315871042523612E-5</v>
      </c>
      <c r="AQ155" s="2">
        <f t="shared" ca="1" si="57"/>
        <v>0.36989309582821339</v>
      </c>
      <c r="AR155" s="2">
        <f t="shared" ca="1" si="58"/>
        <v>0.7096395327205316</v>
      </c>
      <c r="AS155" s="2">
        <f t="shared" ca="1" si="59"/>
        <v>5.6282335259525335E-2</v>
      </c>
      <c r="AT155" s="9" t="str">
        <f t="shared" ca="1" si="60"/>
        <v>rejected</v>
      </c>
      <c r="AU155" s="9" t="e">
        <f t="shared" ca="1" si="61"/>
        <v>#N/A</v>
      </c>
      <c r="AW155" s="2">
        <f t="shared" ca="1" si="77"/>
        <v>8.6891195350831989</v>
      </c>
      <c r="AX155" s="2">
        <f t="shared" ca="1" si="78"/>
        <v>0.40029929033257666</v>
      </c>
      <c r="AY155" s="2">
        <f t="shared" ca="1" si="79"/>
        <v>6.5278537467646392E-5</v>
      </c>
      <c r="AZ155" s="2">
        <f t="shared" ca="1" si="80"/>
        <v>0.36989191257500142</v>
      </c>
      <c r="BA155" s="2">
        <f t="shared" ca="1" si="81"/>
        <v>0.70964209439431314</v>
      </c>
      <c r="BB155" s="2">
        <f t="shared" ca="1" si="82"/>
        <v>5.5413551974465465E-2</v>
      </c>
      <c r="BC155" s="9" t="str">
        <f t="shared" ca="1" si="62"/>
        <v>rejected</v>
      </c>
      <c r="BD155" s="9" t="e">
        <f t="shared" ca="1" si="83"/>
        <v>#N/A</v>
      </c>
    </row>
    <row r="156" spans="1:56" ht="15" x14ac:dyDescent="0.25">
      <c r="A156" s="90">
        <v>90</v>
      </c>
      <c r="B156" s="90">
        <v>1542620865.885</v>
      </c>
      <c r="C156" s="91">
        <v>4.14269505626933E-4</v>
      </c>
      <c r="D156" s="91">
        <v>2.2007108529210101E-4</v>
      </c>
      <c r="E156" s="91">
        <v>3.1652559423768697E-2</v>
      </c>
      <c r="F156" s="91">
        <v>3.1129764191714198E-4</v>
      </c>
      <c r="G156" s="91">
        <v>0.55384193288429395</v>
      </c>
      <c r="H156" s="91">
        <v>0.40018291176911203</v>
      </c>
      <c r="I156" s="91">
        <v>4.8101149704292601</v>
      </c>
      <c r="J156" s="91"/>
      <c r="K156" s="91"/>
      <c r="L156" s="89"/>
      <c r="M156" s="89"/>
      <c r="O156" s="11">
        <f t="shared" ca="1" si="84"/>
        <v>2.048267946242675E-5</v>
      </c>
      <c r="P156" s="11">
        <f t="shared" ca="1" si="85"/>
        <v>5.6487027581881335E-5</v>
      </c>
      <c r="Q156" s="11">
        <f t="shared" ca="1" si="86"/>
        <v>3.0038530021390845E-2</v>
      </c>
      <c r="R156" s="11">
        <f t="shared" ca="1" si="87"/>
        <v>2.9644388179550637E-4</v>
      </c>
      <c r="S156" s="11">
        <f t="shared" ca="1" si="88"/>
        <v>0.55269613020043895</v>
      </c>
      <c r="T156" s="11">
        <f t="shared" ca="1" si="89"/>
        <v>0.39969237242568789</v>
      </c>
      <c r="U156" s="11">
        <f t="shared" ca="1" si="90"/>
        <v>4.8046075308638061</v>
      </c>
      <c r="V156" s="11"/>
      <c r="W156" s="11">
        <f t="shared" ca="1" si="63"/>
        <v>0</v>
      </c>
      <c r="X156" s="2">
        <f t="shared" ca="1" si="64"/>
        <v>5.2222021790967396E-5</v>
      </c>
      <c r="Y156" s="2">
        <f t="shared" ca="1" si="65"/>
        <v>2.9972607743973288E-2</v>
      </c>
      <c r="Z156" s="11">
        <f t="shared" ca="1" si="66"/>
        <v>2.9644388179550637E-4</v>
      </c>
      <c r="AA156" s="2">
        <f t="shared" ca="1" si="67"/>
        <v>0.55269600008116926</v>
      </c>
      <c r="AB156" s="11">
        <f t="shared" ca="1" si="68"/>
        <v>0.39969237242568789</v>
      </c>
      <c r="AC156" s="2">
        <f t="shared" ca="1" si="69"/>
        <v>4.8046016230409698</v>
      </c>
      <c r="AF156" s="11">
        <f t="shared" ca="1" si="70"/>
        <v>0</v>
      </c>
      <c r="AG156" s="2">
        <f t="shared" ca="1" si="71"/>
        <v>4.7948201501280209E-5</v>
      </c>
      <c r="AH156" s="2">
        <f t="shared" ca="1" si="72"/>
        <v>2.9906500953648635E-2</v>
      </c>
      <c r="AI156" s="2">
        <f t="shared" ca="1" si="73"/>
        <v>2.9641535762382022E-4</v>
      </c>
      <c r="AJ156" s="2">
        <f t="shared" ca="1" si="74"/>
        <v>0.55269542972232166</v>
      </c>
      <c r="AK156" s="2">
        <f t="shared" ca="1" si="75"/>
        <v>0.3996911569240989</v>
      </c>
      <c r="AL156" s="2">
        <f t="shared" ca="1" si="76"/>
        <v>4.8045949916476802</v>
      </c>
      <c r="AN156" s="2">
        <f t="shared" ca="1" si="54"/>
        <v>8.6930363147673617</v>
      </c>
      <c r="AO156" s="2">
        <f t="shared" ca="1" si="55"/>
        <v>0.40048192160964907</v>
      </c>
      <c r="AP156" s="2">
        <f t="shared" ca="1" si="56"/>
        <v>1.1872041543088806E-4</v>
      </c>
      <c r="AQ156" s="2">
        <f t="shared" ca="1" si="57"/>
        <v>0.39957365201025702</v>
      </c>
      <c r="AR156" s="2">
        <f t="shared" ca="1" si="58"/>
        <v>0.70951956311626752</v>
      </c>
      <c r="AS156" s="2">
        <f t="shared" ca="1" si="59"/>
        <v>5.6460430920472086E-2</v>
      </c>
      <c r="AT156" s="9">
        <f t="shared" ca="1" si="60"/>
        <v>0.70951956311626752</v>
      </c>
      <c r="AU156" s="9">
        <f t="shared" ca="1" si="61"/>
        <v>0.70951956311626752</v>
      </c>
      <c r="AW156" s="2">
        <f t="shared" ca="1" si="77"/>
        <v>8.6930246448058099</v>
      </c>
      <c r="AX156" s="2">
        <f t="shared" ca="1" si="78"/>
        <v>0.40048137746217066</v>
      </c>
      <c r="AY156" s="2">
        <f t="shared" ca="1" si="79"/>
        <v>1.1870883072212945E-4</v>
      </c>
      <c r="AZ156" s="2">
        <f t="shared" ca="1" si="80"/>
        <v>0.39957244809337678</v>
      </c>
      <c r="BA156" s="2">
        <f t="shared" ca="1" si="81"/>
        <v>0.70951880423254399</v>
      </c>
      <c r="BB156" s="2">
        <f t="shared" ca="1" si="82"/>
        <v>5.6212263067118726E-2</v>
      </c>
      <c r="BC156" s="9">
        <f t="shared" ca="1" si="62"/>
        <v>0.70951880423254399</v>
      </c>
      <c r="BD156" s="9">
        <f t="shared" ca="1" si="83"/>
        <v>0.70951880423254399</v>
      </c>
    </row>
    <row r="157" spans="1:56" ht="15" x14ac:dyDescent="0.25">
      <c r="A157" s="90">
        <v>91</v>
      </c>
      <c r="B157" s="90">
        <v>1542620866.4119999</v>
      </c>
      <c r="C157" s="91">
        <v>3.6810313247188101E-4</v>
      </c>
      <c r="D157" s="91">
        <v>1.5697557557660201E-4</v>
      </c>
      <c r="E157" s="91">
        <v>3.3774389208675502E-2</v>
      </c>
      <c r="F157" s="91">
        <v>2.70598651123426E-4</v>
      </c>
      <c r="G157" s="91">
        <v>0.59356522357561503</v>
      </c>
      <c r="H157" s="91">
        <v>0.42879564314268098</v>
      </c>
      <c r="I157" s="91">
        <v>5.15595301853251</v>
      </c>
      <c r="J157" s="91"/>
      <c r="K157" s="91"/>
      <c r="L157" s="89"/>
      <c r="M157" s="89"/>
      <c r="O157" s="11">
        <f t="shared" ca="1" si="84"/>
        <v>-2.5683693692625238E-5</v>
      </c>
      <c r="P157" s="11">
        <f t="shared" ca="1" si="85"/>
        <v>-6.6084821336176588E-6</v>
      </c>
      <c r="Q157" s="11">
        <f t="shared" ca="1" si="86"/>
        <v>3.2160359806297646E-2</v>
      </c>
      <c r="R157" s="11">
        <f t="shared" ca="1" si="87"/>
        <v>2.5574489100179038E-4</v>
      </c>
      <c r="S157" s="11">
        <f t="shared" ca="1" si="88"/>
        <v>0.59241942089176003</v>
      </c>
      <c r="T157" s="11">
        <f t="shared" ca="1" si="89"/>
        <v>0.4283051037992569</v>
      </c>
      <c r="U157" s="11">
        <f t="shared" ca="1" si="90"/>
        <v>5.150445578967056</v>
      </c>
      <c r="V157" s="11"/>
      <c r="W157" s="11">
        <f t="shared" ca="1" si="63"/>
        <v>0</v>
      </c>
      <c r="X157" s="2">
        <f t="shared" ca="1" si="64"/>
        <v>-6.6084821336176588E-6</v>
      </c>
      <c r="Y157" s="2">
        <f t="shared" ca="1" si="65"/>
        <v>3.2160359806297646E-2</v>
      </c>
      <c r="Z157" s="11">
        <f t="shared" ca="1" si="66"/>
        <v>2.5574489100179038E-4</v>
      </c>
      <c r="AA157" s="2">
        <f t="shared" ca="1" si="67"/>
        <v>0.59241942089176003</v>
      </c>
      <c r="AB157" s="11">
        <f t="shared" ca="1" si="68"/>
        <v>0.4283051037992569</v>
      </c>
      <c r="AC157" s="2">
        <f t="shared" ca="1" si="69"/>
        <v>5.150445578967056</v>
      </c>
      <c r="AF157" s="11">
        <f t="shared" ca="1" si="70"/>
        <v>0</v>
      </c>
      <c r="AG157" s="2">
        <f t="shared" ca="1" si="71"/>
        <v>-6.6084821336176588E-6</v>
      </c>
      <c r="AH157" s="2">
        <f t="shared" ca="1" si="72"/>
        <v>3.2160359806297646E-2</v>
      </c>
      <c r="AI157" s="2">
        <f t="shared" ca="1" si="73"/>
        <v>2.5574489100179038E-4</v>
      </c>
      <c r="AJ157" s="2">
        <f t="shared" ca="1" si="74"/>
        <v>0.59241942089176003</v>
      </c>
      <c r="AK157" s="2">
        <f t="shared" ca="1" si="75"/>
        <v>0.4283051037992569</v>
      </c>
      <c r="AL157" s="2">
        <f t="shared" ca="1" si="76"/>
        <v>5.150445578967056</v>
      </c>
      <c r="AN157" s="2">
        <f t="shared" ca="1" si="54"/>
        <v>8.6939175140716483</v>
      </c>
      <c r="AO157" s="2">
        <f t="shared" ca="1" si="55"/>
        <v>0.4005230102350017</v>
      </c>
      <c r="AP157" s="2">
        <f t="shared" ca="1" si="56"/>
        <v>1.0243171359625948E-4</v>
      </c>
      <c r="AQ157" s="2">
        <f t="shared" ca="1" si="57"/>
        <v>0.42820267208566065</v>
      </c>
      <c r="AR157" s="2">
        <f t="shared" ca="1" si="58"/>
        <v>0.70933578855649349</v>
      </c>
      <c r="AS157" s="2">
        <f t="shared" ca="1" si="59"/>
        <v>5.6401232305305034E-2</v>
      </c>
      <c r="AT157" s="9">
        <f t="shared" ca="1" si="60"/>
        <v>0.70933578855649349</v>
      </c>
      <c r="AU157" s="9">
        <f t="shared" ca="1" si="61"/>
        <v>0.70933578855649349</v>
      </c>
      <c r="AW157" s="2">
        <f t="shared" ca="1" si="77"/>
        <v>8.6939175140716483</v>
      </c>
      <c r="AX157" s="2">
        <f t="shared" ca="1" si="78"/>
        <v>0.4005230102350017</v>
      </c>
      <c r="AY157" s="2">
        <f t="shared" ca="1" si="79"/>
        <v>1.0243171359625948E-4</v>
      </c>
      <c r="AZ157" s="2">
        <f t="shared" ca="1" si="80"/>
        <v>0.42820267208566065</v>
      </c>
      <c r="BA157" s="2">
        <f t="shared" ca="1" si="81"/>
        <v>0.70933578855649349</v>
      </c>
      <c r="BB157" s="2">
        <f t="shared" ca="1" si="82"/>
        <v>5.6401232305305034E-2</v>
      </c>
      <c r="BC157" s="9">
        <f t="shared" ca="1" si="62"/>
        <v>0.70933578855649349</v>
      </c>
      <c r="BD157" s="9">
        <f t="shared" ca="1" si="83"/>
        <v>0.70933578855649349</v>
      </c>
    </row>
    <row r="158" spans="1:56" ht="15" x14ac:dyDescent="0.25">
      <c r="A158" s="90">
        <v>92</v>
      </c>
      <c r="B158" s="90">
        <v>1542620866.9389999</v>
      </c>
      <c r="C158" s="91">
        <v>4.3687752857931499E-4</v>
      </c>
      <c r="D158" s="91">
        <v>9.6955854915935498E-5</v>
      </c>
      <c r="E158" s="91">
        <v>3.5991505470104601E-2</v>
      </c>
      <c r="F158" s="91">
        <v>2.11814147707581E-4</v>
      </c>
      <c r="G158" s="91">
        <v>0.63327986492022603</v>
      </c>
      <c r="H158" s="91">
        <v>0.45741466336132602</v>
      </c>
      <c r="I158" s="91">
        <v>5.5010312608392198</v>
      </c>
      <c r="J158" s="91"/>
      <c r="K158" s="91"/>
      <c r="L158" s="89"/>
      <c r="M158" s="89"/>
      <c r="O158" s="11">
        <f t="shared" ca="1" si="84"/>
        <v>4.3090702414808741E-5</v>
      </c>
      <c r="P158" s="11">
        <f t="shared" ca="1" si="85"/>
        <v>-6.6628202794284173E-5</v>
      </c>
      <c r="Q158" s="11">
        <f t="shared" ca="1" si="86"/>
        <v>3.4377476067726745E-2</v>
      </c>
      <c r="R158" s="11">
        <f t="shared" ca="1" si="87"/>
        <v>1.9696038758594539E-4</v>
      </c>
      <c r="S158" s="11">
        <f t="shared" ca="1" si="88"/>
        <v>0.63213406223637103</v>
      </c>
      <c r="T158" s="11">
        <f t="shared" ca="1" si="89"/>
        <v>0.45692412401790194</v>
      </c>
      <c r="U158" s="11">
        <f t="shared" ca="1" si="90"/>
        <v>5.4955238212737658</v>
      </c>
      <c r="V158" s="11"/>
      <c r="W158" s="11">
        <f t="shared" ca="1" si="63"/>
        <v>0</v>
      </c>
      <c r="X158" s="2">
        <f t="shared" ca="1" si="64"/>
        <v>-7.5600764009765617E-5</v>
      </c>
      <c r="Y158" s="2">
        <f t="shared" ca="1" si="65"/>
        <v>3.4238791222127453E-2</v>
      </c>
      <c r="Z158" s="11">
        <f t="shared" ca="1" si="66"/>
        <v>1.9696038758594539E-4</v>
      </c>
      <c r="AA158" s="2">
        <f t="shared" ca="1" si="67"/>
        <v>0.63213378849627089</v>
      </c>
      <c r="AB158" s="11">
        <f t="shared" ca="1" si="68"/>
        <v>0.45692412401790194</v>
      </c>
      <c r="AC158" s="2">
        <f t="shared" ca="1" si="69"/>
        <v>5.4955113926148966</v>
      </c>
      <c r="AF158" s="11">
        <f t="shared" ca="1" si="70"/>
        <v>0</v>
      </c>
      <c r="AG158" s="2">
        <f t="shared" ca="1" si="71"/>
        <v>-8.4591868841294487E-5</v>
      </c>
      <c r="AH158" s="2">
        <f t="shared" ca="1" si="72"/>
        <v>3.4099718205108216E-2</v>
      </c>
      <c r="AI158" s="2">
        <f t="shared" ca="1" si="73"/>
        <v>1.969003794900314E-4</v>
      </c>
      <c r="AJ158" s="2">
        <f t="shared" ca="1" si="74"/>
        <v>0.63213258859645216</v>
      </c>
      <c r="AK158" s="2">
        <f t="shared" ca="1" si="75"/>
        <v>0.45692412401790194</v>
      </c>
      <c r="AL158" s="2">
        <f t="shared" ca="1" si="76"/>
        <v>5.4954974417353082</v>
      </c>
      <c r="AN158" s="2">
        <f t="shared" ca="1" si="54"/>
        <v>8.6936049638452317</v>
      </c>
      <c r="AO158" s="2">
        <f t="shared" ca="1" si="55"/>
        <v>0.40050843661449514</v>
      </c>
      <c r="AP158" s="2">
        <f t="shared" ca="1" si="56"/>
        <v>7.8884296907032013E-5</v>
      </c>
      <c r="AQ158" s="2">
        <f t="shared" ca="1" si="57"/>
        <v>0.45684523972099489</v>
      </c>
      <c r="AR158" s="2">
        <f t="shared" ca="1" si="58"/>
        <v>0.70925035260745117</v>
      </c>
      <c r="AS158" s="2">
        <f t="shared" ca="1" si="59"/>
        <v>5.6499655607851328E-2</v>
      </c>
      <c r="AT158" s="9">
        <f t="shared" ca="1" si="60"/>
        <v>0.70925035260745117</v>
      </c>
      <c r="AU158" s="9">
        <f t="shared" ca="1" si="61"/>
        <v>0.70925035260745117</v>
      </c>
      <c r="AW158" s="2">
        <f t="shared" ca="1" si="77"/>
        <v>8.6935834995268451</v>
      </c>
      <c r="AX158" s="2">
        <f t="shared" ca="1" si="78"/>
        <v>0.40050743577452996</v>
      </c>
      <c r="AY158" s="2">
        <f t="shared" ca="1" si="79"/>
        <v>7.8860066092584328E-5</v>
      </c>
      <c r="AZ158" s="2">
        <f t="shared" ca="1" si="80"/>
        <v>0.45684526395180935</v>
      </c>
      <c r="BA158" s="2">
        <f t="shared" ca="1" si="81"/>
        <v>0.70925292550190189</v>
      </c>
      <c r="BB158" s="2">
        <f t="shared" ca="1" si="82"/>
        <v>5.6043147411431557E-2</v>
      </c>
      <c r="BC158" s="9">
        <f t="shared" ca="1" si="62"/>
        <v>0.70925292550190189</v>
      </c>
      <c r="BD158" s="9">
        <f t="shared" ca="1" si="83"/>
        <v>0.70925292550190189</v>
      </c>
    </row>
    <row r="159" spans="1:56" ht="15" x14ac:dyDescent="0.25">
      <c r="A159" s="90">
        <v>93</v>
      </c>
      <c r="B159" s="90">
        <v>1542620867.4660001</v>
      </c>
      <c r="C159" s="91">
        <v>4.6281789061152E-4</v>
      </c>
      <c r="D159" s="91">
        <v>6.9782765700706199E-5</v>
      </c>
      <c r="E159" s="91">
        <v>3.5901080920731201E-2</v>
      </c>
      <c r="F159" s="91">
        <v>2.3585111760979799E-4</v>
      </c>
      <c r="G159" s="91">
        <v>0.63524209198685599</v>
      </c>
      <c r="H159" s="91">
        <v>0.459101282825502</v>
      </c>
      <c r="I159" s="91">
        <v>5.5250032265962297</v>
      </c>
      <c r="J159" s="91"/>
      <c r="K159" s="91"/>
      <c r="L159" s="89"/>
      <c r="M159" s="89"/>
      <c r="O159" s="11">
        <f t="shared" ca="1" si="84"/>
        <v>6.9031064447013749E-5</v>
      </c>
      <c r="P159" s="11">
        <f t="shared" ca="1" si="85"/>
        <v>-9.3801292009513472E-5</v>
      </c>
      <c r="Q159" s="11">
        <f t="shared" ca="1" si="86"/>
        <v>3.4287051518353345E-2</v>
      </c>
      <c r="R159" s="11">
        <f t="shared" ca="1" si="87"/>
        <v>2.2099735748816238E-4</v>
      </c>
      <c r="S159" s="11">
        <f t="shared" ca="1" si="88"/>
        <v>0.63409628930300099</v>
      </c>
      <c r="T159" s="11">
        <f t="shared" ca="1" si="89"/>
        <v>0.45861074348207786</v>
      </c>
      <c r="U159" s="11">
        <f t="shared" ca="1" si="90"/>
        <v>5.5194957870307757</v>
      </c>
      <c r="V159" s="11"/>
      <c r="W159" s="11">
        <f t="shared" ca="1" si="63"/>
        <v>0</v>
      </c>
      <c r="X159" s="2">
        <f t="shared" ca="1" si="64"/>
        <v>-1.0817528493165751E-4</v>
      </c>
      <c r="Y159" s="2">
        <f t="shared" ca="1" si="65"/>
        <v>3.4064879170772895E-2</v>
      </c>
      <c r="Z159" s="11">
        <f t="shared" ca="1" si="66"/>
        <v>2.2099735748816238E-4</v>
      </c>
      <c r="AA159" s="2">
        <f t="shared" ca="1" si="67"/>
        <v>0.63409585077289043</v>
      </c>
      <c r="AB159" s="11">
        <f t="shared" ca="1" si="68"/>
        <v>0.45861074348207786</v>
      </c>
      <c r="AC159" s="2">
        <f t="shared" ca="1" si="69"/>
        <v>5.5194758763887277</v>
      </c>
      <c r="AF159" s="11">
        <f t="shared" ca="1" si="70"/>
        <v>0</v>
      </c>
      <c r="AG159" s="2">
        <f t="shared" ca="1" si="71"/>
        <v>-1.2257898462307459E-4</v>
      </c>
      <c r="AH159" s="2">
        <f t="shared" ca="1" si="72"/>
        <v>3.3842084974747062E-2</v>
      </c>
      <c r="AI159" s="2">
        <f t="shared" ca="1" si="73"/>
        <v>2.209012248538761E-4</v>
      </c>
      <c r="AJ159" s="2">
        <f t="shared" ca="1" si="74"/>
        <v>0.63409392854008684</v>
      </c>
      <c r="AK159" s="2">
        <f t="shared" ca="1" si="75"/>
        <v>0.45861074348207786</v>
      </c>
      <c r="AL159" s="2">
        <f t="shared" ca="1" si="76"/>
        <v>5.5194535271575944</v>
      </c>
      <c r="AN159" s="2">
        <f t="shared" ca="1" si="54"/>
        <v>8.7045073124427343</v>
      </c>
      <c r="AO159" s="2">
        <f t="shared" ca="1" si="55"/>
        <v>0.4010167960744408</v>
      </c>
      <c r="AP159" s="2">
        <f t="shared" ca="1" si="56"/>
        <v>8.8623652240820702E-5</v>
      </c>
      <c r="AQ159" s="2">
        <f t="shared" ca="1" si="57"/>
        <v>0.45852211982983704</v>
      </c>
      <c r="AR159" s="2">
        <f t="shared" ca="1" si="58"/>
        <v>0.70920310269720677</v>
      </c>
      <c r="AS159" s="2">
        <f t="shared" ca="1" si="59"/>
        <v>5.6248750642740285E-2</v>
      </c>
      <c r="AT159" s="9">
        <f t="shared" ca="1" si="60"/>
        <v>0.70920310269720677</v>
      </c>
      <c r="AU159" s="9">
        <f t="shared" ca="1" si="61"/>
        <v>0.70920310269720677</v>
      </c>
      <c r="AW159" s="2">
        <f t="shared" ca="1" si="77"/>
        <v>8.7044730736743841</v>
      </c>
      <c r="AX159" s="2">
        <f t="shared" ca="1" si="78"/>
        <v>0.40101519956214082</v>
      </c>
      <c r="AY159" s="2">
        <f t="shared" ca="1" si="79"/>
        <v>8.8584748768298467E-5</v>
      </c>
      <c r="AZ159" s="2">
        <f t="shared" ca="1" si="80"/>
        <v>0.45852215873330959</v>
      </c>
      <c r="BA159" s="2">
        <f t="shared" ca="1" si="81"/>
        <v>0.70920720810995574</v>
      </c>
      <c r="BB159" s="2">
        <f t="shared" ca="1" si="82"/>
        <v>5.5518755332992678E-2</v>
      </c>
      <c r="BC159" s="9">
        <f t="shared" ca="1" si="62"/>
        <v>0.70920720810995574</v>
      </c>
      <c r="BD159" s="9">
        <f t="shared" ca="1" si="83"/>
        <v>0.70920720810995574</v>
      </c>
    </row>
    <row r="160" spans="1:56" ht="15" x14ac:dyDescent="0.25">
      <c r="A160" s="90">
        <v>94</v>
      </c>
      <c r="B160" s="90">
        <v>1542620867.9920001</v>
      </c>
      <c r="C160" s="91">
        <v>3.6929296065968701E-4</v>
      </c>
      <c r="D160" s="91">
        <v>7.8997903882111197E-5</v>
      </c>
      <c r="E160" s="91">
        <v>3.6368888772112397E-2</v>
      </c>
      <c r="F160" s="91">
        <v>1.67073605663269E-4</v>
      </c>
      <c r="G160" s="91">
        <v>0.64207030019371303</v>
      </c>
      <c r="H160" s="91">
        <v>0.46405700610350198</v>
      </c>
      <c r="I160" s="91">
        <v>5.5813969221069399</v>
      </c>
      <c r="J160" s="91"/>
      <c r="K160" s="91"/>
      <c r="L160" s="89"/>
      <c r="M160" s="89"/>
      <c r="O160" s="11">
        <f t="shared" ca="1" si="84"/>
        <v>-2.4493865504819233E-5</v>
      </c>
      <c r="P160" s="11">
        <f t="shared" ca="1" si="85"/>
        <v>-8.4586153828108474E-5</v>
      </c>
      <c r="Q160" s="11">
        <f t="shared" ca="1" si="86"/>
        <v>3.4754859369734541E-2</v>
      </c>
      <c r="R160" s="11">
        <f t="shared" ca="1" si="87"/>
        <v>1.5221984554163339E-4</v>
      </c>
      <c r="S160" s="11">
        <f t="shared" ca="1" si="88"/>
        <v>0.64092449750985803</v>
      </c>
      <c r="T160" s="11">
        <f t="shared" ca="1" si="89"/>
        <v>0.46356646676007784</v>
      </c>
      <c r="U160" s="11">
        <f t="shared" ca="1" si="90"/>
        <v>5.575889482541486</v>
      </c>
      <c r="V160" s="11"/>
      <c r="W160" s="11">
        <f t="shared" ca="1" si="63"/>
        <v>0</v>
      </c>
      <c r="X160" s="2">
        <f t="shared" ca="1" si="64"/>
        <v>-8.4586153828108474E-5</v>
      </c>
      <c r="Y160" s="2">
        <f t="shared" ca="1" si="65"/>
        <v>3.4754859369734541E-2</v>
      </c>
      <c r="Z160" s="11">
        <f t="shared" ca="1" si="66"/>
        <v>1.5221984554163339E-4</v>
      </c>
      <c r="AA160" s="2">
        <f t="shared" ca="1" si="67"/>
        <v>0.64092449750985803</v>
      </c>
      <c r="AB160" s="11">
        <f t="shared" ca="1" si="68"/>
        <v>0.46356646676007784</v>
      </c>
      <c r="AC160" s="2">
        <f t="shared" ca="1" si="69"/>
        <v>5.575889482541486</v>
      </c>
      <c r="AF160" s="11">
        <f t="shared" ca="1" si="70"/>
        <v>0</v>
      </c>
      <c r="AG160" s="2">
        <f t="shared" ca="1" si="71"/>
        <v>-8.4586153828108474E-5</v>
      </c>
      <c r="AH160" s="2">
        <f t="shared" ca="1" si="72"/>
        <v>3.4754859369734541E-2</v>
      </c>
      <c r="AI160" s="2">
        <f t="shared" ca="1" si="73"/>
        <v>1.5221984554163339E-4</v>
      </c>
      <c r="AJ160" s="2">
        <f t="shared" ca="1" si="74"/>
        <v>0.64092449750985803</v>
      </c>
      <c r="AK160" s="2">
        <f t="shared" ca="1" si="75"/>
        <v>0.46356646676007784</v>
      </c>
      <c r="AL160" s="2">
        <f t="shared" ca="1" si="76"/>
        <v>5.575889482541486</v>
      </c>
      <c r="AN160" s="2">
        <f t="shared" ca="1" si="54"/>
        <v>8.6997602747361409</v>
      </c>
      <c r="AO160" s="2">
        <f t="shared" ca="1" si="55"/>
        <v>0.40079544818245078</v>
      </c>
      <c r="AP160" s="2">
        <f t="shared" ca="1" si="56"/>
        <v>6.1009021216122383E-5</v>
      </c>
      <c r="AQ160" s="2">
        <f t="shared" ca="1" si="57"/>
        <v>0.4635054577388617</v>
      </c>
      <c r="AR160" s="2">
        <f t="shared" ca="1" si="58"/>
        <v>0.70946803560562044</v>
      </c>
      <c r="AS160" s="2">
        <f t="shared" ca="1" si="59"/>
        <v>5.6377290435592579E-2</v>
      </c>
      <c r="AT160" s="9">
        <f t="shared" ca="1" si="60"/>
        <v>0.70946803560562044</v>
      </c>
      <c r="AU160" s="9">
        <f t="shared" ca="1" si="61"/>
        <v>0.70946803560562044</v>
      </c>
      <c r="AW160" s="2">
        <f t="shared" ca="1" si="77"/>
        <v>8.6997602747361409</v>
      </c>
      <c r="AX160" s="2">
        <f t="shared" ca="1" si="78"/>
        <v>0.40079544818245078</v>
      </c>
      <c r="AY160" s="2">
        <f t="shared" ca="1" si="79"/>
        <v>6.1009021216122383E-5</v>
      </c>
      <c r="AZ160" s="2">
        <f t="shared" ca="1" si="80"/>
        <v>0.4635054577388617</v>
      </c>
      <c r="BA160" s="2">
        <f t="shared" ca="1" si="81"/>
        <v>0.70946803560562044</v>
      </c>
      <c r="BB160" s="2">
        <f t="shared" ca="1" si="82"/>
        <v>5.6377290435592579E-2</v>
      </c>
      <c r="BC160" s="9">
        <f t="shared" ca="1" si="62"/>
        <v>0.70946803560562044</v>
      </c>
      <c r="BD160" s="9">
        <f t="shared" ca="1" si="83"/>
        <v>0.70946803560562044</v>
      </c>
    </row>
    <row r="161" spans="1:56" ht="15" x14ac:dyDescent="0.25">
      <c r="A161" s="90">
        <v>95</v>
      </c>
      <c r="B161" s="90">
        <v>1542620868.5190001</v>
      </c>
      <c r="C161" s="91">
        <v>3.6953092646722701E-4</v>
      </c>
      <c r="D161" s="91">
        <v>1.3216383359714899E-4</v>
      </c>
      <c r="E161" s="91">
        <v>3.6624701165023199E-2</v>
      </c>
      <c r="F161" s="91">
        <v>2.5703268939269698E-4</v>
      </c>
      <c r="G161" s="91">
        <v>0.64436102926758598</v>
      </c>
      <c r="H161" s="91">
        <v>0.465773537806003</v>
      </c>
      <c r="I161" s="91">
        <v>5.6023033648339302</v>
      </c>
      <c r="J161" s="91"/>
      <c r="K161" s="91"/>
      <c r="L161" s="89"/>
      <c r="M161" s="89"/>
      <c r="O161" s="11">
        <f t="shared" ca="1" si="84"/>
        <v>-2.4255899697279233E-5</v>
      </c>
      <c r="P161" s="11">
        <f t="shared" ca="1" si="85"/>
        <v>-3.1420224113070679E-5</v>
      </c>
      <c r="Q161" s="11">
        <f t="shared" ca="1" si="86"/>
        <v>3.5010671762645343E-2</v>
      </c>
      <c r="R161" s="11">
        <f t="shared" ca="1" si="87"/>
        <v>2.4217892927106137E-4</v>
      </c>
      <c r="S161" s="11">
        <f t="shared" ca="1" si="88"/>
        <v>0.64321522658373098</v>
      </c>
      <c r="T161" s="11">
        <f t="shared" ca="1" si="89"/>
        <v>0.46528299846257892</v>
      </c>
      <c r="U161" s="11">
        <f t="shared" ca="1" si="90"/>
        <v>5.5967959252684762</v>
      </c>
      <c r="V161" s="11"/>
      <c r="W161" s="11">
        <f t="shared" ca="1" si="63"/>
        <v>0</v>
      </c>
      <c r="X161" s="2">
        <f t="shared" ca="1" si="64"/>
        <v>-3.1420224113070679E-5</v>
      </c>
      <c r="Y161" s="2">
        <f t="shared" ca="1" si="65"/>
        <v>3.5010671762645343E-2</v>
      </c>
      <c r="Z161" s="11">
        <f t="shared" ca="1" si="66"/>
        <v>2.4217892927106137E-4</v>
      </c>
      <c r="AA161" s="2">
        <f t="shared" ca="1" si="67"/>
        <v>0.64321522658373098</v>
      </c>
      <c r="AB161" s="11">
        <f t="shared" ca="1" si="68"/>
        <v>0.46528299846257892</v>
      </c>
      <c r="AC161" s="2">
        <f t="shared" ca="1" si="69"/>
        <v>5.5967959252684762</v>
      </c>
      <c r="AF161" s="11">
        <f t="shared" ca="1" si="70"/>
        <v>0</v>
      </c>
      <c r="AG161" s="2">
        <f t="shared" ca="1" si="71"/>
        <v>-3.1420224113070679E-5</v>
      </c>
      <c r="AH161" s="2">
        <f t="shared" ca="1" si="72"/>
        <v>3.5010671762645343E-2</v>
      </c>
      <c r="AI161" s="2">
        <f t="shared" ca="1" si="73"/>
        <v>2.4217892927106137E-4</v>
      </c>
      <c r="AJ161" s="2">
        <f t="shared" ca="1" si="74"/>
        <v>0.64321522658373098</v>
      </c>
      <c r="AK161" s="2">
        <f t="shared" ca="1" si="75"/>
        <v>0.46528299846257892</v>
      </c>
      <c r="AL161" s="2">
        <f t="shared" ca="1" si="76"/>
        <v>5.5967959252684762</v>
      </c>
      <c r="AN161" s="2">
        <f t="shared" ca="1" si="54"/>
        <v>8.7012802153244877</v>
      </c>
      <c r="AO161" s="2">
        <f t="shared" ca="1" si="55"/>
        <v>0.40086632077907514</v>
      </c>
      <c r="AP161" s="2">
        <f t="shared" ca="1" si="56"/>
        <v>9.7081376347106231E-5</v>
      </c>
      <c r="AQ161" s="2">
        <f t="shared" ca="1" si="57"/>
        <v>0.4651859170862318</v>
      </c>
      <c r="AR161" s="2">
        <f t="shared" ca="1" si="58"/>
        <v>0.70944198625680499</v>
      </c>
      <c r="AS161" s="2">
        <f t="shared" ca="1" si="59"/>
        <v>5.6600112657484346E-2</v>
      </c>
      <c r="AT161" s="9">
        <f t="shared" ca="1" si="60"/>
        <v>0.70944198625680499</v>
      </c>
      <c r="AU161" s="9">
        <f t="shared" ca="1" si="61"/>
        <v>0.70944198625680499</v>
      </c>
      <c r="AW161" s="2">
        <f t="shared" ca="1" si="77"/>
        <v>8.7012802153244877</v>
      </c>
      <c r="AX161" s="2">
        <f t="shared" ca="1" si="78"/>
        <v>0.40086632077907514</v>
      </c>
      <c r="AY161" s="2">
        <f t="shared" ca="1" si="79"/>
        <v>9.7081376347106231E-5</v>
      </c>
      <c r="AZ161" s="2">
        <f t="shared" ca="1" si="80"/>
        <v>0.4651859170862318</v>
      </c>
      <c r="BA161" s="2">
        <f t="shared" ca="1" si="81"/>
        <v>0.70944198625680499</v>
      </c>
      <c r="BB161" s="2">
        <f t="shared" ca="1" si="82"/>
        <v>5.6600112657484346E-2</v>
      </c>
      <c r="BC161" s="9">
        <f t="shared" ca="1" si="62"/>
        <v>0.70944198625680499</v>
      </c>
      <c r="BD161" s="9">
        <f t="shared" ca="1" si="83"/>
        <v>0.70944198625680499</v>
      </c>
    </row>
    <row r="162" spans="1:56" ht="15" x14ac:dyDescent="0.25">
      <c r="A162" s="90">
        <v>96</v>
      </c>
      <c r="B162" s="90">
        <v>1542620869.046</v>
      </c>
      <c r="C162" s="91">
        <v>4.26168401284734E-4</v>
      </c>
      <c r="D162" s="91">
        <v>1.9785722733507301E-4</v>
      </c>
      <c r="E162" s="91">
        <v>3.6497396633359901E-2</v>
      </c>
      <c r="F162" s="91">
        <v>2.3918302047612399E-4</v>
      </c>
      <c r="G162" s="91">
        <v>0.64326156310295002</v>
      </c>
      <c r="H162" s="91">
        <v>0.46500630384035402</v>
      </c>
      <c r="I162" s="91">
        <v>5.5931630898141096</v>
      </c>
      <c r="J162" s="91"/>
      <c r="K162" s="91"/>
      <c r="L162" s="89"/>
      <c r="M162" s="89"/>
      <c r="O162" s="11">
        <f t="shared" ca="1" si="84"/>
        <v>3.2381575120227755E-5</v>
      </c>
      <c r="P162" s="11">
        <f t="shared" ca="1" si="85"/>
        <v>3.4273169624853336E-5</v>
      </c>
      <c r="Q162" s="11">
        <f t="shared" ca="1" si="86"/>
        <v>3.4883367230982044E-2</v>
      </c>
      <c r="R162" s="11">
        <f t="shared" ca="1" si="87"/>
        <v>2.2432926035448838E-4</v>
      </c>
      <c r="S162" s="11">
        <f t="shared" ca="1" si="88"/>
        <v>0.64211576041909502</v>
      </c>
      <c r="T162" s="11">
        <f t="shared" ca="1" si="89"/>
        <v>0.46451576449692988</v>
      </c>
      <c r="U162" s="11">
        <f t="shared" ca="1" si="90"/>
        <v>5.5876556502486556</v>
      </c>
      <c r="V162" s="11"/>
      <c r="W162" s="11">
        <f t="shared" ca="1" si="63"/>
        <v>0</v>
      </c>
      <c r="X162" s="2">
        <f t="shared" ca="1" si="64"/>
        <v>2.753051636701031E-5</v>
      </c>
      <c r="Y162" s="2">
        <f t="shared" ca="1" si="65"/>
        <v>3.4779149070354724E-2</v>
      </c>
      <c r="Z162" s="11">
        <f t="shared" ca="1" si="66"/>
        <v>2.2432926035448838E-4</v>
      </c>
      <c r="AA162" s="2">
        <f t="shared" ca="1" si="67"/>
        <v>0.64211555471031978</v>
      </c>
      <c r="AB162" s="11">
        <f t="shared" ca="1" si="68"/>
        <v>0.46451576449692988</v>
      </c>
      <c r="AC162" s="2">
        <f t="shared" ca="1" si="69"/>
        <v>5.5876463104252538</v>
      </c>
      <c r="AF162" s="11">
        <f t="shared" ca="1" si="70"/>
        <v>0</v>
      </c>
      <c r="AG162" s="2">
        <f t="shared" ca="1" si="71"/>
        <v>2.0773928049806684E-5</v>
      </c>
      <c r="AH162" s="2">
        <f t="shared" ca="1" si="72"/>
        <v>3.4674639208703978E-2</v>
      </c>
      <c r="AI162" s="2">
        <f t="shared" ca="1" si="73"/>
        <v>2.2428416578520159E-4</v>
      </c>
      <c r="AJ162" s="2">
        <f t="shared" ca="1" si="74"/>
        <v>0.64211465301589532</v>
      </c>
      <c r="AK162" s="2">
        <f t="shared" ca="1" si="75"/>
        <v>0.46451502699853564</v>
      </c>
      <c r="AL162" s="2">
        <f t="shared" ca="1" si="76"/>
        <v>5.5876358266914066</v>
      </c>
      <c r="AN162" s="2">
        <f t="shared" ca="1" si="54"/>
        <v>8.701944407347538</v>
      </c>
      <c r="AO162" s="2">
        <f t="shared" ca="1" si="55"/>
        <v>0.40089729112446265</v>
      </c>
      <c r="AP162" s="2">
        <f t="shared" ca="1" si="56"/>
        <v>8.9932992796068709E-5</v>
      </c>
      <c r="AQ162" s="2">
        <f t="shared" ca="1" si="57"/>
        <v>0.4644258315041338</v>
      </c>
      <c r="AR162" s="2">
        <f t="shared" ca="1" si="58"/>
        <v>0.70946829021629043</v>
      </c>
      <c r="AS162" s="2">
        <f t="shared" ca="1" si="59"/>
        <v>5.6495279199975136E-2</v>
      </c>
      <c r="AT162" s="9">
        <f t="shared" ca="1" si="60"/>
        <v>0.70946829021629043</v>
      </c>
      <c r="AU162" s="9">
        <f t="shared" ca="1" si="61"/>
        <v>0.70946829021629043</v>
      </c>
      <c r="AW162" s="2">
        <f t="shared" ca="1" si="77"/>
        <v>8.7019285425855042</v>
      </c>
      <c r="AX162" s="2">
        <f t="shared" ca="1" si="78"/>
        <v>0.40089655137245617</v>
      </c>
      <c r="AY162" s="2">
        <f t="shared" ca="1" si="79"/>
        <v>8.9914748590735549E-5</v>
      </c>
      <c r="AZ162" s="2">
        <f t="shared" ca="1" si="80"/>
        <v>0.46442511224994493</v>
      </c>
      <c r="BA162" s="2">
        <f t="shared" ca="1" si="81"/>
        <v>0.70946906640128149</v>
      </c>
      <c r="BB162" s="2">
        <f t="shared" ca="1" si="82"/>
        <v>5.6157226286791678E-2</v>
      </c>
      <c r="BC162" s="9">
        <f t="shared" ca="1" si="62"/>
        <v>0.70946906640128149</v>
      </c>
      <c r="BD162" s="9">
        <f t="shared" ca="1" si="83"/>
        <v>0.70946906640128149</v>
      </c>
    </row>
    <row r="163" spans="1:56" ht="15" x14ac:dyDescent="0.25">
      <c r="A163" s="90">
        <v>97</v>
      </c>
      <c r="B163" s="90">
        <v>1542620869.573</v>
      </c>
      <c r="C163" s="91">
        <v>2.9838167584531701E-4</v>
      </c>
      <c r="D163" s="91">
        <v>2.1841684469244401E-4</v>
      </c>
      <c r="E163" s="91">
        <v>3.7053311919466397E-2</v>
      </c>
      <c r="F163" s="91">
        <v>2.2942533632888101E-4</v>
      </c>
      <c r="G163" s="91">
        <v>0.65295033685900505</v>
      </c>
      <c r="H163" s="91">
        <v>0.471862609520036</v>
      </c>
      <c r="I163" s="91">
        <v>5.6774813252220699</v>
      </c>
      <c r="J163" s="91"/>
      <c r="K163" s="91"/>
      <c r="L163" s="89"/>
      <c r="M163" s="89"/>
      <c r="O163" s="11">
        <f t="shared" ca="1" si="84"/>
        <v>-9.5405150319189237E-5</v>
      </c>
      <c r="P163" s="11">
        <f t="shared" ca="1" si="85"/>
        <v>5.4832786982224335E-5</v>
      </c>
      <c r="Q163" s="11">
        <f t="shared" ca="1" si="86"/>
        <v>3.5439282517088541E-2</v>
      </c>
      <c r="R163" s="11">
        <f t="shared" ca="1" si="87"/>
        <v>2.145715762072454E-4</v>
      </c>
      <c r="S163" s="11">
        <f t="shared" ca="1" si="88"/>
        <v>0.65180453417515005</v>
      </c>
      <c r="T163" s="11">
        <f t="shared" ca="1" si="89"/>
        <v>0.47137207017661187</v>
      </c>
      <c r="U163" s="11">
        <f t="shared" ca="1" si="90"/>
        <v>5.671973885656616</v>
      </c>
      <c r="V163" s="11"/>
      <c r="W163" s="11">
        <f t="shared" ca="1" si="63"/>
        <v>0</v>
      </c>
      <c r="X163" s="2">
        <f t="shared" ca="1" si="64"/>
        <v>5.4832786982224335E-5</v>
      </c>
      <c r="Y163" s="2">
        <f t="shared" ca="1" si="65"/>
        <v>3.5439282517088541E-2</v>
      </c>
      <c r="Z163" s="11">
        <f t="shared" ca="1" si="66"/>
        <v>2.145715762072454E-4</v>
      </c>
      <c r="AA163" s="2">
        <f t="shared" ca="1" si="67"/>
        <v>0.65180453417515005</v>
      </c>
      <c r="AB163" s="11">
        <f t="shared" ca="1" si="68"/>
        <v>0.47137207017661187</v>
      </c>
      <c r="AC163" s="2">
        <f t="shared" ca="1" si="69"/>
        <v>5.671973885656616</v>
      </c>
      <c r="AF163" s="11">
        <f t="shared" ca="1" si="70"/>
        <v>0</v>
      </c>
      <c r="AG163" s="2">
        <f t="shared" ca="1" si="71"/>
        <v>5.4832786982224335E-5</v>
      </c>
      <c r="AH163" s="2">
        <f t="shared" ca="1" si="72"/>
        <v>3.5439282517088541E-2</v>
      </c>
      <c r="AI163" s="2">
        <f t="shared" ca="1" si="73"/>
        <v>2.145715762072454E-4</v>
      </c>
      <c r="AJ163" s="2">
        <f t="shared" ca="1" si="74"/>
        <v>0.65180453417515005</v>
      </c>
      <c r="AK163" s="2">
        <f t="shared" ca="1" si="75"/>
        <v>0.47137089027137419</v>
      </c>
      <c r="AL163" s="2">
        <f t="shared" ca="1" si="76"/>
        <v>5.671973885656616</v>
      </c>
      <c r="AN163" s="2">
        <f t="shared" ca="1" si="54"/>
        <v>8.7019552461911349</v>
      </c>
      <c r="AO163" s="2">
        <f t="shared" ca="1" si="55"/>
        <v>0.40089779652482282</v>
      </c>
      <c r="AP163" s="2">
        <f t="shared" ca="1" si="56"/>
        <v>8.6021272098342781E-5</v>
      </c>
      <c r="AQ163" s="2">
        <f t="shared" ca="1" si="57"/>
        <v>0.47128604890451353</v>
      </c>
      <c r="AR163" s="2">
        <f t="shared" ca="1" si="58"/>
        <v>0.70924598485727697</v>
      </c>
      <c r="AS163" s="2">
        <f t="shared" ca="1" si="59"/>
        <v>5.6542523342973244E-2</v>
      </c>
      <c r="AT163" s="9">
        <f t="shared" ca="1" si="60"/>
        <v>0.70924598485727697</v>
      </c>
      <c r="AU163" s="9">
        <f t="shared" ca="1" si="61"/>
        <v>0.70924598485727697</v>
      </c>
      <c r="AW163" s="2">
        <f t="shared" ca="1" si="77"/>
        <v>8.7019552461911349</v>
      </c>
      <c r="AX163" s="2">
        <f t="shared" ca="1" si="78"/>
        <v>0.40089779652482282</v>
      </c>
      <c r="AY163" s="2">
        <f t="shared" ca="1" si="79"/>
        <v>8.6021272098342781E-5</v>
      </c>
      <c r="AZ163" s="2">
        <f t="shared" ca="1" si="80"/>
        <v>0.47128486899927585</v>
      </c>
      <c r="BA163" s="2">
        <f t="shared" ca="1" si="81"/>
        <v>0.70924420919883291</v>
      </c>
      <c r="BB163" s="2">
        <f t="shared" ca="1" si="82"/>
        <v>5.6542523342973244E-2</v>
      </c>
      <c r="BC163" s="9">
        <f t="shared" ca="1" si="62"/>
        <v>0.70924420919883291</v>
      </c>
      <c r="BD163" s="9">
        <f t="shared" ca="1" si="83"/>
        <v>0.70924420919883291</v>
      </c>
    </row>
    <row r="164" spans="1:56" ht="15" x14ac:dyDescent="0.25">
      <c r="A164" s="90">
        <v>98</v>
      </c>
      <c r="B164" s="90">
        <v>1542620870.0999999</v>
      </c>
      <c r="C164" s="91">
        <v>4.14269505626933E-4</v>
      </c>
      <c r="D164" s="91">
        <v>1.5957493682497201E-4</v>
      </c>
      <c r="E164" s="91">
        <v>3.621016604446E-2</v>
      </c>
      <c r="F164" s="91">
        <v>1.0924704469806799E-4</v>
      </c>
      <c r="G164" s="91">
        <v>0.64084363231906105</v>
      </c>
      <c r="H164" s="91">
        <v>0.46318860923122201</v>
      </c>
      <c r="I164" s="91">
        <v>5.5743269489431597</v>
      </c>
      <c r="J164" s="91"/>
      <c r="K164" s="91"/>
      <c r="L164" s="89"/>
      <c r="M164" s="89"/>
      <c r="O164" s="11">
        <f t="shared" ca="1" si="84"/>
        <v>2.048267946242675E-5</v>
      </c>
      <c r="P164" s="11">
        <f t="shared" ca="1" si="85"/>
        <v>-4.009120885247662E-6</v>
      </c>
      <c r="Q164" s="11">
        <f t="shared" ca="1" si="86"/>
        <v>3.4596136642082144E-2</v>
      </c>
      <c r="R164" s="11">
        <f t="shared" ca="1" si="87"/>
        <v>9.4393284576432368E-5</v>
      </c>
      <c r="S164" s="11">
        <f t="shared" ca="1" si="88"/>
        <v>0.63969782963520605</v>
      </c>
      <c r="T164" s="11">
        <f t="shared" ca="1" si="89"/>
        <v>0.46269806988779794</v>
      </c>
      <c r="U164" s="11">
        <f t="shared" ca="1" si="90"/>
        <v>5.5688195093777058</v>
      </c>
      <c r="V164" s="11"/>
      <c r="W164" s="11">
        <f t="shared" ca="1" si="63"/>
        <v>0</v>
      </c>
      <c r="X164" s="2">
        <f t="shared" ca="1" si="64"/>
        <v>-8.2741266761616028E-6</v>
      </c>
      <c r="Y164" s="2">
        <f t="shared" ca="1" si="65"/>
        <v>3.4530214364664587E-2</v>
      </c>
      <c r="Z164" s="11">
        <f t="shared" ca="1" si="66"/>
        <v>9.4393284576432368E-5</v>
      </c>
      <c r="AA164" s="2">
        <f t="shared" ca="1" si="67"/>
        <v>0.63969769951593636</v>
      </c>
      <c r="AB164" s="11">
        <f t="shared" ca="1" si="68"/>
        <v>0.46269806988779794</v>
      </c>
      <c r="AC164" s="2">
        <f t="shared" ca="1" si="69"/>
        <v>5.5688136015548695</v>
      </c>
      <c r="AF164" s="11">
        <f t="shared" ca="1" si="70"/>
        <v>0</v>
      </c>
      <c r="AG164" s="2">
        <f t="shared" ca="1" si="71"/>
        <v>-1.2547946965848791E-5</v>
      </c>
      <c r="AH164" s="2">
        <f t="shared" ca="1" si="72"/>
        <v>3.4464107574339937E-2</v>
      </c>
      <c r="AI164" s="2">
        <f t="shared" ca="1" si="73"/>
        <v>9.4364760404746215E-5</v>
      </c>
      <c r="AJ164" s="2">
        <f t="shared" ca="1" si="74"/>
        <v>0.63969712915708876</v>
      </c>
      <c r="AK164" s="2">
        <f t="shared" ca="1" si="75"/>
        <v>0.46269806988779794</v>
      </c>
      <c r="AL164" s="2">
        <f t="shared" ca="1" si="76"/>
        <v>5.5688069701615799</v>
      </c>
      <c r="AN164" s="2">
        <f t="shared" ca="1" si="54"/>
        <v>8.7053906569502981</v>
      </c>
      <c r="AO164" s="2">
        <f t="shared" ca="1" si="55"/>
        <v>0.40105798538529835</v>
      </c>
      <c r="AP164" s="2">
        <f t="shared" ca="1" si="56"/>
        <v>3.7857180546125122E-5</v>
      </c>
      <c r="AQ164" s="2">
        <f t="shared" ca="1" si="57"/>
        <v>0.46266021270725183</v>
      </c>
      <c r="AR164" s="2">
        <f t="shared" ca="1" si="58"/>
        <v>0.70930109353461257</v>
      </c>
      <c r="AS164" s="2">
        <f t="shared" ca="1" si="59"/>
        <v>5.6264669747281788E-2</v>
      </c>
      <c r="AT164" s="9">
        <f t="shared" ca="1" si="60"/>
        <v>0.70930109353461257</v>
      </c>
      <c r="AU164" s="9">
        <f t="shared" ca="1" si="61"/>
        <v>0.70930109353461257</v>
      </c>
      <c r="AW164" s="2">
        <f t="shared" ca="1" si="77"/>
        <v>8.705380587684429</v>
      </c>
      <c r="AX164" s="2">
        <f t="shared" ca="1" si="78"/>
        <v>0.40105751586704042</v>
      </c>
      <c r="AY164" s="2">
        <f t="shared" ca="1" si="79"/>
        <v>3.7845696393315973E-5</v>
      </c>
      <c r="AZ164" s="2">
        <f t="shared" ca="1" si="80"/>
        <v>0.46266022419140462</v>
      </c>
      <c r="BA164" s="2">
        <f t="shared" ca="1" si="81"/>
        <v>0.70930230099899927</v>
      </c>
      <c r="BB164" s="2">
        <f t="shared" ca="1" si="82"/>
        <v>5.6049942199016566E-2</v>
      </c>
      <c r="BC164" s="9">
        <f t="shared" ca="1" si="62"/>
        <v>0.70930230099899927</v>
      </c>
      <c r="BD164" s="9">
        <f t="shared" ca="1" si="83"/>
        <v>0.70930230099899927</v>
      </c>
    </row>
    <row r="165" spans="1:56" ht="15" x14ac:dyDescent="0.25">
      <c r="A165" s="90">
        <v>99</v>
      </c>
      <c r="B165" s="90">
        <v>1542620870.628</v>
      </c>
      <c r="C165" s="91">
        <v>3.1313461562728598E-4</v>
      </c>
      <c r="D165" s="91">
        <v>6.10402778093426E-5</v>
      </c>
      <c r="E165" s="91">
        <v>3.5488544173079402E-2</v>
      </c>
      <c r="F165" s="91">
        <v>8.6402906222003895E-5</v>
      </c>
      <c r="G165" s="91">
        <v>0.62361734614070896</v>
      </c>
      <c r="H165" s="91">
        <v>0.45048788864853601</v>
      </c>
      <c r="I165" s="91">
        <v>5.4212617887950003</v>
      </c>
      <c r="J165" s="91"/>
      <c r="K165" s="91"/>
      <c r="L165" s="89"/>
      <c r="M165" s="89"/>
      <c r="O165" s="11">
        <f t="shared" ca="1" si="84"/>
        <v>-8.0652210537220266E-5</v>
      </c>
      <c r="P165" s="11">
        <f t="shared" ca="1" si="85"/>
        <v>-1.0254377990087707E-4</v>
      </c>
      <c r="Q165" s="11">
        <f t="shared" ca="1" si="86"/>
        <v>3.3874514770701546E-2</v>
      </c>
      <c r="R165" s="11">
        <f t="shared" ca="1" si="87"/>
        <v>7.1549146100368269E-5</v>
      </c>
      <c r="S165" s="11">
        <f t="shared" ca="1" si="88"/>
        <v>0.62247154345685396</v>
      </c>
      <c r="T165" s="11">
        <f t="shared" ca="1" si="89"/>
        <v>0.44999734930511193</v>
      </c>
      <c r="U165" s="11">
        <f t="shared" ca="1" si="90"/>
        <v>5.4157543492295463</v>
      </c>
      <c r="V165" s="11"/>
      <c r="W165" s="11">
        <f t="shared" ca="1" si="63"/>
        <v>0</v>
      </c>
      <c r="X165" s="2">
        <f t="shared" ca="1" si="64"/>
        <v>-1.0254377990087707E-4</v>
      </c>
      <c r="Y165" s="2">
        <f t="shared" ca="1" si="65"/>
        <v>3.3874514770701546E-2</v>
      </c>
      <c r="Z165" s="11">
        <f t="shared" ca="1" si="66"/>
        <v>7.1549146100368269E-5</v>
      </c>
      <c r="AA165" s="2">
        <f t="shared" ca="1" si="67"/>
        <v>0.62247154345685396</v>
      </c>
      <c r="AB165" s="11">
        <f t="shared" ca="1" si="68"/>
        <v>0.44999734930511193</v>
      </c>
      <c r="AC165" s="2">
        <f t="shared" ca="1" si="69"/>
        <v>5.4157543492295463</v>
      </c>
      <c r="AF165" s="11">
        <f t="shared" ca="1" si="70"/>
        <v>0</v>
      </c>
      <c r="AG165" s="2">
        <f t="shared" ca="1" si="71"/>
        <v>-1.0254377990087707E-4</v>
      </c>
      <c r="AH165" s="2">
        <f t="shared" ca="1" si="72"/>
        <v>3.3874514770701546E-2</v>
      </c>
      <c r="AI165" s="2">
        <f t="shared" ca="1" si="73"/>
        <v>7.1549146100368269E-5</v>
      </c>
      <c r="AJ165" s="2">
        <f t="shared" ca="1" si="74"/>
        <v>0.62247154345685396</v>
      </c>
      <c r="AK165" s="2">
        <f t="shared" ca="1" si="75"/>
        <v>0.44999734930511193</v>
      </c>
      <c r="AL165" s="2">
        <f t="shared" ca="1" si="76"/>
        <v>5.4157543492295463</v>
      </c>
      <c r="AN165" s="2">
        <f t="shared" ca="1" si="54"/>
        <v>8.700404711119031</v>
      </c>
      <c r="AO165" s="2">
        <f t="shared" ca="1" si="55"/>
        <v>0.40082549728587841</v>
      </c>
      <c r="AP165" s="2">
        <f t="shared" ca="1" si="56"/>
        <v>2.867872206606008E-5</v>
      </c>
      <c r="AQ165" s="2">
        <f t="shared" ca="1" si="57"/>
        <v>0.44996867058304585</v>
      </c>
      <c r="AR165" s="2">
        <f t="shared" ca="1" si="58"/>
        <v>0.70913909214666138</v>
      </c>
      <c r="AS165" s="2">
        <f t="shared" ca="1" si="59"/>
        <v>5.6582487116009453E-2</v>
      </c>
      <c r="AT165" s="9">
        <f t="shared" ca="1" si="60"/>
        <v>0.70913909214666138</v>
      </c>
      <c r="AU165" s="9">
        <f t="shared" ca="1" si="61"/>
        <v>0.70913909214666138</v>
      </c>
      <c r="AW165" s="2">
        <f t="shared" ca="1" si="77"/>
        <v>8.700404711119031</v>
      </c>
      <c r="AX165" s="2">
        <f t="shared" ca="1" si="78"/>
        <v>0.40082549728587841</v>
      </c>
      <c r="AY165" s="2">
        <f t="shared" ca="1" si="79"/>
        <v>2.867872206606008E-5</v>
      </c>
      <c r="AZ165" s="2">
        <f t="shared" ca="1" si="80"/>
        <v>0.44996867058304585</v>
      </c>
      <c r="BA165" s="2">
        <f t="shared" ca="1" si="81"/>
        <v>0.70913909214666138</v>
      </c>
      <c r="BB165" s="2">
        <f t="shared" ca="1" si="82"/>
        <v>5.6582487116009453E-2</v>
      </c>
      <c r="BC165" s="9">
        <f t="shared" ca="1" si="62"/>
        <v>0.70913909214666138</v>
      </c>
      <c r="BD165" s="9">
        <f t="shared" ca="1" si="83"/>
        <v>0.70913909214666138</v>
      </c>
    </row>
    <row r="166" spans="1:56" ht="15" x14ac:dyDescent="0.25">
      <c r="A166" s="90">
        <v>100</v>
      </c>
      <c r="B166" s="90">
        <v>1542620871.155</v>
      </c>
      <c r="C166" s="91">
        <v>3.8595070412240597E-4</v>
      </c>
      <c r="D166" s="91">
        <v>2.29760264176837E-4</v>
      </c>
      <c r="E166" s="91">
        <v>3.5670303005689297E-2</v>
      </c>
      <c r="F166" s="91">
        <v>2.4679884019587501E-4</v>
      </c>
      <c r="G166" s="91">
        <v>0.62901179838578003</v>
      </c>
      <c r="H166" s="91">
        <v>0.45441327467353798</v>
      </c>
      <c r="I166" s="91">
        <v>5.4692728607538799</v>
      </c>
      <c r="J166" s="91"/>
      <c r="K166" s="91"/>
      <c r="L166" s="89"/>
      <c r="M166" s="89"/>
      <c r="O166" s="11">
        <f t="shared" ca="1" si="84"/>
        <v>-7.836122042100273E-6</v>
      </c>
      <c r="P166" s="11">
        <f t="shared" ca="1" si="85"/>
        <v>6.6176206466617333E-5</v>
      </c>
      <c r="Q166" s="11">
        <f t="shared" ca="1" si="86"/>
        <v>3.405627360331144E-2</v>
      </c>
      <c r="R166" s="11">
        <f t="shared" ca="1" si="87"/>
        <v>2.319450800742394E-4</v>
      </c>
      <c r="S166" s="11">
        <f t="shared" ca="1" si="88"/>
        <v>0.62786599570192503</v>
      </c>
      <c r="T166" s="11">
        <f t="shared" ca="1" si="89"/>
        <v>0.45392273533011385</v>
      </c>
      <c r="U166" s="11">
        <f t="shared" ca="1" si="90"/>
        <v>5.4637654211884259</v>
      </c>
      <c r="V166" s="11"/>
      <c r="W166" s="11">
        <f t="shared" ca="1" si="63"/>
        <v>0</v>
      </c>
      <c r="X166" s="2">
        <f t="shared" ca="1" si="64"/>
        <v>6.6176206466617333E-5</v>
      </c>
      <c r="Y166" s="2">
        <f t="shared" ca="1" si="65"/>
        <v>3.405627360331144E-2</v>
      </c>
      <c r="Z166" s="11">
        <f t="shared" ca="1" si="66"/>
        <v>2.319450800742394E-4</v>
      </c>
      <c r="AA166" s="2">
        <f t="shared" ca="1" si="67"/>
        <v>0.62786599570192503</v>
      </c>
      <c r="AB166" s="11">
        <f t="shared" ca="1" si="68"/>
        <v>0.45392273533011385</v>
      </c>
      <c r="AC166" s="2">
        <f t="shared" ca="1" si="69"/>
        <v>5.4637654211884259</v>
      </c>
      <c r="AF166" s="11">
        <f t="shared" ca="1" si="70"/>
        <v>0</v>
      </c>
      <c r="AG166" s="2">
        <f t="shared" ca="1" si="71"/>
        <v>6.6176206466617333E-5</v>
      </c>
      <c r="AH166" s="2">
        <f t="shared" ca="1" si="72"/>
        <v>3.405627360331144E-2</v>
      </c>
      <c r="AI166" s="2">
        <f t="shared" ca="1" si="73"/>
        <v>2.319450800742394E-4</v>
      </c>
      <c r="AJ166" s="2">
        <f t="shared" ca="1" si="74"/>
        <v>0.62786599570192503</v>
      </c>
      <c r="AK166" s="2">
        <f t="shared" ca="1" si="75"/>
        <v>0.45392131133441865</v>
      </c>
      <c r="AL166" s="2">
        <f t="shared" ca="1" si="76"/>
        <v>5.4637654211884259</v>
      </c>
      <c r="AN166" s="2">
        <f t="shared" ca="1" si="54"/>
        <v>8.7021202909391349</v>
      </c>
      <c r="AO166" s="2">
        <f t="shared" ca="1" si="55"/>
        <v>0.40090549233522665</v>
      </c>
      <c r="AP166" s="2">
        <f t="shared" ca="1" si="56"/>
        <v>9.2988056521896509E-5</v>
      </c>
      <c r="AQ166" s="2">
        <f t="shared" ca="1" si="57"/>
        <v>0.45382974727359193</v>
      </c>
      <c r="AR166" s="2">
        <f t="shared" ca="1" si="58"/>
        <v>0.70900863992577123</v>
      </c>
      <c r="AS166" s="2">
        <f t="shared" ca="1" si="59"/>
        <v>5.6408718585282035E-2</v>
      </c>
      <c r="AT166" s="9">
        <f t="shared" ca="1" si="60"/>
        <v>0.70900863992577123</v>
      </c>
      <c r="AU166" s="9">
        <f t="shared" ca="1" si="61"/>
        <v>0.70900863992577123</v>
      </c>
      <c r="AW166" s="2">
        <f t="shared" ca="1" si="77"/>
        <v>8.7021202909391349</v>
      </c>
      <c r="AX166" s="2">
        <f t="shared" ca="1" si="78"/>
        <v>0.40090549233522665</v>
      </c>
      <c r="AY166" s="2">
        <f t="shared" ca="1" si="79"/>
        <v>9.2988056521896509E-5</v>
      </c>
      <c r="AZ166" s="2">
        <f t="shared" ca="1" si="80"/>
        <v>0.45382832327789674</v>
      </c>
      <c r="BA166" s="2">
        <f t="shared" ca="1" si="81"/>
        <v>0.70900641524733798</v>
      </c>
      <c r="BB166" s="2">
        <f t="shared" ca="1" si="82"/>
        <v>5.6408718585282035E-2</v>
      </c>
      <c r="BC166" s="9">
        <f t="shared" ca="1" si="62"/>
        <v>0.70900641524733798</v>
      </c>
      <c r="BD166" s="9">
        <f t="shared" ca="1" si="83"/>
        <v>0.70900641524733798</v>
      </c>
    </row>
    <row r="167" spans="1:56" ht="15" x14ac:dyDescent="0.25">
      <c r="A167" s="90">
        <v>101</v>
      </c>
      <c r="B167" s="90">
        <v>1542620871.6819999</v>
      </c>
      <c r="C167" s="91">
        <v>4.6591174022495799E-4</v>
      </c>
      <c r="D167" s="91">
        <v>1.18222269839907E-4</v>
      </c>
      <c r="E167" s="91">
        <v>3.5220106962715603E-2</v>
      </c>
      <c r="F167" s="91">
        <v>1.3613716891133201E-4</v>
      </c>
      <c r="G167" s="91">
        <v>0.62113425957450097</v>
      </c>
      <c r="H167" s="91">
        <v>0.44873104648585299</v>
      </c>
      <c r="I167" s="91">
        <v>5.40116548200157</v>
      </c>
      <c r="J167" s="91"/>
      <c r="K167" s="91"/>
      <c r="L167" s="89"/>
      <c r="M167" s="89"/>
      <c r="O167" s="11">
        <f t="shared" ca="1" si="84"/>
        <v>7.2124914060451748E-5</v>
      </c>
      <c r="P167" s="11">
        <f t="shared" ca="1" si="85"/>
        <v>-4.5361787870312666E-5</v>
      </c>
      <c r="Q167" s="11">
        <f t="shared" ca="1" si="86"/>
        <v>3.3606077560337747E-2</v>
      </c>
      <c r="R167" s="11">
        <f t="shared" ca="1" si="87"/>
        <v>1.2128340878969639E-4</v>
      </c>
      <c r="S167" s="11">
        <f t="shared" ca="1" si="88"/>
        <v>0.61998845689064597</v>
      </c>
      <c r="T167" s="11">
        <f t="shared" ca="1" si="89"/>
        <v>0.44824050714242891</v>
      </c>
      <c r="U167" s="11">
        <f t="shared" ca="1" si="90"/>
        <v>5.395658042436116</v>
      </c>
      <c r="V167" s="11"/>
      <c r="W167" s="11">
        <f t="shared" ca="1" si="63"/>
        <v>0</v>
      </c>
      <c r="X167" s="2">
        <f t="shared" ca="1" si="64"/>
        <v>-6.0379997607045596E-5</v>
      </c>
      <c r="Y167" s="2">
        <f t="shared" ca="1" si="65"/>
        <v>3.3373947843025498E-2</v>
      </c>
      <c r="Z167" s="11">
        <f t="shared" ca="1" si="66"/>
        <v>1.2128340878969639E-4</v>
      </c>
      <c r="AA167" s="2">
        <f t="shared" ca="1" si="67"/>
        <v>0.61998799870639532</v>
      </c>
      <c r="AB167" s="11">
        <f t="shared" ca="1" si="68"/>
        <v>0.44824050714242891</v>
      </c>
      <c r="AC167" s="2">
        <f t="shared" ca="1" si="69"/>
        <v>5.3956372394344809</v>
      </c>
      <c r="AF167" s="11">
        <f t="shared" ca="1" si="70"/>
        <v>0</v>
      </c>
      <c r="AG167" s="2">
        <f t="shared" ca="1" si="71"/>
        <v>-7.5429245517649897E-5</v>
      </c>
      <c r="AH167" s="2">
        <f t="shared" ca="1" si="72"/>
        <v>3.3141168407125811E-2</v>
      </c>
      <c r="AI167" s="2">
        <f t="shared" ca="1" si="73"/>
        <v>1.211829676616065E-4</v>
      </c>
      <c r="AJ167" s="2">
        <f t="shared" ca="1" si="74"/>
        <v>0.61998599032253399</v>
      </c>
      <c r="AK167" s="2">
        <f t="shared" ca="1" si="75"/>
        <v>0.44824050714242891</v>
      </c>
      <c r="AL167" s="2">
        <f t="shared" ca="1" si="76"/>
        <v>5.3956138885505309</v>
      </c>
      <c r="AN167" s="2">
        <f t="shared" ca="1" si="54"/>
        <v>8.7028362906888859</v>
      </c>
      <c r="AO167" s="2">
        <f t="shared" ca="1" si="55"/>
        <v>0.40093887844277137</v>
      </c>
      <c r="AP167" s="2">
        <f t="shared" ca="1" si="56"/>
        <v>4.8627233893857028E-5</v>
      </c>
      <c r="AQ167" s="2">
        <f t="shared" ca="1" si="57"/>
        <v>0.44819187990853504</v>
      </c>
      <c r="AR167" s="2">
        <f t="shared" ca="1" si="58"/>
        <v>0.70906805036352494</v>
      </c>
      <c r="AS167" s="2">
        <f t="shared" ca="1" si="59"/>
        <v>5.6375038954215202E-2</v>
      </c>
      <c r="AT167" s="9">
        <f t="shared" ca="1" si="60"/>
        <v>0.70906805036352494</v>
      </c>
      <c r="AU167" s="9">
        <f t="shared" ca="1" si="61"/>
        <v>0.70906805036352494</v>
      </c>
      <c r="AW167" s="2">
        <f t="shared" ca="1" si="77"/>
        <v>8.702799696721506</v>
      </c>
      <c r="AX167" s="2">
        <f t="shared" ca="1" si="78"/>
        <v>0.40093717211436936</v>
      </c>
      <c r="AY167" s="2">
        <f t="shared" ca="1" si="79"/>
        <v>4.8586756362671583E-5</v>
      </c>
      <c r="AZ167" s="2">
        <f t="shared" ca="1" si="80"/>
        <v>0.44819192038606626</v>
      </c>
      <c r="BA167" s="2">
        <f t="shared" ca="1" si="81"/>
        <v>0.7090724368566983</v>
      </c>
      <c r="BB167" s="2">
        <f t="shared" ca="1" si="82"/>
        <v>5.5595124152581506E-2</v>
      </c>
      <c r="BC167" s="9">
        <f t="shared" ca="1" si="62"/>
        <v>0.7090724368566983</v>
      </c>
      <c r="BD167" s="9">
        <f t="shared" ca="1" si="83"/>
        <v>0.7090724368566983</v>
      </c>
    </row>
    <row r="168" spans="1:56" ht="15" x14ac:dyDescent="0.25">
      <c r="A168" s="90">
        <v>102</v>
      </c>
      <c r="B168" s="90">
        <v>1542620872.2090001</v>
      </c>
      <c r="C168" s="91">
        <v>3.9713534491364399E-4</v>
      </c>
      <c r="D168" s="91">
        <v>1.3310903144970901E-4</v>
      </c>
      <c r="E168" s="91">
        <v>3.5486838814183498E-2</v>
      </c>
      <c r="F168" s="91">
        <v>1.77782595506551E-4</v>
      </c>
      <c r="G168" s="91">
        <v>0.62611412378560505</v>
      </c>
      <c r="H168" s="91">
        <v>0.45229706940141101</v>
      </c>
      <c r="I168" s="91">
        <v>5.4434023426471798</v>
      </c>
      <c r="J168" s="91"/>
      <c r="K168" s="91"/>
      <c r="L168" s="89"/>
      <c r="M168" s="89"/>
      <c r="O168" s="11">
        <f t="shared" ca="1" si="84"/>
        <v>3.348518749137744E-6</v>
      </c>
      <c r="P168" s="11">
        <f t="shared" ca="1" si="85"/>
        <v>-3.0475026260510661E-5</v>
      </c>
      <c r="Q168" s="11">
        <f t="shared" ca="1" si="86"/>
        <v>3.3872809411805642E-2</v>
      </c>
      <c r="R168" s="11">
        <f t="shared" ca="1" si="87"/>
        <v>1.6292883538491539E-4</v>
      </c>
      <c r="S168" s="11">
        <f t="shared" ca="1" si="88"/>
        <v>0.62496832110175005</v>
      </c>
      <c r="T168" s="11">
        <f t="shared" ca="1" si="89"/>
        <v>0.45180653005798688</v>
      </c>
      <c r="U168" s="11">
        <f t="shared" ca="1" si="90"/>
        <v>5.4378949030817259</v>
      </c>
      <c r="V168" s="11"/>
      <c r="W168" s="11">
        <f t="shared" ca="1" si="63"/>
        <v>0</v>
      </c>
      <c r="X168" s="2">
        <f t="shared" ca="1" si="64"/>
        <v>-3.1172271554138096E-5</v>
      </c>
      <c r="Y168" s="2">
        <f t="shared" ca="1" si="65"/>
        <v>3.3862032404709308E-2</v>
      </c>
      <c r="Z168" s="11">
        <f t="shared" ca="1" si="66"/>
        <v>1.6292883538491539E-4</v>
      </c>
      <c r="AA168" s="2">
        <f t="shared" ca="1" si="67"/>
        <v>0.6249682998297863</v>
      </c>
      <c r="AB168" s="11">
        <f t="shared" ca="1" si="68"/>
        <v>0.45180653005798688</v>
      </c>
      <c r="AC168" s="2">
        <f t="shared" ca="1" si="69"/>
        <v>5.4378939372678747</v>
      </c>
      <c r="AF168" s="11">
        <f t="shared" ca="1" si="70"/>
        <v>0</v>
      </c>
      <c r="AG168" s="2">
        <f t="shared" ca="1" si="71"/>
        <v>-3.1870957846462043E-5</v>
      </c>
      <c r="AH168" s="2">
        <f t="shared" ca="1" si="72"/>
        <v>3.3851225233350039E-2</v>
      </c>
      <c r="AI168" s="2">
        <f t="shared" ca="1" si="73"/>
        <v>1.6292417223896956E-4</v>
      </c>
      <c r="AJ168" s="2">
        <f t="shared" ca="1" si="74"/>
        <v>0.62496820658723473</v>
      </c>
      <c r="AK168" s="2">
        <f t="shared" ca="1" si="75"/>
        <v>0.45180653005798688</v>
      </c>
      <c r="AL168" s="2">
        <f t="shared" ca="1" si="76"/>
        <v>5.437892853164362</v>
      </c>
      <c r="AN168" s="2">
        <f t="shared" ca="1" si="54"/>
        <v>8.7010728695741228</v>
      </c>
      <c r="AO168" s="2">
        <f t="shared" ca="1" si="55"/>
        <v>0.40085665254251091</v>
      </c>
      <c r="AP168" s="2">
        <f t="shared" ca="1" si="56"/>
        <v>6.531110755504698E-5</v>
      </c>
      <c r="AQ168" s="2">
        <f t="shared" ca="1" si="57"/>
        <v>0.45174121895043184</v>
      </c>
      <c r="AR168" s="2">
        <f t="shared" ca="1" si="58"/>
        <v>0.70906095725386675</v>
      </c>
      <c r="AS168" s="2">
        <f t="shared" ca="1" si="59"/>
        <v>5.6358028631598472E-2</v>
      </c>
      <c r="AT168" s="9">
        <f t="shared" ca="1" si="60"/>
        <v>0.70906095725386675</v>
      </c>
      <c r="AU168" s="9">
        <f t="shared" ca="1" si="61"/>
        <v>0.70906095725386675</v>
      </c>
      <c r="AW168" s="2">
        <f t="shared" ca="1" si="77"/>
        <v>8.7010711838592165</v>
      </c>
      <c r="AX168" s="2">
        <f t="shared" ca="1" si="78"/>
        <v>0.40085657394004093</v>
      </c>
      <c r="AY168" s="2">
        <f t="shared" ca="1" si="79"/>
        <v>6.5309225495730467E-5</v>
      </c>
      <c r="AZ168" s="2">
        <f t="shared" ca="1" si="80"/>
        <v>0.45174122083249113</v>
      </c>
      <c r="BA168" s="2">
        <f t="shared" ca="1" si="81"/>
        <v>0.70906115931013558</v>
      </c>
      <c r="BB168" s="2">
        <f t="shared" ca="1" si="82"/>
        <v>5.6322115744496477E-2</v>
      </c>
      <c r="BC168" s="9">
        <f t="shared" ca="1" si="62"/>
        <v>0.70906115931013558</v>
      </c>
      <c r="BD168" s="9">
        <f t="shared" ca="1" si="83"/>
        <v>0.70906115931013558</v>
      </c>
    </row>
    <row r="169" spans="1:56" ht="15" x14ac:dyDescent="0.25">
      <c r="A169" s="90">
        <v>103</v>
      </c>
      <c r="B169" s="90">
        <v>1542620872.7360001</v>
      </c>
      <c r="C169" s="91">
        <v>3.64533656413095E-4</v>
      </c>
      <c r="D169" s="91">
        <v>1.4799601637614299E-4</v>
      </c>
      <c r="E169" s="91">
        <v>3.5866716813122201E-2</v>
      </c>
      <c r="F169" s="91">
        <v>6.3321338696675794E-5</v>
      </c>
      <c r="G169" s="91">
        <v>0.63288106175237901</v>
      </c>
      <c r="H169" s="91">
        <v>0.45728416609822098</v>
      </c>
      <c r="I169" s="91">
        <v>5.5019548335433504</v>
      </c>
      <c r="J169" s="91"/>
      <c r="K169" s="91"/>
      <c r="L169" s="89"/>
      <c r="M169" s="89"/>
      <c r="O169" s="11">
        <f t="shared" ca="1" si="84"/>
        <v>-2.925316975141125E-5</v>
      </c>
      <c r="P169" s="11">
        <f t="shared" ca="1" si="85"/>
        <v>-1.5588041334076678E-5</v>
      </c>
      <c r="Q169" s="11">
        <f t="shared" ca="1" si="86"/>
        <v>3.4252687410744345E-2</v>
      </c>
      <c r="R169" s="11">
        <f t="shared" ca="1" si="87"/>
        <v>4.8467578575040168E-5</v>
      </c>
      <c r="S169" s="11">
        <f t="shared" ca="1" si="88"/>
        <v>0.63173525906852401</v>
      </c>
      <c r="T169" s="11">
        <f t="shared" ca="1" si="89"/>
        <v>0.45679362675479684</v>
      </c>
      <c r="U169" s="11">
        <f t="shared" ca="1" si="90"/>
        <v>5.4964473939778964</v>
      </c>
      <c r="V169" s="11"/>
      <c r="W169" s="11">
        <f t="shared" ca="1" si="63"/>
        <v>0</v>
      </c>
      <c r="X169" s="2">
        <f t="shared" ca="1" si="64"/>
        <v>-1.5588041334076678E-5</v>
      </c>
      <c r="Y169" s="2">
        <f t="shared" ca="1" si="65"/>
        <v>3.4252687410744345E-2</v>
      </c>
      <c r="Z169" s="11">
        <f t="shared" ca="1" si="66"/>
        <v>4.8467578575040168E-5</v>
      </c>
      <c r="AA169" s="2">
        <f t="shared" ca="1" si="67"/>
        <v>0.63173525906852401</v>
      </c>
      <c r="AB169" s="11">
        <f t="shared" ca="1" si="68"/>
        <v>0.45679362675479684</v>
      </c>
      <c r="AC169" s="2">
        <f t="shared" ca="1" si="69"/>
        <v>5.4964473939778964</v>
      </c>
      <c r="AF169" s="11">
        <f t="shared" ca="1" si="70"/>
        <v>0</v>
      </c>
      <c r="AG169" s="2">
        <f t="shared" ca="1" si="71"/>
        <v>-1.5588041334076678E-5</v>
      </c>
      <c r="AH169" s="2">
        <f t="shared" ca="1" si="72"/>
        <v>3.4252687410744345E-2</v>
      </c>
      <c r="AI169" s="2">
        <f t="shared" ca="1" si="73"/>
        <v>4.8467578575040168E-5</v>
      </c>
      <c r="AJ169" s="2">
        <f t="shared" ca="1" si="74"/>
        <v>0.63173525906852401</v>
      </c>
      <c r="AK169" s="2">
        <f t="shared" ca="1" si="75"/>
        <v>0.45679362675479684</v>
      </c>
      <c r="AL169" s="2">
        <f t="shared" ca="1" si="76"/>
        <v>5.4964473939778964</v>
      </c>
      <c r="AN169" s="2">
        <f t="shared" ca="1" si="54"/>
        <v>8.7005550427599285</v>
      </c>
      <c r="AO169" s="2">
        <f t="shared" ca="1" si="55"/>
        <v>0.40083250702904039</v>
      </c>
      <c r="AP169" s="2">
        <f t="shared" ca="1" si="56"/>
        <v>1.9427381029860355E-5</v>
      </c>
      <c r="AQ169" s="2">
        <f t="shared" ca="1" si="57"/>
        <v>0.45677419937376701</v>
      </c>
      <c r="AR169" s="2">
        <f t="shared" ca="1" si="58"/>
        <v>0.70930222439107948</v>
      </c>
      <c r="AS169" s="2">
        <f t="shared" ca="1" si="59"/>
        <v>5.63761826208138E-2</v>
      </c>
      <c r="AT169" s="9">
        <f t="shared" ca="1" si="60"/>
        <v>0.70930222439107948</v>
      </c>
      <c r="AU169" s="9">
        <f t="shared" ca="1" si="61"/>
        <v>0.70930222439107948</v>
      </c>
      <c r="AW169" s="2">
        <f t="shared" ca="1" si="77"/>
        <v>8.7005550427599285</v>
      </c>
      <c r="AX169" s="2">
        <f t="shared" ca="1" si="78"/>
        <v>0.40083250702904039</v>
      </c>
      <c r="AY169" s="2">
        <f t="shared" ca="1" si="79"/>
        <v>1.9427381029860355E-5</v>
      </c>
      <c r="AZ169" s="2">
        <f t="shared" ca="1" si="80"/>
        <v>0.45677419937376701</v>
      </c>
      <c r="BA169" s="2">
        <f t="shared" ca="1" si="81"/>
        <v>0.70930222439107948</v>
      </c>
      <c r="BB169" s="2">
        <f t="shared" ca="1" si="82"/>
        <v>5.63761826208138E-2</v>
      </c>
      <c r="BC169" s="9">
        <f t="shared" ca="1" si="62"/>
        <v>0.70930222439107948</v>
      </c>
      <c r="BD169" s="9">
        <f t="shared" ca="1" si="83"/>
        <v>0.70930222439107948</v>
      </c>
    </row>
    <row r="170" spans="1:56" ht="15" x14ac:dyDescent="0.25">
      <c r="A170" s="90">
        <v>104</v>
      </c>
      <c r="B170" s="90">
        <v>1542620873.263</v>
      </c>
      <c r="C170" s="91">
        <v>3.0456836599590601E-4</v>
      </c>
      <c r="D170" s="91">
        <v>1.6028385471059201E-4</v>
      </c>
      <c r="E170" s="91">
        <v>3.63747407718161E-2</v>
      </c>
      <c r="F170" s="91">
        <v>8.1643776477177197E-5</v>
      </c>
      <c r="G170" s="91">
        <v>0.64213608605650596</v>
      </c>
      <c r="H170" s="91">
        <v>0.46410624535185102</v>
      </c>
      <c r="I170" s="91">
        <v>5.5829889788224403</v>
      </c>
      <c r="J170" s="91"/>
      <c r="K170" s="91"/>
      <c r="L170" s="89"/>
      <c r="M170" s="89"/>
      <c r="O170" s="11">
        <f t="shared" ca="1" si="84"/>
        <v>-8.9218460168600231E-5</v>
      </c>
      <c r="P170" s="11">
        <f t="shared" ca="1" si="85"/>
        <v>-3.3002029996276588E-6</v>
      </c>
      <c r="Q170" s="11">
        <f t="shared" ca="1" si="86"/>
        <v>3.4760711369438244E-2</v>
      </c>
      <c r="R170" s="11">
        <f t="shared" ca="1" si="87"/>
        <v>6.6790016355541571E-5</v>
      </c>
      <c r="S170" s="11">
        <f t="shared" ca="1" si="88"/>
        <v>0.64099028337265096</v>
      </c>
      <c r="T170" s="11">
        <f t="shared" ca="1" si="89"/>
        <v>0.46361570600842694</v>
      </c>
      <c r="U170" s="11">
        <f t="shared" ca="1" si="90"/>
        <v>5.5774815392569863</v>
      </c>
      <c r="V170" s="11"/>
      <c r="W170" s="11">
        <f t="shared" ca="1" si="63"/>
        <v>0</v>
      </c>
      <c r="X170" s="2">
        <f t="shared" ca="1" si="64"/>
        <v>-3.3002029996276588E-6</v>
      </c>
      <c r="Y170" s="2">
        <f t="shared" ca="1" si="65"/>
        <v>3.4760711369438244E-2</v>
      </c>
      <c r="Z170" s="11">
        <f t="shared" ca="1" si="66"/>
        <v>6.6790016355541571E-5</v>
      </c>
      <c r="AA170" s="2">
        <f t="shared" ca="1" si="67"/>
        <v>0.64099028337265096</v>
      </c>
      <c r="AB170" s="11">
        <f t="shared" ca="1" si="68"/>
        <v>0.46361570600842694</v>
      </c>
      <c r="AC170" s="2">
        <f t="shared" ca="1" si="69"/>
        <v>5.5774815392569863</v>
      </c>
      <c r="AF170" s="11">
        <f t="shared" ca="1" si="70"/>
        <v>0</v>
      </c>
      <c r="AG170" s="2">
        <f t="shared" ca="1" si="71"/>
        <v>-3.3002029996276588E-6</v>
      </c>
      <c r="AH170" s="2">
        <f t="shared" ca="1" si="72"/>
        <v>3.4760711369438244E-2</v>
      </c>
      <c r="AI170" s="2">
        <f t="shared" ca="1" si="73"/>
        <v>6.6790016355541571E-5</v>
      </c>
      <c r="AJ170" s="2">
        <f t="shared" ca="1" si="74"/>
        <v>0.64099028337265096</v>
      </c>
      <c r="AK170" s="2">
        <f t="shared" ca="1" si="75"/>
        <v>0.46361570600842694</v>
      </c>
      <c r="AL170" s="2">
        <f t="shared" ca="1" si="76"/>
        <v>5.5774815392569863</v>
      </c>
      <c r="AN170" s="2">
        <f t="shared" ca="1" si="54"/>
        <v>8.7013511498339202</v>
      </c>
      <c r="AO170" s="2">
        <f t="shared" ca="1" si="55"/>
        <v>0.40086962835470452</v>
      </c>
      <c r="AP170" s="2">
        <f t="shared" ca="1" si="56"/>
        <v>2.6774089034250585E-5</v>
      </c>
      <c r="AQ170" s="2">
        <f t="shared" ca="1" si="57"/>
        <v>0.46358893191939271</v>
      </c>
      <c r="AR170" s="2">
        <f t="shared" ca="1" si="58"/>
        <v>0.70945764858815519</v>
      </c>
      <c r="AS170" s="2">
        <f t="shared" ca="1" si="59"/>
        <v>5.6391545944093423E-2</v>
      </c>
      <c r="AT170" s="9">
        <f t="shared" ca="1" si="60"/>
        <v>0.70945764858815519</v>
      </c>
      <c r="AU170" s="9">
        <f t="shared" ca="1" si="61"/>
        <v>0.70945764858815519</v>
      </c>
      <c r="AW170" s="2">
        <f t="shared" ca="1" si="77"/>
        <v>8.7013511498339202</v>
      </c>
      <c r="AX170" s="2">
        <f t="shared" ca="1" si="78"/>
        <v>0.40086962835470452</v>
      </c>
      <c r="AY170" s="2">
        <f t="shared" ca="1" si="79"/>
        <v>2.6774089034250585E-5</v>
      </c>
      <c r="AZ170" s="2">
        <f t="shared" ca="1" si="80"/>
        <v>0.46358893191939271</v>
      </c>
      <c r="BA170" s="2">
        <f t="shared" ca="1" si="81"/>
        <v>0.70945764858815519</v>
      </c>
      <c r="BB170" s="2">
        <f t="shared" ca="1" si="82"/>
        <v>5.6391545944093423E-2</v>
      </c>
      <c r="BC170" s="9">
        <f t="shared" ca="1" si="62"/>
        <v>0.70945764858815519</v>
      </c>
      <c r="BD170" s="9">
        <f t="shared" ca="1" si="83"/>
        <v>0.70945764858815519</v>
      </c>
    </row>
    <row r="171" spans="1:56" ht="15" x14ac:dyDescent="0.25">
      <c r="A171" s="90">
        <v>105</v>
      </c>
      <c r="B171" s="90">
        <v>1542620873.79</v>
      </c>
      <c r="C171" s="91">
        <v>3.2812572928071098E-4</v>
      </c>
      <c r="D171" s="91">
        <v>1.62883224624191E-4</v>
      </c>
      <c r="E171" s="91">
        <v>3.7599843272673399E-2</v>
      </c>
      <c r="F171" s="91">
        <v>4.7854607419890902E-5</v>
      </c>
      <c r="G171" s="91">
        <v>0.66374416150569504</v>
      </c>
      <c r="H171" s="91">
        <v>0.47951604198672299</v>
      </c>
      <c r="I171" s="91">
        <v>5.7671543706747297</v>
      </c>
      <c r="J171" s="91"/>
      <c r="K171" s="91"/>
      <c r="L171" s="89"/>
      <c r="M171" s="89"/>
      <c r="O171" s="11">
        <f t="shared" ca="1" si="84"/>
        <v>-6.5661096883795264E-5</v>
      </c>
      <c r="P171" s="11">
        <f t="shared" ca="1" si="85"/>
        <v>-7.00833086028673E-7</v>
      </c>
      <c r="Q171" s="11">
        <f t="shared" ca="1" si="86"/>
        <v>3.5985813870295542E-2</v>
      </c>
      <c r="R171" s="11">
        <f t="shared" ca="1" si="87"/>
        <v>3.3000847298255282E-5</v>
      </c>
      <c r="S171" s="11">
        <f t="shared" ca="1" si="88"/>
        <v>0.66259835882184004</v>
      </c>
      <c r="T171" s="11">
        <f t="shared" ca="1" si="89"/>
        <v>0.47902550264329891</v>
      </c>
      <c r="U171" s="11">
        <f t="shared" ca="1" si="90"/>
        <v>5.7616469311092757</v>
      </c>
      <c r="V171" s="11"/>
      <c r="W171" s="11">
        <f t="shared" ca="1" si="63"/>
        <v>0</v>
      </c>
      <c r="X171" s="2">
        <f t="shared" ca="1" si="64"/>
        <v>-7.00833086028673E-7</v>
      </c>
      <c r="Y171" s="2">
        <f t="shared" ca="1" si="65"/>
        <v>3.5985813870295542E-2</v>
      </c>
      <c r="Z171" s="11">
        <f t="shared" ca="1" si="66"/>
        <v>3.3000847298255282E-5</v>
      </c>
      <c r="AA171" s="2">
        <f t="shared" ca="1" si="67"/>
        <v>0.66259835882184004</v>
      </c>
      <c r="AB171" s="11">
        <f t="shared" ca="1" si="68"/>
        <v>0.47902550264329891</v>
      </c>
      <c r="AC171" s="2">
        <f t="shared" ca="1" si="69"/>
        <v>5.7616469311092757</v>
      </c>
      <c r="AF171" s="11">
        <f t="shared" ca="1" si="70"/>
        <v>0</v>
      </c>
      <c r="AG171" s="2">
        <f t="shared" ca="1" si="71"/>
        <v>-7.00833086028673E-7</v>
      </c>
      <c r="AH171" s="2">
        <f t="shared" ca="1" si="72"/>
        <v>3.5985813870295542E-2</v>
      </c>
      <c r="AI171" s="2">
        <f t="shared" ca="1" si="73"/>
        <v>3.3000847298255282E-5</v>
      </c>
      <c r="AJ171" s="2">
        <f t="shared" ca="1" si="74"/>
        <v>0.66259835882184004</v>
      </c>
      <c r="AK171" s="2">
        <f t="shared" ca="1" si="75"/>
        <v>0.47902550264329891</v>
      </c>
      <c r="AL171" s="2">
        <f t="shared" ca="1" si="76"/>
        <v>5.7616469311092757</v>
      </c>
      <c r="AN171" s="2">
        <f t="shared" ca="1" si="54"/>
        <v>8.6955345638857402</v>
      </c>
      <c r="AO171" s="2">
        <f t="shared" ca="1" si="55"/>
        <v>0.40059841028292115</v>
      </c>
      <c r="AP171" s="2">
        <f t="shared" ca="1" si="56"/>
        <v>1.32200869656705E-5</v>
      </c>
      <c r="AQ171" s="2">
        <f t="shared" ca="1" si="57"/>
        <v>0.47901228255633321</v>
      </c>
      <c r="AR171" s="2">
        <f t="shared" ca="1" si="58"/>
        <v>0.7093938262875632</v>
      </c>
      <c r="AS171" s="2">
        <f t="shared" ca="1" si="59"/>
        <v>5.6436568947225048E-2</v>
      </c>
      <c r="AT171" s="9">
        <f t="shared" ca="1" si="60"/>
        <v>0.7093938262875632</v>
      </c>
      <c r="AU171" s="9">
        <f t="shared" ca="1" si="61"/>
        <v>0.7093938262875632</v>
      </c>
      <c r="AW171" s="2">
        <f t="shared" ca="1" si="77"/>
        <v>8.6955345638857402</v>
      </c>
      <c r="AX171" s="2">
        <f t="shared" ca="1" si="78"/>
        <v>0.40059841028292115</v>
      </c>
      <c r="AY171" s="2">
        <f t="shared" ca="1" si="79"/>
        <v>1.32200869656705E-5</v>
      </c>
      <c r="AZ171" s="2">
        <f t="shared" ca="1" si="80"/>
        <v>0.47901228255633321</v>
      </c>
      <c r="BA171" s="2">
        <f t="shared" ca="1" si="81"/>
        <v>0.7093938262875632</v>
      </c>
      <c r="BB171" s="2">
        <f t="shared" ca="1" si="82"/>
        <v>5.6436568947225048E-2</v>
      </c>
      <c r="BC171" s="9">
        <f t="shared" ca="1" si="62"/>
        <v>0.7093938262875632</v>
      </c>
      <c r="BD171" s="9">
        <f t="shared" ca="1" si="83"/>
        <v>0.7093938262875632</v>
      </c>
    </row>
    <row r="172" spans="1:56" ht="15" x14ac:dyDescent="0.25">
      <c r="A172" s="90">
        <v>106</v>
      </c>
      <c r="B172" s="90">
        <v>1542620874.316</v>
      </c>
      <c r="C172" s="91">
        <v>3.7167262128750102E-4</v>
      </c>
      <c r="D172" s="91">
        <v>1.1727708616590701E-4</v>
      </c>
      <c r="E172" s="91">
        <v>3.8426457890521598E-2</v>
      </c>
      <c r="F172" s="91">
        <v>1.42800320469507E-4</v>
      </c>
      <c r="G172" s="91">
        <v>0.67977209433973196</v>
      </c>
      <c r="H172" s="91">
        <v>0.491100810144314</v>
      </c>
      <c r="I172" s="91">
        <v>5.9081108621476401</v>
      </c>
      <c r="J172" s="91"/>
      <c r="K172" s="91"/>
      <c r="L172" s="89"/>
      <c r="M172" s="89"/>
      <c r="O172" s="11">
        <f t="shared" ca="1" si="84"/>
        <v>-2.2114204877005225E-5</v>
      </c>
      <c r="P172" s="11">
        <f t="shared" ca="1" si="85"/>
        <v>-4.6306971544312665E-5</v>
      </c>
      <c r="Q172" s="11">
        <f t="shared" ca="1" si="86"/>
        <v>3.6812428488143742E-2</v>
      </c>
      <c r="R172" s="11">
        <f t="shared" ca="1" si="87"/>
        <v>1.2794656034787139E-4</v>
      </c>
      <c r="S172" s="11">
        <f t="shared" ca="1" si="88"/>
        <v>0.67862629165587696</v>
      </c>
      <c r="T172" s="11">
        <f t="shared" ca="1" si="89"/>
        <v>0.49061027080088992</v>
      </c>
      <c r="U172" s="11">
        <f t="shared" ca="1" si="90"/>
        <v>5.9026034225821862</v>
      </c>
      <c r="V172" s="11"/>
      <c r="W172" s="11">
        <f t="shared" ca="1" si="63"/>
        <v>0</v>
      </c>
      <c r="X172" s="2">
        <f t="shared" ca="1" si="64"/>
        <v>-4.6306971544312665E-5</v>
      </c>
      <c r="Y172" s="2">
        <f t="shared" ca="1" si="65"/>
        <v>3.6812428488143742E-2</v>
      </c>
      <c r="Z172" s="11">
        <f t="shared" ca="1" si="66"/>
        <v>1.2794656034787139E-4</v>
      </c>
      <c r="AA172" s="2">
        <f t="shared" ca="1" si="67"/>
        <v>0.67862629165587696</v>
      </c>
      <c r="AB172" s="11">
        <f t="shared" ca="1" si="68"/>
        <v>0.49061027080088992</v>
      </c>
      <c r="AC172" s="2">
        <f t="shared" ca="1" si="69"/>
        <v>5.9026034225821862</v>
      </c>
      <c r="AF172" s="11">
        <f t="shared" ca="1" si="70"/>
        <v>0</v>
      </c>
      <c r="AG172" s="2">
        <f t="shared" ca="1" si="71"/>
        <v>-4.6306971544312665E-5</v>
      </c>
      <c r="AH172" s="2">
        <f t="shared" ca="1" si="72"/>
        <v>3.6812428488143742E-2</v>
      </c>
      <c r="AI172" s="2">
        <f t="shared" ca="1" si="73"/>
        <v>1.2794656034787139E-4</v>
      </c>
      <c r="AJ172" s="2">
        <f t="shared" ca="1" si="74"/>
        <v>0.67862629165587696</v>
      </c>
      <c r="AK172" s="2">
        <f t="shared" ca="1" si="75"/>
        <v>0.49061027080088992</v>
      </c>
      <c r="AL172" s="2">
        <f t="shared" ca="1" si="76"/>
        <v>5.9026034225821862</v>
      </c>
      <c r="AN172" s="2">
        <f t="shared" ca="1" si="54"/>
        <v>8.6978702345580849</v>
      </c>
      <c r="AO172" s="2">
        <f t="shared" ca="1" si="55"/>
        <v>0.40070731859517605</v>
      </c>
      <c r="AP172" s="2">
        <f t="shared" ca="1" si="56"/>
        <v>5.1269123120471419E-5</v>
      </c>
      <c r="AQ172" s="2">
        <f t="shared" ca="1" si="57"/>
        <v>0.49055900167776945</v>
      </c>
      <c r="AR172" s="2">
        <f t="shared" ca="1" si="58"/>
        <v>0.70923954209060036</v>
      </c>
      <c r="AS172" s="2">
        <f t="shared" ca="1" si="59"/>
        <v>5.6384893824775358E-2</v>
      </c>
      <c r="AT172" s="9">
        <f t="shared" ca="1" si="60"/>
        <v>0.70923954209060036</v>
      </c>
      <c r="AU172" s="9">
        <f t="shared" ca="1" si="61"/>
        <v>0.70923954209060036</v>
      </c>
      <c r="AW172" s="2">
        <f t="shared" ca="1" si="77"/>
        <v>8.6978702345580849</v>
      </c>
      <c r="AX172" s="2">
        <f t="shared" ca="1" si="78"/>
        <v>0.40070731859517605</v>
      </c>
      <c r="AY172" s="2">
        <f t="shared" ca="1" si="79"/>
        <v>5.1269123120471419E-5</v>
      </c>
      <c r="AZ172" s="2">
        <f t="shared" ca="1" si="80"/>
        <v>0.49055900167776945</v>
      </c>
      <c r="BA172" s="2">
        <f t="shared" ca="1" si="81"/>
        <v>0.70923954209060036</v>
      </c>
      <c r="BB172" s="2">
        <f t="shared" ca="1" si="82"/>
        <v>5.6384893824775358E-2</v>
      </c>
      <c r="BC172" s="9">
        <f t="shared" ca="1" si="62"/>
        <v>0.70923954209060036</v>
      </c>
      <c r="BD172" s="9">
        <f t="shared" ca="1" si="83"/>
        <v>0.70923954209060036</v>
      </c>
    </row>
    <row r="173" spans="1:56" ht="15" x14ac:dyDescent="0.25">
      <c r="A173" s="90">
        <v>107</v>
      </c>
      <c r="B173" s="90">
        <v>1542620874.8429999</v>
      </c>
      <c r="C173" s="91">
        <v>3.8238116427763397E-4</v>
      </c>
      <c r="D173" s="91">
        <v>2.2810600742675699E-4</v>
      </c>
      <c r="E173" s="91">
        <v>3.8507668357345697E-2</v>
      </c>
      <c r="F173" s="91">
        <v>1.2114524044319899E-4</v>
      </c>
      <c r="G173" s="91">
        <v>0.68134504340725</v>
      </c>
      <c r="H173" s="91">
        <v>0.492537790064484</v>
      </c>
      <c r="I173" s="91">
        <v>5.9247712143571203</v>
      </c>
      <c r="J173" s="91"/>
      <c r="K173" s="91"/>
      <c r="L173" s="89"/>
      <c r="M173" s="89"/>
      <c r="O173" s="11">
        <f t="shared" ca="1" si="84"/>
        <v>-1.1405661886872273E-5</v>
      </c>
      <c r="P173" s="11">
        <f t="shared" ca="1" si="85"/>
        <v>6.452194971653732E-5</v>
      </c>
      <c r="Q173" s="11">
        <f t="shared" ca="1" si="86"/>
        <v>3.689363895496784E-2</v>
      </c>
      <c r="R173" s="11">
        <f t="shared" ca="1" si="87"/>
        <v>1.0629148032156337E-4</v>
      </c>
      <c r="S173" s="11">
        <f t="shared" ca="1" si="88"/>
        <v>0.68019924072339499</v>
      </c>
      <c r="T173" s="11">
        <f t="shared" ca="1" si="89"/>
        <v>0.49204725072105993</v>
      </c>
      <c r="U173" s="11">
        <f t="shared" ca="1" si="90"/>
        <v>5.9192637747916663</v>
      </c>
      <c r="V173" s="11"/>
      <c r="W173" s="11">
        <f t="shared" ca="1" si="63"/>
        <v>0</v>
      </c>
      <c r="X173" s="2">
        <f t="shared" ca="1" si="64"/>
        <v>6.452194971653732E-5</v>
      </c>
      <c r="Y173" s="2">
        <f t="shared" ca="1" si="65"/>
        <v>3.689363895496784E-2</v>
      </c>
      <c r="Z173" s="11">
        <f t="shared" ca="1" si="66"/>
        <v>1.0629148032156337E-4</v>
      </c>
      <c r="AA173" s="2">
        <f t="shared" ca="1" si="67"/>
        <v>0.68019924072339499</v>
      </c>
      <c r="AB173" s="11">
        <f t="shared" ca="1" si="68"/>
        <v>0.49204725072105993</v>
      </c>
      <c r="AC173" s="2">
        <f t="shared" ca="1" si="69"/>
        <v>5.9192637747916663</v>
      </c>
      <c r="AF173" s="11">
        <f t="shared" ca="1" si="70"/>
        <v>0</v>
      </c>
      <c r="AG173" s="2">
        <f t="shared" ca="1" si="71"/>
        <v>6.452194971653732E-5</v>
      </c>
      <c r="AH173" s="2">
        <f t="shared" ca="1" si="72"/>
        <v>3.689363895496784E-2</v>
      </c>
      <c r="AI173" s="2">
        <f t="shared" ca="1" si="73"/>
        <v>1.0629148032156337E-4</v>
      </c>
      <c r="AJ173" s="2">
        <f t="shared" ca="1" si="74"/>
        <v>0.68019924072339499</v>
      </c>
      <c r="AK173" s="2">
        <f t="shared" ca="1" si="75"/>
        <v>0.49204586232206354</v>
      </c>
      <c r="AL173" s="2">
        <f t="shared" ca="1" si="76"/>
        <v>5.9192637747916663</v>
      </c>
      <c r="AN173" s="2">
        <f t="shared" ca="1" si="54"/>
        <v>8.7022499003328821</v>
      </c>
      <c r="AO173" s="2">
        <f t="shared" ca="1" si="55"/>
        <v>0.40091153584486722</v>
      </c>
      <c r="AP173" s="2">
        <f t="shared" ca="1" si="56"/>
        <v>4.2613480622942453E-5</v>
      </c>
      <c r="AQ173" s="2">
        <f t="shared" ca="1" si="57"/>
        <v>0.49200463724043697</v>
      </c>
      <c r="AR173" s="2">
        <f t="shared" ca="1" si="58"/>
        <v>0.70950478221501312</v>
      </c>
      <c r="AS173" s="2">
        <f t="shared" ca="1" si="59"/>
        <v>5.6407654312079704E-2</v>
      </c>
      <c r="AT173" s="9">
        <f t="shared" ca="1" si="60"/>
        <v>0.70950478221501312</v>
      </c>
      <c r="AU173" s="9">
        <f t="shared" ca="1" si="61"/>
        <v>0.70950478221501312</v>
      </c>
      <c r="AW173" s="2">
        <f t="shared" ca="1" si="77"/>
        <v>8.7022499003328821</v>
      </c>
      <c r="AX173" s="2">
        <f t="shared" ca="1" si="78"/>
        <v>0.40091153584486722</v>
      </c>
      <c r="AY173" s="2">
        <f t="shared" ca="1" si="79"/>
        <v>4.2613480622942453E-5</v>
      </c>
      <c r="AZ173" s="2">
        <f t="shared" ca="1" si="80"/>
        <v>0.49200324884144059</v>
      </c>
      <c r="BA173" s="2">
        <f t="shared" ca="1" si="81"/>
        <v>0.70950278004744594</v>
      </c>
      <c r="BB173" s="2">
        <f t="shared" ca="1" si="82"/>
        <v>5.6407654312079704E-2</v>
      </c>
      <c r="BC173" s="9">
        <f t="shared" ca="1" si="62"/>
        <v>0.70950278004744594</v>
      </c>
      <c r="BD173" s="9">
        <f t="shared" ca="1" si="83"/>
        <v>0.70950278004744594</v>
      </c>
    </row>
    <row r="174" spans="1:56" ht="15" x14ac:dyDescent="0.25">
      <c r="A174" s="90">
        <v>108</v>
      </c>
      <c r="B174" s="90">
        <v>1542620875.3699999</v>
      </c>
      <c r="C174" s="91">
        <v>3.09803287595472E-4</v>
      </c>
      <c r="D174" s="91">
        <v>1.5035905039359099E-4</v>
      </c>
      <c r="E174" s="91">
        <v>3.9389691987152302E-2</v>
      </c>
      <c r="F174" s="91">
        <v>1.7064325618571999E-4</v>
      </c>
      <c r="G174" s="91">
        <v>0.69571058790197204</v>
      </c>
      <c r="H174" s="91">
        <v>0.50246975731760901</v>
      </c>
      <c r="I174" s="91">
        <v>6.0453972519613703</v>
      </c>
      <c r="J174" s="91"/>
      <c r="K174" s="91"/>
      <c r="L174" s="89"/>
      <c r="M174" s="89"/>
      <c r="O174" s="11">
        <f t="shared" ca="1" si="84"/>
        <v>-8.3983538569034244E-5</v>
      </c>
      <c r="P174" s="11">
        <f t="shared" ca="1" si="85"/>
        <v>-1.3225007316628677E-5</v>
      </c>
      <c r="Q174" s="11">
        <f t="shared" ca="1" si="86"/>
        <v>3.7775662584774446E-2</v>
      </c>
      <c r="R174" s="11">
        <f t="shared" ca="1" si="87"/>
        <v>1.5578949606408438E-4</v>
      </c>
      <c r="S174" s="11">
        <f t="shared" ca="1" si="88"/>
        <v>0.69456478521811704</v>
      </c>
      <c r="T174" s="11">
        <f t="shared" ca="1" si="89"/>
        <v>0.50197921797418488</v>
      </c>
      <c r="U174" s="11">
        <f t="shared" ca="1" si="90"/>
        <v>6.0398898123959164</v>
      </c>
      <c r="V174" s="11"/>
      <c r="W174" s="11">
        <f t="shared" ca="1" si="63"/>
        <v>0</v>
      </c>
      <c r="X174" s="2">
        <f t="shared" ca="1" si="64"/>
        <v>-1.3225007316628677E-5</v>
      </c>
      <c r="Y174" s="2">
        <f t="shared" ca="1" si="65"/>
        <v>3.7775662584774446E-2</v>
      </c>
      <c r="Z174" s="11">
        <f t="shared" ca="1" si="66"/>
        <v>1.5578949606408438E-4</v>
      </c>
      <c r="AA174" s="2">
        <f t="shared" ca="1" si="67"/>
        <v>0.69456478521811704</v>
      </c>
      <c r="AB174" s="11">
        <f t="shared" ca="1" si="68"/>
        <v>0.50197921797418488</v>
      </c>
      <c r="AC174" s="2">
        <f t="shared" ca="1" si="69"/>
        <v>6.0398898123959164</v>
      </c>
      <c r="AF174" s="11">
        <f t="shared" ca="1" si="70"/>
        <v>0</v>
      </c>
      <c r="AG174" s="2">
        <f t="shared" ca="1" si="71"/>
        <v>-1.3225007316628677E-5</v>
      </c>
      <c r="AH174" s="2">
        <f t="shared" ca="1" si="72"/>
        <v>3.7775662584774446E-2</v>
      </c>
      <c r="AI174" s="2">
        <f t="shared" ca="1" si="73"/>
        <v>1.5578949606408438E-4</v>
      </c>
      <c r="AJ174" s="2">
        <f t="shared" ca="1" si="74"/>
        <v>0.69456478521811704</v>
      </c>
      <c r="AK174" s="2">
        <f t="shared" ca="1" si="75"/>
        <v>0.50197921797418488</v>
      </c>
      <c r="AL174" s="2">
        <f t="shared" ca="1" si="76"/>
        <v>6.0398898123959164</v>
      </c>
      <c r="AN174" s="2">
        <f t="shared" ca="1" si="54"/>
        <v>8.6959344051673817</v>
      </c>
      <c r="AO174" s="2">
        <f t="shared" ca="1" si="55"/>
        <v>0.40061705417004301</v>
      </c>
      <c r="AP174" s="2">
        <f t="shared" ca="1" si="56"/>
        <v>6.2411928983828986E-5</v>
      </c>
      <c r="AQ174" s="2">
        <f t="shared" ca="1" si="57"/>
        <v>0.50191680604520106</v>
      </c>
      <c r="AR174" s="2">
        <f t="shared" ca="1" si="58"/>
        <v>0.70908782986697783</v>
      </c>
      <c r="AS174" s="2">
        <f t="shared" ca="1" si="59"/>
        <v>5.6519640823531121E-2</v>
      </c>
      <c r="AT174" s="9">
        <f t="shared" ca="1" si="60"/>
        <v>0.70908782986697783</v>
      </c>
      <c r="AU174" s="9">
        <f t="shared" ca="1" si="61"/>
        <v>0.70908782986697783</v>
      </c>
      <c r="AW174" s="2">
        <f t="shared" ca="1" si="77"/>
        <v>8.6959344051673817</v>
      </c>
      <c r="AX174" s="2">
        <f t="shared" ca="1" si="78"/>
        <v>0.40061705417004301</v>
      </c>
      <c r="AY174" s="2">
        <f t="shared" ca="1" si="79"/>
        <v>6.2411928983828986E-5</v>
      </c>
      <c r="AZ174" s="2">
        <f t="shared" ca="1" si="80"/>
        <v>0.50191680604520106</v>
      </c>
      <c r="BA174" s="2">
        <f t="shared" ca="1" si="81"/>
        <v>0.70908782986697783</v>
      </c>
      <c r="BB174" s="2">
        <f t="shared" ca="1" si="82"/>
        <v>5.6519640823531121E-2</v>
      </c>
      <c r="BC174" s="9">
        <f t="shared" ca="1" si="62"/>
        <v>0.70908782986697783</v>
      </c>
      <c r="BD174" s="9">
        <f t="shared" ca="1" si="83"/>
        <v>0.70908782986697783</v>
      </c>
    </row>
    <row r="175" spans="1:56" ht="15" x14ac:dyDescent="0.25">
      <c r="A175" s="90">
        <v>109</v>
      </c>
      <c r="B175" s="90">
        <v>1542620875.8970001</v>
      </c>
      <c r="C175" s="91">
        <v>4.5068057313354498E-4</v>
      </c>
      <c r="D175" s="91">
        <v>2.1439941471568599E-4</v>
      </c>
      <c r="E175" s="91">
        <v>3.9381636884457602E-2</v>
      </c>
      <c r="F175" s="91">
        <v>8.0929908971420604E-5</v>
      </c>
      <c r="G175" s="91">
        <v>0.69482444472042804</v>
      </c>
      <c r="H175" s="91">
        <v>0.50194799126392398</v>
      </c>
      <c r="I175" s="91">
        <v>6.0418926031443601</v>
      </c>
      <c r="J175" s="91"/>
      <c r="K175" s="91"/>
      <c r="L175" s="89"/>
      <c r="M175" s="89"/>
      <c r="O175" s="11">
        <f t="shared" ca="1" si="84"/>
        <v>5.6893746969038732E-5</v>
      </c>
      <c r="P175" s="11">
        <f t="shared" ca="1" si="85"/>
        <v>5.0815357005466321E-5</v>
      </c>
      <c r="Q175" s="11">
        <f t="shared" ca="1" si="86"/>
        <v>3.7767607482079746E-2</v>
      </c>
      <c r="R175" s="11">
        <f t="shared" ca="1" si="87"/>
        <v>6.6076148849784978E-5</v>
      </c>
      <c r="S175" s="11">
        <f t="shared" ca="1" si="88"/>
        <v>0.69367864203657303</v>
      </c>
      <c r="T175" s="11">
        <f t="shared" ca="1" si="89"/>
        <v>0.50145745192049984</v>
      </c>
      <c r="U175" s="11">
        <f t="shared" ca="1" si="90"/>
        <v>6.0363851635789061</v>
      </c>
      <c r="V175" s="11"/>
      <c r="W175" s="11">
        <f t="shared" ca="1" si="63"/>
        <v>0</v>
      </c>
      <c r="X175" s="2">
        <f t="shared" ca="1" si="64"/>
        <v>3.8968656932125733E-5</v>
      </c>
      <c r="Y175" s="2">
        <f t="shared" ca="1" si="65"/>
        <v>3.7584498364061414E-2</v>
      </c>
      <c r="Z175" s="11">
        <f t="shared" ca="1" si="66"/>
        <v>6.6076148849784978E-5</v>
      </c>
      <c r="AA175" s="2">
        <f t="shared" ca="1" si="67"/>
        <v>0.69367828061057812</v>
      </c>
      <c r="AB175" s="11">
        <f t="shared" ca="1" si="68"/>
        <v>0.50145745192049984</v>
      </c>
      <c r="AC175" s="2">
        <f t="shared" ca="1" si="69"/>
        <v>6.0363687537054709</v>
      </c>
      <c r="AF175" s="11">
        <f t="shared" ca="1" si="70"/>
        <v>0</v>
      </c>
      <c r="AG175" s="2">
        <f t="shared" ca="1" si="71"/>
        <v>2.7097473252341763E-5</v>
      </c>
      <c r="AH175" s="2">
        <f t="shared" ca="1" si="72"/>
        <v>3.7400876733475176E-2</v>
      </c>
      <c r="AI175" s="2">
        <f t="shared" ca="1" si="73"/>
        <v>6.5996918639236088E-5</v>
      </c>
      <c r="AJ175" s="2">
        <f t="shared" ca="1" si="74"/>
        <v>0.6936766963524239</v>
      </c>
      <c r="AK175" s="2">
        <f t="shared" ca="1" si="75"/>
        <v>0.50145635846329684</v>
      </c>
      <c r="AL175" s="2">
        <f t="shared" ca="1" si="76"/>
        <v>6.036350334005423</v>
      </c>
      <c r="AN175" s="2">
        <f t="shared" ca="1" si="54"/>
        <v>8.7019908034888687</v>
      </c>
      <c r="AO175" s="2">
        <f t="shared" ca="1" si="55"/>
        <v>0.40089945451273495</v>
      </c>
      <c r="AP175" s="2">
        <f t="shared" ca="1" si="56"/>
        <v>2.6489892030181078E-5</v>
      </c>
      <c r="AQ175" s="2">
        <f t="shared" ca="1" si="57"/>
        <v>0.50143096202846971</v>
      </c>
      <c r="AR175" s="2">
        <f t="shared" ca="1" si="58"/>
        <v>0.70905775210257194</v>
      </c>
      <c r="AS175" s="2">
        <f t="shared" ca="1" si="59"/>
        <v>5.6620096999567528E-2</v>
      </c>
      <c r="AT175" s="9">
        <f t="shared" ca="1" si="60"/>
        <v>0.70905775210257194</v>
      </c>
      <c r="AU175" s="9">
        <f t="shared" ca="1" si="61"/>
        <v>0.70905775210257194</v>
      </c>
      <c r="AW175" s="2">
        <f t="shared" ca="1" si="77"/>
        <v>8.7019650014862862</v>
      </c>
      <c r="AX175" s="2">
        <f t="shared" ca="1" si="78"/>
        <v>0.40089825140081675</v>
      </c>
      <c r="AY175" s="2">
        <f t="shared" ca="1" si="79"/>
        <v>2.6458049280311717E-5</v>
      </c>
      <c r="AZ175" s="2">
        <f t="shared" ca="1" si="80"/>
        <v>0.50142990041401647</v>
      </c>
      <c r="BA175" s="2">
        <f t="shared" ca="1" si="81"/>
        <v>0.70905929848921523</v>
      </c>
      <c r="BB175" s="2">
        <f t="shared" ca="1" si="82"/>
        <v>5.6070292096393644E-2</v>
      </c>
      <c r="BC175" s="9">
        <f t="shared" ca="1" si="62"/>
        <v>0.70905929848921523</v>
      </c>
      <c r="BD175" s="9">
        <f t="shared" ca="1" si="83"/>
        <v>0.70905929848921523</v>
      </c>
    </row>
    <row r="176" spans="1:56" ht="15" x14ac:dyDescent="0.25">
      <c r="A176" s="90">
        <v>110</v>
      </c>
      <c r="B176" s="90">
        <v>1542620876.424</v>
      </c>
      <c r="C176" s="91">
        <v>3.8761649374891201E-4</v>
      </c>
      <c r="D176" s="91">
        <v>1.5390361196988001E-4</v>
      </c>
      <c r="E176" s="91">
        <v>3.8606690429977802E-2</v>
      </c>
      <c r="F176" s="91">
        <v>8.2595600611670104E-5</v>
      </c>
      <c r="G176" s="91">
        <v>0.67969644770318804</v>
      </c>
      <c r="H176" s="91">
        <v>0.49115148791213498</v>
      </c>
      <c r="I176" s="91">
        <v>5.9115848372612101</v>
      </c>
      <c r="J176" s="91"/>
      <c r="K176" s="91"/>
      <c r="L176" s="89"/>
      <c r="M176" s="89"/>
      <c r="O176" s="11">
        <f t="shared" ca="1" si="84"/>
        <v>-6.1703324155942406E-6</v>
      </c>
      <c r="P176" s="11">
        <f t="shared" ca="1" si="85"/>
        <v>-9.6804457403396602E-6</v>
      </c>
      <c r="Q176" s="11">
        <f t="shared" ca="1" si="86"/>
        <v>3.6992661027599946E-2</v>
      </c>
      <c r="R176" s="11">
        <f t="shared" ca="1" si="87"/>
        <v>6.7741840490034478E-5</v>
      </c>
      <c r="S176" s="11">
        <f t="shared" ca="1" si="88"/>
        <v>0.67855064501933304</v>
      </c>
      <c r="T176" s="11">
        <f t="shared" ca="1" si="89"/>
        <v>0.4906609485687109</v>
      </c>
      <c r="U176" s="11">
        <f t="shared" ca="1" si="90"/>
        <v>5.9060773976957561</v>
      </c>
      <c r="V176" s="11"/>
      <c r="W176" s="11">
        <f t="shared" ca="1" si="63"/>
        <v>0</v>
      </c>
      <c r="X176" s="2">
        <f t="shared" ca="1" si="64"/>
        <v>-9.6804457403396602E-6</v>
      </c>
      <c r="Y176" s="2">
        <f t="shared" ca="1" si="65"/>
        <v>3.6992661027599946E-2</v>
      </c>
      <c r="Z176" s="11">
        <f t="shared" ca="1" si="66"/>
        <v>6.7741840490034478E-5</v>
      </c>
      <c r="AA176" s="2">
        <f t="shared" ca="1" si="67"/>
        <v>0.67855064501933304</v>
      </c>
      <c r="AB176" s="11">
        <f t="shared" ca="1" si="68"/>
        <v>0.4906609485687109</v>
      </c>
      <c r="AC176" s="2">
        <f t="shared" ca="1" si="69"/>
        <v>5.9060773976957561</v>
      </c>
      <c r="AF176" s="11">
        <f t="shared" ca="1" si="70"/>
        <v>0</v>
      </c>
      <c r="AG176" s="2">
        <f t="shared" ca="1" si="71"/>
        <v>-9.6804457403396602E-6</v>
      </c>
      <c r="AH176" s="2">
        <f t="shared" ca="1" si="72"/>
        <v>3.6992661027599946E-2</v>
      </c>
      <c r="AI176" s="2">
        <f t="shared" ca="1" si="73"/>
        <v>6.7741840490034478E-5</v>
      </c>
      <c r="AJ176" s="2">
        <f t="shared" ca="1" si="74"/>
        <v>0.67855064501933304</v>
      </c>
      <c r="AK176" s="2">
        <f t="shared" ca="1" si="75"/>
        <v>0.4906609485687109</v>
      </c>
      <c r="AL176" s="2">
        <f t="shared" ca="1" si="76"/>
        <v>5.9060773976957561</v>
      </c>
      <c r="AN176" s="2">
        <f t="shared" ca="1" si="54"/>
        <v>8.7039595954219191</v>
      </c>
      <c r="AO176" s="2">
        <f t="shared" ca="1" si="55"/>
        <v>0.40099125670226304</v>
      </c>
      <c r="AP176" s="2">
        <f t="shared" ca="1" si="56"/>
        <v>2.7163885749423173E-5</v>
      </c>
      <c r="AQ176" s="2">
        <f t="shared" ca="1" si="57"/>
        <v>0.49063378468296148</v>
      </c>
      <c r="AR176" s="2">
        <f t="shared" ca="1" si="58"/>
        <v>0.70917675450493478</v>
      </c>
      <c r="AS176" s="2">
        <f t="shared" ca="1" si="59"/>
        <v>5.6707864653404577E-2</v>
      </c>
      <c r="AT176" s="9">
        <f t="shared" ca="1" si="60"/>
        <v>0.70917675450493478</v>
      </c>
      <c r="AU176" s="9">
        <f t="shared" ca="1" si="61"/>
        <v>0.70917675450493478</v>
      </c>
      <c r="AW176" s="2">
        <f t="shared" ca="1" si="77"/>
        <v>8.7039595954219191</v>
      </c>
      <c r="AX176" s="2">
        <f t="shared" ca="1" si="78"/>
        <v>0.40099125670226304</v>
      </c>
      <c r="AY176" s="2">
        <f t="shared" ca="1" si="79"/>
        <v>2.7163885749423173E-5</v>
      </c>
      <c r="AZ176" s="2">
        <f t="shared" ca="1" si="80"/>
        <v>0.49063378468296148</v>
      </c>
      <c r="BA176" s="2">
        <f t="shared" ca="1" si="81"/>
        <v>0.70917675450493478</v>
      </c>
      <c r="BB176" s="2">
        <f t="shared" ca="1" si="82"/>
        <v>5.6707864653404577E-2</v>
      </c>
      <c r="BC176" s="9">
        <f t="shared" ca="1" si="62"/>
        <v>0.70917675450493478</v>
      </c>
      <c r="BD176" s="9">
        <f t="shared" ca="1" si="83"/>
        <v>0.70917675450493478</v>
      </c>
    </row>
    <row r="177" spans="1:56" ht="15" x14ac:dyDescent="0.25">
      <c r="A177" s="90">
        <v>111</v>
      </c>
      <c r="B177" s="90">
        <v>1542620876.951</v>
      </c>
      <c r="C177" s="91">
        <v>3.9308982208381601E-4</v>
      </c>
      <c r="D177" s="91">
        <v>2.16053648618805E-4</v>
      </c>
      <c r="E177" s="91">
        <v>3.8130447817441099E-2</v>
      </c>
      <c r="F177" s="91">
        <v>1.16623909361787E-4</v>
      </c>
      <c r="G177" s="91">
        <v>0.67262322542756403</v>
      </c>
      <c r="H177" s="91">
        <v>0.48585792315558302</v>
      </c>
      <c r="I177" s="91">
        <v>5.8452397701062404</v>
      </c>
      <c r="J177" s="91"/>
      <c r="K177" s="91"/>
      <c r="L177" s="89"/>
      <c r="M177" s="89"/>
      <c r="O177" s="11">
        <f t="shared" ca="1" si="84"/>
        <v>-6.9700408069023681E-7</v>
      </c>
      <c r="P177" s="11">
        <f t="shared" ca="1" si="85"/>
        <v>5.246959090858533E-5</v>
      </c>
      <c r="Q177" s="11">
        <f t="shared" ca="1" si="86"/>
        <v>3.6516418415063243E-2</v>
      </c>
      <c r="R177" s="11">
        <f t="shared" ca="1" si="87"/>
        <v>1.0177014924015137E-4</v>
      </c>
      <c r="S177" s="11">
        <f t="shared" ca="1" si="88"/>
        <v>0.67147742274370903</v>
      </c>
      <c r="T177" s="11">
        <f t="shared" ca="1" si="89"/>
        <v>0.48536738381215894</v>
      </c>
      <c r="U177" s="11">
        <f t="shared" ca="1" si="90"/>
        <v>5.8397323305407864</v>
      </c>
      <c r="V177" s="11"/>
      <c r="W177" s="11">
        <f t="shared" ca="1" si="63"/>
        <v>0</v>
      </c>
      <c r="X177" s="2">
        <f t="shared" ca="1" si="64"/>
        <v>5.246959090858533E-5</v>
      </c>
      <c r="Y177" s="2">
        <f t="shared" ca="1" si="65"/>
        <v>3.6516418415063243E-2</v>
      </c>
      <c r="Z177" s="11">
        <f t="shared" ca="1" si="66"/>
        <v>1.0177014924015137E-4</v>
      </c>
      <c r="AA177" s="2">
        <f t="shared" ca="1" si="67"/>
        <v>0.67147742274370903</v>
      </c>
      <c r="AB177" s="11">
        <f t="shared" ca="1" si="68"/>
        <v>0.48536738381215894</v>
      </c>
      <c r="AC177" s="2">
        <f t="shared" ca="1" si="69"/>
        <v>5.8397323305407864</v>
      </c>
      <c r="AF177" s="11">
        <f t="shared" ca="1" si="70"/>
        <v>0</v>
      </c>
      <c r="AG177" s="2">
        <f t="shared" ca="1" si="71"/>
        <v>5.246959090858533E-5</v>
      </c>
      <c r="AH177" s="2">
        <f t="shared" ca="1" si="72"/>
        <v>3.6516418415063243E-2</v>
      </c>
      <c r="AI177" s="2">
        <f t="shared" ca="1" si="73"/>
        <v>1.0177014924015137E-4</v>
      </c>
      <c r="AJ177" s="2">
        <f t="shared" ca="1" si="74"/>
        <v>0.67147742274370903</v>
      </c>
      <c r="AK177" s="2">
        <f t="shared" ca="1" si="75"/>
        <v>0.48536625475874878</v>
      </c>
      <c r="AL177" s="2">
        <f t="shared" ca="1" si="76"/>
        <v>5.8397323305407864</v>
      </c>
      <c r="AN177" s="2">
        <f t="shared" ca="1" si="54"/>
        <v>8.6968409253124044</v>
      </c>
      <c r="AO177" s="2">
        <f t="shared" ca="1" si="55"/>
        <v>0.40065932362902762</v>
      </c>
      <c r="AP177" s="2">
        <f t="shared" ca="1" si="56"/>
        <v>4.0775159160184247E-5</v>
      </c>
      <c r="AQ177" s="2">
        <f t="shared" ca="1" si="57"/>
        <v>0.48532660865299876</v>
      </c>
      <c r="AR177" s="2">
        <f t="shared" ca="1" si="58"/>
        <v>0.70918729066420816</v>
      </c>
      <c r="AS177" s="2">
        <f t="shared" ca="1" si="59"/>
        <v>5.6520129336791125E-2</v>
      </c>
      <c r="AT177" s="9">
        <f t="shared" ca="1" si="60"/>
        <v>0.70918729066420816</v>
      </c>
      <c r="AU177" s="9">
        <f t="shared" ca="1" si="61"/>
        <v>0.70918729066420816</v>
      </c>
      <c r="AW177" s="2">
        <f t="shared" ca="1" si="77"/>
        <v>8.6968409253124044</v>
      </c>
      <c r="AX177" s="2">
        <f t="shared" ca="1" si="78"/>
        <v>0.40065932362902762</v>
      </c>
      <c r="AY177" s="2">
        <f t="shared" ca="1" si="79"/>
        <v>4.0775159160184247E-5</v>
      </c>
      <c r="AZ177" s="2">
        <f t="shared" ca="1" si="80"/>
        <v>0.48532547959958861</v>
      </c>
      <c r="BA177" s="2">
        <f t="shared" ca="1" si="81"/>
        <v>0.70918564082611013</v>
      </c>
      <c r="BB177" s="2">
        <f t="shared" ca="1" si="82"/>
        <v>5.6520129336791125E-2</v>
      </c>
      <c r="BC177" s="9">
        <f t="shared" ca="1" si="62"/>
        <v>0.70918564082611013</v>
      </c>
      <c r="BD177" s="9">
        <f t="shared" ca="1" si="83"/>
        <v>0.70918564082611013</v>
      </c>
    </row>
    <row r="178" spans="1:56" ht="15" x14ac:dyDescent="0.25">
      <c r="A178" s="90">
        <v>112</v>
      </c>
      <c r="B178" s="90">
        <v>1542620877.4779999</v>
      </c>
      <c r="C178" s="91">
        <v>3.68579063576752E-4</v>
      </c>
      <c r="D178" s="91">
        <v>9.3411496735400497E-5</v>
      </c>
      <c r="E178" s="91">
        <v>3.8606690429977802E-2</v>
      </c>
      <c r="F178" s="91">
        <v>4.0716196852602803E-5</v>
      </c>
      <c r="G178" s="91">
        <v>0.68453367860984504</v>
      </c>
      <c r="H178" s="91">
        <v>0.494460715036388</v>
      </c>
      <c r="I178" s="91">
        <v>5.9493252828475001</v>
      </c>
      <c r="J178" s="91"/>
      <c r="K178" s="91"/>
      <c r="L178" s="89"/>
      <c r="M178" s="89"/>
      <c r="O178" s="11">
        <f t="shared" ca="1" si="84"/>
        <v>-2.5207762587754247E-5</v>
      </c>
      <c r="P178" s="11">
        <f t="shared" ca="1" si="85"/>
        <v>-7.0172560974819174E-5</v>
      </c>
      <c r="Q178" s="11">
        <f t="shared" ca="1" si="86"/>
        <v>3.6992661027599946E-2</v>
      </c>
      <c r="R178" s="11">
        <f t="shared" ca="1" si="87"/>
        <v>2.586243673096718E-5</v>
      </c>
      <c r="S178" s="11">
        <f t="shared" ca="1" si="88"/>
        <v>0.68338787592599004</v>
      </c>
      <c r="T178" s="11">
        <f t="shared" ca="1" si="89"/>
        <v>0.49397017569296386</v>
      </c>
      <c r="U178" s="11">
        <f t="shared" ca="1" si="90"/>
        <v>5.9438178432820461</v>
      </c>
      <c r="V178" s="11"/>
      <c r="W178" s="11">
        <f t="shared" ca="1" si="63"/>
        <v>0</v>
      </c>
      <c r="X178" s="2">
        <f t="shared" ca="1" si="64"/>
        <v>-7.0172560974819174E-5</v>
      </c>
      <c r="Y178" s="2">
        <f t="shared" ca="1" si="65"/>
        <v>3.6992661027599946E-2</v>
      </c>
      <c r="Z178" s="11">
        <f t="shared" ca="1" si="66"/>
        <v>2.586243673096718E-5</v>
      </c>
      <c r="AA178" s="2">
        <f t="shared" ca="1" si="67"/>
        <v>0.68338787592599004</v>
      </c>
      <c r="AB178" s="11">
        <f t="shared" ca="1" si="68"/>
        <v>0.49397017569296386</v>
      </c>
      <c r="AC178" s="2">
        <f t="shared" ca="1" si="69"/>
        <v>5.9438178432820461</v>
      </c>
      <c r="AF178" s="11">
        <f t="shared" ca="1" si="70"/>
        <v>0</v>
      </c>
      <c r="AG178" s="2">
        <f t="shared" ca="1" si="71"/>
        <v>-7.0172560974819174E-5</v>
      </c>
      <c r="AH178" s="2">
        <f t="shared" ca="1" si="72"/>
        <v>3.6992661027599946E-2</v>
      </c>
      <c r="AI178" s="2">
        <f t="shared" ca="1" si="73"/>
        <v>2.586243673096718E-5</v>
      </c>
      <c r="AJ178" s="2">
        <f t="shared" ca="1" si="74"/>
        <v>0.68338787592599004</v>
      </c>
      <c r="AK178" s="2">
        <f t="shared" ca="1" si="75"/>
        <v>0.49397017569296386</v>
      </c>
      <c r="AL178" s="2">
        <f t="shared" ca="1" si="76"/>
        <v>5.9438178432820461</v>
      </c>
      <c r="AN178" s="2">
        <f t="shared" ca="1" si="54"/>
        <v>8.6975757877298854</v>
      </c>
      <c r="AO178" s="2">
        <f t="shared" ca="1" si="55"/>
        <v>0.40069358902570773</v>
      </c>
      <c r="AP178" s="2">
        <f t="shared" ca="1" si="56"/>
        <v>1.0362912594681532E-5</v>
      </c>
      <c r="AQ178" s="2">
        <f t="shared" ca="1" si="57"/>
        <v>0.49395981278036916</v>
      </c>
      <c r="AR178" s="2">
        <f t="shared" ca="1" si="58"/>
        <v>0.70919248403547885</v>
      </c>
      <c r="AS178" s="2">
        <f t="shared" ca="1" si="59"/>
        <v>5.6264211756643E-2</v>
      </c>
      <c r="AT178" s="9">
        <f t="shared" ca="1" si="60"/>
        <v>0.70919248403547885</v>
      </c>
      <c r="AU178" s="9">
        <f t="shared" ca="1" si="61"/>
        <v>0.70919248403547885</v>
      </c>
      <c r="AW178" s="2">
        <f t="shared" ca="1" si="77"/>
        <v>8.6975757877298854</v>
      </c>
      <c r="AX178" s="2">
        <f t="shared" ca="1" si="78"/>
        <v>0.40069358902570773</v>
      </c>
      <c r="AY178" s="2">
        <f t="shared" ca="1" si="79"/>
        <v>1.0362912594681532E-5</v>
      </c>
      <c r="AZ178" s="2">
        <f t="shared" ca="1" si="80"/>
        <v>0.49395981278036916</v>
      </c>
      <c r="BA178" s="2">
        <f t="shared" ca="1" si="81"/>
        <v>0.70919248403547885</v>
      </c>
      <c r="BB178" s="2">
        <f t="shared" ca="1" si="82"/>
        <v>5.6264211756643E-2</v>
      </c>
      <c r="BC178" s="9">
        <f t="shared" ca="1" si="62"/>
        <v>0.70919248403547885</v>
      </c>
      <c r="BD178" s="9">
        <f t="shared" ca="1" si="83"/>
        <v>0.70919248403547885</v>
      </c>
    </row>
    <row r="179" spans="1:56" ht="15" x14ac:dyDescent="0.25">
      <c r="A179" s="90">
        <v>113</v>
      </c>
      <c r="B179" s="90">
        <v>1542620878.0050001</v>
      </c>
      <c r="C179" s="91">
        <v>4.6876760991255398E-4</v>
      </c>
      <c r="D179" s="91">
        <v>1.5319469864178301E-4</v>
      </c>
      <c r="E179" s="91">
        <v>3.83893909886424E-2</v>
      </c>
      <c r="F179" s="91">
        <v>3.8336738002273903E-5</v>
      </c>
      <c r="G179" s="91">
        <v>0.67859319465963497</v>
      </c>
      <c r="H179" s="91">
        <v>0.490098644708992</v>
      </c>
      <c r="I179" s="91">
        <v>5.8992177739506904</v>
      </c>
      <c r="J179" s="91"/>
      <c r="K179" s="91"/>
      <c r="L179" s="89"/>
      <c r="M179" s="89"/>
      <c r="O179" s="11">
        <f t="shared" ca="1" si="84"/>
        <v>7.4980783748047734E-5</v>
      </c>
      <c r="P179" s="11">
        <f t="shared" ca="1" si="85"/>
        <v>-1.0389359068436658E-5</v>
      </c>
      <c r="Q179" s="11">
        <f t="shared" ca="1" si="86"/>
        <v>3.6775361586264543E-2</v>
      </c>
      <c r="R179" s="11">
        <f t="shared" ca="1" si="87"/>
        <v>2.3482977880638281E-5</v>
      </c>
      <c r="S179" s="11">
        <f t="shared" ca="1" si="88"/>
        <v>0.67744739197577997</v>
      </c>
      <c r="T179" s="11">
        <f t="shared" ca="1" si="89"/>
        <v>0.48960810536556787</v>
      </c>
      <c r="U179" s="11">
        <f t="shared" ca="1" si="90"/>
        <v>5.8937103343852364</v>
      </c>
      <c r="V179" s="11"/>
      <c r="W179" s="11">
        <f t="shared" ca="1" si="63"/>
        <v>0</v>
      </c>
      <c r="X179" s="2">
        <f t="shared" ca="1" si="64"/>
        <v>-2.6002232251328371E-5</v>
      </c>
      <c r="Y179" s="2">
        <f t="shared" ca="1" si="65"/>
        <v>3.6534040423362404E-2</v>
      </c>
      <c r="Z179" s="11">
        <f t="shared" ca="1" si="66"/>
        <v>2.3482977880638281E-5</v>
      </c>
      <c r="AA179" s="2">
        <f t="shared" ca="1" si="67"/>
        <v>0.67744691564919213</v>
      </c>
      <c r="AB179" s="11">
        <f t="shared" ca="1" si="68"/>
        <v>0.48960810536556787</v>
      </c>
      <c r="AC179" s="2">
        <f t="shared" ca="1" si="69"/>
        <v>5.8936887076646052</v>
      </c>
      <c r="AF179" s="11">
        <f t="shared" ca="1" si="70"/>
        <v>0</v>
      </c>
      <c r="AG179" s="2">
        <f t="shared" ca="1" si="71"/>
        <v>-4.16473726006119E-5</v>
      </c>
      <c r="AH179" s="2">
        <f t="shared" ca="1" si="72"/>
        <v>3.6292043815511231E-2</v>
      </c>
      <c r="AI179" s="2">
        <f t="shared" ca="1" si="73"/>
        <v>2.3378559669499688E-5</v>
      </c>
      <c r="AJ179" s="2">
        <f t="shared" ca="1" si="74"/>
        <v>0.67744482774104064</v>
      </c>
      <c r="AK179" s="2">
        <f t="shared" ca="1" si="75"/>
        <v>0.48960810536556787</v>
      </c>
      <c r="AL179" s="2">
        <f t="shared" ca="1" si="76"/>
        <v>5.893664432175302</v>
      </c>
      <c r="AN179" s="2">
        <f t="shared" ca="1" si="54"/>
        <v>8.6998789931070366</v>
      </c>
      <c r="AO179" s="2">
        <f t="shared" ca="1" si="55"/>
        <v>0.40080098384026464</v>
      </c>
      <c r="AP179" s="2">
        <f t="shared" ca="1" si="56"/>
        <v>9.4120006380589948E-6</v>
      </c>
      <c r="AQ179" s="2">
        <f t="shared" ca="1" si="57"/>
        <v>0.48959869336492984</v>
      </c>
      <c r="AR179" s="2">
        <f t="shared" ca="1" si="58"/>
        <v>0.70900050287290417</v>
      </c>
      <c r="AS179" s="2">
        <f t="shared" ca="1" si="59"/>
        <v>5.643947637585723E-2</v>
      </c>
      <c r="AT179" s="9">
        <f t="shared" ca="1" si="60"/>
        <v>0.70900050287290417</v>
      </c>
      <c r="AU179" s="9">
        <f t="shared" ca="1" si="61"/>
        <v>0.70900050287290417</v>
      </c>
      <c r="AW179" s="2">
        <f t="shared" ca="1" si="77"/>
        <v>8.6998441656538983</v>
      </c>
      <c r="AX179" s="2">
        <f t="shared" ca="1" si="78"/>
        <v>0.40079935988878246</v>
      </c>
      <c r="AY179" s="2">
        <f t="shared" ca="1" si="79"/>
        <v>9.3701117506571798E-6</v>
      </c>
      <c r="AZ179" s="2">
        <f t="shared" ca="1" si="80"/>
        <v>0.4895987352538172</v>
      </c>
      <c r="BA179" s="2">
        <f t="shared" ca="1" si="81"/>
        <v>0.70900467655940669</v>
      </c>
      <c r="BB179" s="2">
        <f t="shared" ca="1" si="82"/>
        <v>5.5697706939734401E-2</v>
      </c>
      <c r="BC179" s="9">
        <f t="shared" ca="1" si="62"/>
        <v>0.70900467655940669</v>
      </c>
      <c r="BD179" s="9">
        <f t="shared" ca="1" si="83"/>
        <v>0.70900467655940669</v>
      </c>
    </row>
    <row r="180" spans="1:56" ht="15" x14ac:dyDescent="0.25">
      <c r="A180" s="90">
        <v>114</v>
      </c>
      <c r="B180" s="90">
        <v>1542620878.5320001</v>
      </c>
      <c r="C180" s="91">
        <v>4.3878138545277702E-4</v>
      </c>
      <c r="D180" s="91">
        <v>2.2739704109236199E-4</v>
      </c>
      <c r="E180" s="91">
        <v>3.9002630455987002E-2</v>
      </c>
      <c r="F180" s="91">
        <v>1.28046258926776E-4</v>
      </c>
      <c r="G180" s="91">
        <v>0.68821302014040997</v>
      </c>
      <c r="H180" s="91">
        <v>0.497361446704776</v>
      </c>
      <c r="I180" s="91">
        <v>5.9848317951618801</v>
      </c>
      <c r="J180" s="91"/>
      <c r="K180" s="91"/>
      <c r="L180" s="89"/>
      <c r="M180" s="89"/>
      <c r="O180" s="11">
        <f t="shared" ca="1" si="84"/>
        <v>4.4994559288270776E-5</v>
      </c>
      <c r="P180" s="11">
        <f t="shared" ca="1" si="85"/>
        <v>6.3812983382142323E-5</v>
      </c>
      <c r="Q180" s="11">
        <f t="shared" ca="1" si="86"/>
        <v>3.7388601053609145E-2</v>
      </c>
      <c r="R180" s="11">
        <f t="shared" ca="1" si="87"/>
        <v>1.1319249880514038E-4</v>
      </c>
      <c r="S180" s="11">
        <f t="shared" ca="1" si="88"/>
        <v>0.68706721745655497</v>
      </c>
      <c r="T180" s="11">
        <f t="shared" ca="1" si="89"/>
        <v>0.49687090736135187</v>
      </c>
      <c r="U180" s="11">
        <f t="shared" ca="1" si="90"/>
        <v>5.9793243555964262</v>
      </c>
      <c r="V180" s="11"/>
      <c r="W180" s="11">
        <f t="shared" ca="1" si="63"/>
        <v>0</v>
      </c>
      <c r="X180" s="2">
        <f t="shared" ca="1" si="64"/>
        <v>5.4443991582211123E-5</v>
      </c>
      <c r="Y180" s="2">
        <f t="shared" ca="1" si="65"/>
        <v>3.7243788758659011E-2</v>
      </c>
      <c r="Z180" s="11">
        <f t="shared" ca="1" si="66"/>
        <v>1.1319249880514038E-4</v>
      </c>
      <c r="AA180" s="2">
        <f t="shared" ca="1" si="67"/>
        <v>0.68706693162192067</v>
      </c>
      <c r="AB180" s="11">
        <f t="shared" ca="1" si="68"/>
        <v>0.49687090736135187</v>
      </c>
      <c r="AC180" s="2">
        <f t="shared" ca="1" si="69"/>
        <v>5.9793113778077851</v>
      </c>
      <c r="AF180" s="11">
        <f t="shared" ca="1" si="70"/>
        <v>0</v>
      </c>
      <c r="AG180" s="2">
        <f t="shared" ca="1" si="71"/>
        <v>4.5055636862092801E-5</v>
      </c>
      <c r="AH180" s="2">
        <f t="shared" ca="1" si="72"/>
        <v>3.7098571141887915E-2</v>
      </c>
      <c r="AI180" s="2">
        <f t="shared" ca="1" si="73"/>
        <v>1.131298393988632E-4</v>
      </c>
      <c r="AJ180" s="2">
        <f t="shared" ca="1" si="74"/>
        <v>0.68706567870747492</v>
      </c>
      <c r="AK180" s="2">
        <f t="shared" ca="1" si="75"/>
        <v>0.4968695342180654</v>
      </c>
      <c r="AL180" s="2">
        <f t="shared" ca="1" si="76"/>
        <v>5.9792968105428397</v>
      </c>
      <c r="AN180" s="2">
        <f t="shared" ca="1" si="54"/>
        <v>8.702677414491129</v>
      </c>
      <c r="AO180" s="2">
        <f t="shared" ca="1" si="55"/>
        <v>0.4009314702559868</v>
      </c>
      <c r="AP180" s="2">
        <f t="shared" ca="1" si="56"/>
        <v>4.5382434967893958E-5</v>
      </c>
      <c r="AQ180" s="2">
        <f t="shared" ca="1" si="57"/>
        <v>0.49682552492638399</v>
      </c>
      <c r="AR180" s="2">
        <f t="shared" ca="1" si="58"/>
        <v>0.7092775314368891</v>
      </c>
      <c r="AS180" s="2">
        <f t="shared" ca="1" si="59"/>
        <v>5.6595839867131167E-2</v>
      </c>
      <c r="AT180" s="9">
        <f t="shared" ca="1" si="60"/>
        <v>0.7092775314368891</v>
      </c>
      <c r="AU180" s="9">
        <f t="shared" ca="1" si="61"/>
        <v>0.7092775314368891</v>
      </c>
      <c r="AW180" s="2">
        <f t="shared" ca="1" si="77"/>
        <v>8.7026568141072644</v>
      </c>
      <c r="AX180" s="2">
        <f t="shared" ca="1" si="78"/>
        <v>0.40093050968747762</v>
      </c>
      <c r="AY180" s="2">
        <f t="shared" ca="1" si="79"/>
        <v>4.5357204171048706E-5</v>
      </c>
      <c r="AZ180" s="2">
        <f t="shared" ca="1" si="80"/>
        <v>0.49682417701389436</v>
      </c>
      <c r="BA180" s="2">
        <f t="shared" ca="1" si="81"/>
        <v>0.70927804113256732</v>
      </c>
      <c r="BB180" s="2">
        <f t="shared" ca="1" si="82"/>
        <v>5.6156805794589676E-2</v>
      </c>
      <c r="BC180" s="9">
        <f t="shared" ca="1" si="62"/>
        <v>0.70927804113256732</v>
      </c>
      <c r="BD180" s="9">
        <f t="shared" ca="1" si="83"/>
        <v>0.70927804113256732</v>
      </c>
    </row>
    <row r="181" spans="1:56" ht="15" x14ac:dyDescent="0.25">
      <c r="A181" s="90">
        <v>115</v>
      </c>
      <c r="B181" s="90">
        <v>1542620879.059</v>
      </c>
      <c r="C181" s="91">
        <v>3.3764401347016098E-4</v>
      </c>
      <c r="D181" s="91">
        <v>1.4965013959770401E-4</v>
      </c>
      <c r="E181" s="91">
        <v>3.8452064099494303E-2</v>
      </c>
      <c r="F181" s="91">
        <v>1.29712029153551E-4</v>
      </c>
      <c r="G181" s="91">
        <v>0.67928222246338998</v>
      </c>
      <c r="H181" s="91">
        <v>0.49084271158340798</v>
      </c>
      <c r="I181" s="91">
        <v>5.9083982730309996</v>
      </c>
      <c r="J181" s="91"/>
      <c r="K181" s="91"/>
      <c r="L181" s="89"/>
      <c r="M181" s="89"/>
      <c r="O181" s="11">
        <f t="shared" ca="1" si="84"/>
        <v>-5.614281269434527E-5</v>
      </c>
      <c r="P181" s="11">
        <f t="shared" ca="1" si="85"/>
        <v>-1.3933918112515664E-5</v>
      </c>
      <c r="Q181" s="11">
        <f t="shared" ca="1" si="86"/>
        <v>3.6838034697116447E-2</v>
      </c>
      <c r="R181" s="11">
        <f t="shared" ca="1" si="87"/>
        <v>1.1485826903191537E-4</v>
      </c>
      <c r="S181" s="11">
        <f t="shared" ca="1" si="88"/>
        <v>0.67813641977953498</v>
      </c>
      <c r="T181" s="11">
        <f t="shared" ca="1" si="89"/>
        <v>0.49035217223998384</v>
      </c>
      <c r="U181" s="11">
        <f t="shared" ca="1" si="90"/>
        <v>5.9028908334655457</v>
      </c>
      <c r="V181" s="11"/>
      <c r="W181" s="11">
        <f t="shared" ca="1" si="63"/>
        <v>0</v>
      </c>
      <c r="X181" s="2">
        <f t="shared" ca="1" si="64"/>
        <v>-1.3933918112515664E-5</v>
      </c>
      <c r="Y181" s="2">
        <f t="shared" ca="1" si="65"/>
        <v>3.6838034697116447E-2</v>
      </c>
      <c r="Z181" s="11">
        <f t="shared" ca="1" si="66"/>
        <v>1.1485826903191537E-4</v>
      </c>
      <c r="AA181" s="2">
        <f t="shared" ca="1" si="67"/>
        <v>0.67813641977953498</v>
      </c>
      <c r="AB181" s="11">
        <f t="shared" ca="1" si="68"/>
        <v>0.49035217223998384</v>
      </c>
      <c r="AC181" s="2">
        <f t="shared" ca="1" si="69"/>
        <v>5.9028908334655457</v>
      </c>
      <c r="AF181" s="11">
        <f t="shared" ca="1" si="70"/>
        <v>0</v>
      </c>
      <c r="AG181" s="2">
        <f t="shared" ca="1" si="71"/>
        <v>-1.3933918112515664E-5</v>
      </c>
      <c r="AH181" s="2">
        <f t="shared" ca="1" si="72"/>
        <v>3.6838034697116447E-2</v>
      </c>
      <c r="AI181" s="2">
        <f t="shared" ca="1" si="73"/>
        <v>1.1485826903191537E-4</v>
      </c>
      <c r="AJ181" s="2">
        <f t="shared" ca="1" si="74"/>
        <v>0.67813641977953498</v>
      </c>
      <c r="AK181" s="2">
        <f t="shared" ca="1" si="75"/>
        <v>0.49035217223998384</v>
      </c>
      <c r="AL181" s="2">
        <f t="shared" ca="1" si="76"/>
        <v>5.9028908334655457</v>
      </c>
      <c r="AN181" s="2">
        <f t="shared" ca="1" si="54"/>
        <v>8.7045772226546987</v>
      </c>
      <c r="AO181" s="2">
        <f t="shared" ca="1" si="55"/>
        <v>0.40102005590318957</v>
      </c>
      <c r="AP181" s="2">
        <f t="shared" ca="1" si="56"/>
        <v>4.6060469468122292E-5</v>
      </c>
      <c r="AQ181" s="2">
        <f t="shared" ca="1" si="57"/>
        <v>0.4903061117705157</v>
      </c>
      <c r="AR181" s="2">
        <f t="shared" ca="1" si="58"/>
        <v>0.70911068316110915</v>
      </c>
      <c r="AS181" s="2">
        <f t="shared" ca="1" si="59"/>
        <v>5.6509427183475049E-2</v>
      </c>
      <c r="AT181" s="9">
        <f t="shared" ca="1" si="60"/>
        <v>0.70911068316110915</v>
      </c>
      <c r="AU181" s="9">
        <f t="shared" ca="1" si="61"/>
        <v>0.70911068316110915</v>
      </c>
      <c r="AW181" s="2">
        <f t="shared" ca="1" si="77"/>
        <v>8.7045772226546987</v>
      </c>
      <c r="AX181" s="2">
        <f t="shared" ca="1" si="78"/>
        <v>0.40102005590318957</v>
      </c>
      <c r="AY181" s="2">
        <f t="shared" ca="1" si="79"/>
        <v>4.6060469468122292E-5</v>
      </c>
      <c r="AZ181" s="2">
        <f t="shared" ca="1" si="80"/>
        <v>0.4903061117705157</v>
      </c>
      <c r="BA181" s="2">
        <f t="shared" ca="1" si="81"/>
        <v>0.70911068316110915</v>
      </c>
      <c r="BB181" s="2">
        <f t="shared" ca="1" si="82"/>
        <v>5.6509427183475049E-2</v>
      </c>
      <c r="BC181" s="9">
        <f t="shared" ca="1" si="62"/>
        <v>0.70911068316110915</v>
      </c>
      <c r="BD181" s="9">
        <f t="shared" ca="1" si="83"/>
        <v>0.70911068316110915</v>
      </c>
    </row>
    <row r="182" spans="1:56" ht="15" x14ac:dyDescent="0.25">
      <c r="A182" s="90">
        <v>116</v>
      </c>
      <c r="B182" s="90">
        <v>1542620879.586</v>
      </c>
      <c r="C182" s="91">
        <v>3.6786516700425303E-4</v>
      </c>
      <c r="D182" s="91">
        <v>2.0612828655913401E-4</v>
      </c>
      <c r="E182" s="91">
        <v>3.8510351095232001E-2</v>
      </c>
      <c r="F182" s="91">
        <v>1.52319185526351E-4</v>
      </c>
      <c r="G182" s="91">
        <v>0.67843725562317203</v>
      </c>
      <c r="H182" s="91">
        <v>0.49011048941785701</v>
      </c>
      <c r="I182" s="91">
        <v>5.8985549839803504</v>
      </c>
      <c r="J182" s="91"/>
      <c r="K182" s="91"/>
      <c r="L182" s="89"/>
      <c r="M182" s="89"/>
      <c r="O182" s="11">
        <f t="shared" ca="1" si="84"/>
        <v>-2.592165916025322E-5</v>
      </c>
      <c r="P182" s="11">
        <f t="shared" ca="1" si="85"/>
        <v>4.2544228848914338E-5</v>
      </c>
      <c r="Q182" s="11">
        <f t="shared" ca="1" si="86"/>
        <v>3.6896321692854145E-2</v>
      </c>
      <c r="R182" s="11">
        <f t="shared" ca="1" si="87"/>
        <v>1.3746542540471539E-4</v>
      </c>
      <c r="S182" s="11">
        <f t="shared" ca="1" si="88"/>
        <v>0.67729145293931703</v>
      </c>
      <c r="T182" s="11">
        <f t="shared" ca="1" si="89"/>
        <v>0.48961995007443293</v>
      </c>
      <c r="U182" s="11">
        <f t="shared" ca="1" si="90"/>
        <v>5.8930475444148964</v>
      </c>
      <c r="V182" s="11"/>
      <c r="W182" s="11">
        <f t="shared" ca="1" si="63"/>
        <v>0</v>
      </c>
      <c r="X182" s="2">
        <f t="shared" ca="1" si="64"/>
        <v>4.2544228848914338E-5</v>
      </c>
      <c r="Y182" s="2">
        <f t="shared" ca="1" si="65"/>
        <v>3.6896321692854145E-2</v>
      </c>
      <c r="Z182" s="11">
        <f t="shared" ca="1" si="66"/>
        <v>1.3746542540471539E-4</v>
      </c>
      <c r="AA182" s="2">
        <f t="shared" ca="1" si="67"/>
        <v>0.67729145293931703</v>
      </c>
      <c r="AB182" s="11">
        <f t="shared" ca="1" si="68"/>
        <v>0.48961995007443293</v>
      </c>
      <c r="AC182" s="2">
        <f t="shared" ca="1" si="69"/>
        <v>5.8930475444148964</v>
      </c>
      <c r="AF182" s="11">
        <f t="shared" ca="1" si="70"/>
        <v>0</v>
      </c>
      <c r="AG182" s="2">
        <f t="shared" ca="1" si="71"/>
        <v>4.2544228848914338E-5</v>
      </c>
      <c r="AH182" s="2">
        <f t="shared" ca="1" si="72"/>
        <v>3.6896321692854145E-2</v>
      </c>
      <c r="AI182" s="2">
        <f t="shared" ca="1" si="73"/>
        <v>1.3746542540471539E-4</v>
      </c>
      <c r="AJ182" s="2">
        <f t="shared" ca="1" si="74"/>
        <v>0.67729145293931703</v>
      </c>
      <c r="AK182" s="2">
        <f t="shared" ca="1" si="75"/>
        <v>0.48961903459737599</v>
      </c>
      <c r="AL182" s="2">
        <f t="shared" ca="1" si="76"/>
        <v>5.8930475444148964</v>
      </c>
      <c r="AN182" s="2">
        <f t="shared" ca="1" si="54"/>
        <v>8.7009034572046975</v>
      </c>
      <c r="AO182" s="2">
        <f t="shared" ca="1" si="55"/>
        <v>0.40084875308746287</v>
      </c>
      <c r="AP182" s="2">
        <f t="shared" ca="1" si="56"/>
        <v>5.5102844366117805E-5</v>
      </c>
      <c r="AQ182" s="2">
        <f t="shared" ca="1" si="57"/>
        <v>0.48956484723006682</v>
      </c>
      <c r="AR182" s="2">
        <f t="shared" ca="1" si="58"/>
        <v>0.70907267019914111</v>
      </c>
      <c r="AS182" s="2">
        <f t="shared" ca="1" si="59"/>
        <v>5.6644976821906584E-2</v>
      </c>
      <c r="AT182" s="9">
        <f t="shared" ca="1" si="60"/>
        <v>0.70907267019914111</v>
      </c>
      <c r="AU182" s="9">
        <f t="shared" ca="1" si="61"/>
        <v>0.70907267019914111</v>
      </c>
      <c r="AW182" s="2">
        <f t="shared" ca="1" si="77"/>
        <v>8.7009034572046975</v>
      </c>
      <c r="AX182" s="2">
        <f t="shared" ca="1" si="78"/>
        <v>0.40084875308746287</v>
      </c>
      <c r="AY182" s="2">
        <f t="shared" ca="1" si="79"/>
        <v>5.5102844366117805E-5</v>
      </c>
      <c r="AZ182" s="2">
        <f t="shared" ca="1" si="80"/>
        <v>0.48956393175300988</v>
      </c>
      <c r="BA182" s="2">
        <f t="shared" ca="1" si="81"/>
        <v>0.70907134424658358</v>
      </c>
      <c r="BB182" s="2">
        <f t="shared" ca="1" si="82"/>
        <v>5.6644976821906584E-2</v>
      </c>
      <c r="BC182" s="9">
        <f t="shared" ca="1" si="62"/>
        <v>0.70907134424658358</v>
      </c>
      <c r="BD182" s="9">
        <f t="shared" ca="1" si="83"/>
        <v>0.70907134424658358</v>
      </c>
    </row>
    <row r="183" spans="1:56" ht="15" x14ac:dyDescent="0.25">
      <c r="A183" s="90">
        <v>117</v>
      </c>
      <c r="B183" s="90">
        <v>1542620880.112</v>
      </c>
      <c r="C183" s="91">
        <v>3.8499882558300002E-4</v>
      </c>
      <c r="D183" s="91">
        <v>2.91206039628334E-4</v>
      </c>
      <c r="E183" s="91">
        <v>3.8461575140142201E-2</v>
      </c>
      <c r="F183" s="91">
        <v>2.0776837797022599E-4</v>
      </c>
      <c r="G183" s="91">
        <v>0.67932817025653902</v>
      </c>
      <c r="H183" s="91">
        <v>0.49118645974026098</v>
      </c>
      <c r="I183" s="91">
        <v>5.9081721118955297</v>
      </c>
      <c r="J183" s="91"/>
      <c r="K183" s="91"/>
      <c r="L183" s="89"/>
      <c r="M183" s="89"/>
      <c r="O183" s="11">
        <f t="shared" ca="1" si="84"/>
        <v>-8.7880005815062223E-6</v>
      </c>
      <c r="P183" s="11">
        <f t="shared" ca="1" si="85"/>
        <v>1.2762198191811433E-4</v>
      </c>
      <c r="Q183" s="11">
        <f t="shared" ca="1" si="86"/>
        <v>3.6847545737764345E-2</v>
      </c>
      <c r="R183" s="11">
        <f t="shared" ca="1" si="87"/>
        <v>1.9291461784859038E-4</v>
      </c>
      <c r="S183" s="11">
        <f t="shared" ca="1" si="88"/>
        <v>0.67818236757268402</v>
      </c>
      <c r="T183" s="11">
        <f t="shared" ca="1" si="89"/>
        <v>0.49069592039683685</v>
      </c>
      <c r="U183" s="11">
        <f t="shared" ca="1" si="90"/>
        <v>5.9026646723300757</v>
      </c>
      <c r="V183" s="11"/>
      <c r="W183" s="11">
        <f t="shared" ca="1" si="63"/>
        <v>0</v>
      </c>
      <c r="X183" s="2">
        <f t="shared" ca="1" si="64"/>
        <v>1.2762198191811433E-4</v>
      </c>
      <c r="Y183" s="2">
        <f t="shared" ca="1" si="65"/>
        <v>3.6847545737764345E-2</v>
      </c>
      <c r="Z183" s="11">
        <f t="shared" ca="1" si="66"/>
        <v>1.9291461784859038E-4</v>
      </c>
      <c r="AA183" s="2">
        <f t="shared" ca="1" si="67"/>
        <v>0.67818236757268402</v>
      </c>
      <c r="AB183" s="11">
        <f t="shared" ca="1" si="68"/>
        <v>0.49069592039683685</v>
      </c>
      <c r="AC183" s="2">
        <f t="shared" ca="1" si="69"/>
        <v>5.9026646723300757</v>
      </c>
      <c r="AF183" s="11">
        <f t="shared" ca="1" si="70"/>
        <v>0</v>
      </c>
      <c r="AG183" s="2">
        <f t="shared" ca="1" si="71"/>
        <v>1.2762198191811433E-4</v>
      </c>
      <c r="AH183" s="2">
        <f t="shared" ca="1" si="72"/>
        <v>3.6847545737764345E-2</v>
      </c>
      <c r="AI183" s="2">
        <f t="shared" ca="1" si="73"/>
        <v>1.9291461784859038E-4</v>
      </c>
      <c r="AJ183" s="2">
        <f t="shared" ca="1" si="74"/>
        <v>0.67818236757268402</v>
      </c>
      <c r="AK183" s="2">
        <f t="shared" ca="1" si="75"/>
        <v>0.49069317419601077</v>
      </c>
      <c r="AL183" s="2">
        <f t="shared" ca="1" si="76"/>
        <v>5.9026646723300757</v>
      </c>
      <c r="AN183" s="2">
        <f t="shared" ca="1" si="54"/>
        <v>8.7036539942148519</v>
      </c>
      <c r="AO183" s="2">
        <f t="shared" ca="1" si="55"/>
        <v>0.40097700690167548</v>
      </c>
      <c r="AP183" s="2">
        <f t="shared" ca="1" si="56"/>
        <v>7.7354326052508308E-5</v>
      </c>
      <c r="AQ183" s="2">
        <f t="shared" ca="1" si="57"/>
        <v>0.49061856607078436</v>
      </c>
      <c r="AR183" s="2">
        <f t="shared" ca="1" si="58"/>
        <v>0.70955239966902961</v>
      </c>
      <c r="AS183" s="2">
        <f t="shared" ca="1" si="59"/>
        <v>5.6514053470468249E-2</v>
      </c>
      <c r="AT183" s="9">
        <f t="shared" ca="1" si="60"/>
        <v>0.70955239966902961</v>
      </c>
      <c r="AU183" s="9">
        <f t="shared" ca="1" si="61"/>
        <v>0.70955239966902961</v>
      </c>
      <c r="AW183" s="2">
        <f t="shared" ca="1" si="77"/>
        <v>8.7036539942148519</v>
      </c>
      <c r="AX183" s="2">
        <f t="shared" ca="1" si="78"/>
        <v>0.40097700690167548</v>
      </c>
      <c r="AY183" s="2">
        <f t="shared" ca="1" si="79"/>
        <v>7.7354326052508308E-5</v>
      </c>
      <c r="AZ183" s="2">
        <f t="shared" ca="1" si="80"/>
        <v>0.49061581986995828</v>
      </c>
      <c r="BA183" s="2">
        <f t="shared" ca="1" si="81"/>
        <v>0.70954842800240125</v>
      </c>
      <c r="BB183" s="2">
        <f t="shared" ca="1" si="82"/>
        <v>5.6514053470468249E-2</v>
      </c>
      <c r="BC183" s="9">
        <f t="shared" ca="1" si="62"/>
        <v>0.70954842800240125</v>
      </c>
      <c r="BD183" s="9">
        <f t="shared" ca="1" si="83"/>
        <v>0.70954842800240125</v>
      </c>
    </row>
    <row r="184" spans="1:56" ht="15" x14ac:dyDescent="0.25">
      <c r="A184" s="90">
        <v>118</v>
      </c>
      <c r="B184" s="90">
        <v>1542620880.6400001</v>
      </c>
      <c r="C184" s="91">
        <v>3.72862453727736E-4</v>
      </c>
      <c r="D184" s="91">
        <v>2.2621543166026099E-4</v>
      </c>
      <c r="E184" s="91">
        <v>3.9108777170888197E-2</v>
      </c>
      <c r="F184" s="91">
        <v>1.2685642475170899E-4</v>
      </c>
      <c r="G184" s="91">
        <v>0.691034017365875</v>
      </c>
      <c r="H184" s="91">
        <v>0.49954615804441899</v>
      </c>
      <c r="I184" s="91">
        <v>6.0119212855634503</v>
      </c>
      <c r="J184" s="91"/>
      <c r="K184" s="91"/>
      <c r="L184" s="89"/>
      <c r="M184" s="89"/>
      <c r="O184" s="11">
        <f t="shared" ca="1" si="84"/>
        <v>-2.0924372436770245E-5</v>
      </c>
      <c r="P184" s="11">
        <f t="shared" ca="1" si="85"/>
        <v>6.2631373950041319E-5</v>
      </c>
      <c r="Q184" s="11">
        <f t="shared" ca="1" si="86"/>
        <v>3.7494747768510341E-2</v>
      </c>
      <c r="R184" s="11">
        <f t="shared" ca="1" si="87"/>
        <v>1.1200266463007336E-4</v>
      </c>
      <c r="S184" s="11">
        <f t="shared" ca="1" si="88"/>
        <v>0.68988821468202</v>
      </c>
      <c r="T184" s="11">
        <f t="shared" ca="1" si="89"/>
        <v>0.49905561870099491</v>
      </c>
      <c r="U184" s="11">
        <f t="shared" ca="1" si="90"/>
        <v>6.0064138459979963</v>
      </c>
      <c r="V184" s="11"/>
      <c r="W184" s="11">
        <f t="shared" ca="1" si="63"/>
        <v>0</v>
      </c>
      <c r="X184" s="2">
        <f t="shared" ca="1" si="64"/>
        <v>6.2631373950041319E-5</v>
      </c>
      <c r="Y184" s="2">
        <f t="shared" ca="1" si="65"/>
        <v>3.7494747768510341E-2</v>
      </c>
      <c r="Z184" s="11">
        <f t="shared" ca="1" si="66"/>
        <v>1.1200266463007336E-4</v>
      </c>
      <c r="AA184" s="2">
        <f t="shared" ca="1" si="67"/>
        <v>0.68988821468202</v>
      </c>
      <c r="AB184" s="11">
        <f t="shared" ca="1" si="68"/>
        <v>0.49905561870099491</v>
      </c>
      <c r="AC184" s="2">
        <f t="shared" ca="1" si="69"/>
        <v>6.0064138459979963</v>
      </c>
      <c r="AF184" s="11">
        <f t="shared" ca="1" si="70"/>
        <v>0</v>
      </c>
      <c r="AG184" s="2">
        <f t="shared" ca="1" si="71"/>
        <v>6.2631373950041319E-5</v>
      </c>
      <c r="AH184" s="2">
        <f t="shared" ca="1" si="72"/>
        <v>3.7494747768510341E-2</v>
      </c>
      <c r="AI184" s="2">
        <f t="shared" ca="1" si="73"/>
        <v>1.1200266463007336E-4</v>
      </c>
      <c r="AJ184" s="2">
        <f t="shared" ca="1" si="74"/>
        <v>0.68988821468202</v>
      </c>
      <c r="AK184" s="2">
        <f t="shared" ca="1" si="75"/>
        <v>0.4990542709838674</v>
      </c>
      <c r="AL184" s="2">
        <f t="shared" ca="1" si="76"/>
        <v>6.0064138459979963</v>
      </c>
      <c r="AN184" s="2">
        <f t="shared" ca="1" si="54"/>
        <v>8.7063581000096431</v>
      </c>
      <c r="AO184" s="2">
        <f t="shared" ca="1" si="55"/>
        <v>0.40110309617043777</v>
      </c>
      <c r="AP184" s="2">
        <f t="shared" ca="1" si="56"/>
        <v>4.4924615562461605E-5</v>
      </c>
      <c r="AQ184" s="2">
        <f t="shared" ca="1" si="57"/>
        <v>0.49901069408543247</v>
      </c>
      <c r="AR184" s="2">
        <f t="shared" ca="1" si="58"/>
        <v>0.70933301895481027</v>
      </c>
      <c r="AS184" s="2">
        <f t="shared" ca="1" si="59"/>
        <v>5.6548897372968011E-2</v>
      </c>
      <c r="AT184" s="9">
        <f t="shared" ca="1" si="60"/>
        <v>0.70933301895481027</v>
      </c>
      <c r="AU184" s="9">
        <f t="shared" ca="1" si="61"/>
        <v>0.70933301895481027</v>
      </c>
      <c r="AW184" s="2">
        <f t="shared" ca="1" si="77"/>
        <v>8.7063581000096431</v>
      </c>
      <c r="AX184" s="2">
        <f t="shared" ca="1" si="78"/>
        <v>0.40110309617043777</v>
      </c>
      <c r="AY184" s="2">
        <f t="shared" ca="1" si="79"/>
        <v>4.4924615562461605E-5</v>
      </c>
      <c r="AZ184" s="2">
        <f t="shared" ca="1" si="80"/>
        <v>0.49900934636830496</v>
      </c>
      <c r="BA184" s="2">
        <f t="shared" ca="1" si="81"/>
        <v>0.70933110320376502</v>
      </c>
      <c r="BB184" s="2">
        <f t="shared" ca="1" si="82"/>
        <v>5.6548897372968011E-2</v>
      </c>
      <c r="BC184" s="9">
        <f t="shared" ca="1" si="62"/>
        <v>0.70933110320376502</v>
      </c>
      <c r="BD184" s="9">
        <f t="shared" ca="1" si="83"/>
        <v>0.70933110320376502</v>
      </c>
    </row>
    <row r="185" spans="1:56" ht="15" x14ac:dyDescent="0.25">
      <c r="A185" s="90">
        <v>119</v>
      </c>
      <c r="B185" s="90">
        <v>1542620881.1659999</v>
      </c>
      <c r="C185" s="91">
        <v>3.8285710218666398E-4</v>
      </c>
      <c r="D185" s="91">
        <v>2.4748461668312402E-4</v>
      </c>
      <c r="E185" s="91">
        <v>3.8049754804114301E-2</v>
      </c>
      <c r="F185" s="91">
        <v>1.4256235000545799E-4</v>
      </c>
      <c r="G185" s="91">
        <v>0.67116352609197505</v>
      </c>
      <c r="H185" s="91">
        <v>0.485027384297255</v>
      </c>
      <c r="I185" s="91">
        <v>5.8351633873534796</v>
      </c>
      <c r="J185" s="91"/>
      <c r="K185" s="91"/>
      <c r="L185" s="89"/>
      <c r="M185" s="89"/>
      <c r="O185" s="11">
        <f t="shared" ca="1" si="84"/>
        <v>-1.0929723977842266E-5</v>
      </c>
      <c r="P185" s="11">
        <f t="shared" ca="1" si="85"/>
        <v>8.3900558972904347E-5</v>
      </c>
      <c r="Q185" s="11">
        <f t="shared" ca="1" si="86"/>
        <v>3.6435725401736445E-2</v>
      </c>
      <c r="R185" s="11">
        <f t="shared" ca="1" si="87"/>
        <v>1.2770858988382238E-4</v>
      </c>
      <c r="S185" s="11">
        <f t="shared" ca="1" si="88"/>
        <v>0.67001772340812005</v>
      </c>
      <c r="T185" s="11">
        <f t="shared" ca="1" si="89"/>
        <v>0.48453684495383087</v>
      </c>
      <c r="U185" s="11">
        <f t="shared" ca="1" si="90"/>
        <v>5.8296559477880256</v>
      </c>
      <c r="V185" s="11"/>
      <c r="W185" s="11">
        <f t="shared" ca="1" si="63"/>
        <v>0</v>
      </c>
      <c r="X185" s="2">
        <f t="shared" ca="1" si="64"/>
        <v>8.3900558972904347E-5</v>
      </c>
      <c r="Y185" s="2">
        <f t="shared" ca="1" si="65"/>
        <v>3.6435725401736445E-2</v>
      </c>
      <c r="Z185" s="11">
        <f t="shared" ca="1" si="66"/>
        <v>1.2770858988382238E-4</v>
      </c>
      <c r="AA185" s="2">
        <f t="shared" ca="1" si="67"/>
        <v>0.67001772340812005</v>
      </c>
      <c r="AB185" s="11">
        <f t="shared" ca="1" si="68"/>
        <v>0.48453684495383087</v>
      </c>
      <c r="AC185" s="2">
        <f t="shared" ca="1" si="69"/>
        <v>5.8296559477880256</v>
      </c>
      <c r="AF185" s="11">
        <f t="shared" ca="1" si="70"/>
        <v>0</v>
      </c>
      <c r="AG185" s="2">
        <f t="shared" ca="1" si="71"/>
        <v>8.3900558972904347E-5</v>
      </c>
      <c r="AH185" s="2">
        <f t="shared" ca="1" si="72"/>
        <v>3.6435725401736445E-2</v>
      </c>
      <c r="AI185" s="2">
        <f t="shared" ca="1" si="73"/>
        <v>1.2770858988382238E-4</v>
      </c>
      <c r="AJ185" s="2">
        <f t="shared" ca="1" si="74"/>
        <v>0.67001772340812005</v>
      </c>
      <c r="AK185" s="2">
        <f t="shared" ca="1" si="75"/>
        <v>0.48453503956121041</v>
      </c>
      <c r="AL185" s="2">
        <f t="shared" ca="1" si="76"/>
        <v>5.8296559477880256</v>
      </c>
      <c r="AN185" s="2">
        <f t="shared" ca="1" si="54"/>
        <v>8.700748866962547</v>
      </c>
      <c r="AO185" s="2">
        <f t="shared" ca="1" si="55"/>
        <v>0.40084154476851247</v>
      </c>
      <c r="AP185" s="2">
        <f t="shared" ca="1" si="56"/>
        <v>5.1190908449239787E-5</v>
      </c>
      <c r="AQ185" s="2">
        <f t="shared" ca="1" si="57"/>
        <v>0.48448565404538163</v>
      </c>
      <c r="AR185" s="2">
        <f t="shared" ca="1" si="58"/>
        <v>0.70934029696319456</v>
      </c>
      <c r="AS185" s="2">
        <f t="shared" ca="1" si="59"/>
        <v>5.654408232752723E-2</v>
      </c>
      <c r="AT185" s="9">
        <f t="shared" ca="1" si="60"/>
        <v>0.70934029696319456</v>
      </c>
      <c r="AU185" s="9">
        <f t="shared" ca="1" si="61"/>
        <v>0.70934029696319456</v>
      </c>
      <c r="AW185" s="2">
        <f t="shared" ca="1" si="77"/>
        <v>8.700748866962547</v>
      </c>
      <c r="AX185" s="2">
        <f t="shared" ca="1" si="78"/>
        <v>0.40084154476851247</v>
      </c>
      <c r="AY185" s="2">
        <f t="shared" ca="1" si="79"/>
        <v>5.1190908449239787E-5</v>
      </c>
      <c r="AZ185" s="2">
        <f t="shared" ca="1" si="80"/>
        <v>0.48448384865276117</v>
      </c>
      <c r="BA185" s="2">
        <f t="shared" ca="1" si="81"/>
        <v>0.70933765366978252</v>
      </c>
      <c r="BB185" s="2">
        <f t="shared" ca="1" si="82"/>
        <v>5.654408232752723E-2</v>
      </c>
      <c r="BC185" s="9">
        <f t="shared" ca="1" si="62"/>
        <v>0.70933765366978252</v>
      </c>
      <c r="BD185" s="9">
        <f t="shared" ca="1" si="83"/>
        <v>0.70933765366978252</v>
      </c>
    </row>
    <row r="186" spans="1:56" ht="15" x14ac:dyDescent="0.25">
      <c r="A186" s="90">
        <v>120</v>
      </c>
      <c r="B186" s="90">
        <v>1542620881.6930001</v>
      </c>
      <c r="C186" s="91">
        <v>3.5977437484559699E-4</v>
      </c>
      <c r="D186" s="91">
        <v>1.7162660975343901E-4</v>
      </c>
      <c r="E186" s="91">
        <v>3.7844759760605598E-2</v>
      </c>
      <c r="F186" s="91">
        <v>5.2851525177364202E-5</v>
      </c>
      <c r="G186" s="91">
        <v>0.66833918027122596</v>
      </c>
      <c r="H186" s="91">
        <v>0.482623283483263</v>
      </c>
      <c r="I186" s="91">
        <v>5.8097484968727802</v>
      </c>
      <c r="J186" s="91"/>
      <c r="K186" s="91"/>
      <c r="L186" s="89"/>
      <c r="M186" s="89"/>
      <c r="O186" s="11">
        <f t="shared" ca="1" si="84"/>
        <v>-3.4012451318909259E-5</v>
      </c>
      <c r="P186" s="11">
        <f t="shared" ca="1" si="85"/>
        <v>8.0425520432193397E-6</v>
      </c>
      <c r="Q186" s="11">
        <f t="shared" ca="1" si="86"/>
        <v>3.6230730358227742E-2</v>
      </c>
      <c r="R186" s="11">
        <f t="shared" ca="1" si="87"/>
        <v>3.7997765055728576E-5</v>
      </c>
      <c r="S186" s="11">
        <f t="shared" ca="1" si="88"/>
        <v>0.66719337758737096</v>
      </c>
      <c r="T186" s="11">
        <f t="shared" ca="1" si="89"/>
        <v>0.48213274413983886</v>
      </c>
      <c r="U186" s="11">
        <f t="shared" ca="1" si="90"/>
        <v>5.8042410573073262</v>
      </c>
      <c r="V186" s="11"/>
      <c r="W186" s="11">
        <f t="shared" ca="1" si="63"/>
        <v>0</v>
      </c>
      <c r="X186" s="2">
        <f t="shared" ca="1" si="64"/>
        <v>8.0425520432193397E-6</v>
      </c>
      <c r="Y186" s="2">
        <f t="shared" ca="1" si="65"/>
        <v>3.6230730358227742E-2</v>
      </c>
      <c r="Z186" s="11">
        <f t="shared" ca="1" si="66"/>
        <v>3.7997765055728576E-5</v>
      </c>
      <c r="AA186" s="2">
        <f t="shared" ca="1" si="67"/>
        <v>0.66719337758737096</v>
      </c>
      <c r="AB186" s="11">
        <f t="shared" ca="1" si="68"/>
        <v>0.48213274413983886</v>
      </c>
      <c r="AC186" s="2">
        <f t="shared" ca="1" si="69"/>
        <v>5.8042410573073262</v>
      </c>
      <c r="AF186" s="11">
        <f t="shared" ca="1" si="70"/>
        <v>0</v>
      </c>
      <c r="AG186" s="2">
        <f t="shared" ca="1" si="71"/>
        <v>8.0425520432193397E-6</v>
      </c>
      <c r="AH186" s="2">
        <f t="shared" ca="1" si="72"/>
        <v>3.6230730358227742E-2</v>
      </c>
      <c r="AI186" s="2">
        <f t="shared" ca="1" si="73"/>
        <v>3.7997765055728576E-5</v>
      </c>
      <c r="AJ186" s="2">
        <f t="shared" ca="1" si="74"/>
        <v>0.66719337758737096</v>
      </c>
      <c r="AK186" s="2">
        <f t="shared" ca="1" si="75"/>
        <v>0.48213257107824919</v>
      </c>
      <c r="AL186" s="2">
        <f t="shared" ca="1" si="76"/>
        <v>5.8042410573073262</v>
      </c>
      <c r="AN186" s="2">
        <f t="shared" ca="1" si="54"/>
        <v>8.6994884126337766</v>
      </c>
      <c r="AO186" s="2">
        <f t="shared" ca="1" si="55"/>
        <v>0.40078277166785437</v>
      </c>
      <c r="AP186" s="2">
        <f t="shared" ca="1" si="56"/>
        <v>1.5228849596218841E-5</v>
      </c>
      <c r="AQ186" s="2">
        <f t="shared" ca="1" si="57"/>
        <v>0.48211751529024266</v>
      </c>
      <c r="AR186" s="2">
        <f t="shared" ca="1" si="58"/>
        <v>0.70891288509347716</v>
      </c>
      <c r="AS186" s="2">
        <f t="shared" ca="1" si="59"/>
        <v>5.6455597748152717E-2</v>
      </c>
      <c r="AT186" s="9">
        <f t="shared" ca="1" si="60"/>
        <v>0.70891288509347716</v>
      </c>
      <c r="AU186" s="9">
        <f t="shared" ca="1" si="61"/>
        <v>0.70891288509347716</v>
      </c>
      <c r="AW186" s="2">
        <f t="shared" ca="1" si="77"/>
        <v>8.6994884126337766</v>
      </c>
      <c r="AX186" s="2">
        <f t="shared" ca="1" si="78"/>
        <v>0.40078277166785437</v>
      </c>
      <c r="AY186" s="2">
        <f t="shared" ca="1" si="79"/>
        <v>1.5228849596218841E-5</v>
      </c>
      <c r="AZ186" s="2">
        <f t="shared" ca="1" si="80"/>
        <v>0.48211734222865299</v>
      </c>
      <c r="BA186" s="2">
        <f t="shared" ca="1" si="81"/>
        <v>0.70891263062109866</v>
      </c>
      <c r="BB186" s="2">
        <f t="shared" ca="1" si="82"/>
        <v>5.6455597748152717E-2</v>
      </c>
      <c r="BC186" s="9">
        <f t="shared" ca="1" si="62"/>
        <v>0.70891263062109866</v>
      </c>
      <c r="BD186" s="9">
        <f t="shared" ca="1" si="83"/>
        <v>0.70891263062109866</v>
      </c>
    </row>
    <row r="187" spans="1:56" ht="15" x14ac:dyDescent="0.25">
      <c r="A187" s="90">
        <v>121</v>
      </c>
      <c r="B187" s="90">
        <v>1542620882.221</v>
      </c>
      <c r="C187" s="91">
        <v>3.9308982208381601E-4</v>
      </c>
      <c r="D187" s="91">
        <v>1.49886443140011E-4</v>
      </c>
      <c r="E187" s="91">
        <v>3.9268139895882598E-2</v>
      </c>
      <c r="F187" s="91">
        <v>5.2137678252710302E-5</v>
      </c>
      <c r="G187" s="91">
        <v>0.69495251417088</v>
      </c>
      <c r="H187" s="91">
        <v>0.50145023981704495</v>
      </c>
      <c r="I187" s="91">
        <v>6.03607091458945</v>
      </c>
      <c r="J187" s="91"/>
      <c r="K187" s="91"/>
      <c r="L187" s="89"/>
      <c r="M187" s="89"/>
      <c r="O187" s="11">
        <f t="shared" ca="1" si="84"/>
        <v>-6.9700408069023681E-7</v>
      </c>
      <c r="P187" s="11">
        <f t="shared" ca="1" si="85"/>
        <v>-1.3697614570208676E-5</v>
      </c>
      <c r="Q187" s="11">
        <f t="shared" ca="1" si="86"/>
        <v>3.7654110493504742E-2</v>
      </c>
      <c r="R187" s="11">
        <f t="shared" ca="1" si="87"/>
        <v>3.7283918131074682E-5</v>
      </c>
      <c r="S187" s="11">
        <f t="shared" ca="1" si="88"/>
        <v>0.693806711487025</v>
      </c>
      <c r="T187" s="11">
        <f t="shared" ca="1" si="89"/>
        <v>0.50095970047362082</v>
      </c>
      <c r="U187" s="11">
        <f t="shared" ca="1" si="90"/>
        <v>6.030563475023996</v>
      </c>
      <c r="V187" s="11"/>
      <c r="W187" s="11">
        <f t="shared" ca="1" si="63"/>
        <v>0</v>
      </c>
      <c r="X187" s="2">
        <f t="shared" ca="1" si="64"/>
        <v>-1.3697614570208676E-5</v>
      </c>
      <c r="Y187" s="2">
        <f t="shared" ca="1" si="65"/>
        <v>3.7654110493504742E-2</v>
      </c>
      <c r="Z187" s="11">
        <f t="shared" ca="1" si="66"/>
        <v>3.7283918131074682E-5</v>
      </c>
      <c r="AA187" s="2">
        <f t="shared" ca="1" si="67"/>
        <v>0.693806711487025</v>
      </c>
      <c r="AB187" s="11">
        <f t="shared" ca="1" si="68"/>
        <v>0.50095970047362082</v>
      </c>
      <c r="AC187" s="2">
        <f t="shared" ca="1" si="69"/>
        <v>6.030563475023996</v>
      </c>
      <c r="AF187" s="11">
        <f t="shared" ca="1" si="70"/>
        <v>0</v>
      </c>
      <c r="AG187" s="2">
        <f t="shared" ca="1" si="71"/>
        <v>-1.3697614570208676E-5</v>
      </c>
      <c r="AH187" s="2">
        <f t="shared" ca="1" si="72"/>
        <v>3.7654110493504742E-2</v>
      </c>
      <c r="AI187" s="2">
        <f t="shared" ca="1" si="73"/>
        <v>3.7283918131074682E-5</v>
      </c>
      <c r="AJ187" s="2">
        <f t="shared" ca="1" si="74"/>
        <v>0.693806711487025</v>
      </c>
      <c r="AK187" s="2">
        <f t="shared" ca="1" si="75"/>
        <v>0.50095970047362082</v>
      </c>
      <c r="AL187" s="2">
        <f t="shared" ca="1" si="76"/>
        <v>6.030563475023996</v>
      </c>
      <c r="AN187" s="2">
        <f t="shared" ca="1" si="54"/>
        <v>8.6919935699364803</v>
      </c>
      <c r="AO187" s="2">
        <f t="shared" ca="1" si="55"/>
        <v>0.40043330049297265</v>
      </c>
      <c r="AP187" s="2">
        <f t="shared" ca="1" si="56"/>
        <v>1.4929722392536021E-5</v>
      </c>
      <c r="AQ187" s="2">
        <f t="shared" ca="1" si="57"/>
        <v>0.50094477075122823</v>
      </c>
      <c r="AR187" s="2">
        <f t="shared" ca="1" si="58"/>
        <v>0.70864959302309594</v>
      </c>
      <c r="AS187" s="2">
        <f t="shared" ca="1" si="59"/>
        <v>5.6373178638610355E-2</v>
      </c>
      <c r="AT187" s="9" t="str">
        <f t="shared" ca="1" si="60"/>
        <v>rejected</v>
      </c>
      <c r="AU187" s="9" t="e">
        <f t="shared" ca="1" si="61"/>
        <v>#N/A</v>
      </c>
      <c r="AW187" s="2">
        <f t="shared" ca="1" si="77"/>
        <v>8.6919935699364803</v>
      </c>
      <c r="AX187" s="2">
        <f t="shared" ca="1" si="78"/>
        <v>0.40043330049297265</v>
      </c>
      <c r="AY187" s="2">
        <f t="shared" ca="1" si="79"/>
        <v>1.4929722392536021E-5</v>
      </c>
      <c r="AZ187" s="2">
        <f t="shared" ca="1" si="80"/>
        <v>0.50094477075122823</v>
      </c>
      <c r="BA187" s="2">
        <f t="shared" ca="1" si="81"/>
        <v>0.70864959302309594</v>
      </c>
      <c r="BB187" s="2">
        <f t="shared" ca="1" si="82"/>
        <v>5.6373178638610355E-2</v>
      </c>
      <c r="BC187" s="9" t="str">
        <f t="shared" ca="1" si="62"/>
        <v>rejected</v>
      </c>
      <c r="BD187" s="9" t="e">
        <f t="shared" ca="1" si="83"/>
        <v>#N/A</v>
      </c>
    </row>
    <row r="188" spans="1:56" ht="15" x14ac:dyDescent="0.25">
      <c r="A188" s="90">
        <v>122</v>
      </c>
      <c r="B188" s="90">
        <v>1542620882.747</v>
      </c>
      <c r="C188" s="91">
        <v>3.72862453727736E-4</v>
      </c>
      <c r="D188" s="91">
        <v>2.3755894028159501E-4</v>
      </c>
      <c r="E188" s="91">
        <v>3.8894054963900103E-2</v>
      </c>
      <c r="F188" s="91">
        <v>8.4975164917330706E-5</v>
      </c>
      <c r="G188" s="91">
        <v>0.68666720537645698</v>
      </c>
      <c r="H188" s="91">
        <v>0.49631754575343601</v>
      </c>
      <c r="I188" s="91">
        <v>5.9737067900765997</v>
      </c>
      <c r="J188" s="91"/>
      <c r="K188" s="91"/>
      <c r="L188" s="89"/>
      <c r="M188" s="89"/>
      <c r="O188" s="11">
        <f t="shared" ca="1" si="84"/>
        <v>-2.0924372436770245E-5</v>
      </c>
      <c r="P188" s="11">
        <f t="shared" ca="1" si="85"/>
        <v>7.3974882571375337E-5</v>
      </c>
      <c r="Q188" s="11">
        <f t="shared" ca="1" si="86"/>
        <v>3.7280025561522247E-2</v>
      </c>
      <c r="R188" s="11">
        <f t="shared" ca="1" si="87"/>
        <v>7.012140479569508E-5</v>
      </c>
      <c r="S188" s="11">
        <f t="shared" ca="1" si="88"/>
        <v>0.68552140269260198</v>
      </c>
      <c r="T188" s="11">
        <f t="shared" ca="1" si="89"/>
        <v>0.49582700641001187</v>
      </c>
      <c r="U188" s="11">
        <f t="shared" ca="1" si="90"/>
        <v>5.9681993505111457</v>
      </c>
      <c r="V188" s="11"/>
      <c r="W188" s="11">
        <f t="shared" ca="1" si="63"/>
        <v>0</v>
      </c>
      <c r="X188" s="2">
        <f t="shared" ca="1" si="64"/>
        <v>7.3974882571375337E-5</v>
      </c>
      <c r="Y188" s="2">
        <f t="shared" ca="1" si="65"/>
        <v>3.7280025561522247E-2</v>
      </c>
      <c r="Z188" s="11">
        <f t="shared" ca="1" si="66"/>
        <v>7.012140479569508E-5</v>
      </c>
      <c r="AA188" s="2">
        <f t="shared" ca="1" si="67"/>
        <v>0.68552140269260198</v>
      </c>
      <c r="AB188" s="11">
        <f t="shared" ca="1" si="68"/>
        <v>0.49582700641001187</v>
      </c>
      <c r="AC188" s="2">
        <f t="shared" ca="1" si="69"/>
        <v>5.9681993505111457</v>
      </c>
      <c r="AF188" s="11">
        <f t="shared" ca="1" si="70"/>
        <v>0</v>
      </c>
      <c r="AG188" s="2">
        <f t="shared" ca="1" si="71"/>
        <v>7.3974882571375337E-5</v>
      </c>
      <c r="AH188" s="2">
        <f t="shared" ca="1" si="72"/>
        <v>3.7280025561522247E-2</v>
      </c>
      <c r="AI188" s="2">
        <f t="shared" ca="1" si="73"/>
        <v>7.012140479569508E-5</v>
      </c>
      <c r="AJ188" s="2">
        <f t="shared" ca="1" si="74"/>
        <v>0.68552140269260198</v>
      </c>
      <c r="AK188" s="2">
        <f t="shared" ca="1" si="75"/>
        <v>0.49582541460050872</v>
      </c>
      <c r="AL188" s="2">
        <f t="shared" ca="1" si="76"/>
        <v>5.9681993505111457</v>
      </c>
      <c r="AN188" s="2">
        <f t="shared" ca="1" si="54"/>
        <v>8.7060729644168013</v>
      </c>
      <c r="AO188" s="2">
        <f t="shared" ca="1" si="55"/>
        <v>0.40108980061112454</v>
      </c>
      <c r="AP188" s="2">
        <f t="shared" ca="1" si="56"/>
        <v>2.8124980268077293E-5</v>
      </c>
      <c r="AQ188" s="2">
        <f t="shared" ca="1" si="57"/>
        <v>0.49579888142974382</v>
      </c>
      <c r="AR188" s="2">
        <f t="shared" ca="1" si="58"/>
        <v>0.70926860470017827</v>
      </c>
      <c r="AS188" s="2">
        <f t="shared" ca="1" si="59"/>
        <v>5.6581317989789597E-2</v>
      </c>
      <c r="AT188" s="9">
        <f t="shared" ca="1" si="60"/>
        <v>0.70926860470017827</v>
      </c>
      <c r="AU188" s="9">
        <f t="shared" ca="1" si="61"/>
        <v>0.70926860470017827</v>
      </c>
      <c r="AW188" s="2">
        <f t="shared" ca="1" si="77"/>
        <v>8.7060729644168013</v>
      </c>
      <c r="AX188" s="2">
        <f t="shared" ca="1" si="78"/>
        <v>0.40108980061112454</v>
      </c>
      <c r="AY188" s="2">
        <f t="shared" ca="1" si="79"/>
        <v>2.8124980268077293E-5</v>
      </c>
      <c r="AZ188" s="2">
        <f t="shared" ca="1" si="80"/>
        <v>0.49579728962024067</v>
      </c>
      <c r="BA188" s="2">
        <f t="shared" ca="1" si="81"/>
        <v>0.70926632752580876</v>
      </c>
      <c r="BB188" s="2">
        <f t="shared" ca="1" si="82"/>
        <v>5.6581317989789597E-2</v>
      </c>
      <c r="BC188" s="9">
        <f t="shared" ca="1" si="62"/>
        <v>0.70926632752580876</v>
      </c>
      <c r="BD188" s="9">
        <f t="shared" ca="1" si="83"/>
        <v>0.70926632752580876</v>
      </c>
    </row>
    <row r="189" spans="1:56" ht="15" x14ac:dyDescent="0.25">
      <c r="A189" s="90">
        <v>123</v>
      </c>
      <c r="B189" s="90">
        <v>1542620883.2739999</v>
      </c>
      <c r="C189" s="91">
        <v>3.93565765095625E-4</v>
      </c>
      <c r="D189" s="91">
        <v>1.69263525095427E-4</v>
      </c>
      <c r="E189" s="91">
        <v>3.80197708030088E-2</v>
      </c>
      <c r="F189" s="91">
        <v>1.62790041878135E-4</v>
      </c>
      <c r="G189" s="91">
        <v>0.67113967244694805</v>
      </c>
      <c r="H189" s="91">
        <v>0.48494379984491898</v>
      </c>
      <c r="I189" s="91">
        <v>5.8367890443012298</v>
      </c>
      <c r="J189" s="91"/>
      <c r="K189" s="91"/>
      <c r="L189" s="89"/>
      <c r="M189" s="89"/>
      <c r="O189" s="11">
        <f t="shared" ca="1" si="84"/>
        <v>-2.2106106888124472E-7</v>
      </c>
      <c r="P189" s="11">
        <f t="shared" ca="1" si="85"/>
        <v>5.6794673852073301E-6</v>
      </c>
      <c r="Q189" s="11">
        <f t="shared" ca="1" si="86"/>
        <v>3.6405741400630943E-2</v>
      </c>
      <c r="R189" s="11">
        <f t="shared" ca="1" si="87"/>
        <v>1.4793628175649939E-4</v>
      </c>
      <c r="S189" s="11">
        <f t="shared" ca="1" si="88"/>
        <v>0.66999386976309305</v>
      </c>
      <c r="T189" s="11">
        <f t="shared" ca="1" si="89"/>
        <v>0.48445326050149484</v>
      </c>
      <c r="U189" s="11">
        <f t="shared" ca="1" si="90"/>
        <v>5.8312816047357758</v>
      </c>
      <c r="V189" s="11"/>
      <c r="W189" s="11">
        <f t="shared" ca="1" si="63"/>
        <v>0</v>
      </c>
      <c r="X189" s="2">
        <f t="shared" ca="1" si="64"/>
        <v>5.6794673852073301E-6</v>
      </c>
      <c r="Y189" s="2">
        <f t="shared" ca="1" si="65"/>
        <v>3.6405741400630943E-2</v>
      </c>
      <c r="Z189" s="11">
        <f t="shared" ca="1" si="66"/>
        <v>1.4793628175649939E-4</v>
      </c>
      <c r="AA189" s="2">
        <f t="shared" ca="1" si="67"/>
        <v>0.66999386976309305</v>
      </c>
      <c r="AB189" s="11">
        <f t="shared" ca="1" si="68"/>
        <v>0.48445326050149484</v>
      </c>
      <c r="AC189" s="2">
        <f t="shared" ca="1" si="69"/>
        <v>5.8312816047357758</v>
      </c>
      <c r="AF189" s="11">
        <f t="shared" ca="1" si="70"/>
        <v>0</v>
      </c>
      <c r="AG189" s="2">
        <f t="shared" ca="1" si="71"/>
        <v>5.6794673852073301E-6</v>
      </c>
      <c r="AH189" s="2">
        <f t="shared" ca="1" si="72"/>
        <v>3.6405741400630943E-2</v>
      </c>
      <c r="AI189" s="2">
        <f t="shared" ca="1" si="73"/>
        <v>1.4793628175649939E-4</v>
      </c>
      <c r="AJ189" s="2">
        <f t="shared" ca="1" si="74"/>
        <v>0.66999386976309305</v>
      </c>
      <c r="AK189" s="2">
        <f t="shared" ca="1" si="75"/>
        <v>0.48445313828933523</v>
      </c>
      <c r="AL189" s="2">
        <f t="shared" ca="1" si="76"/>
        <v>5.8312816047357758</v>
      </c>
      <c r="AN189" s="2">
        <f t="shared" ca="1" si="54"/>
        <v>8.703485013672875</v>
      </c>
      <c r="AO189" s="2">
        <f t="shared" ca="1" si="55"/>
        <v>0.40096912755377229</v>
      </c>
      <c r="AP189" s="2">
        <f t="shared" ca="1" si="56"/>
        <v>5.93178818294526E-5</v>
      </c>
      <c r="AQ189" s="2">
        <f t="shared" ca="1" si="57"/>
        <v>0.4843939426196654</v>
      </c>
      <c r="AR189" s="2">
        <f t="shared" ca="1" si="58"/>
        <v>0.70911897929046974</v>
      </c>
      <c r="AS189" s="2">
        <f t="shared" ca="1" si="59"/>
        <v>5.6517742786103033E-2</v>
      </c>
      <c r="AT189" s="9">
        <f t="shared" ca="1" si="60"/>
        <v>0.70911897929046974</v>
      </c>
      <c r="AU189" s="9">
        <f t="shared" ca="1" si="61"/>
        <v>0.70911897929046974</v>
      </c>
      <c r="AW189" s="2">
        <f t="shared" ca="1" si="77"/>
        <v>8.703485013672875</v>
      </c>
      <c r="AX189" s="2">
        <f t="shared" ca="1" si="78"/>
        <v>0.40096912755377229</v>
      </c>
      <c r="AY189" s="2">
        <f t="shared" ca="1" si="79"/>
        <v>5.93178818294526E-5</v>
      </c>
      <c r="AZ189" s="2">
        <f t="shared" ca="1" si="80"/>
        <v>0.48439382040750578</v>
      </c>
      <c r="BA189" s="2">
        <f t="shared" ca="1" si="81"/>
        <v>0.70911880038038377</v>
      </c>
      <c r="BB189" s="2">
        <f t="shared" ca="1" si="82"/>
        <v>5.6517742786103033E-2</v>
      </c>
      <c r="BC189" s="9">
        <f t="shared" ca="1" si="62"/>
        <v>0.70911880038038377</v>
      </c>
      <c r="BD189" s="9">
        <f t="shared" ca="1" si="83"/>
        <v>0.70911880038038377</v>
      </c>
    </row>
    <row r="190" spans="1:56" ht="15" x14ac:dyDescent="0.25">
      <c r="A190" s="90">
        <v>124</v>
      </c>
      <c r="B190" s="90">
        <v>1542620883.8010001</v>
      </c>
      <c r="C190" s="91">
        <v>4.1403152915955703E-4</v>
      </c>
      <c r="D190" s="91">
        <v>1.13968950396416E-4</v>
      </c>
      <c r="E190" s="91">
        <v>3.97407606905043E-2</v>
      </c>
      <c r="F190" s="91">
        <v>2.4075985020381401E-6</v>
      </c>
      <c r="G190" s="91">
        <v>0.70348180079063505</v>
      </c>
      <c r="H190" s="91">
        <v>0.50811930629768398</v>
      </c>
      <c r="I190" s="91">
        <v>6.1115923700285801</v>
      </c>
      <c r="J190" s="91"/>
      <c r="K190" s="91"/>
      <c r="L190" s="89"/>
      <c r="M190" s="89"/>
      <c r="O190" s="11">
        <f t="shared" ca="1" si="84"/>
        <v>2.0244702995050781E-5</v>
      </c>
      <c r="P190" s="11">
        <f t="shared" ca="1" si="85"/>
        <v>-4.9615107313803668E-5</v>
      </c>
      <c r="Q190" s="11">
        <f t="shared" ca="1" si="86"/>
        <v>3.8126731288126443E-2</v>
      </c>
      <c r="R190" s="11">
        <f t="shared" ca="1" si="87"/>
        <v>-1.2446161619597482E-5</v>
      </c>
      <c r="S190" s="11">
        <f t="shared" ca="1" si="88"/>
        <v>0.70233599810678005</v>
      </c>
      <c r="T190" s="11">
        <f t="shared" ca="1" si="89"/>
        <v>0.50762876695425985</v>
      </c>
      <c r="U190" s="11">
        <f t="shared" ca="1" si="90"/>
        <v>6.1060849304631262</v>
      </c>
      <c r="V190" s="11"/>
      <c r="W190" s="11">
        <f t="shared" ca="1" si="63"/>
        <v>0</v>
      </c>
      <c r="X190" s="2">
        <f t="shared" ca="1" si="64"/>
        <v>-5.3830560456426566E-5</v>
      </c>
      <c r="Y190" s="2">
        <f t="shared" ca="1" si="65"/>
        <v>3.8061574923719928E-2</v>
      </c>
      <c r="Z190" s="11">
        <f t="shared" ca="1" si="66"/>
        <v>-1.2446161619597482E-5</v>
      </c>
      <c r="AA190" s="2">
        <f t="shared" ca="1" si="67"/>
        <v>0.70233586949929128</v>
      </c>
      <c r="AB190" s="11">
        <f t="shared" ca="1" si="68"/>
        <v>0.50762876695425985</v>
      </c>
      <c r="AC190" s="2">
        <f t="shared" ca="1" si="69"/>
        <v>6.1060790912798844</v>
      </c>
      <c r="AF190" s="11">
        <f t="shared" ca="1" si="70"/>
        <v>0</v>
      </c>
      <c r="AG190" s="2">
        <f t="shared" ca="1" si="71"/>
        <v>-5.8054725687233141E-5</v>
      </c>
      <c r="AH190" s="2">
        <f t="shared" ca="1" si="72"/>
        <v>3.7996236190155616E-2</v>
      </c>
      <c r="AI190" s="2">
        <f t="shared" ca="1" si="73"/>
        <v>-1.2474354385345018E-5</v>
      </c>
      <c r="AJ190" s="2">
        <f t="shared" ca="1" si="74"/>
        <v>0.70233530576711489</v>
      </c>
      <c r="AK190" s="2">
        <f t="shared" ca="1" si="75"/>
        <v>0.50762876695425985</v>
      </c>
      <c r="AL190" s="2">
        <f t="shared" ca="1" si="76"/>
        <v>6.1060725369329383</v>
      </c>
      <c r="AN190" s="2">
        <f t="shared" ca="1" si="54"/>
        <v>8.6939654907661215</v>
      </c>
      <c r="AO190" s="2">
        <f t="shared" ca="1" si="55"/>
        <v>0.40052524729725653</v>
      </c>
      <c r="AP190" s="2">
        <f t="shared" ca="1" si="56"/>
        <v>-4.9850019605909046E-6</v>
      </c>
      <c r="AQ190" s="2">
        <f t="shared" ca="1" si="57"/>
        <v>0.5076337519562204</v>
      </c>
      <c r="AR190" s="2">
        <f t="shared" ca="1" si="58"/>
        <v>0.709310095012053</v>
      </c>
      <c r="AS190" s="2">
        <f t="shared" ca="1" si="59"/>
        <v>5.640064602620376E-2</v>
      </c>
      <c r="AT190" s="9">
        <f t="shared" ca="1" si="60"/>
        <v>0.709310095012053</v>
      </c>
      <c r="AU190" s="9">
        <f t="shared" ca="1" si="61"/>
        <v>0.709310095012053</v>
      </c>
      <c r="AW190" s="2">
        <f t="shared" ca="1" si="77"/>
        <v>8.6939564148262125</v>
      </c>
      <c r="AX190" s="2">
        <f t="shared" ca="1" si="78"/>
        <v>0.40052482410338353</v>
      </c>
      <c r="AY190" s="2">
        <f t="shared" ca="1" si="79"/>
        <v>-4.9962885959935842E-6</v>
      </c>
      <c r="AZ190" s="2">
        <f t="shared" ca="1" si="80"/>
        <v>0.50763376324285581</v>
      </c>
      <c r="BA190" s="2">
        <f t="shared" ca="1" si="81"/>
        <v>0.70931118289635953</v>
      </c>
      <c r="BB190" s="2">
        <f t="shared" ca="1" si="82"/>
        <v>5.620760077287635E-2</v>
      </c>
      <c r="BC190" s="9">
        <f t="shared" ca="1" si="62"/>
        <v>0.70931118289635953</v>
      </c>
      <c r="BD190" s="9">
        <f t="shared" ca="1" si="83"/>
        <v>0.70931118289635953</v>
      </c>
    </row>
    <row r="191" spans="1:56" ht="15" x14ac:dyDescent="0.25">
      <c r="A191" s="90">
        <v>125</v>
      </c>
      <c r="B191" s="90">
        <v>1542620884.3280001</v>
      </c>
      <c r="C191" s="91">
        <v>3.0670992151552199E-4</v>
      </c>
      <c r="D191" s="91">
        <v>1.5484883052834699E-4</v>
      </c>
      <c r="E191" s="91">
        <v>3.8151170614211603E-2</v>
      </c>
      <c r="F191" s="91">
        <v>-4.7557930078055498E-5</v>
      </c>
      <c r="G191" s="91">
        <v>0.67225075028611503</v>
      </c>
      <c r="H191" s="91">
        <v>0.48568000926110899</v>
      </c>
      <c r="I191" s="91">
        <v>5.8523369353894603</v>
      </c>
      <c r="J191" s="91"/>
      <c r="K191" s="91"/>
      <c r="L191" s="89"/>
      <c r="M191" s="89"/>
      <c r="O191" s="11">
        <f t="shared" ca="1" si="84"/>
        <v>-8.7076904648984254E-5</v>
      </c>
      <c r="P191" s="11">
        <f t="shared" ca="1" si="85"/>
        <v>-8.7352271818726829E-6</v>
      </c>
      <c r="Q191" s="11">
        <f t="shared" ca="1" si="86"/>
        <v>3.6537141211833747E-2</v>
      </c>
      <c r="R191" s="11">
        <f t="shared" ca="1" si="87"/>
        <v>-6.2411690199691124E-5</v>
      </c>
      <c r="S191" s="11">
        <f t="shared" ca="1" si="88"/>
        <v>0.67110494760226003</v>
      </c>
      <c r="T191" s="11">
        <f t="shared" ca="1" si="89"/>
        <v>0.48518946991768486</v>
      </c>
      <c r="U191" s="11">
        <f t="shared" ca="1" si="90"/>
        <v>5.8468294958240064</v>
      </c>
      <c r="V191" s="11"/>
      <c r="W191" s="11">
        <f t="shared" ca="1" si="63"/>
        <v>0</v>
      </c>
      <c r="X191" s="2">
        <f t="shared" ca="1" si="64"/>
        <v>-8.7352271818726829E-6</v>
      </c>
      <c r="Y191" s="2">
        <f t="shared" ca="1" si="65"/>
        <v>3.6537141211833747E-2</v>
      </c>
      <c r="Z191" s="11">
        <f t="shared" ca="1" si="66"/>
        <v>-6.2411690199691124E-5</v>
      </c>
      <c r="AA191" s="2">
        <f t="shared" ca="1" si="67"/>
        <v>0.67110494760226003</v>
      </c>
      <c r="AB191" s="11">
        <f t="shared" ca="1" si="68"/>
        <v>0.48518946991768486</v>
      </c>
      <c r="AC191" s="2">
        <f t="shared" ca="1" si="69"/>
        <v>5.8468294958240064</v>
      </c>
      <c r="AF191" s="11">
        <f t="shared" ca="1" si="70"/>
        <v>0</v>
      </c>
      <c r="AG191" s="2">
        <f t="shared" ca="1" si="71"/>
        <v>-8.7352271818726829E-6</v>
      </c>
      <c r="AH191" s="2">
        <f t="shared" ca="1" si="72"/>
        <v>3.6537141211833747E-2</v>
      </c>
      <c r="AI191" s="2">
        <f t="shared" ca="1" si="73"/>
        <v>-6.2411690199691124E-5</v>
      </c>
      <c r="AJ191" s="2">
        <f t="shared" ca="1" si="74"/>
        <v>0.67110494760226003</v>
      </c>
      <c r="AK191" s="2">
        <f t="shared" ca="1" si="75"/>
        <v>0.48518946991768486</v>
      </c>
      <c r="AL191" s="2">
        <f t="shared" ca="1" si="76"/>
        <v>5.8468294958240064</v>
      </c>
      <c r="AN191" s="2">
        <f t="shared" ca="1" si="54"/>
        <v>8.7122431695872606</v>
      </c>
      <c r="AO191" s="2">
        <f t="shared" ca="1" si="55"/>
        <v>0.40137751167594066</v>
      </c>
      <c r="AP191" s="2">
        <f t="shared" ca="1" si="56"/>
        <v>-2.5050648911841717E-5</v>
      </c>
      <c r="AQ191" s="2">
        <f t="shared" ca="1" si="57"/>
        <v>0.4852145205665967</v>
      </c>
      <c r="AR191" s="2">
        <f t="shared" ca="1" si="58"/>
        <v>0.70878515384276952</v>
      </c>
      <c r="AS191" s="2">
        <f t="shared" ca="1" si="59"/>
        <v>5.6686134061596609E-2</v>
      </c>
      <c r="AT191" s="9">
        <f t="shared" ca="1" si="60"/>
        <v>0.70878515384276952</v>
      </c>
      <c r="AU191" s="9">
        <f t="shared" ca="1" si="61"/>
        <v>0.70878515384276952</v>
      </c>
      <c r="AW191" s="2">
        <f t="shared" ca="1" si="77"/>
        <v>8.7122431695872606</v>
      </c>
      <c r="AX191" s="2">
        <f t="shared" ca="1" si="78"/>
        <v>0.40137751167594066</v>
      </c>
      <c r="AY191" s="2">
        <f t="shared" ca="1" si="79"/>
        <v>-2.5050648911841717E-5</v>
      </c>
      <c r="AZ191" s="2">
        <f t="shared" ca="1" si="80"/>
        <v>0.4852145205665967</v>
      </c>
      <c r="BA191" s="2">
        <f t="shared" ca="1" si="81"/>
        <v>0.70878515384276952</v>
      </c>
      <c r="BB191" s="2">
        <f t="shared" ca="1" si="82"/>
        <v>5.6686134061596609E-2</v>
      </c>
      <c r="BC191" s="9">
        <f t="shared" ca="1" si="62"/>
        <v>0.70878515384276952</v>
      </c>
      <c r="BD191" s="9">
        <f t="shared" ca="1" si="83"/>
        <v>0.70878515384276952</v>
      </c>
    </row>
    <row r="192" spans="1:56" ht="15" x14ac:dyDescent="0.25">
      <c r="A192" s="90">
        <v>126</v>
      </c>
      <c r="B192" s="90">
        <v>1542620884.855</v>
      </c>
      <c r="C192" s="91">
        <v>3.64295691796044E-4</v>
      </c>
      <c r="D192" s="91">
        <v>2.2716071909346399E-4</v>
      </c>
      <c r="E192" s="91">
        <v>3.6826177093165602E-2</v>
      </c>
      <c r="F192" s="91">
        <v>1.10674820703102E-4</v>
      </c>
      <c r="G192" s="91">
        <v>0.65135273005609395</v>
      </c>
      <c r="H192" s="91">
        <v>0.47025615030768397</v>
      </c>
      <c r="I192" s="91">
        <v>5.6597331414721896</v>
      </c>
      <c r="J192" s="91"/>
      <c r="K192" s="91"/>
      <c r="L192" s="89"/>
      <c r="M192" s="89"/>
      <c r="O192" s="11">
        <f t="shared" ca="1" si="84"/>
        <v>-2.9491134368462245E-5</v>
      </c>
      <c r="P192" s="11">
        <f t="shared" ca="1" si="85"/>
        <v>6.3576661383244317E-5</v>
      </c>
      <c r="Q192" s="11">
        <f t="shared" ca="1" si="86"/>
        <v>3.5212147690787746E-2</v>
      </c>
      <c r="R192" s="11">
        <f t="shared" ca="1" si="87"/>
        <v>9.5821060581466374E-5</v>
      </c>
      <c r="S192" s="11">
        <f t="shared" ca="1" si="88"/>
        <v>0.65020692737223895</v>
      </c>
      <c r="T192" s="11">
        <f t="shared" ca="1" si="89"/>
        <v>0.46976561096425984</v>
      </c>
      <c r="U192" s="11">
        <f t="shared" ca="1" si="90"/>
        <v>5.6542257019067357</v>
      </c>
      <c r="V192" s="11"/>
      <c r="W192" s="11">
        <f t="shared" ca="1" si="63"/>
        <v>0</v>
      </c>
      <c r="X192" s="2">
        <f t="shared" ca="1" si="64"/>
        <v>6.3576661383244317E-5</v>
      </c>
      <c r="Y192" s="2">
        <f t="shared" ca="1" si="65"/>
        <v>3.5212147690787746E-2</v>
      </c>
      <c r="Z192" s="11">
        <f t="shared" ca="1" si="66"/>
        <v>9.5821060581466374E-5</v>
      </c>
      <c r="AA192" s="2">
        <f t="shared" ca="1" si="67"/>
        <v>0.65020692737223895</v>
      </c>
      <c r="AB192" s="11">
        <f t="shared" ca="1" si="68"/>
        <v>0.46976561096425984</v>
      </c>
      <c r="AC192" s="2">
        <f t="shared" ca="1" si="69"/>
        <v>5.6542257019067357</v>
      </c>
      <c r="AF192" s="11">
        <f t="shared" ca="1" si="70"/>
        <v>0</v>
      </c>
      <c r="AG192" s="2">
        <f t="shared" ca="1" si="71"/>
        <v>6.3576661383244317E-5</v>
      </c>
      <c r="AH192" s="2">
        <f t="shared" ca="1" si="72"/>
        <v>3.5212147690787746E-2</v>
      </c>
      <c r="AI192" s="2">
        <f t="shared" ca="1" si="73"/>
        <v>9.5821060581466374E-5</v>
      </c>
      <c r="AJ192" s="2">
        <f t="shared" ca="1" si="74"/>
        <v>0.65020692737223895</v>
      </c>
      <c r="AK192" s="2">
        <f t="shared" ca="1" si="75"/>
        <v>0.46976424290620755</v>
      </c>
      <c r="AL192" s="2">
        <f t="shared" ca="1" si="76"/>
        <v>5.6542257019067357</v>
      </c>
      <c r="AN192" s="2">
        <f t="shared" ca="1" si="54"/>
        <v>8.6960403894154918</v>
      </c>
      <c r="AO192" s="2">
        <f t="shared" ca="1" si="55"/>
        <v>0.400621996028591</v>
      </c>
      <c r="AP192" s="2">
        <f t="shared" ca="1" si="56"/>
        <v>3.8388024551723602E-5</v>
      </c>
      <c r="AQ192" s="2">
        <f t="shared" ca="1" si="57"/>
        <v>0.46972722293970809</v>
      </c>
      <c r="AR192" s="2">
        <f t="shared" ca="1" si="58"/>
        <v>0.70887967929910645</v>
      </c>
      <c r="AS192" s="2">
        <f t="shared" ca="1" si="59"/>
        <v>5.6279003878977302E-2</v>
      </c>
      <c r="AT192" s="9">
        <f t="shared" ca="1" si="60"/>
        <v>0.70887967929910645</v>
      </c>
      <c r="AU192" s="9">
        <f t="shared" ca="1" si="61"/>
        <v>0.70887967929910645</v>
      </c>
      <c r="AW192" s="2">
        <f t="shared" ca="1" si="77"/>
        <v>8.6960403894154918</v>
      </c>
      <c r="AX192" s="2">
        <f t="shared" ca="1" si="78"/>
        <v>0.400621996028591</v>
      </c>
      <c r="AY192" s="2">
        <f t="shared" ca="1" si="79"/>
        <v>3.8388024551723602E-5</v>
      </c>
      <c r="AZ192" s="2">
        <f t="shared" ca="1" si="80"/>
        <v>0.4697258548816558</v>
      </c>
      <c r="BA192" s="2">
        <f t="shared" ca="1" si="81"/>
        <v>0.70887761472097266</v>
      </c>
      <c r="BB192" s="2">
        <f t="shared" ca="1" si="82"/>
        <v>5.6279003878977302E-2</v>
      </c>
      <c r="BC192" s="9">
        <f t="shared" ca="1" si="62"/>
        <v>0.70887761472097266</v>
      </c>
      <c r="BD192" s="9">
        <f t="shared" ca="1" si="83"/>
        <v>0.70887761472097266</v>
      </c>
    </row>
    <row r="193" spans="1:56" ht="15" x14ac:dyDescent="0.25">
      <c r="A193" s="90">
        <v>127</v>
      </c>
      <c r="B193" s="90">
        <v>1542620885.382</v>
      </c>
      <c r="C193" s="91">
        <v>2.7791828145092403E-4</v>
      </c>
      <c r="D193" s="91">
        <v>1.4894122930803199E-4</v>
      </c>
      <c r="E193" s="91">
        <v>3.8111919554192901E-2</v>
      </c>
      <c r="F193" s="91">
        <v>-6.1357492629288696E-5</v>
      </c>
      <c r="G193" s="91">
        <v>0.67323596596725899</v>
      </c>
      <c r="H193" s="91">
        <v>0.48624220966230097</v>
      </c>
      <c r="I193" s="91">
        <v>5.8523425503639501</v>
      </c>
      <c r="J193" s="91"/>
      <c r="K193" s="91"/>
      <c r="L193" s="89"/>
      <c r="M193" s="89"/>
      <c r="O193" s="11">
        <f t="shared" ca="1" si="84"/>
        <v>-1.1586854471358222E-4</v>
      </c>
      <c r="P193" s="11">
        <f t="shared" ca="1" si="85"/>
        <v>-1.4642828402187681E-5</v>
      </c>
      <c r="Q193" s="11">
        <f t="shared" ca="1" si="86"/>
        <v>3.6497890151815045E-2</v>
      </c>
      <c r="R193" s="11">
        <f t="shared" ca="1" si="87"/>
        <v>-7.6211252750924322E-5</v>
      </c>
      <c r="S193" s="11">
        <f t="shared" ca="1" si="88"/>
        <v>0.67209016328340399</v>
      </c>
      <c r="T193" s="11">
        <f t="shared" ca="1" si="89"/>
        <v>0.48575167031887689</v>
      </c>
      <c r="U193" s="11">
        <f t="shared" ca="1" si="90"/>
        <v>5.8468351107984962</v>
      </c>
      <c r="V193" s="11"/>
      <c r="W193" s="11">
        <f t="shared" ca="1" si="63"/>
        <v>0</v>
      </c>
      <c r="X193" s="2">
        <f t="shared" ca="1" si="64"/>
        <v>-1.4642828402187681E-5</v>
      </c>
      <c r="Y193" s="2">
        <f t="shared" ca="1" si="65"/>
        <v>3.6497890151815045E-2</v>
      </c>
      <c r="Z193" s="11">
        <f t="shared" ca="1" si="66"/>
        <v>-7.6211252750924322E-5</v>
      </c>
      <c r="AA193" s="2">
        <f t="shared" ca="1" si="67"/>
        <v>0.67209016328340399</v>
      </c>
      <c r="AB193" s="11">
        <f t="shared" ca="1" si="68"/>
        <v>0.48575167031887689</v>
      </c>
      <c r="AC193" s="2">
        <f t="shared" ca="1" si="69"/>
        <v>5.8468351107984962</v>
      </c>
      <c r="AF193" s="11">
        <f t="shared" ca="1" si="70"/>
        <v>0</v>
      </c>
      <c r="AG193" s="2">
        <f t="shared" ca="1" si="71"/>
        <v>-1.4642828402187681E-5</v>
      </c>
      <c r="AH193" s="2">
        <f t="shared" ca="1" si="72"/>
        <v>3.6497890151815045E-2</v>
      </c>
      <c r="AI193" s="2">
        <f t="shared" ca="1" si="73"/>
        <v>-7.6211252750924322E-5</v>
      </c>
      <c r="AJ193" s="2">
        <f t="shared" ca="1" si="74"/>
        <v>0.67209016328340399</v>
      </c>
      <c r="AK193" s="2">
        <f t="shared" ca="1" si="75"/>
        <v>0.48575167031887689</v>
      </c>
      <c r="AL193" s="2">
        <f t="shared" ca="1" si="76"/>
        <v>5.8468351107984962</v>
      </c>
      <c r="AN193" s="2">
        <f t="shared" ca="1" si="54"/>
        <v>8.699480263532779</v>
      </c>
      <c r="AO193" s="2">
        <f t="shared" ca="1" si="55"/>
        <v>0.40078239168779578</v>
      </c>
      <c r="AP193" s="2">
        <f t="shared" ca="1" si="56"/>
        <v>-3.0544128151038552E-5</v>
      </c>
      <c r="AQ193" s="2">
        <f t="shared" ca="1" si="57"/>
        <v>0.4857822144470279</v>
      </c>
      <c r="AR193" s="2">
        <f t="shared" ca="1" si="58"/>
        <v>0.70909751502893892</v>
      </c>
      <c r="AS193" s="2">
        <f t="shared" ca="1" si="59"/>
        <v>5.645747520726177E-2</v>
      </c>
      <c r="AT193" s="9">
        <f t="shared" ca="1" si="60"/>
        <v>0.70909751502893892</v>
      </c>
      <c r="AU193" s="9">
        <f t="shared" ca="1" si="61"/>
        <v>0.70909751502893892</v>
      </c>
      <c r="AW193" s="2">
        <f t="shared" ca="1" si="77"/>
        <v>8.699480263532779</v>
      </c>
      <c r="AX193" s="2">
        <f t="shared" ca="1" si="78"/>
        <v>0.40078239168779578</v>
      </c>
      <c r="AY193" s="2">
        <f t="shared" ca="1" si="79"/>
        <v>-3.0544128151038552E-5</v>
      </c>
      <c r="AZ193" s="2">
        <f t="shared" ca="1" si="80"/>
        <v>0.4857822144470279</v>
      </c>
      <c r="BA193" s="2">
        <f t="shared" ca="1" si="81"/>
        <v>0.70909751502893892</v>
      </c>
      <c r="BB193" s="2">
        <f t="shared" ca="1" si="82"/>
        <v>5.645747520726177E-2</v>
      </c>
      <c r="BC193" s="9">
        <f t="shared" ca="1" si="62"/>
        <v>0.70909751502893892</v>
      </c>
      <c r="BD193" s="9">
        <f t="shared" ca="1" si="83"/>
        <v>0.70909751502893892</v>
      </c>
    </row>
    <row r="194" spans="1:56" ht="15" x14ac:dyDescent="0.25">
      <c r="A194" s="90">
        <v>128</v>
      </c>
      <c r="B194" s="90">
        <v>1542620885.9089999</v>
      </c>
      <c r="C194" s="91">
        <v>3.9761128985329103E-4</v>
      </c>
      <c r="D194" s="91">
        <v>1.8462367595421301E-4</v>
      </c>
      <c r="E194" s="91">
        <v>3.7217534220089499E-2</v>
      </c>
      <c r="F194" s="91">
        <v>8.1167864749914298E-5</v>
      </c>
      <c r="G194" s="91">
        <v>0.65470363350191296</v>
      </c>
      <c r="H194" s="91">
        <v>0.473039169416405</v>
      </c>
      <c r="I194" s="91">
        <v>5.69116852134818</v>
      </c>
      <c r="J194" s="91"/>
      <c r="K194" s="91"/>
      <c r="L194" s="89"/>
      <c r="M194" s="89"/>
      <c r="O194" s="11">
        <f t="shared" ca="1" si="84"/>
        <v>3.8244636887847794E-6</v>
      </c>
      <c r="P194" s="11">
        <f t="shared" ca="1" si="85"/>
        <v>2.103961824399334E-5</v>
      </c>
      <c r="Q194" s="11">
        <f t="shared" ca="1" si="86"/>
        <v>3.5603504817711643E-2</v>
      </c>
      <c r="R194" s="11">
        <f t="shared" ca="1" si="87"/>
        <v>6.6314104628278672E-5</v>
      </c>
      <c r="S194" s="11">
        <f t="shared" ca="1" si="88"/>
        <v>0.65355783081805796</v>
      </c>
      <c r="T194" s="11">
        <f t="shared" ca="1" si="89"/>
        <v>0.47254863007298087</v>
      </c>
      <c r="U194" s="11">
        <f t="shared" ca="1" si="90"/>
        <v>5.685661081782726</v>
      </c>
      <c r="V194" s="11"/>
      <c r="W194" s="11">
        <f t="shared" ca="1" si="63"/>
        <v>0</v>
      </c>
      <c r="X194" s="2">
        <f t="shared" ca="1" si="64"/>
        <v>2.0243269318564485E-5</v>
      </c>
      <c r="Y194" s="2">
        <f t="shared" ca="1" si="65"/>
        <v>3.5591196010324996E-2</v>
      </c>
      <c r="Z194" s="11">
        <f t="shared" ca="1" si="66"/>
        <v>6.6314104628278672E-5</v>
      </c>
      <c r="AA194" s="2">
        <f t="shared" ca="1" si="67"/>
        <v>0.65355780652258322</v>
      </c>
      <c r="AB194" s="11">
        <f t="shared" ca="1" si="68"/>
        <v>0.47254863007298087</v>
      </c>
      <c r="AC194" s="2">
        <f t="shared" ca="1" si="69"/>
        <v>5.6856599786919926</v>
      </c>
      <c r="AF194" s="11">
        <f t="shared" ca="1" si="70"/>
        <v>0</v>
      </c>
      <c r="AG194" s="2">
        <f t="shared" ca="1" si="71"/>
        <v>1.9445274576700584E-5</v>
      </c>
      <c r="AH194" s="2">
        <f t="shared" ca="1" si="72"/>
        <v>3.5578852751248835E-2</v>
      </c>
      <c r="AI194" s="2">
        <f t="shared" ca="1" si="73"/>
        <v>6.6308778681589589E-5</v>
      </c>
      <c r="AJ194" s="2">
        <f t="shared" ca="1" si="74"/>
        <v>0.65355770002691183</v>
      </c>
      <c r="AK194" s="2">
        <f t="shared" ca="1" si="75"/>
        <v>0.47254817733736171</v>
      </c>
      <c r="AL194" s="2">
        <f t="shared" ca="1" si="76"/>
        <v>5.6856587404983818</v>
      </c>
      <c r="AN194" s="2">
        <f t="shared" ca="1" si="54"/>
        <v>8.6995531438526061</v>
      </c>
      <c r="AO194" s="2">
        <f t="shared" ca="1" si="55"/>
        <v>0.40078578998528336</v>
      </c>
      <c r="AP194" s="2">
        <f t="shared" ca="1" si="56"/>
        <v>2.6577750810611403E-5</v>
      </c>
      <c r="AQ194" s="2">
        <f t="shared" ca="1" si="57"/>
        <v>0.47252205232217026</v>
      </c>
      <c r="AR194" s="2">
        <f t="shared" ca="1" si="58"/>
        <v>0.70929699339748908</v>
      </c>
      <c r="AS194" s="2">
        <f t="shared" ca="1" si="59"/>
        <v>5.6636144901965717E-2</v>
      </c>
      <c r="AT194" s="9">
        <f t="shared" ca="1" si="60"/>
        <v>0.70929699339748908</v>
      </c>
      <c r="AU194" s="9">
        <f t="shared" ca="1" si="61"/>
        <v>0.70929699339748908</v>
      </c>
      <c r="AW194" s="2">
        <f t="shared" ca="1" si="77"/>
        <v>8.699551302454644</v>
      </c>
      <c r="AX194" s="2">
        <f t="shared" ca="1" si="78"/>
        <v>0.40078570412371756</v>
      </c>
      <c r="AY194" s="2">
        <f t="shared" ca="1" si="79"/>
        <v>2.6575610553484634E-5</v>
      </c>
      <c r="AZ194" s="2">
        <f t="shared" ca="1" si="80"/>
        <v>0.47252160172680824</v>
      </c>
      <c r="BA194" s="2">
        <f t="shared" ca="1" si="81"/>
        <v>0.70929653456642872</v>
      </c>
      <c r="BB194" s="2">
        <f t="shared" ca="1" si="82"/>
        <v>5.659692878563076E-2</v>
      </c>
      <c r="BC194" s="9">
        <f t="shared" ca="1" si="62"/>
        <v>0.70929653456642872</v>
      </c>
      <c r="BD194" s="9">
        <f t="shared" ca="1" si="83"/>
        <v>0.70929653456642872</v>
      </c>
    </row>
    <row r="195" spans="1:56" ht="15" x14ac:dyDescent="0.25">
      <c r="A195" s="90">
        <v>129</v>
      </c>
      <c r="B195" s="90">
        <v>1542620886.4360001</v>
      </c>
      <c r="C195" s="91">
        <v>4.0356062073515302E-4</v>
      </c>
      <c r="D195" s="91">
        <v>1.9809354235635299E-4</v>
      </c>
      <c r="E195" s="91">
        <v>3.5900837199591903E-2</v>
      </c>
      <c r="F195" s="91">
        <v>3.02466203191258E-5</v>
      </c>
      <c r="G195" s="91">
        <v>0.63334164005381599</v>
      </c>
      <c r="H195" s="91">
        <v>0.45762401348153797</v>
      </c>
      <c r="I195" s="91">
        <v>5.5098500810914697</v>
      </c>
      <c r="J195" s="91"/>
      <c r="K195" s="91"/>
      <c r="L195" s="89"/>
      <c r="M195" s="89"/>
      <c r="O195" s="11">
        <f t="shared" ca="1" si="84"/>
        <v>9.7737945706467756E-6</v>
      </c>
      <c r="P195" s="11">
        <f t="shared" ca="1" si="85"/>
        <v>3.4509484646133315E-5</v>
      </c>
      <c r="Q195" s="11">
        <f t="shared" ca="1" si="86"/>
        <v>3.4286807797214047E-2</v>
      </c>
      <c r="R195" s="11">
        <f t="shared" ca="1" si="87"/>
        <v>1.5392860197490177E-5</v>
      </c>
      <c r="S195" s="11">
        <f t="shared" ca="1" si="88"/>
        <v>0.63219583736996099</v>
      </c>
      <c r="T195" s="11">
        <f t="shared" ca="1" si="89"/>
        <v>0.45713347413811389</v>
      </c>
      <c r="U195" s="11">
        <f t="shared" ca="1" si="90"/>
        <v>5.5043426415260157</v>
      </c>
      <c r="V195" s="11"/>
      <c r="W195" s="11">
        <f t="shared" ca="1" si="63"/>
        <v>0</v>
      </c>
      <c r="X195" s="2">
        <f t="shared" ca="1" si="64"/>
        <v>3.2474336338536213E-5</v>
      </c>
      <c r="Y195" s="2">
        <f t="shared" ca="1" si="65"/>
        <v>3.4255351424609559E-2</v>
      </c>
      <c r="Z195" s="11">
        <f t="shared" ca="1" si="66"/>
        <v>1.5392860197490177E-5</v>
      </c>
      <c r="AA195" s="2">
        <f t="shared" ca="1" si="67"/>
        <v>0.63219577528047632</v>
      </c>
      <c r="AB195" s="11">
        <f t="shared" ca="1" si="68"/>
        <v>0.45713347413811389</v>
      </c>
      <c r="AC195" s="2">
        <f t="shared" ca="1" si="69"/>
        <v>5.5043398224687303</v>
      </c>
      <c r="AF195" s="11">
        <f t="shared" ca="1" si="70"/>
        <v>0</v>
      </c>
      <c r="AG195" s="2">
        <f t="shared" ca="1" si="71"/>
        <v>3.0434981984537271E-5</v>
      </c>
      <c r="AH195" s="2">
        <f t="shared" ca="1" si="72"/>
        <v>3.4223807007310876E-2</v>
      </c>
      <c r="AI195" s="2">
        <f t="shared" ca="1" si="73"/>
        <v>1.5379249214861184E-5</v>
      </c>
      <c r="AJ195" s="2">
        <f t="shared" ca="1" si="74"/>
        <v>0.63219550312027295</v>
      </c>
      <c r="AK195" s="2">
        <f t="shared" ca="1" si="75"/>
        <v>0.45713273155463557</v>
      </c>
      <c r="AL195" s="2">
        <f t="shared" ca="1" si="76"/>
        <v>5.5043366581427033</v>
      </c>
      <c r="AN195" s="2">
        <f t="shared" ref="AN195:AN258" ca="1" si="91">IF(AND(S195&gt;0,U195&gt;0),U195/S195, #N/A)</f>
        <v>8.7067049736122737</v>
      </c>
      <c r="AO195" s="2">
        <f t="shared" ref="AO195:AO258" ca="1" si="92">$B$8*((AN195/$B$10)^$B$11)</f>
        <v>0.40111927051241408</v>
      </c>
      <c r="AP195" s="2">
        <f t="shared" ref="AP195:AP258" ca="1" si="93">AO195*R195</f>
        <v>6.1743728535168343E-6</v>
      </c>
      <c r="AQ195" s="2">
        <f t="shared" ref="AQ195:AQ258" ca="1" si="94">T195-AP195</f>
        <v>0.4571272997652604</v>
      </c>
      <c r="AR195" s="2">
        <f t="shared" ref="AR195:AR258" ca="1" si="95">(AQ195/S195)/((AN195/$B$10)^$B$12)</f>
        <v>0.70908102261291073</v>
      </c>
      <c r="AS195" s="2">
        <f t="shared" ref="AS195:AS258" ca="1" si="96">(Q195/S195)/((AN195/$B$10)^$B$13)</f>
        <v>5.6432014847320175E-2</v>
      </c>
      <c r="AT195" s="9">
        <f t="shared" ref="AT195:AT258" ca="1" si="97">IF(AND(AR195&lt;$M$3,AR195&gt;$M$4),AR195,"rejected")</f>
        <v>0.70908102261291073</v>
      </c>
      <c r="AU195" s="9">
        <f t="shared" ref="AU195:AU258" ca="1" si="98">IF(AND(AR195&lt;$M$3,AR195&gt;$M$4),AR195,#N/A)</f>
        <v>0.70908102261291073</v>
      </c>
      <c r="AW195" s="2">
        <f t="shared" ca="1" si="77"/>
        <v>8.7067001125054233</v>
      </c>
      <c r="AX195" s="2">
        <f t="shared" ca="1" si="78"/>
        <v>0.40111904384419056</v>
      </c>
      <c r="AY195" s="2">
        <f t="shared" ca="1" si="79"/>
        <v>6.168909740106636E-6</v>
      </c>
      <c r="AZ195" s="2">
        <f t="shared" ca="1" si="80"/>
        <v>0.45712656264489548</v>
      </c>
      <c r="BA195" s="2">
        <f t="shared" ca="1" si="81"/>
        <v>0.70908045348380122</v>
      </c>
      <c r="BB195" s="2">
        <f t="shared" ca="1" si="82"/>
        <v>5.6328320628237658E-2</v>
      </c>
      <c r="BC195" s="9">
        <f t="shared" ref="BC195:BC214" ca="1" si="99">IF(AND(BA195&lt;$P$3,BA195&gt;$P$4),BA195,"rejected")</f>
        <v>0.70908045348380122</v>
      </c>
      <c r="BD195" s="9">
        <f t="shared" ca="1" si="83"/>
        <v>0.70908045348380122</v>
      </c>
    </row>
    <row r="196" spans="1:56" ht="15" x14ac:dyDescent="0.25">
      <c r="A196" s="90">
        <v>130</v>
      </c>
      <c r="B196" s="90">
        <v>1542620886.9630001</v>
      </c>
      <c r="C196" s="91">
        <v>3.5358734271287402E-4</v>
      </c>
      <c r="D196" s="91">
        <v>1.56030354992593E-4</v>
      </c>
      <c r="E196" s="91">
        <v>3.7512126699027398E-2</v>
      </c>
      <c r="F196" s="91">
        <v>-1.28449199997531E-4</v>
      </c>
      <c r="G196" s="91">
        <v>0.66261891903860903</v>
      </c>
      <c r="H196" s="91">
        <v>0.478276377862075</v>
      </c>
      <c r="I196" s="91">
        <v>5.7518990501645302</v>
      </c>
      <c r="J196" s="91"/>
      <c r="K196" s="91"/>
      <c r="L196" s="89"/>
      <c r="M196" s="89"/>
      <c r="O196" s="11">
        <f t="shared" ca="1" si="84"/>
        <v>-4.0199483451632228E-5</v>
      </c>
      <c r="P196" s="11">
        <f t="shared" ca="1" si="85"/>
        <v>-7.5537027176266695E-6</v>
      </c>
      <c r="Q196" s="11">
        <f t="shared" ca="1" si="86"/>
        <v>3.5898097296649542E-2</v>
      </c>
      <c r="R196" s="11">
        <f t="shared" ca="1" si="87"/>
        <v>-1.4330296011916662E-4</v>
      </c>
      <c r="S196" s="11">
        <f t="shared" ca="1" si="88"/>
        <v>0.66147311635475403</v>
      </c>
      <c r="T196" s="11">
        <f t="shared" ca="1" si="89"/>
        <v>0.47778583851865086</v>
      </c>
      <c r="U196" s="11">
        <f t="shared" ca="1" si="90"/>
        <v>5.7463916105990762</v>
      </c>
      <c r="V196" s="11"/>
      <c r="W196" s="11">
        <f t="shared" ref="W196:W259" ca="1" si="100">O196-O196</f>
        <v>0</v>
      </c>
      <c r="X196" s="2">
        <f t="shared" ref="X196:X259" ca="1" si="101">IF(O196&gt;0,P196-(O196*$X$63/$W$63), P196)</f>
        <v>-7.5537027176266695E-6</v>
      </c>
      <c r="Y196" s="2">
        <f t="shared" ref="Y196:Y259" ca="1" si="102">IF(O196&gt;0,Q196-(O196*$Y$63/$W$63),Q196)</f>
        <v>3.5898097296649542E-2</v>
      </c>
      <c r="Z196" s="11">
        <f t="shared" ref="Z196:Z259" ca="1" si="103">R196</f>
        <v>-1.4330296011916662E-4</v>
      </c>
      <c r="AA196" s="2">
        <f t="shared" ref="AA196:AA259" ca="1" si="104">IF(O196&gt;0,S196-(O196*$AA$63/$W$63),S196)</f>
        <v>0.66147311635475403</v>
      </c>
      <c r="AB196" s="11">
        <f t="shared" ref="AB196:AB259" ca="1" si="105">T196</f>
        <v>0.47778583851865086</v>
      </c>
      <c r="AC196" s="2">
        <f t="shared" ref="AC196:AC259" ca="1" si="106">IF(O196&gt;0,U196-(O196*$AC$63/$W$63),U196)</f>
        <v>5.7463916105990762</v>
      </c>
      <c r="AF196" s="11">
        <f t="shared" ref="AF196:AF259" ca="1" si="107">W196</f>
        <v>0</v>
      </c>
      <c r="AG196" s="2">
        <f t="shared" ref="AG196:AG259" ca="1" si="108">IF(O196&gt;0, X196-(O196*$AG$63/$AF$63), X196)</f>
        <v>-7.5537027176266695E-6</v>
      </c>
      <c r="AH196" s="2">
        <f t="shared" ref="AH196:AH259" ca="1" si="109">IF(O196&gt;0, Y196-(O196*$AH$63/$AF$63), Y196)</f>
        <v>3.5898097296649542E-2</v>
      </c>
      <c r="AI196" s="2">
        <f t="shared" ref="AI196:AI259" ca="1" si="110">IF(O196&gt;0, Z196-(O196*$AI$63/$AF$63), Z196)</f>
        <v>-1.4330296011916662E-4</v>
      </c>
      <c r="AJ196" s="2">
        <f t="shared" ref="AJ196:AJ259" ca="1" si="111">IF(O196&gt;0, AA196-(O196*$AJ$63/$AF$63), AA196)</f>
        <v>0.66147311635475403</v>
      </c>
      <c r="AK196" s="2">
        <f t="shared" ref="AK196:AK259" ca="1" si="112">IF(P196&gt;0, AB196-(P196*$AK$63/$AG$63), AB196)</f>
        <v>0.47778583851865086</v>
      </c>
      <c r="AL196" s="2">
        <f t="shared" ref="AL196:AL259" ca="1" si="113">IF(O196&gt;0, AC196-(O196*$AL$63/$AF$63), AC196)</f>
        <v>5.7463916105990762</v>
      </c>
      <c r="AN196" s="2">
        <f t="shared" ca="1" si="91"/>
        <v>8.6872640301185484</v>
      </c>
      <c r="AO196" s="2">
        <f t="shared" ca="1" si="92"/>
        <v>0.40021277235006464</v>
      </c>
      <c r="AP196" s="2">
        <f t="shared" ca="1" si="93"/>
        <v>-5.7351674955262424E-5</v>
      </c>
      <c r="AQ196" s="2">
        <f t="shared" ca="1" si="94"/>
        <v>0.4778431901936061</v>
      </c>
      <c r="AR196" s="2">
        <f t="shared" ca="1" si="95"/>
        <v>0.70920604901019912</v>
      </c>
      <c r="AS196" s="2">
        <f t="shared" ca="1" si="96"/>
        <v>5.6339889186231722E-2</v>
      </c>
      <c r="AT196" s="9">
        <f t="shared" ca="1" si="97"/>
        <v>0.70920604901019912</v>
      </c>
      <c r="AU196" s="9">
        <f t="shared" ca="1" si="98"/>
        <v>0.70920604901019912</v>
      </c>
      <c r="AW196" s="2">
        <f t="shared" ref="AW196:AW214" ca="1" si="114">IF(AND(AL196&gt;0, AJ196&gt;0), AL196/AJ196, #N/A)</f>
        <v>8.6872640301185484</v>
      </c>
      <c r="AX196" s="2">
        <f t="shared" ref="AX196:AX214" ca="1" si="115">$B$8*((AW196/$B$10)^$B$11)</f>
        <v>0.40021277235006464</v>
      </c>
      <c r="AY196" s="2">
        <f t="shared" ref="AY196:AY214" ca="1" si="116">AX196*AI196</f>
        <v>-5.7351674955262424E-5</v>
      </c>
      <c r="AZ196" s="2">
        <f t="shared" ref="AZ196:AZ214" ca="1" si="117">AK196-AY196</f>
        <v>0.4778431901936061</v>
      </c>
      <c r="BA196" s="2">
        <f t="shared" ref="BA196:BA214" ca="1" si="118">(AZ196/AJ196)/((AW196/$B$10)^$B$12)</f>
        <v>0.70920604901019912</v>
      </c>
      <c r="BB196" s="2">
        <f t="shared" ref="BB196:BB214" ca="1" si="119">(AH196/AJ196)/((AW196/$B$10)^$B$13)</f>
        <v>5.6339889186231722E-2</v>
      </c>
      <c r="BC196" s="9">
        <f t="shared" ca="1" si="99"/>
        <v>0.70920604901019912</v>
      </c>
      <c r="BD196" s="9">
        <f t="shared" ref="BD196:BD214" ca="1" si="120">IF(AND(BA196&lt;$P$3,BA196&gt;$P$4),BA196,#N/A)</f>
        <v>0.70920604901019912</v>
      </c>
    </row>
    <row r="197" spans="1:56" ht="15" x14ac:dyDescent="0.25">
      <c r="A197" s="90">
        <v>131</v>
      </c>
      <c r="B197" s="90">
        <v>1542620887.49</v>
      </c>
      <c r="C197" s="91">
        <v>4.2378861081264902E-4</v>
      </c>
      <c r="D197" s="91">
        <v>4.9935066408061899E-5</v>
      </c>
      <c r="E197" s="91">
        <v>3.75079769206038E-2</v>
      </c>
      <c r="F197" s="91">
        <v>8.4499251602569107E-5</v>
      </c>
      <c r="G197" s="91">
        <v>0.66332109321177701</v>
      </c>
      <c r="H197" s="91">
        <v>0.47931873287837901</v>
      </c>
      <c r="I197" s="91">
        <v>5.77228679198533</v>
      </c>
      <c r="J197" s="91"/>
      <c r="K197" s="91"/>
      <c r="L197" s="89"/>
      <c r="M197" s="89"/>
      <c r="O197" s="11">
        <f t="shared" ca="1" si="84"/>
        <v>3.0001784648142778E-5</v>
      </c>
      <c r="P197" s="11">
        <f t="shared" ca="1" si="85"/>
        <v>-1.1364899130215777E-4</v>
      </c>
      <c r="Q197" s="11">
        <f t="shared" ca="1" si="86"/>
        <v>3.5893947518225944E-2</v>
      </c>
      <c r="R197" s="11">
        <f t="shared" ca="1" si="87"/>
        <v>6.9645491480933481E-5</v>
      </c>
      <c r="S197" s="11">
        <f t="shared" ca="1" si="88"/>
        <v>0.66217529052792201</v>
      </c>
      <c r="T197" s="11">
        <f t="shared" ca="1" si="89"/>
        <v>0.47882819353495487</v>
      </c>
      <c r="U197" s="11">
        <f t="shared" ca="1" si="90"/>
        <v>5.766779352419876</v>
      </c>
      <c r="V197" s="11"/>
      <c r="W197" s="11">
        <f t="shared" ca="1" si="100"/>
        <v>0</v>
      </c>
      <c r="X197" s="2">
        <f t="shared" ca="1" si="101"/>
        <v>-1.1989611270523428E-4</v>
      </c>
      <c r="Y197" s="2">
        <f t="shared" ca="1" si="102"/>
        <v>3.5797388570739379E-2</v>
      </c>
      <c r="Z197" s="11">
        <f t="shared" ca="1" si="103"/>
        <v>6.9645491480933481E-5</v>
      </c>
      <c r="AA197" s="2">
        <f t="shared" ca="1" si="104"/>
        <v>0.66217509993711998</v>
      </c>
      <c r="AB197" s="11">
        <f t="shared" ca="1" si="105"/>
        <v>0.47882819353495487</v>
      </c>
      <c r="AC197" s="2">
        <f t="shared" ca="1" si="106"/>
        <v>5.7667706989998582</v>
      </c>
      <c r="AF197" s="11">
        <f t="shared" ca="1" si="107"/>
        <v>0</v>
      </c>
      <c r="AG197" s="2">
        <f t="shared" ca="1" si="108"/>
        <v>-1.2615614505067366E-4</v>
      </c>
      <c r="AH197" s="2">
        <f t="shared" ca="1" si="109"/>
        <v>3.5700559359954809E-2</v>
      </c>
      <c r="AI197" s="2">
        <f t="shared" ca="1" si="110"/>
        <v>6.9603711006959625E-5</v>
      </c>
      <c r="AJ197" s="2">
        <f t="shared" ca="1" si="111"/>
        <v>0.66217426451012662</v>
      </c>
      <c r="AK197" s="2">
        <f t="shared" ca="1" si="112"/>
        <v>0.47882819353495487</v>
      </c>
      <c r="AL197" s="2">
        <f t="shared" ca="1" si="113"/>
        <v>5.7667609857377942</v>
      </c>
      <c r="AN197" s="2">
        <f t="shared" ca="1" si="91"/>
        <v>8.7088410499616913</v>
      </c>
      <c r="AO197" s="2">
        <f t="shared" ca="1" si="92"/>
        <v>0.40121887362100411</v>
      </c>
      <c r="AP197" s="2">
        <f t="shared" ca="1" si="93"/>
        <v>2.794308564476137E-5</v>
      </c>
      <c r="AQ197" s="2">
        <f t="shared" ca="1" si="94"/>
        <v>0.47880025044931013</v>
      </c>
      <c r="AR197" s="2">
        <f t="shared" ca="1" si="95"/>
        <v>0.70898669252658375</v>
      </c>
      <c r="AS197" s="2">
        <f t="shared" ca="1" si="96"/>
        <v>5.6416663824896414E-2</v>
      </c>
      <c r="AT197" s="9">
        <f t="shared" ca="1" si="97"/>
        <v>0.70898669252658375</v>
      </c>
      <c r="AU197" s="9">
        <f t="shared" ca="1" si="98"/>
        <v>0.70898669252658375</v>
      </c>
      <c r="AW197" s="2">
        <f t="shared" ca="1" si="114"/>
        <v>8.7088268071004187</v>
      </c>
      <c r="AX197" s="2">
        <f t="shared" ca="1" si="115"/>
        <v>0.40121820948961445</v>
      </c>
      <c r="AY197" s="2">
        <f t="shared" ca="1" si="116"/>
        <v>2.7926276304044911E-5</v>
      </c>
      <c r="AZ197" s="2">
        <f t="shared" ca="1" si="117"/>
        <v>0.47880026725865082</v>
      </c>
      <c r="BA197" s="2">
        <f t="shared" ca="1" si="118"/>
        <v>0.70898839989304707</v>
      </c>
      <c r="BB197" s="2">
        <f t="shared" ca="1" si="119"/>
        <v>5.6112697133218016E-2</v>
      </c>
      <c r="BC197" s="9">
        <f t="shared" ca="1" si="99"/>
        <v>0.70898839989304707</v>
      </c>
      <c r="BD197" s="9">
        <f t="shared" ca="1" si="120"/>
        <v>0.70898839989304707</v>
      </c>
    </row>
    <row r="198" spans="1:56" ht="15" x14ac:dyDescent="0.25">
      <c r="A198" s="90">
        <v>132</v>
      </c>
      <c r="B198" s="90">
        <v>1542620888.017</v>
      </c>
      <c r="C198" s="91">
        <v>3.74528221525271E-4</v>
      </c>
      <c r="D198" s="91">
        <v>2.1463573367570601E-4</v>
      </c>
      <c r="E198" s="91">
        <v>3.4877233414483198E-2</v>
      </c>
      <c r="F198" s="91">
        <v>1.4018264848426201E-4</v>
      </c>
      <c r="G198" s="91">
        <v>0.61319412834637399</v>
      </c>
      <c r="H198" s="91">
        <v>0.443181173955561</v>
      </c>
      <c r="I198" s="91">
        <v>5.3384121826908704</v>
      </c>
      <c r="J198" s="91"/>
      <c r="K198" s="91"/>
      <c r="L198" s="89"/>
      <c r="M198" s="89"/>
      <c r="O198" s="11">
        <f t="shared" ca="1" si="84"/>
        <v>-1.9258604639235243E-5</v>
      </c>
      <c r="P198" s="11">
        <f t="shared" ca="1" si="85"/>
        <v>5.105167596548634E-5</v>
      </c>
      <c r="Q198" s="11">
        <f t="shared" ca="1" si="86"/>
        <v>3.3263204012105342E-2</v>
      </c>
      <c r="R198" s="11">
        <f t="shared" ca="1" si="87"/>
        <v>1.253288883626264E-4</v>
      </c>
      <c r="S198" s="11">
        <f t="shared" ca="1" si="88"/>
        <v>0.61204832566251899</v>
      </c>
      <c r="T198" s="11">
        <f t="shared" ca="1" si="89"/>
        <v>0.44269063461213687</v>
      </c>
      <c r="U198" s="11">
        <f t="shared" ca="1" si="90"/>
        <v>5.3329047431254164</v>
      </c>
      <c r="V198" s="11"/>
      <c r="W198" s="11">
        <f t="shared" ca="1" si="100"/>
        <v>0</v>
      </c>
      <c r="X198" s="2">
        <f t="shared" ca="1" si="101"/>
        <v>5.105167596548634E-5</v>
      </c>
      <c r="Y198" s="2">
        <f t="shared" ca="1" si="102"/>
        <v>3.3263204012105342E-2</v>
      </c>
      <c r="Z198" s="11">
        <f t="shared" ca="1" si="103"/>
        <v>1.253288883626264E-4</v>
      </c>
      <c r="AA198" s="2">
        <f t="shared" ca="1" si="104"/>
        <v>0.61204832566251899</v>
      </c>
      <c r="AB198" s="11">
        <f t="shared" ca="1" si="105"/>
        <v>0.44269063461213687</v>
      </c>
      <c r="AC198" s="2">
        <f t="shared" ca="1" si="106"/>
        <v>5.3329047431254164</v>
      </c>
      <c r="AF198" s="11">
        <f t="shared" ca="1" si="107"/>
        <v>0</v>
      </c>
      <c r="AG198" s="2">
        <f t="shared" ca="1" si="108"/>
        <v>5.105167596548634E-5</v>
      </c>
      <c r="AH198" s="2">
        <f t="shared" ca="1" si="109"/>
        <v>3.3263204012105342E-2</v>
      </c>
      <c r="AI198" s="2">
        <f t="shared" ca="1" si="110"/>
        <v>1.253288883626264E-4</v>
      </c>
      <c r="AJ198" s="2">
        <f t="shared" ca="1" si="111"/>
        <v>0.61204832566251899</v>
      </c>
      <c r="AK198" s="2">
        <f t="shared" ca="1" si="112"/>
        <v>0.44268953606976508</v>
      </c>
      <c r="AL198" s="2">
        <f t="shared" ca="1" si="113"/>
        <v>5.3329047431254164</v>
      </c>
      <c r="AN198" s="2">
        <f t="shared" ca="1" si="91"/>
        <v>8.7132086136380664</v>
      </c>
      <c r="AO198" s="2">
        <f t="shared" ca="1" si="92"/>
        <v>0.40142252967909436</v>
      </c>
      <c r="AP198" s="2">
        <f t="shared" ca="1" si="93"/>
        <v>5.0309839408394297E-5</v>
      </c>
      <c r="AQ198" s="2">
        <f t="shared" ca="1" si="94"/>
        <v>0.44264032477272847</v>
      </c>
      <c r="AR198" s="2">
        <f t="shared" ca="1" si="95"/>
        <v>0.70894458670744187</v>
      </c>
      <c r="AS198" s="2">
        <f t="shared" ca="1" si="96"/>
        <v>5.65926882423207E-2</v>
      </c>
      <c r="AT198" s="9">
        <f t="shared" ca="1" si="97"/>
        <v>0.70894458670744187</v>
      </c>
      <c r="AU198" s="9">
        <f t="shared" ca="1" si="98"/>
        <v>0.70894458670744187</v>
      </c>
      <c r="AW198" s="2">
        <f t="shared" ca="1" si="114"/>
        <v>8.7132086136380664</v>
      </c>
      <c r="AX198" s="2">
        <f t="shared" ca="1" si="115"/>
        <v>0.40142252967909436</v>
      </c>
      <c r="AY198" s="2">
        <f t="shared" ca="1" si="116"/>
        <v>5.0309839408394297E-5</v>
      </c>
      <c r="AZ198" s="2">
        <f t="shared" ca="1" si="117"/>
        <v>0.44263922623035667</v>
      </c>
      <c r="BA198" s="2">
        <f t="shared" ca="1" si="118"/>
        <v>0.7089428272525885</v>
      </c>
      <c r="BB198" s="2">
        <f t="shared" ca="1" si="119"/>
        <v>5.65926882423207E-2</v>
      </c>
      <c r="BC198" s="9">
        <f t="shared" ca="1" si="99"/>
        <v>0.7089428272525885</v>
      </c>
      <c r="BD198" s="9">
        <f t="shared" ca="1" si="120"/>
        <v>0.7089428272525885</v>
      </c>
    </row>
    <row r="199" spans="1:56" ht="15" x14ac:dyDescent="0.25">
      <c r="A199" s="90">
        <v>133</v>
      </c>
      <c r="B199" s="90">
        <v>1542620888.5439999</v>
      </c>
      <c r="C199" s="91">
        <v>2.8696019471361503E-4</v>
      </c>
      <c r="D199" s="91">
        <v>1.18222269839907E-4</v>
      </c>
      <c r="E199" s="91">
        <v>3.3360284708132799E-2</v>
      </c>
      <c r="F199" s="91">
        <v>1.0497490661032799E-5</v>
      </c>
      <c r="G199" s="91">
        <v>0.58498659954708798</v>
      </c>
      <c r="H199" s="91">
        <v>0.42264692819397698</v>
      </c>
      <c r="I199" s="91">
        <v>5.0879668408556098</v>
      </c>
      <c r="J199" s="91"/>
      <c r="K199" s="91"/>
      <c r="L199" s="89"/>
      <c r="M199" s="89"/>
      <c r="O199" s="11">
        <f t="shared" ca="1" si="84"/>
        <v>-1.0682663145089122E-4</v>
      </c>
      <c r="P199" s="11">
        <f t="shared" ca="1" si="85"/>
        <v>-4.5361787870312666E-5</v>
      </c>
      <c r="Q199" s="11">
        <f t="shared" ca="1" si="86"/>
        <v>3.1746255305754943E-2</v>
      </c>
      <c r="R199" s="11">
        <f t="shared" ca="1" si="87"/>
        <v>-4.3562694606028231E-6</v>
      </c>
      <c r="S199" s="11">
        <f t="shared" ca="1" si="88"/>
        <v>0.58384079686323298</v>
      </c>
      <c r="T199" s="11">
        <f t="shared" ca="1" si="89"/>
        <v>0.42215638885055284</v>
      </c>
      <c r="U199" s="11">
        <f t="shared" ca="1" si="90"/>
        <v>5.0824594012901558</v>
      </c>
      <c r="V199" s="11"/>
      <c r="W199" s="11">
        <f t="shared" ca="1" si="100"/>
        <v>0</v>
      </c>
      <c r="X199" s="2">
        <f t="shared" ca="1" si="101"/>
        <v>-4.5361787870312666E-5</v>
      </c>
      <c r="Y199" s="2">
        <f t="shared" ca="1" si="102"/>
        <v>3.1746255305754943E-2</v>
      </c>
      <c r="Z199" s="11">
        <f t="shared" ca="1" si="103"/>
        <v>-4.3562694606028231E-6</v>
      </c>
      <c r="AA199" s="2">
        <f t="shared" ca="1" si="104"/>
        <v>0.58384079686323298</v>
      </c>
      <c r="AB199" s="11">
        <f t="shared" ca="1" si="105"/>
        <v>0.42215638885055284</v>
      </c>
      <c r="AC199" s="2">
        <f t="shared" ca="1" si="106"/>
        <v>5.0824594012901558</v>
      </c>
      <c r="AF199" s="11">
        <f t="shared" ca="1" si="107"/>
        <v>0</v>
      </c>
      <c r="AG199" s="2">
        <f t="shared" ca="1" si="108"/>
        <v>-4.5361787870312666E-5</v>
      </c>
      <c r="AH199" s="2">
        <f t="shared" ca="1" si="109"/>
        <v>3.1746255305754943E-2</v>
      </c>
      <c r="AI199" s="2">
        <f t="shared" ca="1" si="110"/>
        <v>-4.3562694606028231E-6</v>
      </c>
      <c r="AJ199" s="2">
        <f t="shared" ca="1" si="111"/>
        <v>0.58384079686323298</v>
      </c>
      <c r="AK199" s="2">
        <f t="shared" ca="1" si="112"/>
        <v>0.42215638885055284</v>
      </c>
      <c r="AL199" s="2">
        <f t="shared" ca="1" si="113"/>
        <v>5.0824594012901558</v>
      </c>
      <c r="AN199" s="2">
        <f t="shared" ca="1" si="91"/>
        <v>8.7052145526595357</v>
      </c>
      <c r="AO199" s="2">
        <f t="shared" ca="1" si="92"/>
        <v>0.40104977384621326</v>
      </c>
      <c r="AP199" s="2">
        <f t="shared" ca="1" si="93"/>
        <v>-1.7470808819879275E-6</v>
      </c>
      <c r="AQ199" s="2">
        <f t="shared" ca="1" si="94"/>
        <v>0.42215813593143481</v>
      </c>
      <c r="AR199" s="2">
        <f t="shared" ca="1" si="95"/>
        <v>0.7091343169426475</v>
      </c>
      <c r="AS199" s="2">
        <f t="shared" ca="1" si="96"/>
        <v>5.6568169233742152E-2</v>
      </c>
      <c r="AT199" s="9">
        <f t="shared" ca="1" si="97"/>
        <v>0.7091343169426475</v>
      </c>
      <c r="AU199" s="9">
        <f t="shared" ca="1" si="98"/>
        <v>0.7091343169426475</v>
      </c>
      <c r="AW199" s="2">
        <f t="shared" ca="1" si="114"/>
        <v>8.7052145526595357</v>
      </c>
      <c r="AX199" s="2">
        <f t="shared" ca="1" si="115"/>
        <v>0.40104977384621326</v>
      </c>
      <c r="AY199" s="2">
        <f t="shared" ca="1" si="116"/>
        <v>-1.7470808819879275E-6</v>
      </c>
      <c r="AZ199" s="2">
        <f t="shared" ca="1" si="117"/>
        <v>0.42215813593143481</v>
      </c>
      <c r="BA199" s="2">
        <f t="shared" ca="1" si="118"/>
        <v>0.7091343169426475</v>
      </c>
      <c r="BB199" s="2">
        <f t="shared" ca="1" si="119"/>
        <v>5.6568169233742152E-2</v>
      </c>
      <c r="BC199" s="9">
        <f t="shared" ca="1" si="99"/>
        <v>0.7091343169426475</v>
      </c>
      <c r="BD199" s="9">
        <f t="shared" ca="1" si="120"/>
        <v>0.7091343169426475</v>
      </c>
    </row>
    <row r="200" spans="1:56" ht="15" x14ac:dyDescent="0.25">
      <c r="A200" s="90">
        <v>134</v>
      </c>
      <c r="B200" s="90">
        <v>1542620889.0710001</v>
      </c>
      <c r="C200" s="91">
        <v>4.80905147184039E-4</v>
      </c>
      <c r="D200" s="91">
        <v>2.2385221701678499E-4</v>
      </c>
      <c r="E200" s="91">
        <v>3.3410705615535302E-2</v>
      </c>
      <c r="F200" s="91">
        <v>7.8788309516161499E-5</v>
      </c>
      <c r="G200" s="91">
        <v>0.58831545378013606</v>
      </c>
      <c r="H200" s="91">
        <v>0.42495177449208099</v>
      </c>
      <c r="I200" s="91">
        <v>5.1125389981223499</v>
      </c>
      <c r="J200" s="91"/>
      <c r="K200" s="91"/>
      <c r="L200" s="89"/>
      <c r="M200" s="89"/>
      <c r="O200" s="11">
        <f t="shared" ca="1" si="84"/>
        <v>8.7118321019532749E-5</v>
      </c>
      <c r="P200" s="11">
        <f t="shared" ca="1" si="85"/>
        <v>6.0268159306565321E-5</v>
      </c>
      <c r="Q200" s="11">
        <f t="shared" ca="1" si="86"/>
        <v>3.1796676213157446E-2</v>
      </c>
      <c r="R200" s="11">
        <f t="shared" ca="1" si="87"/>
        <v>6.3934549394525873E-5</v>
      </c>
      <c r="S200" s="11">
        <f t="shared" ca="1" si="88"/>
        <v>0.58716965109628105</v>
      </c>
      <c r="T200" s="11">
        <f t="shared" ca="1" si="89"/>
        <v>0.42446123514865686</v>
      </c>
      <c r="U200" s="11">
        <f t="shared" ca="1" si="90"/>
        <v>5.1070315585568959</v>
      </c>
      <c r="V200" s="11"/>
      <c r="W200" s="11">
        <f t="shared" ca="1" si="100"/>
        <v>0</v>
      </c>
      <c r="X200" s="2">
        <f t="shared" ca="1" si="101"/>
        <v>4.2127947508368042E-5</v>
      </c>
      <c r="Y200" s="2">
        <f t="shared" ca="1" si="102"/>
        <v>3.151629111330094E-2</v>
      </c>
      <c r="Z200" s="11">
        <f t="shared" ca="1" si="103"/>
        <v>6.3934549394525873E-5</v>
      </c>
      <c r="AA200" s="2">
        <f t="shared" ca="1" si="104"/>
        <v>0.58716909766418124</v>
      </c>
      <c r="AB200" s="11">
        <f t="shared" ca="1" si="105"/>
        <v>0.42446123514865686</v>
      </c>
      <c r="AC200" s="2">
        <f t="shared" ca="1" si="106"/>
        <v>5.1070064310042573</v>
      </c>
      <c r="AF200" s="11">
        <f t="shared" ca="1" si="107"/>
        <v>0</v>
      </c>
      <c r="AG200" s="2">
        <f t="shared" ca="1" si="108"/>
        <v>2.3950245286363526E-5</v>
      </c>
      <c r="AH200" s="2">
        <f t="shared" ca="1" si="109"/>
        <v>3.1235121230637961E-2</v>
      </c>
      <c r="AI200" s="2">
        <f t="shared" ca="1" si="110"/>
        <v>6.381322845356552E-5</v>
      </c>
      <c r="AJ200" s="2">
        <f t="shared" ca="1" si="111"/>
        <v>0.58716667177526005</v>
      </c>
      <c r="AK200" s="2">
        <f t="shared" ca="1" si="112"/>
        <v>0.42445993828375644</v>
      </c>
      <c r="AL200" s="2">
        <f t="shared" ca="1" si="113"/>
        <v>5.1069782259127088</v>
      </c>
      <c r="AN200" s="2">
        <f t="shared" ca="1" si="91"/>
        <v>8.6977103619401319</v>
      </c>
      <c r="AO200" s="2">
        <f t="shared" ca="1" si="92"/>
        <v>0.40069986399825047</v>
      </c>
      <c r="AP200" s="2">
        <f t="shared" ca="1" si="93"/>
        <v>2.5618565247175944E-5</v>
      </c>
      <c r="AQ200" s="2">
        <f t="shared" ca="1" si="94"/>
        <v>0.42443561658340967</v>
      </c>
      <c r="AR200" s="2">
        <f t="shared" ca="1" si="95"/>
        <v>0.70922594253386972</v>
      </c>
      <c r="AS200" s="2">
        <f t="shared" ca="1" si="96"/>
        <v>5.6287108039640488E-2</v>
      </c>
      <c r="AT200" s="9">
        <f t="shared" ca="1" si="97"/>
        <v>0.70922594253386972</v>
      </c>
      <c r="AU200" s="9">
        <f t="shared" ca="1" si="98"/>
        <v>0.70922594253386972</v>
      </c>
      <c r="AW200" s="2">
        <f t="shared" ca="1" si="114"/>
        <v>8.6976636641723779</v>
      </c>
      <c r="AX200" s="2">
        <f t="shared" ca="1" si="115"/>
        <v>0.40069768655854726</v>
      </c>
      <c r="AY200" s="2">
        <f t="shared" ca="1" si="116"/>
        <v>2.5569813013175766E-5</v>
      </c>
      <c r="AZ200" s="2">
        <f t="shared" ca="1" si="117"/>
        <v>0.42443436847074328</v>
      </c>
      <c r="BA200" s="2">
        <f t="shared" ca="1" si="118"/>
        <v>0.70922937320382273</v>
      </c>
      <c r="BB200" s="2">
        <f t="shared" ca="1" si="119"/>
        <v>5.5293009041138132E-2</v>
      </c>
      <c r="BC200" s="9">
        <f t="shared" ca="1" si="99"/>
        <v>0.70922937320382273</v>
      </c>
      <c r="BD200" s="9">
        <f t="shared" ca="1" si="120"/>
        <v>0.70922937320382273</v>
      </c>
    </row>
    <row r="201" spans="1:56" ht="15" x14ac:dyDescent="0.25">
      <c r="A201" s="90">
        <v>135</v>
      </c>
      <c r="B201" s="90">
        <v>1542620889.598</v>
      </c>
      <c r="C201" s="91">
        <v>3.7405228758537201E-4</v>
      </c>
      <c r="D201" s="91">
        <v>2.08491458998516E-4</v>
      </c>
      <c r="E201" s="91">
        <v>3.4424952587959697E-2</v>
      </c>
      <c r="F201" s="91">
        <v>7.4981032935251104E-5</v>
      </c>
      <c r="G201" s="91">
        <v>0.60567393769529598</v>
      </c>
      <c r="H201" s="91">
        <v>0.43745691180941598</v>
      </c>
      <c r="I201" s="91">
        <v>5.2609874245630799</v>
      </c>
      <c r="J201" s="91"/>
      <c r="K201" s="91"/>
      <c r="L201" s="89"/>
      <c r="M201" s="89"/>
      <c r="O201" s="11">
        <f t="shared" ca="1" si="84"/>
        <v>-1.9734538579134237E-5</v>
      </c>
      <c r="P201" s="11">
        <f t="shared" ca="1" si="85"/>
        <v>4.490740128829633E-5</v>
      </c>
      <c r="Q201" s="11">
        <f t="shared" ca="1" si="86"/>
        <v>3.281092318558184E-2</v>
      </c>
      <c r="R201" s="11">
        <f t="shared" ca="1" si="87"/>
        <v>6.0127272813615478E-5</v>
      </c>
      <c r="S201" s="11">
        <f t="shared" ca="1" si="88"/>
        <v>0.60452813501144098</v>
      </c>
      <c r="T201" s="11">
        <f t="shared" ca="1" si="89"/>
        <v>0.4369663724659919</v>
      </c>
      <c r="U201" s="11">
        <f t="shared" ca="1" si="90"/>
        <v>5.2554799849976259</v>
      </c>
      <c r="V201" s="11"/>
      <c r="W201" s="11">
        <f t="shared" ca="1" si="100"/>
        <v>0</v>
      </c>
      <c r="X201" s="2">
        <f t="shared" ca="1" si="101"/>
        <v>4.490740128829633E-5</v>
      </c>
      <c r="Y201" s="2">
        <f t="shared" ca="1" si="102"/>
        <v>3.281092318558184E-2</v>
      </c>
      <c r="Z201" s="11">
        <f t="shared" ca="1" si="103"/>
        <v>6.0127272813615478E-5</v>
      </c>
      <c r="AA201" s="2">
        <f t="shared" ca="1" si="104"/>
        <v>0.60452813501144098</v>
      </c>
      <c r="AB201" s="11">
        <f t="shared" ca="1" si="105"/>
        <v>0.4369663724659919</v>
      </c>
      <c r="AC201" s="2">
        <f t="shared" ca="1" si="106"/>
        <v>5.2554799849976259</v>
      </c>
      <c r="AF201" s="11">
        <f t="shared" ca="1" si="107"/>
        <v>0</v>
      </c>
      <c r="AG201" s="2">
        <f t="shared" ca="1" si="108"/>
        <v>4.490740128829633E-5</v>
      </c>
      <c r="AH201" s="2">
        <f t="shared" ca="1" si="109"/>
        <v>3.281092318558184E-2</v>
      </c>
      <c r="AI201" s="2">
        <f t="shared" ca="1" si="110"/>
        <v>6.0127272813615478E-5</v>
      </c>
      <c r="AJ201" s="2">
        <f t="shared" ca="1" si="111"/>
        <v>0.60452813501144098</v>
      </c>
      <c r="AK201" s="2">
        <f t="shared" ca="1" si="112"/>
        <v>0.43696540613761603</v>
      </c>
      <c r="AL201" s="2">
        <f t="shared" ca="1" si="113"/>
        <v>5.2554799849976259</v>
      </c>
      <c r="AN201" s="2">
        <f t="shared" ca="1" si="91"/>
        <v>8.6935242226536964</v>
      </c>
      <c r="AO201" s="2">
        <f t="shared" ca="1" si="92"/>
        <v>0.40050467180787397</v>
      </c>
      <c r="AP201" s="2">
        <f t="shared" ca="1" si="93"/>
        <v>2.408125366491957E-5</v>
      </c>
      <c r="AQ201" s="2">
        <f t="shared" ca="1" si="94"/>
        <v>0.43694229121232697</v>
      </c>
      <c r="AR201" s="2">
        <f t="shared" ca="1" si="95"/>
        <v>0.70933149620527502</v>
      </c>
      <c r="AS201" s="2">
        <f t="shared" ca="1" si="96"/>
        <v>5.6386976718582789E-2</v>
      </c>
      <c r="AT201" s="9">
        <f t="shared" ca="1" si="97"/>
        <v>0.70933149620527502</v>
      </c>
      <c r="AU201" s="9">
        <f t="shared" ca="1" si="98"/>
        <v>0.70933149620527502</v>
      </c>
      <c r="AW201" s="2">
        <f t="shared" ca="1" si="114"/>
        <v>8.6935242226536964</v>
      </c>
      <c r="AX201" s="2">
        <f t="shared" ca="1" si="115"/>
        <v>0.40050467180787397</v>
      </c>
      <c r="AY201" s="2">
        <f t="shared" ca="1" si="116"/>
        <v>2.408125366491957E-5</v>
      </c>
      <c r="AZ201" s="2">
        <f t="shared" ca="1" si="117"/>
        <v>0.4369413248839511</v>
      </c>
      <c r="BA201" s="2">
        <f t="shared" ca="1" si="118"/>
        <v>0.70932992746915935</v>
      </c>
      <c r="BB201" s="2">
        <f t="shared" ca="1" si="119"/>
        <v>5.6386976718582789E-2</v>
      </c>
      <c r="BC201" s="9">
        <f t="shared" ca="1" si="99"/>
        <v>0.70932992746915935</v>
      </c>
      <c r="BD201" s="9">
        <f t="shared" ca="1" si="120"/>
        <v>0.70932992746915935</v>
      </c>
    </row>
    <row r="202" spans="1:56" ht="15" x14ac:dyDescent="0.25">
      <c r="A202" s="90">
        <v>136</v>
      </c>
      <c r="B202" s="90">
        <v>1542620890.125</v>
      </c>
      <c r="C202" s="91">
        <v>4.13555576395103E-4</v>
      </c>
      <c r="D202" s="91">
        <v>1.8887729822503001E-4</v>
      </c>
      <c r="E202" s="91">
        <v>3.3538352270578498E-2</v>
      </c>
      <c r="F202" s="91">
        <v>7.8074444051669497E-5</v>
      </c>
      <c r="G202" s="91">
        <v>0.58880299139263204</v>
      </c>
      <c r="H202" s="91">
        <v>0.42529691978019601</v>
      </c>
      <c r="I202" s="91">
        <v>5.1221598687713303</v>
      </c>
      <c r="J202" s="91"/>
      <c r="K202" s="91"/>
      <c r="L202" s="89"/>
      <c r="M202" s="89"/>
      <c r="O202" s="11">
        <f t="shared" ca="1" si="84"/>
        <v>1.9768750230596754E-5</v>
      </c>
      <c r="P202" s="11">
        <f t="shared" ca="1" si="85"/>
        <v>2.5293240514810342E-5</v>
      </c>
      <c r="Q202" s="11">
        <f t="shared" ca="1" si="86"/>
        <v>3.1924322868200641E-2</v>
      </c>
      <c r="R202" s="11">
        <f t="shared" ca="1" si="87"/>
        <v>6.3220683930033871E-5</v>
      </c>
      <c r="S202" s="11">
        <f t="shared" ca="1" si="88"/>
        <v>0.58765718870877703</v>
      </c>
      <c r="T202" s="11">
        <f t="shared" ca="1" si="89"/>
        <v>0.42480638043677188</v>
      </c>
      <c r="U202" s="11">
        <f t="shared" ca="1" si="90"/>
        <v>5.1166524292058764</v>
      </c>
      <c r="V202" s="11"/>
      <c r="W202" s="11">
        <f t="shared" ca="1" si="100"/>
        <v>0</v>
      </c>
      <c r="X202" s="2">
        <f t="shared" ca="1" si="101"/>
        <v>2.117689263330924E-5</v>
      </c>
      <c r="Y202" s="2">
        <f t="shared" ca="1" si="102"/>
        <v>3.1860698329268106E-2</v>
      </c>
      <c r="Z202" s="11">
        <f t="shared" ca="1" si="103"/>
        <v>6.3220683930033871E-5</v>
      </c>
      <c r="AA202" s="2">
        <f t="shared" ca="1" si="104"/>
        <v>0.58765706312484911</v>
      </c>
      <c r="AB202" s="11">
        <f t="shared" ca="1" si="105"/>
        <v>0.42480638043677188</v>
      </c>
      <c r="AC202" s="2">
        <f t="shared" ca="1" si="106"/>
        <v>5.1166467273017737</v>
      </c>
      <c r="AF202" s="11">
        <f t="shared" ca="1" si="107"/>
        <v>0</v>
      </c>
      <c r="AG202" s="2">
        <f t="shared" ca="1" si="108"/>
        <v>1.7052037484730318E-5</v>
      </c>
      <c r="AH202" s="2">
        <f t="shared" ca="1" si="109"/>
        <v>3.1796895708674854E-2</v>
      </c>
      <c r="AI202" s="2">
        <f t="shared" ca="1" si="110"/>
        <v>6.3193153975926413E-5</v>
      </c>
      <c r="AJ202" s="2">
        <f t="shared" ca="1" si="111"/>
        <v>0.5876565126460106</v>
      </c>
      <c r="AK202" s="2">
        <f t="shared" ca="1" si="112"/>
        <v>0.42480583617067486</v>
      </c>
      <c r="AL202" s="2">
        <f t="shared" ca="1" si="113"/>
        <v>5.1166403270474579</v>
      </c>
      <c r="AN202" s="2">
        <f t="shared" ca="1" si="91"/>
        <v>8.706866056464623</v>
      </c>
      <c r="AO202" s="2">
        <f t="shared" ca="1" si="92"/>
        <v>0.40112678163474347</v>
      </c>
      <c r="AP202" s="2">
        <f t="shared" ca="1" si="93"/>
        <v>2.5359509477601833E-5</v>
      </c>
      <c r="AQ202" s="2">
        <f t="shared" ca="1" si="94"/>
        <v>0.42478102092729425</v>
      </c>
      <c r="AR202" s="2">
        <f t="shared" ca="1" si="95"/>
        <v>0.70883857034399556</v>
      </c>
      <c r="AS202" s="2">
        <f t="shared" ca="1" si="96"/>
        <v>5.6527007978767453E-2</v>
      </c>
      <c r="AT202" s="9">
        <f t="shared" ca="1" si="97"/>
        <v>0.70883857034399556</v>
      </c>
      <c r="AU202" s="9">
        <f t="shared" ca="1" si="98"/>
        <v>0.70883857034399556</v>
      </c>
      <c r="AW202" s="2">
        <f t="shared" ca="1" si="114"/>
        <v>8.7068554792476061</v>
      </c>
      <c r="AX202" s="2">
        <f t="shared" ca="1" si="115"/>
        <v>0.40112628843029569</v>
      </c>
      <c r="AY202" s="2">
        <f t="shared" ca="1" si="116"/>
        <v>2.5348435308567545E-5</v>
      </c>
      <c r="AZ202" s="2">
        <f t="shared" ca="1" si="117"/>
        <v>0.42478048773536631</v>
      </c>
      <c r="BA202" s="2">
        <f t="shared" ca="1" si="118"/>
        <v>0.70883892972059059</v>
      </c>
      <c r="BB202" s="2">
        <f t="shared" ca="1" si="119"/>
        <v>5.6301373043030581E-2</v>
      </c>
      <c r="BC202" s="9">
        <f t="shared" ca="1" si="99"/>
        <v>0.70883892972059059</v>
      </c>
      <c r="BD202" s="9">
        <f t="shared" ca="1" si="120"/>
        <v>0.70883892972059059</v>
      </c>
    </row>
    <row r="203" spans="1:56" ht="15" x14ac:dyDescent="0.25">
      <c r="A203" s="90">
        <v>137</v>
      </c>
      <c r="B203" s="90">
        <v>1542620890.652</v>
      </c>
      <c r="C203" s="91">
        <v>4.4235112687198097E-4</v>
      </c>
      <c r="D203" s="91">
        <v>2.0825514150119899E-4</v>
      </c>
      <c r="E203" s="91">
        <v>3.2854995172532202E-2</v>
      </c>
      <c r="F203" s="91">
        <v>8.02160419760371E-5</v>
      </c>
      <c r="G203" s="91">
        <v>0.57422470444205598</v>
      </c>
      <c r="H203" s="91">
        <v>0.41479198337445899</v>
      </c>
      <c r="I203" s="91">
        <v>4.98975713409419</v>
      </c>
      <c r="J203" s="91"/>
      <c r="K203" s="91"/>
      <c r="L203" s="89"/>
      <c r="M203" s="89"/>
      <c r="O203" s="11">
        <f t="shared" ca="1" si="84"/>
        <v>4.8564300707474727E-5</v>
      </c>
      <c r="P203" s="11">
        <f t="shared" ca="1" si="85"/>
        <v>4.4671083790979316E-5</v>
      </c>
      <c r="Q203" s="11">
        <f t="shared" ca="1" si="86"/>
        <v>3.1240965770154349E-2</v>
      </c>
      <c r="R203" s="11">
        <f t="shared" ca="1" si="87"/>
        <v>6.5362281854401474E-5</v>
      </c>
      <c r="S203" s="11">
        <f t="shared" ca="1" si="88"/>
        <v>0.57307890175820098</v>
      </c>
      <c r="T203" s="11">
        <f t="shared" ca="1" si="89"/>
        <v>0.41430144403103486</v>
      </c>
      <c r="U203" s="11">
        <f t="shared" ca="1" si="90"/>
        <v>4.984249694528736</v>
      </c>
      <c r="V203" s="11"/>
      <c r="W203" s="11">
        <f t="shared" ca="1" si="100"/>
        <v>0</v>
      </c>
      <c r="X203" s="2">
        <f t="shared" ca="1" si="101"/>
        <v>3.4558782608459825E-5</v>
      </c>
      <c r="Y203" s="2">
        <f t="shared" ca="1" si="102"/>
        <v>3.1084664476190318E-2</v>
      </c>
      <c r="Z203" s="11">
        <f t="shared" ca="1" si="103"/>
        <v>6.5362281854401474E-5</v>
      </c>
      <c r="AA203" s="2">
        <f t="shared" ca="1" si="104"/>
        <v>0.5730785932462531</v>
      </c>
      <c r="AB203" s="11">
        <f t="shared" ca="1" si="105"/>
        <v>0.41430144403103486</v>
      </c>
      <c r="AC203" s="2">
        <f t="shared" ca="1" si="106"/>
        <v>4.9842356871189502</v>
      </c>
      <c r="AF203" s="11">
        <f t="shared" ca="1" si="107"/>
        <v>0</v>
      </c>
      <c r="AG203" s="2">
        <f t="shared" ca="1" si="108"/>
        <v>2.4425582306281946E-5</v>
      </c>
      <c r="AH203" s="2">
        <f t="shared" ca="1" si="109"/>
        <v>3.0927925703315335E-2</v>
      </c>
      <c r="AI203" s="2">
        <f t="shared" ca="1" si="110"/>
        <v>6.5294651227571654E-5</v>
      </c>
      <c r="AJ203" s="2">
        <f t="shared" ca="1" si="111"/>
        <v>0.57307724092910928</v>
      </c>
      <c r="AK203" s="2">
        <f t="shared" ca="1" si="112"/>
        <v>0.4143004827877963</v>
      </c>
      <c r="AL203" s="2">
        <f t="shared" ca="1" si="113"/>
        <v>4.9842199641282932</v>
      </c>
      <c r="AN203" s="2">
        <f t="shared" ca="1" si="91"/>
        <v>8.6973184307380755</v>
      </c>
      <c r="AO203" s="2">
        <f t="shared" ca="1" si="92"/>
        <v>0.40068158889869193</v>
      </c>
      <c r="AP203" s="2">
        <f t="shared" ca="1" si="93"/>
        <v>2.6189462947465722E-5</v>
      </c>
      <c r="AQ203" s="2">
        <f t="shared" ca="1" si="94"/>
        <v>0.41427525456808739</v>
      </c>
      <c r="AR203" s="2">
        <f t="shared" ca="1" si="95"/>
        <v>0.7092850745492475</v>
      </c>
      <c r="AS203" s="2">
        <f t="shared" ca="1" si="96"/>
        <v>5.6660554082609428E-2</v>
      </c>
      <c r="AT203" s="9">
        <f t="shared" ca="1" si="97"/>
        <v>0.7092850745492475</v>
      </c>
      <c r="AU203" s="9">
        <f t="shared" ca="1" si="98"/>
        <v>0.7092850745492475</v>
      </c>
      <c r="AW203" s="2">
        <f t="shared" ca="1" si="114"/>
        <v>8.6972917578223115</v>
      </c>
      <c r="AX203" s="2">
        <f t="shared" ca="1" si="115"/>
        <v>0.40068034518539153</v>
      </c>
      <c r="AY203" s="2">
        <f t="shared" ca="1" si="116"/>
        <v>2.6162283392623158E-5</v>
      </c>
      <c r="AZ203" s="2">
        <f t="shared" ca="1" si="117"/>
        <v>0.41427432050440366</v>
      </c>
      <c r="BA203" s="2">
        <f t="shared" ca="1" si="118"/>
        <v>0.70928662633219286</v>
      </c>
      <c r="BB203" s="2">
        <f t="shared" ca="1" si="119"/>
        <v>5.6092791729163462E-2</v>
      </c>
      <c r="BC203" s="9">
        <f t="shared" ca="1" si="99"/>
        <v>0.70928662633219286</v>
      </c>
      <c r="BD203" s="9">
        <f t="shared" ca="1" si="120"/>
        <v>0.70928662633219286</v>
      </c>
    </row>
    <row r="204" spans="1:56" ht="15" x14ac:dyDescent="0.25">
      <c r="A204" s="90">
        <v>138</v>
      </c>
      <c r="B204" s="90">
        <v>1542620891.1789999</v>
      </c>
      <c r="C204" s="91">
        <v>4.4544491308891099E-4</v>
      </c>
      <c r="D204" s="91">
        <v>2.0376511974701001E-4</v>
      </c>
      <c r="E204" s="91">
        <v>3.2743256439518802E-2</v>
      </c>
      <c r="F204" s="91">
        <v>7.1887631400658996E-5</v>
      </c>
      <c r="G204" s="91">
        <v>0.57313457636587695</v>
      </c>
      <c r="H204" s="91">
        <v>0.41416854629461197</v>
      </c>
      <c r="I204" s="91">
        <v>4.9826940551612999</v>
      </c>
      <c r="J204" s="91"/>
      <c r="K204" s="91"/>
      <c r="L204" s="89"/>
      <c r="M204" s="89"/>
      <c r="O204" s="11">
        <f t="shared" ca="1" si="84"/>
        <v>5.1658086924404739E-5</v>
      </c>
      <c r="P204" s="11">
        <f t="shared" ca="1" si="85"/>
        <v>4.0181062036790337E-5</v>
      </c>
      <c r="Q204" s="11">
        <f t="shared" ca="1" si="86"/>
        <v>3.1129227037140949E-2</v>
      </c>
      <c r="R204" s="11">
        <f t="shared" ca="1" si="87"/>
        <v>5.703387127902337E-5</v>
      </c>
      <c r="S204" s="11">
        <f t="shared" ca="1" si="88"/>
        <v>0.57198877368202194</v>
      </c>
      <c r="T204" s="11">
        <f t="shared" ca="1" si="89"/>
        <v>0.41367800695118784</v>
      </c>
      <c r="U204" s="11">
        <f t="shared" ca="1" si="90"/>
        <v>4.977186615595846</v>
      </c>
      <c r="V204" s="11"/>
      <c r="W204" s="11">
        <f t="shared" ca="1" si="100"/>
        <v>0</v>
      </c>
      <c r="X204" s="2">
        <f t="shared" ca="1" si="101"/>
        <v>2.9424557240419394E-5</v>
      </c>
      <c r="Y204" s="2">
        <f t="shared" ca="1" si="102"/>
        <v>3.0962968577482989E-2</v>
      </c>
      <c r="Z204" s="11">
        <f t="shared" ca="1" si="103"/>
        <v>5.703387127902337E-5</v>
      </c>
      <c r="AA204" s="2">
        <f t="shared" ca="1" si="104"/>
        <v>0.57198844551633665</v>
      </c>
      <c r="AB204" s="11">
        <f t="shared" ca="1" si="105"/>
        <v>0.41367800695118784</v>
      </c>
      <c r="AC204" s="2">
        <f t="shared" ca="1" si="106"/>
        <v>4.9771717158447579</v>
      </c>
      <c r="AF204" s="11">
        <f t="shared" ca="1" si="107"/>
        <v>0</v>
      </c>
      <c r="AG204" s="2">
        <f t="shared" ca="1" si="108"/>
        <v>1.864582194707374E-5</v>
      </c>
      <c r="AH204" s="2">
        <f t="shared" ca="1" si="109"/>
        <v>3.079624476934311E-2</v>
      </c>
      <c r="AI204" s="2">
        <f t="shared" ca="1" si="110"/>
        <v>5.6961932246675911E-5</v>
      </c>
      <c r="AJ204" s="2">
        <f t="shared" ca="1" si="111"/>
        <v>0.57198700704990046</v>
      </c>
      <c r="AK204" s="2">
        <f t="shared" ca="1" si="112"/>
        <v>0.41367714232532871</v>
      </c>
      <c r="AL204" s="2">
        <f t="shared" ca="1" si="113"/>
        <v>4.9771549912218092</v>
      </c>
      <c r="AN204" s="2">
        <f t="shared" ca="1" si="91"/>
        <v>8.7015459823740287</v>
      </c>
      <c r="AO204" s="2">
        <f t="shared" ca="1" si="92"/>
        <v>0.40087871312156914</v>
      </c>
      <c r="AP204" s="2">
        <f t="shared" ca="1" si="93"/>
        <v>2.2863664922676111E-5</v>
      </c>
      <c r="AQ204" s="2">
        <f t="shared" ca="1" si="94"/>
        <v>0.41365514328626518</v>
      </c>
      <c r="AR204" s="2">
        <f t="shared" ca="1" si="95"/>
        <v>0.70939951810123159</v>
      </c>
      <c r="AS204" s="2">
        <f t="shared" ca="1" si="96"/>
        <v>5.6593632914357914E-2</v>
      </c>
      <c r="AT204" s="9">
        <f t="shared" ca="1" si="97"/>
        <v>0.70939951810123159</v>
      </c>
      <c r="AU204" s="9">
        <f t="shared" ca="1" si="98"/>
        <v>0.70939951810123159</v>
      </c>
      <c r="AW204" s="2">
        <f t="shared" ca="1" si="114"/>
        <v>8.7015175692401687</v>
      </c>
      <c r="AX204" s="2">
        <f t="shared" ca="1" si="115"/>
        <v>0.40087738825701202</v>
      </c>
      <c r="AY204" s="2">
        <f t="shared" ca="1" si="116"/>
        <v>2.2834750629120312E-5</v>
      </c>
      <c r="AZ204" s="2">
        <f t="shared" ca="1" si="117"/>
        <v>0.41365430757469956</v>
      </c>
      <c r="BA204" s="2">
        <f t="shared" ca="1" si="118"/>
        <v>0.70940144246044667</v>
      </c>
      <c r="BB204" s="2">
        <f t="shared" ca="1" si="119"/>
        <v>5.5988249538601015E-2</v>
      </c>
      <c r="BC204" s="9">
        <f t="shared" ca="1" si="99"/>
        <v>0.70940144246044667</v>
      </c>
      <c r="BD204" s="9">
        <f t="shared" ca="1" si="120"/>
        <v>0.70940144246044667</v>
      </c>
    </row>
    <row r="205" spans="1:56" ht="15" x14ac:dyDescent="0.25">
      <c r="A205" s="90">
        <v>139</v>
      </c>
      <c r="B205" s="90">
        <v>1542620891.7060001</v>
      </c>
      <c r="C205" s="91">
        <v>3.8476085609008098E-4</v>
      </c>
      <c r="D205" s="91">
        <v>1.7564386658619E-4</v>
      </c>
      <c r="E205" s="91">
        <v>3.2079648837914997E-2</v>
      </c>
      <c r="F205" s="91">
        <v>2.8230927311335301E-8</v>
      </c>
      <c r="G205" s="91">
        <v>0.56357113687681903</v>
      </c>
      <c r="H205" s="91">
        <v>0.40680863980337401</v>
      </c>
      <c r="I205" s="91">
        <v>4.8980991612075604</v>
      </c>
      <c r="J205" s="91"/>
      <c r="K205" s="91"/>
      <c r="L205" s="89"/>
      <c r="M205" s="89"/>
      <c r="O205" s="11">
        <f t="shared" ca="1" si="84"/>
        <v>-9.025970074425264E-6</v>
      </c>
      <c r="P205" s="11">
        <f t="shared" ca="1" si="85"/>
        <v>1.2059808875970328E-5</v>
      </c>
      <c r="Q205" s="11">
        <f t="shared" ca="1" si="86"/>
        <v>3.0465619435537144E-2</v>
      </c>
      <c r="R205" s="11">
        <f t="shared" ca="1" si="87"/>
        <v>-1.4825529194324288E-5</v>
      </c>
      <c r="S205" s="11">
        <f t="shared" ca="1" si="88"/>
        <v>0.56242533419296403</v>
      </c>
      <c r="T205" s="11">
        <f t="shared" ca="1" si="89"/>
        <v>0.40631810045994987</v>
      </c>
      <c r="U205" s="11">
        <f t="shared" ca="1" si="90"/>
        <v>4.8925917216421064</v>
      </c>
      <c r="V205" s="11"/>
      <c r="W205" s="11">
        <f t="shared" ca="1" si="100"/>
        <v>0</v>
      </c>
      <c r="X205" s="2">
        <f t="shared" ca="1" si="101"/>
        <v>1.2059808875970328E-5</v>
      </c>
      <c r="Y205" s="2">
        <f t="shared" ca="1" si="102"/>
        <v>3.0465619435537144E-2</v>
      </c>
      <c r="Z205" s="11">
        <f t="shared" ca="1" si="103"/>
        <v>-1.4825529194324288E-5</v>
      </c>
      <c r="AA205" s="2">
        <f t="shared" ca="1" si="104"/>
        <v>0.56242533419296403</v>
      </c>
      <c r="AB205" s="11">
        <f t="shared" ca="1" si="105"/>
        <v>0.40631810045994987</v>
      </c>
      <c r="AC205" s="2">
        <f t="shared" ca="1" si="106"/>
        <v>4.8925917216421064</v>
      </c>
      <c r="AF205" s="11">
        <f t="shared" ca="1" si="107"/>
        <v>0</v>
      </c>
      <c r="AG205" s="2">
        <f t="shared" ca="1" si="108"/>
        <v>1.2059808875970328E-5</v>
      </c>
      <c r="AH205" s="2">
        <f t="shared" ca="1" si="109"/>
        <v>3.0465619435537144E-2</v>
      </c>
      <c r="AI205" s="2">
        <f t="shared" ca="1" si="110"/>
        <v>-1.4825529194324288E-5</v>
      </c>
      <c r="AJ205" s="2">
        <f t="shared" ca="1" si="111"/>
        <v>0.56242533419296403</v>
      </c>
      <c r="AK205" s="2">
        <f t="shared" ca="1" si="112"/>
        <v>0.40631784095405127</v>
      </c>
      <c r="AL205" s="2">
        <f t="shared" ca="1" si="113"/>
        <v>4.8925917216421064</v>
      </c>
      <c r="AN205" s="2">
        <f t="shared" ca="1" si="91"/>
        <v>8.699095549567641</v>
      </c>
      <c r="AO205" s="2">
        <f t="shared" ca="1" si="92"/>
        <v>0.40076445307162023</v>
      </c>
      <c r="AP205" s="2">
        <f t="shared" ca="1" si="93"/>
        <v>-5.9415450990607119E-6</v>
      </c>
      <c r="AQ205" s="2">
        <f t="shared" ca="1" si="94"/>
        <v>0.40632404200504896</v>
      </c>
      <c r="AR205" s="2">
        <f t="shared" ca="1" si="95"/>
        <v>0.70877633610379343</v>
      </c>
      <c r="AS205" s="2">
        <f t="shared" ca="1" si="96"/>
        <v>5.631274747798376E-2</v>
      </c>
      <c r="AT205" s="9">
        <f t="shared" ca="1" si="97"/>
        <v>0.70877633610379343</v>
      </c>
      <c r="AU205" s="9">
        <f t="shared" ca="1" si="98"/>
        <v>0.70877633610379343</v>
      </c>
      <c r="AW205" s="2">
        <f t="shared" ca="1" si="114"/>
        <v>8.699095549567641</v>
      </c>
      <c r="AX205" s="2">
        <f t="shared" ca="1" si="115"/>
        <v>0.40076445307162023</v>
      </c>
      <c r="AY205" s="2">
        <f t="shared" ca="1" si="116"/>
        <v>-5.9415450990607119E-6</v>
      </c>
      <c r="AZ205" s="2">
        <f t="shared" ca="1" si="117"/>
        <v>0.40632378249915035</v>
      </c>
      <c r="BA205" s="2">
        <f t="shared" ca="1" si="118"/>
        <v>0.70877588343149012</v>
      </c>
      <c r="BB205" s="2">
        <f t="shared" ca="1" si="119"/>
        <v>5.631274747798376E-2</v>
      </c>
      <c r="BC205" s="9">
        <f t="shared" ca="1" si="99"/>
        <v>0.70877588343149012</v>
      </c>
      <c r="BD205" s="9">
        <f t="shared" ca="1" si="120"/>
        <v>0.70877588343149012</v>
      </c>
    </row>
    <row r="206" spans="1:56" ht="15" x14ac:dyDescent="0.25">
      <c r="A206" s="90">
        <v>140</v>
      </c>
      <c r="B206" s="90">
        <v>1542620892.233</v>
      </c>
      <c r="C206" s="91">
        <v>5.6134980861490002E-4</v>
      </c>
      <c r="D206" s="91">
        <v>2.4701196317504899E-4</v>
      </c>
      <c r="E206" s="91">
        <v>3.2003265518276397E-2</v>
      </c>
      <c r="F206" s="91">
        <v>5.4517169986062701E-5</v>
      </c>
      <c r="G206" s="91">
        <v>0.558295224117628</v>
      </c>
      <c r="H206" s="91">
        <v>0.40337622467513101</v>
      </c>
      <c r="I206" s="91">
        <v>4.8510727267567599</v>
      </c>
      <c r="J206" s="91"/>
      <c r="K206" s="91"/>
      <c r="L206" s="89"/>
      <c r="M206" s="89"/>
      <c r="O206" s="11">
        <f t="shared" ca="1" si="84"/>
        <v>1.6756298245039378E-4</v>
      </c>
      <c r="P206" s="11">
        <f t="shared" ca="1" si="85"/>
        <v>8.3427905464829321E-5</v>
      </c>
      <c r="Q206" s="11">
        <f t="shared" ca="1" si="86"/>
        <v>3.0389236115898544E-2</v>
      </c>
      <c r="R206" s="11">
        <f t="shared" ca="1" si="87"/>
        <v>3.9663409864427082E-5</v>
      </c>
      <c r="S206" s="11">
        <f t="shared" ca="1" si="88"/>
        <v>0.557149421433773</v>
      </c>
      <c r="T206" s="11">
        <f t="shared" ca="1" si="89"/>
        <v>0.40288568533170688</v>
      </c>
      <c r="U206" s="11">
        <f t="shared" ca="1" si="90"/>
        <v>4.845565287191306</v>
      </c>
      <c r="V206" s="11"/>
      <c r="W206" s="11">
        <f t="shared" ca="1" si="100"/>
        <v>0</v>
      </c>
      <c r="X206" s="2">
        <f t="shared" ca="1" si="101"/>
        <v>4.853710459062235E-5</v>
      </c>
      <c r="Y206" s="2">
        <f t="shared" ca="1" si="102"/>
        <v>2.984994468997593E-2</v>
      </c>
      <c r="Z206" s="11">
        <f t="shared" ca="1" si="103"/>
        <v>3.9663409864427082E-5</v>
      </c>
      <c r="AA206" s="2">
        <f t="shared" ca="1" si="104"/>
        <v>0.55714835696498921</v>
      </c>
      <c r="AB206" s="11">
        <f t="shared" ca="1" si="105"/>
        <v>0.40288568533170688</v>
      </c>
      <c r="AC206" s="2">
        <f t="shared" ca="1" si="106"/>
        <v>4.8455169569708358</v>
      </c>
      <c r="AF206" s="11">
        <f t="shared" ca="1" si="107"/>
        <v>0</v>
      </c>
      <c r="AG206" s="2">
        <f t="shared" ca="1" si="108"/>
        <v>1.3574194805764296E-5</v>
      </c>
      <c r="AH206" s="2">
        <f t="shared" ca="1" si="109"/>
        <v>2.9309143816372403E-2</v>
      </c>
      <c r="AI206" s="2">
        <f t="shared" ca="1" si="110"/>
        <v>3.9430061718329937E-5</v>
      </c>
      <c r="AJ206" s="2">
        <f t="shared" ca="1" si="111"/>
        <v>0.55714369102127059</v>
      </c>
      <c r="AK206" s="2">
        <f t="shared" ca="1" si="112"/>
        <v>0.4028838901097595</v>
      </c>
      <c r="AL206" s="2">
        <f t="shared" ca="1" si="113"/>
        <v>4.8454627074260221</v>
      </c>
      <c r="AN206" s="2">
        <f t="shared" ca="1" si="91"/>
        <v>8.6970659948307727</v>
      </c>
      <c r="AO206" s="2">
        <f t="shared" ca="1" si="92"/>
        <v>0.40066981823781772</v>
      </c>
      <c r="AP206" s="2">
        <f t="shared" ca="1" si="93"/>
        <v>1.5891931221072066E-5</v>
      </c>
      <c r="AQ206" s="2">
        <f t="shared" ca="1" si="94"/>
        <v>0.40286979340048579</v>
      </c>
      <c r="AR206" s="2">
        <f t="shared" ca="1" si="95"/>
        <v>0.70948892102329975</v>
      </c>
      <c r="AS206" s="2">
        <f t="shared" ca="1" si="96"/>
        <v>5.6689938683862254E-2</v>
      </c>
      <c r="AT206" s="9">
        <f t="shared" ca="1" si="97"/>
        <v>0.70948892102329975</v>
      </c>
      <c r="AU206" s="9">
        <f t="shared" ca="1" si="98"/>
        <v>0.70948892102329975</v>
      </c>
      <c r="AW206" s="2">
        <f t="shared" ca="1" si="114"/>
        <v>8.6969713298629685</v>
      </c>
      <c r="AX206" s="2">
        <f t="shared" ca="1" si="115"/>
        <v>0.40066540417099616</v>
      </c>
      <c r="AY206" s="2">
        <f t="shared" ca="1" si="116"/>
        <v>1.5798261614861986E-5</v>
      </c>
      <c r="AZ206" s="2">
        <f t="shared" ca="1" si="117"/>
        <v>0.40286809184814465</v>
      </c>
      <c r="BA206" s="2">
        <f t="shared" ca="1" si="118"/>
        <v>0.70949711083758049</v>
      </c>
      <c r="BB206" s="2">
        <f t="shared" ca="1" si="119"/>
        <v>5.4675021871282307E-2</v>
      </c>
      <c r="BC206" s="9">
        <f t="shared" ca="1" si="99"/>
        <v>0.70949711083758049</v>
      </c>
      <c r="BD206" s="9">
        <f t="shared" ca="1" si="120"/>
        <v>0.70949711083758049</v>
      </c>
    </row>
    <row r="207" spans="1:56" ht="15" x14ac:dyDescent="0.25">
      <c r="A207" s="90">
        <v>141</v>
      </c>
      <c r="B207" s="90">
        <v>1542620892.7590001</v>
      </c>
      <c r="C207" s="91">
        <v>5.2731473808318699E-4</v>
      </c>
      <c r="D207" s="91">
        <v>2.41576464009668E-4</v>
      </c>
      <c r="E207" s="91">
        <v>2.97683642562135E-2</v>
      </c>
      <c r="F207" s="91">
        <v>3.5719339815418E-5</v>
      </c>
      <c r="G207" s="91">
        <v>0.51900475403525403</v>
      </c>
      <c r="H207" s="91">
        <v>0.37526621854886699</v>
      </c>
      <c r="I207" s="91">
        <v>4.5169050761195502</v>
      </c>
      <c r="J207" s="91"/>
      <c r="K207" s="91"/>
      <c r="L207" s="89"/>
      <c r="M207" s="89"/>
      <c r="O207" s="11">
        <f t="shared" ca="1" si="84"/>
        <v>1.3352791191868074E-4</v>
      </c>
      <c r="P207" s="11">
        <f t="shared" ca="1" si="85"/>
        <v>7.7992406299448331E-5</v>
      </c>
      <c r="Q207" s="11">
        <f t="shared" ca="1" si="86"/>
        <v>2.8154334853835648E-2</v>
      </c>
      <c r="R207" s="11">
        <f t="shared" ca="1" si="87"/>
        <v>2.0865579693782378E-5</v>
      </c>
      <c r="S207" s="11">
        <f t="shared" ca="1" si="88"/>
        <v>0.51785895135139903</v>
      </c>
      <c r="T207" s="11">
        <f t="shared" ca="1" si="89"/>
        <v>0.37477567920544286</v>
      </c>
      <c r="U207" s="11">
        <f t="shared" ca="1" si="90"/>
        <v>4.5113976365540962</v>
      </c>
      <c r="V207" s="11"/>
      <c r="W207" s="11">
        <f t="shared" ca="1" si="100"/>
        <v>0</v>
      </c>
      <c r="X207" s="2">
        <f t="shared" ca="1" si="101"/>
        <v>5.0188557753827093E-5</v>
      </c>
      <c r="Y207" s="2">
        <f t="shared" ca="1" si="102"/>
        <v>2.7724583264516614E-2</v>
      </c>
      <c r="Z207" s="11">
        <f t="shared" ca="1" si="103"/>
        <v>2.0865579693782378E-5</v>
      </c>
      <c r="AA207" s="2">
        <f t="shared" ca="1" si="104"/>
        <v>0.51785810309546609</v>
      </c>
      <c r="AB207" s="11">
        <f t="shared" ca="1" si="105"/>
        <v>0.37477567920544286</v>
      </c>
      <c r="AC207" s="2">
        <f t="shared" ca="1" si="106"/>
        <v>4.5113591230749996</v>
      </c>
      <c r="AF207" s="11">
        <f t="shared" ca="1" si="107"/>
        <v>0</v>
      </c>
      <c r="AG207" s="2">
        <f t="shared" ca="1" si="108"/>
        <v>2.232724692071751E-5</v>
      </c>
      <c r="AH207" s="2">
        <f t="shared" ca="1" si="109"/>
        <v>2.729362882362478E-2</v>
      </c>
      <c r="AI207" s="2">
        <f t="shared" ca="1" si="110"/>
        <v>2.0679628774057783E-5</v>
      </c>
      <c r="AJ207" s="2">
        <f t="shared" ca="1" si="111"/>
        <v>0.51785438488925639</v>
      </c>
      <c r="AK207" s="2">
        <f t="shared" ca="1" si="112"/>
        <v>0.37477400094588764</v>
      </c>
      <c r="AL207" s="2">
        <f t="shared" ca="1" si="113"/>
        <v>4.5113158925933288</v>
      </c>
      <c r="AN207" s="2">
        <f t="shared" ca="1" si="91"/>
        <v>8.7116339782892673</v>
      </c>
      <c r="AO207" s="2">
        <f t="shared" ca="1" si="92"/>
        <v>0.40134910552884939</v>
      </c>
      <c r="AP207" s="2">
        <f t="shared" ca="1" si="93"/>
        <v>8.3743817464404803E-6</v>
      </c>
      <c r="AQ207" s="2">
        <f t="shared" ca="1" si="94"/>
        <v>0.37476730482369641</v>
      </c>
      <c r="AR207" s="2">
        <f t="shared" ca="1" si="95"/>
        <v>0.7094744581738136</v>
      </c>
      <c r="AS207" s="2">
        <f t="shared" ca="1" si="96"/>
        <v>5.6602475564737451E-2</v>
      </c>
      <c r="AT207" s="9">
        <f t="shared" ca="1" si="97"/>
        <v>0.7094744581738136</v>
      </c>
      <c r="AU207" s="9">
        <f t="shared" ca="1" si="98"/>
        <v>0.7094744581738136</v>
      </c>
      <c r="AW207" s="2">
        <f t="shared" ca="1" si="114"/>
        <v>8.7115529466030832</v>
      </c>
      <c r="AX207" s="2">
        <f t="shared" ca="1" si="115"/>
        <v>0.40134532708208165</v>
      </c>
      <c r="AY207" s="2">
        <f t="shared" ca="1" si="116"/>
        <v>8.2996723742602486E-6</v>
      </c>
      <c r="AZ207" s="2">
        <f t="shared" ca="1" si="117"/>
        <v>0.37476570127351339</v>
      </c>
      <c r="BA207" s="2">
        <f t="shared" ca="1" si="118"/>
        <v>0.70948100198854058</v>
      </c>
      <c r="BB207" s="2">
        <f t="shared" ca="1" si="119"/>
        <v>5.4872043164483221E-2</v>
      </c>
      <c r="BC207" s="9">
        <f t="shared" ca="1" si="99"/>
        <v>0.70948100198854058</v>
      </c>
      <c r="BD207" s="9">
        <f t="shared" ca="1" si="120"/>
        <v>0.70948100198854058</v>
      </c>
    </row>
    <row r="208" spans="1:56" ht="15" x14ac:dyDescent="0.25">
      <c r="A208" s="90">
        <v>142</v>
      </c>
      <c r="B208" s="90">
        <v>1542620893.286</v>
      </c>
      <c r="C208" s="91">
        <v>3.3407464626884E-4</v>
      </c>
      <c r="D208" s="91">
        <v>2.16053648618805E-4</v>
      </c>
      <c r="E208" s="91">
        <v>3.01516250039367E-2</v>
      </c>
      <c r="F208" s="91">
        <v>2.1752585053183999E-4</v>
      </c>
      <c r="G208" s="91">
        <v>0.52394729023266196</v>
      </c>
      <c r="H208" s="91">
        <v>0.37845043948009999</v>
      </c>
      <c r="I208" s="91">
        <v>4.5522194041992901</v>
      </c>
      <c r="J208" s="91"/>
      <c r="K208" s="91"/>
      <c r="L208" s="89"/>
      <c r="M208" s="89"/>
      <c r="O208" s="11">
        <f t="shared" ca="1" si="84"/>
        <v>-5.9712179895666248E-5</v>
      </c>
      <c r="P208" s="11">
        <f t="shared" ca="1" si="85"/>
        <v>5.246959090858533E-5</v>
      </c>
      <c r="Q208" s="11">
        <f t="shared" ca="1" si="86"/>
        <v>2.8537595601558847E-2</v>
      </c>
      <c r="R208" s="11">
        <f t="shared" ca="1" si="87"/>
        <v>2.0267209041020437E-4</v>
      </c>
      <c r="S208" s="11">
        <f t="shared" ca="1" si="88"/>
        <v>0.52280148754880695</v>
      </c>
      <c r="T208" s="11">
        <f t="shared" ca="1" si="89"/>
        <v>0.37795990013667591</v>
      </c>
      <c r="U208" s="11">
        <f t="shared" ca="1" si="90"/>
        <v>4.5467119646338361</v>
      </c>
      <c r="V208" s="11"/>
      <c r="W208" s="11">
        <f t="shared" ca="1" si="100"/>
        <v>0</v>
      </c>
      <c r="X208" s="2">
        <f t="shared" ca="1" si="101"/>
        <v>5.246959090858533E-5</v>
      </c>
      <c r="Y208" s="2">
        <f t="shared" ca="1" si="102"/>
        <v>2.8537595601558847E-2</v>
      </c>
      <c r="Z208" s="11">
        <f t="shared" ca="1" si="103"/>
        <v>2.0267209041020437E-4</v>
      </c>
      <c r="AA208" s="2">
        <f t="shared" ca="1" si="104"/>
        <v>0.52280148754880695</v>
      </c>
      <c r="AB208" s="11">
        <f t="shared" ca="1" si="105"/>
        <v>0.37795990013667591</v>
      </c>
      <c r="AC208" s="2">
        <f t="shared" ca="1" si="106"/>
        <v>4.5467119646338361</v>
      </c>
      <c r="AF208" s="11">
        <f t="shared" ca="1" si="107"/>
        <v>0</v>
      </c>
      <c r="AG208" s="2">
        <f t="shared" ca="1" si="108"/>
        <v>5.246959090858533E-5</v>
      </c>
      <c r="AH208" s="2">
        <f t="shared" ca="1" si="109"/>
        <v>2.8537595601558847E-2</v>
      </c>
      <c r="AI208" s="2">
        <f t="shared" ca="1" si="110"/>
        <v>2.0267209041020437E-4</v>
      </c>
      <c r="AJ208" s="2">
        <f t="shared" ca="1" si="111"/>
        <v>0.52280148754880695</v>
      </c>
      <c r="AK208" s="2">
        <f t="shared" ca="1" si="112"/>
        <v>0.37795877108326575</v>
      </c>
      <c r="AL208" s="2">
        <f t="shared" ca="1" si="113"/>
        <v>4.5467119646338361</v>
      </c>
      <c r="AN208" s="2">
        <f t="shared" ca="1" si="91"/>
        <v>8.6968229297728818</v>
      </c>
      <c r="AO208" s="2">
        <f t="shared" ca="1" si="92"/>
        <v>0.40065848452777303</v>
      </c>
      <c r="AP208" s="2">
        <f t="shared" ca="1" si="93"/>
        <v>8.1202292599828291E-5</v>
      </c>
      <c r="AQ208" s="2">
        <f t="shared" ca="1" si="94"/>
        <v>0.37787869784407607</v>
      </c>
      <c r="AR208" s="2">
        <f t="shared" ca="1" si="95"/>
        <v>0.70920910770409495</v>
      </c>
      <c r="AS208" s="2">
        <f t="shared" ca="1" si="96"/>
        <v>5.6731730661065592E-2</v>
      </c>
      <c r="AT208" s="9">
        <f t="shared" ca="1" si="97"/>
        <v>0.70920910770409495</v>
      </c>
      <c r="AU208" s="9">
        <f t="shared" ca="1" si="98"/>
        <v>0.70920910770409495</v>
      </c>
      <c r="AW208" s="2">
        <f t="shared" ca="1" si="114"/>
        <v>8.6968229297728818</v>
      </c>
      <c r="AX208" s="2">
        <f t="shared" ca="1" si="115"/>
        <v>0.40065848452777303</v>
      </c>
      <c r="AY208" s="2">
        <f t="shared" ca="1" si="116"/>
        <v>8.1202292599828291E-5</v>
      </c>
      <c r="AZ208" s="2">
        <f t="shared" ca="1" si="117"/>
        <v>0.37787756879066592</v>
      </c>
      <c r="BA208" s="2">
        <f t="shared" ca="1" si="118"/>
        <v>0.70920698867762921</v>
      </c>
      <c r="BB208" s="2">
        <f t="shared" ca="1" si="119"/>
        <v>5.6731730661065592E-2</v>
      </c>
      <c r="BC208" s="9">
        <f t="shared" ca="1" si="99"/>
        <v>0.70920698867762921</v>
      </c>
      <c r="BD208" s="9">
        <f t="shared" ca="1" si="120"/>
        <v>0.70920698867762921</v>
      </c>
    </row>
    <row r="209" spans="1:56" ht="15" x14ac:dyDescent="0.25">
      <c r="A209" s="90">
        <v>143</v>
      </c>
      <c r="B209" s="90">
        <v>1542620893.813</v>
      </c>
      <c r="C209" s="91">
        <v>5.2303068550701298E-4</v>
      </c>
      <c r="D209" s="91">
        <v>2.5622874718745302E-4</v>
      </c>
      <c r="E209" s="91">
        <v>3.0317234176305399E-2</v>
      </c>
      <c r="F209" s="91">
        <v>1.13530378836508E-4</v>
      </c>
      <c r="G209" s="91">
        <v>0.52804780401357798</v>
      </c>
      <c r="H209" s="91">
        <v>0.381616301282033</v>
      </c>
      <c r="I209" s="91">
        <v>4.5929849263953999</v>
      </c>
      <c r="J209" s="91"/>
      <c r="K209" s="91"/>
      <c r="L209" s="89"/>
      <c r="M209" s="89"/>
      <c r="O209" s="11">
        <f t="shared" ca="1" si="84"/>
        <v>1.2924385934250674E-4</v>
      </c>
      <c r="P209" s="11">
        <f t="shared" ca="1" si="85"/>
        <v>9.2644689477233352E-5</v>
      </c>
      <c r="Q209" s="11">
        <f t="shared" ca="1" si="86"/>
        <v>2.8703204773927547E-2</v>
      </c>
      <c r="R209" s="11">
        <f t="shared" ca="1" si="87"/>
        <v>9.8676618714872374E-5</v>
      </c>
      <c r="S209" s="11">
        <f t="shared" ca="1" si="88"/>
        <v>0.52690200132972298</v>
      </c>
      <c r="T209" s="11">
        <f t="shared" ca="1" si="89"/>
        <v>0.38112576193860892</v>
      </c>
      <c r="U209" s="11">
        <f t="shared" ca="1" si="90"/>
        <v>4.5874774868299459</v>
      </c>
      <c r="V209" s="11"/>
      <c r="W209" s="11">
        <f t="shared" ca="1" si="100"/>
        <v>0</v>
      </c>
      <c r="X209" s="2">
        <f t="shared" ca="1" si="101"/>
        <v>6.5732887749972912E-5</v>
      </c>
      <c r="Y209" s="2">
        <f t="shared" ca="1" si="102"/>
        <v>2.8287241151310621E-2</v>
      </c>
      <c r="Z209" s="11">
        <f t="shared" ca="1" si="103"/>
        <v>9.8676618714872374E-5</v>
      </c>
      <c r="AA209" s="2">
        <f t="shared" ca="1" si="104"/>
        <v>0.52690118028887156</v>
      </c>
      <c r="AB209" s="11">
        <f t="shared" ca="1" si="105"/>
        <v>0.38112576193860892</v>
      </c>
      <c r="AC209" s="2">
        <f t="shared" ca="1" si="106"/>
        <v>4.5874402090008868</v>
      </c>
      <c r="AF209" s="11">
        <f t="shared" ca="1" si="107"/>
        <v>0</v>
      </c>
      <c r="AG209" s="2">
        <f t="shared" ca="1" si="108"/>
        <v>3.8765467330748168E-5</v>
      </c>
      <c r="AH209" s="2">
        <f t="shared" ca="1" si="109"/>
        <v>2.7870113268897743E-2</v>
      </c>
      <c r="AI209" s="2">
        <f t="shared" ca="1" si="110"/>
        <v>9.8496633765147919E-5</v>
      </c>
      <c r="AJ209" s="2">
        <f t="shared" ca="1" si="111"/>
        <v>0.52689758137600406</v>
      </c>
      <c r="AK209" s="2">
        <f t="shared" ca="1" si="112"/>
        <v>0.38112376838766299</v>
      </c>
      <c r="AL209" s="2">
        <f t="shared" ca="1" si="113"/>
        <v>4.5873983655075525</v>
      </c>
      <c r="AN209" s="2">
        <f t="shared" ca="1" si="91"/>
        <v>8.7065098922621278</v>
      </c>
      <c r="AO209" s="2">
        <f t="shared" ca="1" si="92"/>
        <v>0.40111017407849653</v>
      </c>
      <c r="AP209" s="2">
        <f t="shared" ca="1" si="93"/>
        <v>3.9580195710199888E-5</v>
      </c>
      <c r="AQ209" s="2">
        <f t="shared" ca="1" si="94"/>
        <v>0.38108618174289871</v>
      </c>
      <c r="AR209" s="2">
        <f t="shared" ca="1" si="95"/>
        <v>0.70926509870485654</v>
      </c>
      <c r="AS209" s="2">
        <f t="shared" ca="1" si="96"/>
        <v>5.6681419729496613E-2</v>
      </c>
      <c r="AT209" s="9">
        <f t="shared" ca="1" si="97"/>
        <v>0.70926509870485654</v>
      </c>
      <c r="AU209" s="9">
        <f t="shared" ca="1" si="98"/>
        <v>0.70926509870485654</v>
      </c>
      <c r="AW209" s="2">
        <f t="shared" ca="1" si="114"/>
        <v>8.7064327635125327</v>
      </c>
      <c r="AX209" s="2">
        <f t="shared" ca="1" si="115"/>
        <v>0.40110657764839047</v>
      </c>
      <c r="AY209" s="2">
        <f t="shared" ca="1" si="116"/>
        <v>3.9507647679425384E-5</v>
      </c>
      <c r="AZ209" s="2">
        <f t="shared" ca="1" si="117"/>
        <v>0.38108426073998358</v>
      </c>
      <c r="BA209" s="2">
        <f t="shared" ca="1" si="118"/>
        <v>0.70927063734460016</v>
      </c>
      <c r="BB209" s="2">
        <f t="shared" ca="1" si="119"/>
        <v>5.50362418558503E-2</v>
      </c>
      <c r="BC209" s="9">
        <f t="shared" ca="1" si="99"/>
        <v>0.70927063734460016</v>
      </c>
      <c r="BD209" s="9">
        <f t="shared" ca="1" si="120"/>
        <v>0.70927063734460016</v>
      </c>
    </row>
    <row r="210" spans="1:56" ht="15" x14ac:dyDescent="0.25">
      <c r="A210" s="90">
        <v>144</v>
      </c>
      <c r="B210" s="90">
        <v>1542620894.3399999</v>
      </c>
      <c r="C210" s="91">
        <v>3.9546953941084001E-4</v>
      </c>
      <c r="D210" s="91">
        <v>2.4110381331510699E-4</v>
      </c>
      <c r="E210" s="91">
        <v>2.8865612417901601E-2</v>
      </c>
      <c r="F210" s="91">
        <v>6.1893630389604393E-5</v>
      </c>
      <c r="G210" s="91">
        <v>0.503425389741749</v>
      </c>
      <c r="H210" s="91">
        <v>0.36351403562932599</v>
      </c>
      <c r="I210" s="91">
        <v>4.37303936976841</v>
      </c>
      <c r="J210" s="91"/>
      <c r="K210" s="91"/>
      <c r="L210" s="89"/>
      <c r="M210" s="89"/>
      <c r="O210" s="11">
        <f t="shared" ref="O210:O273" ca="1" si="121">C210-AVERAGE(OFFSET(C$67,$J$2,0,$J$3))</f>
        <v>1.6827132463337682E-6</v>
      </c>
      <c r="P210" s="11">
        <f t="shared" ref="P210:P273" ca="1" si="122">D210-AVERAGE(OFFSET(D$67,$J$2,0,$J$3))</f>
        <v>7.7519755604887322E-5</v>
      </c>
      <c r="Q210" s="11">
        <f t="shared" ref="Q210:Q273" ca="1" si="123">E210-AVERAGE(OFFSET(E$67,$J$2,0,$J$3))</f>
        <v>2.7251583015523748E-2</v>
      </c>
      <c r="R210" s="11">
        <f t="shared" ref="R210:R273" ca="1" si="124">F210-AVERAGE(OFFSET(F$67,$J$2,0,$J$3))</f>
        <v>4.7039870267968768E-5</v>
      </c>
      <c r="S210" s="11">
        <f t="shared" ref="S210:S273" ca="1" si="125">G210-AVERAGE(OFFSET(G$67,$J$2,0,$J$3))</f>
        <v>0.50227958705789399</v>
      </c>
      <c r="T210" s="11">
        <f t="shared" ref="T210:T273" ca="1" si="126">H210-AVERAGE(OFFSET(H$67,$J$2,0,$J$3))</f>
        <v>0.36302349628590191</v>
      </c>
      <c r="U210" s="11">
        <f t="shared" ref="U210:U273" ca="1" si="127">I210-AVERAGE(OFFSET(I$67,$J$2,0,$J$3))</f>
        <v>4.367531930202956</v>
      </c>
      <c r="V210" s="11"/>
      <c r="W210" s="11">
        <f t="shared" ca="1" si="100"/>
        <v>0</v>
      </c>
      <c r="X210" s="2">
        <f t="shared" ca="1" si="101"/>
        <v>7.7169372650683199E-5</v>
      </c>
      <c r="Y210" s="2">
        <f t="shared" ca="1" si="102"/>
        <v>2.7246167303695494E-2</v>
      </c>
      <c r="Z210" s="11">
        <f t="shared" ca="1" si="103"/>
        <v>4.7039870267968768E-5</v>
      </c>
      <c r="AA210" s="2">
        <f t="shared" ca="1" si="104"/>
        <v>0.50227957636820764</v>
      </c>
      <c r="AB210" s="11">
        <f t="shared" ca="1" si="105"/>
        <v>0.36302349628590191</v>
      </c>
      <c r="AC210" s="2">
        <f t="shared" ca="1" si="106"/>
        <v>4.3675314448576783</v>
      </c>
      <c r="AF210" s="11">
        <f t="shared" ca="1" si="107"/>
        <v>0</v>
      </c>
      <c r="AG210" s="2">
        <f t="shared" ca="1" si="108"/>
        <v>7.6818265559098876E-5</v>
      </c>
      <c r="AH210" s="2">
        <f t="shared" ca="1" si="109"/>
        <v>2.7240736433581263E-2</v>
      </c>
      <c r="AI210" s="2">
        <f t="shared" ca="1" si="110"/>
        <v>4.7037526922137227E-5</v>
      </c>
      <c r="AJ210" s="2">
        <f t="shared" ca="1" si="111"/>
        <v>0.5022795295115261</v>
      </c>
      <c r="AK210" s="2">
        <f t="shared" ca="1" si="112"/>
        <v>0.36302182819695922</v>
      </c>
      <c r="AL210" s="2">
        <f t="shared" ca="1" si="113"/>
        <v>4.3675309000689291</v>
      </c>
      <c r="AN210" s="2">
        <f t="shared" ca="1" si="91"/>
        <v>8.6954199269490591</v>
      </c>
      <c r="AO210" s="2">
        <f t="shared" ca="1" si="92"/>
        <v>0.40059306496857078</v>
      </c>
      <c r="AP210" s="2">
        <f t="shared" ca="1" si="93"/>
        <v>1.8843845806369552E-5</v>
      </c>
      <c r="AQ210" s="2">
        <f t="shared" ca="1" si="94"/>
        <v>0.36300465244009555</v>
      </c>
      <c r="AR210" s="2">
        <f t="shared" ca="1" si="95"/>
        <v>0.70918682188686399</v>
      </c>
      <c r="AS210" s="2">
        <f t="shared" ca="1" si="96"/>
        <v>5.6379338686801304E-2</v>
      </c>
      <c r="AT210" s="9">
        <f t="shared" ca="1" si="97"/>
        <v>0.70918682188686399</v>
      </c>
      <c r="AU210" s="9">
        <f t="shared" ca="1" si="98"/>
        <v>0.70918682188686399</v>
      </c>
      <c r="AW210" s="2">
        <f t="shared" ca="1" si="114"/>
        <v>8.6954188722690215</v>
      </c>
      <c r="AX210" s="2">
        <f t="shared" ca="1" si="115"/>
        <v>0.40059301579073986</v>
      </c>
      <c r="AY210" s="2">
        <f t="shared" ca="1" si="116"/>
        <v>1.8842904765077068E-5</v>
      </c>
      <c r="AZ210" s="2">
        <f t="shared" ca="1" si="117"/>
        <v>0.36300298529219416</v>
      </c>
      <c r="BA210" s="2">
        <f t="shared" ca="1" si="118"/>
        <v>0.70918368942007914</v>
      </c>
      <c r="BB210" s="2">
        <f t="shared" ca="1" si="119"/>
        <v>5.6356898237378543E-2</v>
      </c>
      <c r="BC210" s="9">
        <f t="shared" ca="1" si="99"/>
        <v>0.70918368942007914</v>
      </c>
      <c r="BD210" s="9">
        <f t="shared" ca="1" si="120"/>
        <v>0.70918368942007914</v>
      </c>
    </row>
    <row r="211" spans="1:56" ht="15" x14ac:dyDescent="0.25">
      <c r="A211" s="90">
        <v>145</v>
      </c>
      <c r="B211" s="90">
        <v>1542620894.8659999</v>
      </c>
      <c r="C211" s="91">
        <v>4.1046188895513101E-4</v>
      </c>
      <c r="D211" s="91">
        <v>2.2007108529210101E-4</v>
      </c>
      <c r="E211" s="91">
        <v>2.97073291877284E-2</v>
      </c>
      <c r="F211" s="91">
        <v>2.3584219672359201E-5</v>
      </c>
      <c r="G211" s="91">
        <v>0.51814259233215798</v>
      </c>
      <c r="H211" s="91">
        <v>0.37416131059930502</v>
      </c>
      <c r="I211" s="91">
        <v>4.5031902244426503</v>
      </c>
      <c r="J211" s="91"/>
      <c r="K211" s="91"/>
      <c r="L211" s="89"/>
      <c r="M211" s="89"/>
      <c r="O211" s="11">
        <f t="shared" ca="1" si="121"/>
        <v>1.6675062790624763E-5</v>
      </c>
      <c r="P211" s="11">
        <f t="shared" ca="1" si="122"/>
        <v>5.6487027581881335E-5</v>
      </c>
      <c r="Q211" s="11">
        <f t="shared" ca="1" si="123"/>
        <v>2.8093299785350547E-2</v>
      </c>
      <c r="R211" s="11">
        <f t="shared" ca="1" si="124"/>
        <v>8.7304595507235784E-6</v>
      </c>
      <c r="S211" s="11">
        <f t="shared" ca="1" si="125"/>
        <v>0.51699678964830298</v>
      </c>
      <c r="T211" s="11">
        <f t="shared" ca="1" si="126"/>
        <v>0.37367077125588088</v>
      </c>
      <c r="U211" s="11">
        <f t="shared" ca="1" si="127"/>
        <v>4.4976827848771963</v>
      </c>
      <c r="V211" s="11"/>
      <c r="W211" s="11">
        <f t="shared" ca="1" si="100"/>
        <v>0</v>
      </c>
      <c r="X211" s="2">
        <f t="shared" ca="1" si="101"/>
        <v>5.3014862746400279E-5</v>
      </c>
      <c r="Y211" s="2">
        <f t="shared" ca="1" si="102"/>
        <v>2.8039632094204219E-2</v>
      </c>
      <c r="Z211" s="11">
        <f t="shared" ca="1" si="103"/>
        <v>8.7304595507235784E-6</v>
      </c>
      <c r="AA211" s="2">
        <f t="shared" ca="1" si="104"/>
        <v>0.51699668371748486</v>
      </c>
      <c r="AB211" s="11">
        <f t="shared" ca="1" si="105"/>
        <v>0.37367077125588088</v>
      </c>
      <c r="AC211" s="2">
        <f t="shared" ca="1" si="106"/>
        <v>4.4976779752859057</v>
      </c>
      <c r="AF211" s="11">
        <f t="shared" ca="1" si="107"/>
        <v>0</v>
      </c>
      <c r="AG211" s="2">
        <f t="shared" ca="1" si="108"/>
        <v>4.9535521978650135E-5</v>
      </c>
      <c r="AH211" s="2">
        <f t="shared" ca="1" si="109"/>
        <v>2.7985814190078329E-2</v>
      </c>
      <c r="AI211" s="2">
        <f t="shared" ca="1" si="110"/>
        <v>8.7072378645770119E-6</v>
      </c>
      <c r="AJ211" s="2">
        <f t="shared" ca="1" si="111"/>
        <v>0.51699621938518814</v>
      </c>
      <c r="AK211" s="2">
        <f t="shared" ca="1" si="112"/>
        <v>0.37366955575429189</v>
      </c>
      <c r="AL211" s="2">
        <f t="shared" ca="1" si="113"/>
        <v>4.4976725766319019</v>
      </c>
      <c r="AN211" s="2">
        <f t="shared" ca="1" si="91"/>
        <v>8.6996338757477236</v>
      </c>
      <c r="AO211" s="2">
        <f t="shared" ca="1" si="92"/>
        <v>0.40078955439008263</v>
      </c>
      <c r="AP211" s="2">
        <f t="shared" ca="1" si="93"/>
        <v>3.4990769929551441E-6</v>
      </c>
      <c r="AQ211" s="2">
        <f t="shared" ca="1" si="94"/>
        <v>0.37366727217888795</v>
      </c>
      <c r="AR211" s="2">
        <f t="shared" ca="1" si="95"/>
        <v>0.70906368890468063</v>
      </c>
      <c r="AS211" s="2">
        <f t="shared" ca="1" si="96"/>
        <v>5.6494215987036529E-2</v>
      </c>
      <c r="AT211" s="9">
        <f t="shared" ca="1" si="97"/>
        <v>0.70906368890468063</v>
      </c>
      <c r="AU211" s="9">
        <f t="shared" ca="1" si="98"/>
        <v>0.70906368890468063</v>
      </c>
      <c r="AW211" s="2">
        <f t="shared" ca="1" si="114"/>
        <v>8.6996237264182206</v>
      </c>
      <c r="AX211" s="2">
        <f t="shared" ca="1" si="115"/>
        <v>0.40078908114234674</v>
      </c>
      <c r="AY211" s="2">
        <f t="shared" ca="1" si="116"/>
        <v>3.4897658630316701E-6</v>
      </c>
      <c r="AZ211" s="2">
        <f t="shared" ca="1" si="117"/>
        <v>0.37366606598842889</v>
      </c>
      <c r="BA211" s="2">
        <f t="shared" ca="1" si="118"/>
        <v>0.7090625987608713</v>
      </c>
      <c r="BB211" s="2">
        <f t="shared" ca="1" si="119"/>
        <v>5.6278062742881649E-2</v>
      </c>
      <c r="BC211" s="9">
        <f t="shared" ca="1" si="99"/>
        <v>0.7090625987608713</v>
      </c>
      <c r="BD211" s="9">
        <f t="shared" ca="1" si="120"/>
        <v>0.7090625987608713</v>
      </c>
    </row>
    <row r="212" spans="1:56" ht="15" x14ac:dyDescent="0.25">
      <c r="A212" s="90">
        <v>146</v>
      </c>
      <c r="B212" s="90">
        <v>1542620895.3929999</v>
      </c>
      <c r="C212" s="91">
        <v>4.7424138297136098E-4</v>
      </c>
      <c r="D212" s="91">
        <v>1.3216383359714899E-4</v>
      </c>
      <c r="E212" s="91">
        <v>2.9189043080322202E-2</v>
      </c>
      <c r="F212" s="91">
        <v>5.7134617441074199E-5</v>
      </c>
      <c r="G212" s="91">
        <v>0.50863289262988998</v>
      </c>
      <c r="H212" s="91">
        <v>0.36756482037764299</v>
      </c>
      <c r="I212" s="91">
        <v>4.42159833996402</v>
      </c>
      <c r="J212" s="91"/>
      <c r="K212" s="91"/>
      <c r="L212" s="89"/>
      <c r="M212" s="89"/>
      <c r="O212" s="11">
        <f t="shared" ca="1" si="121"/>
        <v>8.0454556806854732E-5</v>
      </c>
      <c r="P212" s="11">
        <f t="shared" ca="1" si="122"/>
        <v>-3.1420224113070679E-5</v>
      </c>
      <c r="Q212" s="11">
        <f t="shared" ca="1" si="123"/>
        <v>2.7575013677944349E-2</v>
      </c>
      <c r="R212" s="11">
        <f t="shared" ca="1" si="124"/>
        <v>4.228085731943858E-5</v>
      </c>
      <c r="S212" s="11">
        <f t="shared" ca="1" si="125"/>
        <v>0.50748708994603497</v>
      </c>
      <c r="T212" s="11">
        <f t="shared" ca="1" si="126"/>
        <v>0.36707428103421891</v>
      </c>
      <c r="U212" s="11">
        <f t="shared" ca="1" si="127"/>
        <v>4.416090900398566</v>
      </c>
      <c r="V212" s="11"/>
      <c r="W212" s="11">
        <f t="shared" ca="1" si="100"/>
        <v>0</v>
      </c>
      <c r="X212" s="2">
        <f t="shared" ca="1" si="101"/>
        <v>-4.8172873653678955E-5</v>
      </c>
      <c r="Y212" s="2">
        <f t="shared" ca="1" si="102"/>
        <v>2.7316075504203109E-2</v>
      </c>
      <c r="Z212" s="11">
        <f t="shared" ca="1" si="103"/>
        <v>4.228085731943858E-5</v>
      </c>
      <c r="AA212" s="2">
        <f t="shared" ca="1" si="104"/>
        <v>0.50748657884648907</v>
      </c>
      <c r="AB212" s="11">
        <f t="shared" ca="1" si="105"/>
        <v>0.36707428103421891</v>
      </c>
      <c r="AC212" s="2">
        <f t="shared" ca="1" si="106"/>
        <v>4.4160676948766096</v>
      </c>
      <c r="AF212" s="11">
        <f t="shared" ca="1" si="107"/>
        <v>0</v>
      </c>
      <c r="AG212" s="2">
        <f t="shared" ca="1" si="108"/>
        <v>-6.4960145939498714E-5</v>
      </c>
      <c r="AH212" s="2">
        <f t="shared" ca="1" si="109"/>
        <v>2.7056412576447496E-2</v>
      </c>
      <c r="AI212" s="2">
        <f t="shared" ca="1" si="110"/>
        <v>4.2168816334004911E-5</v>
      </c>
      <c r="AJ212" s="2">
        <f t="shared" ca="1" si="111"/>
        <v>0.50748433851614594</v>
      </c>
      <c r="AK212" s="2">
        <f t="shared" ca="1" si="112"/>
        <v>0.36707428103421891</v>
      </c>
      <c r="AL212" s="2">
        <f t="shared" ca="1" si="113"/>
        <v>4.4160416472196564</v>
      </c>
      <c r="AN212" s="2">
        <f t="shared" ca="1" si="91"/>
        <v>8.7018783095904233</v>
      </c>
      <c r="AO212" s="2">
        <f t="shared" ca="1" si="92"/>
        <v>0.40089420907717899</v>
      </c>
      <c r="AP212" s="2">
        <f t="shared" ca="1" si="93"/>
        <v>1.6950150854181383E-5</v>
      </c>
      <c r="AQ212" s="2">
        <f t="shared" ca="1" si="94"/>
        <v>0.36705733088336473</v>
      </c>
      <c r="AR212" s="2">
        <f t="shared" ca="1" si="95"/>
        <v>0.70948058672672309</v>
      </c>
      <c r="AS212" s="2">
        <f t="shared" ca="1" si="96"/>
        <v>5.6505985186767235E-2</v>
      </c>
      <c r="AT212" s="9">
        <f t="shared" ca="1" si="97"/>
        <v>0.70948058672672309</v>
      </c>
      <c r="AU212" s="9">
        <f t="shared" ca="1" si="98"/>
        <v>0.70948058672672309</v>
      </c>
      <c r="AW212" s="2">
        <f t="shared" ca="1" si="114"/>
        <v>8.7018284350053055</v>
      </c>
      <c r="AX212" s="2">
        <f t="shared" ca="1" si="115"/>
        <v>0.40089188349422622</v>
      </c>
      <c r="AY212" s="2">
        <f t="shared" ca="1" si="116"/>
        <v>1.6905136204861319E-5</v>
      </c>
      <c r="AZ212" s="2">
        <f t="shared" ca="1" si="117"/>
        <v>0.36705737589801407</v>
      </c>
      <c r="BA212" s="2">
        <f t="shared" ca="1" si="118"/>
        <v>0.70948656814565259</v>
      </c>
      <c r="BB212" s="2">
        <f t="shared" ca="1" si="119"/>
        <v>5.5443257027364315E-2</v>
      </c>
      <c r="BC212" s="9">
        <f t="shared" ca="1" si="99"/>
        <v>0.70948656814565259</v>
      </c>
      <c r="BD212" s="9">
        <f t="shared" ca="1" si="120"/>
        <v>0.70948656814565259</v>
      </c>
    </row>
    <row r="213" spans="1:56" ht="15" x14ac:dyDescent="0.25">
      <c r="A213" s="90">
        <v>147</v>
      </c>
      <c r="B213" s="90">
        <v>1542620895.9200001</v>
      </c>
      <c r="C213" s="91">
        <v>3.3907176392261303E-4</v>
      </c>
      <c r="D213" s="91">
        <v>1.85096299750504E-4</v>
      </c>
      <c r="E213" s="91">
        <v>2.94146061625787E-2</v>
      </c>
      <c r="F213" s="91">
        <v>8.54510784587479E-5</v>
      </c>
      <c r="G213" s="91">
        <v>0.51442729276311305</v>
      </c>
      <c r="H213" s="91">
        <v>0.37138500078724401</v>
      </c>
      <c r="I213" s="91">
        <v>4.4690759486057701</v>
      </c>
      <c r="J213" s="91"/>
      <c r="K213" s="91"/>
      <c r="L213" s="89"/>
      <c r="M213" s="89"/>
      <c r="O213" s="11">
        <f t="shared" ca="1" si="121"/>
        <v>-5.471506224189322E-5</v>
      </c>
      <c r="P213" s="11">
        <f t="shared" ca="1" si="122"/>
        <v>2.1512242040284333E-5</v>
      </c>
      <c r="Q213" s="11">
        <f t="shared" ca="1" si="123"/>
        <v>2.7800576760200847E-2</v>
      </c>
      <c r="R213" s="11">
        <f t="shared" ca="1" si="124"/>
        <v>7.0597318337112274E-5</v>
      </c>
      <c r="S213" s="11">
        <f t="shared" ca="1" si="125"/>
        <v>0.51328149007925805</v>
      </c>
      <c r="T213" s="11">
        <f t="shared" ca="1" si="126"/>
        <v>0.37089446144381988</v>
      </c>
      <c r="U213" s="11">
        <f t="shared" ca="1" si="127"/>
        <v>4.4635685090403161</v>
      </c>
      <c r="V213" s="11"/>
      <c r="W213" s="11">
        <f t="shared" ca="1" si="100"/>
        <v>0</v>
      </c>
      <c r="X213" s="2">
        <f t="shared" ca="1" si="101"/>
        <v>2.1512242040284333E-5</v>
      </c>
      <c r="Y213" s="2">
        <f t="shared" ca="1" si="102"/>
        <v>2.7800576760200847E-2</v>
      </c>
      <c r="Z213" s="11">
        <f t="shared" ca="1" si="103"/>
        <v>7.0597318337112274E-5</v>
      </c>
      <c r="AA213" s="2">
        <f t="shared" ca="1" si="104"/>
        <v>0.51328149007925805</v>
      </c>
      <c r="AB213" s="11">
        <f t="shared" ca="1" si="105"/>
        <v>0.37089446144381988</v>
      </c>
      <c r="AC213" s="2">
        <f t="shared" ca="1" si="106"/>
        <v>4.4635685090403161</v>
      </c>
      <c r="AF213" s="11">
        <f t="shared" ca="1" si="107"/>
        <v>0</v>
      </c>
      <c r="AG213" s="2">
        <f t="shared" ca="1" si="108"/>
        <v>2.1512242040284333E-5</v>
      </c>
      <c r="AH213" s="2">
        <f t="shared" ca="1" si="109"/>
        <v>2.7800576760200847E-2</v>
      </c>
      <c r="AI213" s="2">
        <f t="shared" ca="1" si="110"/>
        <v>7.0597318337112274E-5</v>
      </c>
      <c r="AJ213" s="2">
        <f t="shared" ca="1" si="111"/>
        <v>0.51328149007925805</v>
      </c>
      <c r="AK213" s="2">
        <f t="shared" ca="1" si="112"/>
        <v>0.37089399853816701</v>
      </c>
      <c r="AL213" s="2">
        <f t="shared" ca="1" si="113"/>
        <v>4.4635685090403161</v>
      </c>
      <c r="AN213" s="2">
        <f t="shared" ca="1" si="91"/>
        <v>8.6961415817879519</v>
      </c>
      <c r="AO213" s="2">
        <f t="shared" ca="1" si="92"/>
        <v>0.40062671445111131</v>
      </c>
      <c r="AP213" s="2">
        <f t="shared" ca="1" si="93"/>
        <v>2.8283171694456484E-5</v>
      </c>
      <c r="AQ213" s="2">
        <f t="shared" ca="1" si="94"/>
        <v>0.37086617827212542</v>
      </c>
      <c r="AR213" s="2">
        <f t="shared" ca="1" si="95"/>
        <v>0.70898569042508519</v>
      </c>
      <c r="AS213" s="2">
        <f t="shared" ca="1" si="96"/>
        <v>5.6287097390874966E-2</v>
      </c>
      <c r="AT213" s="9">
        <f t="shared" ca="1" si="97"/>
        <v>0.70898569042508519</v>
      </c>
      <c r="AU213" s="9">
        <f t="shared" ca="1" si="98"/>
        <v>0.70898569042508519</v>
      </c>
      <c r="AW213" s="2">
        <f t="shared" ca="1" si="114"/>
        <v>8.6961415817879519</v>
      </c>
      <c r="AX213" s="2">
        <f t="shared" ca="1" si="115"/>
        <v>0.40062671445111131</v>
      </c>
      <c r="AY213" s="2">
        <f t="shared" ca="1" si="116"/>
        <v>2.8283171694456484E-5</v>
      </c>
      <c r="AZ213" s="2">
        <f t="shared" ca="1" si="117"/>
        <v>0.37086571536647256</v>
      </c>
      <c r="BA213" s="2">
        <f t="shared" ca="1" si="118"/>
        <v>0.70898480548732834</v>
      </c>
      <c r="BB213" s="2">
        <f t="shared" ca="1" si="119"/>
        <v>5.6287097390874966E-2</v>
      </c>
      <c r="BC213" s="9">
        <f t="shared" ca="1" si="99"/>
        <v>0.70898480548732834</v>
      </c>
      <c r="BD213" s="9">
        <f t="shared" ca="1" si="120"/>
        <v>0.70898480548732834</v>
      </c>
    </row>
    <row r="214" spans="1:56" ht="15" x14ac:dyDescent="0.25">
      <c r="A214" s="90">
        <v>148</v>
      </c>
      <c r="B214" s="90">
        <v>1542620896.447</v>
      </c>
      <c r="C214" s="91">
        <v>4.5306042768105298E-4</v>
      </c>
      <c r="D214" s="91">
        <v>1.6973614157684899E-4</v>
      </c>
      <c r="E214" s="91">
        <v>2.7036795655938198E-2</v>
      </c>
      <c r="F214" s="91">
        <v>-4.2546164208003103E-6</v>
      </c>
      <c r="G214" s="91">
        <v>0.46886301095640198</v>
      </c>
      <c r="H214" s="91">
        <v>0.33891281622274599</v>
      </c>
      <c r="I214" s="91">
        <v>4.0837589021875296</v>
      </c>
      <c r="J214" s="91"/>
      <c r="K214" s="91"/>
      <c r="L214" s="89"/>
      <c r="M214" s="89"/>
      <c r="O214" s="11">
        <f t="shared" ca="1" si="121"/>
        <v>5.9273601516546736E-5</v>
      </c>
      <c r="P214" s="11">
        <f t="shared" ca="1" si="122"/>
        <v>6.1520838666293172E-6</v>
      </c>
      <c r="Q214" s="11">
        <f t="shared" ca="1" si="123"/>
        <v>2.5422766253560346E-2</v>
      </c>
      <c r="R214" s="11">
        <f t="shared" ca="1" si="124"/>
        <v>-1.9108376542435931E-5</v>
      </c>
      <c r="S214" s="11">
        <f t="shared" ca="1" si="125"/>
        <v>0.46771720827254692</v>
      </c>
      <c r="T214" s="11">
        <f t="shared" ca="1" si="126"/>
        <v>0.33842227687932191</v>
      </c>
      <c r="U214" s="11">
        <f t="shared" ca="1" si="127"/>
        <v>4.0782514626220756</v>
      </c>
      <c r="V214" s="11"/>
      <c r="W214" s="11">
        <f t="shared" ca="1" si="100"/>
        <v>0</v>
      </c>
      <c r="X214" s="2">
        <f t="shared" ca="1" si="101"/>
        <v>-6.1901614035822991E-6</v>
      </c>
      <c r="Y214" s="2">
        <f t="shared" ca="1" si="102"/>
        <v>2.5231997716178348E-2</v>
      </c>
      <c r="Z214" s="11">
        <f t="shared" ca="1" si="103"/>
        <v>-1.9108376542435931E-5</v>
      </c>
      <c r="AA214" s="2">
        <f t="shared" ca="1" si="104"/>
        <v>0.4677168317281718</v>
      </c>
      <c r="AB214" s="11">
        <f t="shared" ca="1" si="105"/>
        <v>0.33842227687932191</v>
      </c>
      <c r="AC214" s="2">
        <f t="shared" ca="1" si="106"/>
        <v>4.0782343663267753</v>
      </c>
      <c r="AF214" s="11">
        <f t="shared" ca="1" si="107"/>
        <v>0</v>
      </c>
      <c r="AG214" s="2">
        <f t="shared" ca="1" si="108"/>
        <v>-1.8557914424809207E-5</v>
      </c>
      <c r="AH214" s="2">
        <f t="shared" ca="1" si="109"/>
        <v>2.5040695227925815E-2</v>
      </c>
      <c r="AI214" s="2">
        <f t="shared" ca="1" si="110"/>
        <v>-1.9190920937529172E-5</v>
      </c>
      <c r="AJ214" s="2">
        <f t="shared" ca="1" si="111"/>
        <v>0.46771518120080213</v>
      </c>
      <c r="AK214" s="2">
        <f t="shared" ca="1" si="112"/>
        <v>0.33842214449728597</v>
      </c>
      <c r="AL214" s="2">
        <f t="shared" ca="1" si="113"/>
        <v>4.0782151761341998</v>
      </c>
      <c r="AN214" s="2">
        <f t="shared" ca="1" si="91"/>
        <v>8.7194813243766909</v>
      </c>
      <c r="AO214" s="2">
        <f t="shared" ca="1" si="92"/>
        <v>0.4017150234117764</v>
      </c>
      <c r="AP214" s="2">
        <f t="shared" ca="1" si="93"/>
        <v>-7.6761219301056883E-6</v>
      </c>
      <c r="AQ214" s="2">
        <f t="shared" ca="1" si="94"/>
        <v>0.338429953001252</v>
      </c>
      <c r="AR214" s="2">
        <f t="shared" ca="1" si="95"/>
        <v>0.70904709333830873</v>
      </c>
      <c r="AS214" s="2">
        <f t="shared" ca="1" si="96"/>
        <v>5.6642344474251989E-2</v>
      </c>
      <c r="AT214" s="9">
        <f t="shared" ca="1" si="97"/>
        <v>0.70904709333830873</v>
      </c>
      <c r="AU214" s="9">
        <f t="shared" ca="1" si="98"/>
        <v>0.70904709333830873</v>
      </c>
      <c r="AW214" s="2">
        <f t="shared" ca="1" si="114"/>
        <v>8.7194415320534944</v>
      </c>
      <c r="AX214" s="2">
        <f t="shared" ca="1" si="115"/>
        <v>0.40171316790526634</v>
      </c>
      <c r="AY214" s="2">
        <f t="shared" ca="1" si="116"/>
        <v>-7.7092456448343484E-6</v>
      </c>
      <c r="AZ214" s="2">
        <f t="shared" ca="1" si="117"/>
        <v>0.33842985374293083</v>
      </c>
      <c r="BA214" s="2">
        <f t="shared" ca="1" si="118"/>
        <v>0.70905158792885892</v>
      </c>
      <c r="BB214" s="2">
        <f t="shared" ca="1" si="119"/>
        <v>5.5791065166281205E-2</v>
      </c>
      <c r="BC214" s="9">
        <f t="shared" ca="1" si="99"/>
        <v>0.70905158792885892</v>
      </c>
      <c r="BD214" s="9">
        <f t="shared" ca="1" si="120"/>
        <v>0.70905158792885892</v>
      </c>
    </row>
    <row r="215" spans="1:56" ht="15" x14ac:dyDescent="0.25">
      <c r="A215" s="90"/>
      <c r="B215" s="90"/>
      <c r="C215" s="91"/>
      <c r="D215" s="91"/>
      <c r="E215" s="91"/>
      <c r="F215" s="91"/>
      <c r="G215" s="91"/>
      <c r="H215" s="91"/>
      <c r="I215" s="91"/>
      <c r="J215" s="64"/>
      <c r="K215" s="64"/>
      <c r="L215" s="64"/>
      <c r="M215" s="64"/>
      <c r="O215" s="11">
        <f t="shared" ca="1" si="121"/>
        <v>-3.9378682616450625E-4</v>
      </c>
      <c r="P215" s="11">
        <f t="shared" ca="1" si="122"/>
        <v>-1.6358405771021967E-4</v>
      </c>
      <c r="Q215" s="11">
        <f t="shared" ca="1" si="123"/>
        <v>-1.614029402377854E-3</v>
      </c>
      <c r="R215" s="11">
        <f t="shared" ca="1" si="124"/>
        <v>-1.4853760121635622E-5</v>
      </c>
      <c r="S215" s="11">
        <f t="shared" ca="1" si="125"/>
        <v>-1.1458026838550334E-3</v>
      </c>
      <c r="T215" s="11">
        <f t="shared" ca="1" si="126"/>
        <v>-4.9053934342410677E-4</v>
      </c>
      <c r="U215" s="11">
        <f t="shared" ca="1" si="127"/>
        <v>-5.5074395654535931E-3</v>
      </c>
      <c r="V215" s="11"/>
      <c r="W215" s="11">
        <f t="shared" ca="1" si="100"/>
        <v>0</v>
      </c>
      <c r="X215" s="2">
        <f t="shared" ca="1" si="101"/>
        <v>-1.6358405771021967E-4</v>
      </c>
      <c r="Y215" s="2">
        <f t="shared" ca="1" si="102"/>
        <v>-1.614029402377854E-3</v>
      </c>
      <c r="Z215" s="11">
        <f t="shared" ca="1" si="103"/>
        <v>-1.4853760121635622E-5</v>
      </c>
      <c r="AA215" s="2">
        <f t="shared" ca="1" si="104"/>
        <v>-1.1458026838550334E-3</v>
      </c>
      <c r="AB215" s="11">
        <f t="shared" ca="1" si="105"/>
        <v>-4.9053934342410677E-4</v>
      </c>
      <c r="AC215" s="2">
        <f t="shared" ca="1" si="106"/>
        <v>-5.5074395654535931E-3</v>
      </c>
      <c r="AF215" s="11">
        <f t="shared" ca="1" si="107"/>
        <v>0</v>
      </c>
      <c r="AG215" s="2">
        <f t="shared" ca="1" si="108"/>
        <v>-1.6358405771021967E-4</v>
      </c>
      <c r="AH215" s="2">
        <f t="shared" ca="1" si="109"/>
        <v>-1.614029402377854E-3</v>
      </c>
      <c r="AI215" s="2">
        <f t="shared" ca="1" si="110"/>
        <v>-1.4853760121635622E-5</v>
      </c>
      <c r="AJ215" s="2">
        <f t="shared" ca="1" si="111"/>
        <v>-1.1458026838550334E-3</v>
      </c>
      <c r="AK215" s="2">
        <f t="shared" ca="1" si="112"/>
        <v>-4.9053934342410677E-4</v>
      </c>
      <c r="AL215" s="2">
        <f t="shared" ca="1" si="113"/>
        <v>-5.5074395654535931E-3</v>
      </c>
      <c r="AN215" s="2" t="e">
        <f t="shared" ca="1" si="91"/>
        <v>#N/A</v>
      </c>
      <c r="AO215" s="2" t="e">
        <f t="shared" ca="1" si="92"/>
        <v>#N/A</v>
      </c>
      <c r="AP215" s="2" t="e">
        <f t="shared" ca="1" si="93"/>
        <v>#N/A</v>
      </c>
      <c r="AQ215" s="2" t="e">
        <f t="shared" ca="1" si="94"/>
        <v>#N/A</v>
      </c>
      <c r="AR215" s="2" t="e">
        <f t="shared" ca="1" si="95"/>
        <v>#N/A</v>
      </c>
      <c r="AS215" s="2" t="e">
        <f t="shared" ca="1" si="96"/>
        <v>#N/A</v>
      </c>
      <c r="AT215" s="9" t="e">
        <f t="shared" ca="1" si="97"/>
        <v>#N/A</v>
      </c>
      <c r="AU215" s="9" t="e">
        <f t="shared" ca="1" si="98"/>
        <v>#N/A</v>
      </c>
      <c r="AW215" s="2" t="e">
        <f t="shared" ref="AW215:AW278" ca="1" si="128">IF(AND(AL215&gt;0, AJ215&gt;0), AL215/AJ215, #N/A)</f>
        <v>#N/A</v>
      </c>
      <c r="AX215" s="2" t="e">
        <f t="shared" ref="AX215:AX278" ca="1" si="129">$B$8*((AW215/$B$10)^$B$11)</f>
        <v>#N/A</v>
      </c>
      <c r="AY215" s="2" t="e">
        <f t="shared" ref="AY215:AY278" ca="1" si="130">AX215*AI215</f>
        <v>#N/A</v>
      </c>
      <c r="AZ215" s="2" t="e">
        <f t="shared" ref="AZ215:AZ278" ca="1" si="131">AK215-AY215</f>
        <v>#N/A</v>
      </c>
      <c r="BA215" s="2" t="e">
        <f t="shared" ref="BA215:BA278" ca="1" si="132">(AZ215/AJ215)/((AW215/$B$10)^$B$12)</f>
        <v>#N/A</v>
      </c>
      <c r="BB215" s="2" t="e">
        <f t="shared" ref="BB215:BB278" ca="1" si="133">(AH215/AJ215)/((AW215/$B$10)^$B$13)</f>
        <v>#N/A</v>
      </c>
      <c r="BC215" s="9" t="e">
        <f t="shared" ref="BC215:BC278" ca="1" si="134">IF(AND(BA215&lt;$P$3,BA215&gt;$P$4),BA215,"rejected")</f>
        <v>#N/A</v>
      </c>
      <c r="BD215" s="9" t="e">
        <f t="shared" ref="BD215:BD278" ca="1" si="135">IF(AND(BA215&lt;$P$3,BA215&gt;$P$4),BA215,#N/A)</f>
        <v>#N/A</v>
      </c>
    </row>
    <row r="216" spans="1:56" ht="15" x14ac:dyDescent="0.25">
      <c r="A216" s="90"/>
      <c r="B216" s="90"/>
      <c r="C216" s="91"/>
      <c r="D216" s="91"/>
      <c r="E216" s="91"/>
      <c r="F216" s="91"/>
      <c r="G216" s="91"/>
      <c r="H216" s="91"/>
      <c r="I216" s="91"/>
      <c r="J216" s="64"/>
      <c r="K216" s="64"/>
      <c r="L216" s="64"/>
      <c r="M216" s="64"/>
      <c r="O216" s="11">
        <f t="shared" ca="1" si="121"/>
        <v>-3.9378682616450625E-4</v>
      </c>
      <c r="P216" s="11">
        <f t="shared" ca="1" si="122"/>
        <v>-1.6358405771021967E-4</v>
      </c>
      <c r="Q216" s="11">
        <f t="shared" ca="1" si="123"/>
        <v>-1.614029402377854E-3</v>
      </c>
      <c r="R216" s="11">
        <f t="shared" ca="1" si="124"/>
        <v>-1.4853760121635622E-5</v>
      </c>
      <c r="S216" s="11">
        <f t="shared" ca="1" si="125"/>
        <v>-1.1458026838550334E-3</v>
      </c>
      <c r="T216" s="11">
        <f t="shared" ca="1" si="126"/>
        <v>-4.9053934342410677E-4</v>
      </c>
      <c r="U216" s="11">
        <f t="shared" ca="1" si="127"/>
        <v>-5.5074395654535931E-3</v>
      </c>
      <c r="V216" s="11"/>
      <c r="W216" s="11">
        <f t="shared" ca="1" si="100"/>
        <v>0</v>
      </c>
      <c r="X216" s="2">
        <f t="shared" ca="1" si="101"/>
        <v>-1.6358405771021967E-4</v>
      </c>
      <c r="Y216" s="2">
        <f t="shared" ca="1" si="102"/>
        <v>-1.614029402377854E-3</v>
      </c>
      <c r="Z216" s="11">
        <f t="shared" ca="1" si="103"/>
        <v>-1.4853760121635622E-5</v>
      </c>
      <c r="AA216" s="2">
        <f t="shared" ca="1" si="104"/>
        <v>-1.1458026838550334E-3</v>
      </c>
      <c r="AB216" s="11">
        <f t="shared" ca="1" si="105"/>
        <v>-4.9053934342410677E-4</v>
      </c>
      <c r="AC216" s="2">
        <f t="shared" ca="1" si="106"/>
        <v>-5.5074395654535931E-3</v>
      </c>
      <c r="AF216" s="11">
        <f t="shared" ca="1" si="107"/>
        <v>0</v>
      </c>
      <c r="AG216" s="2">
        <f t="shared" ca="1" si="108"/>
        <v>-1.6358405771021967E-4</v>
      </c>
      <c r="AH216" s="2">
        <f t="shared" ca="1" si="109"/>
        <v>-1.614029402377854E-3</v>
      </c>
      <c r="AI216" s="2">
        <f t="shared" ca="1" si="110"/>
        <v>-1.4853760121635622E-5</v>
      </c>
      <c r="AJ216" s="2">
        <f t="shared" ca="1" si="111"/>
        <v>-1.1458026838550334E-3</v>
      </c>
      <c r="AK216" s="2">
        <f t="shared" ca="1" si="112"/>
        <v>-4.9053934342410677E-4</v>
      </c>
      <c r="AL216" s="2">
        <f t="shared" ca="1" si="113"/>
        <v>-5.5074395654535931E-3</v>
      </c>
      <c r="AN216" s="2" t="e">
        <f t="shared" ca="1" si="91"/>
        <v>#N/A</v>
      </c>
      <c r="AO216" s="2" t="e">
        <f t="shared" ca="1" si="92"/>
        <v>#N/A</v>
      </c>
      <c r="AP216" s="2" t="e">
        <f t="shared" ca="1" si="93"/>
        <v>#N/A</v>
      </c>
      <c r="AQ216" s="2" t="e">
        <f t="shared" ca="1" si="94"/>
        <v>#N/A</v>
      </c>
      <c r="AR216" s="2" t="e">
        <f t="shared" ca="1" si="95"/>
        <v>#N/A</v>
      </c>
      <c r="AS216" s="2" t="e">
        <f t="shared" ca="1" si="96"/>
        <v>#N/A</v>
      </c>
      <c r="AT216" s="9" t="e">
        <f t="shared" ca="1" si="97"/>
        <v>#N/A</v>
      </c>
      <c r="AU216" s="9" t="e">
        <f t="shared" ca="1" si="98"/>
        <v>#N/A</v>
      </c>
      <c r="AW216" s="2" t="e">
        <f t="shared" ca="1" si="128"/>
        <v>#N/A</v>
      </c>
      <c r="AX216" s="2" t="e">
        <f t="shared" ca="1" si="129"/>
        <v>#N/A</v>
      </c>
      <c r="AY216" s="2" t="e">
        <f t="shared" ca="1" si="130"/>
        <v>#N/A</v>
      </c>
      <c r="AZ216" s="2" t="e">
        <f t="shared" ca="1" si="131"/>
        <v>#N/A</v>
      </c>
      <c r="BA216" s="2" t="e">
        <f t="shared" ca="1" si="132"/>
        <v>#N/A</v>
      </c>
      <c r="BB216" s="2" t="e">
        <f t="shared" ca="1" si="133"/>
        <v>#N/A</v>
      </c>
      <c r="BC216" s="9" t="e">
        <f t="shared" ca="1" si="134"/>
        <v>#N/A</v>
      </c>
      <c r="BD216" s="9" t="e">
        <f t="shared" ca="1" si="135"/>
        <v>#N/A</v>
      </c>
    </row>
    <row r="217" spans="1:56" ht="15" x14ac:dyDescent="0.25">
      <c r="A217" s="90"/>
      <c r="B217" s="90"/>
      <c r="C217" s="91"/>
      <c r="D217" s="91"/>
      <c r="E217" s="91"/>
      <c r="F217" s="91"/>
      <c r="G217" s="91"/>
      <c r="H217" s="91"/>
      <c r="I217" s="91"/>
      <c r="J217" s="64"/>
      <c r="K217" s="64"/>
      <c r="L217" s="64"/>
      <c r="M217" s="64"/>
      <c r="O217" s="11">
        <f t="shared" ca="1" si="121"/>
        <v>-3.9378682616450625E-4</v>
      </c>
      <c r="P217" s="11">
        <f t="shared" ca="1" si="122"/>
        <v>-1.6358405771021967E-4</v>
      </c>
      <c r="Q217" s="11">
        <f t="shared" ca="1" si="123"/>
        <v>-1.614029402377854E-3</v>
      </c>
      <c r="R217" s="11">
        <f t="shared" ca="1" si="124"/>
        <v>-1.4853760121635622E-5</v>
      </c>
      <c r="S217" s="11">
        <f t="shared" ca="1" si="125"/>
        <v>-1.1458026838550334E-3</v>
      </c>
      <c r="T217" s="11">
        <f t="shared" ca="1" si="126"/>
        <v>-4.9053934342410677E-4</v>
      </c>
      <c r="U217" s="11">
        <f t="shared" ca="1" si="127"/>
        <v>-5.5074395654535931E-3</v>
      </c>
      <c r="V217" s="11"/>
      <c r="W217" s="11">
        <f t="shared" ca="1" si="100"/>
        <v>0</v>
      </c>
      <c r="X217" s="2">
        <f t="shared" ca="1" si="101"/>
        <v>-1.6358405771021967E-4</v>
      </c>
      <c r="Y217" s="2">
        <f t="shared" ca="1" si="102"/>
        <v>-1.614029402377854E-3</v>
      </c>
      <c r="Z217" s="11">
        <f t="shared" ca="1" si="103"/>
        <v>-1.4853760121635622E-5</v>
      </c>
      <c r="AA217" s="2">
        <f t="shared" ca="1" si="104"/>
        <v>-1.1458026838550334E-3</v>
      </c>
      <c r="AB217" s="11">
        <f t="shared" ca="1" si="105"/>
        <v>-4.9053934342410677E-4</v>
      </c>
      <c r="AC217" s="2">
        <f t="shared" ca="1" si="106"/>
        <v>-5.5074395654535931E-3</v>
      </c>
      <c r="AF217" s="11">
        <f t="shared" ca="1" si="107"/>
        <v>0</v>
      </c>
      <c r="AG217" s="2">
        <f t="shared" ca="1" si="108"/>
        <v>-1.6358405771021967E-4</v>
      </c>
      <c r="AH217" s="2">
        <f t="shared" ca="1" si="109"/>
        <v>-1.614029402377854E-3</v>
      </c>
      <c r="AI217" s="2">
        <f t="shared" ca="1" si="110"/>
        <v>-1.4853760121635622E-5</v>
      </c>
      <c r="AJ217" s="2">
        <f t="shared" ca="1" si="111"/>
        <v>-1.1458026838550334E-3</v>
      </c>
      <c r="AK217" s="2">
        <f t="shared" ca="1" si="112"/>
        <v>-4.9053934342410677E-4</v>
      </c>
      <c r="AL217" s="2">
        <f t="shared" ca="1" si="113"/>
        <v>-5.5074395654535931E-3</v>
      </c>
      <c r="AN217" s="2" t="e">
        <f t="shared" ca="1" si="91"/>
        <v>#N/A</v>
      </c>
      <c r="AO217" s="2" t="e">
        <f t="shared" ca="1" si="92"/>
        <v>#N/A</v>
      </c>
      <c r="AP217" s="2" t="e">
        <f t="shared" ca="1" si="93"/>
        <v>#N/A</v>
      </c>
      <c r="AQ217" s="2" t="e">
        <f t="shared" ca="1" si="94"/>
        <v>#N/A</v>
      </c>
      <c r="AR217" s="2" t="e">
        <f t="shared" ca="1" si="95"/>
        <v>#N/A</v>
      </c>
      <c r="AS217" s="2" t="e">
        <f t="shared" ca="1" si="96"/>
        <v>#N/A</v>
      </c>
      <c r="AT217" s="9" t="e">
        <f t="shared" ca="1" si="97"/>
        <v>#N/A</v>
      </c>
      <c r="AU217" s="9" t="e">
        <f t="shared" ca="1" si="98"/>
        <v>#N/A</v>
      </c>
      <c r="AW217" s="2" t="e">
        <f t="shared" ca="1" si="128"/>
        <v>#N/A</v>
      </c>
      <c r="AX217" s="2" t="e">
        <f t="shared" ca="1" si="129"/>
        <v>#N/A</v>
      </c>
      <c r="AY217" s="2" t="e">
        <f t="shared" ca="1" si="130"/>
        <v>#N/A</v>
      </c>
      <c r="AZ217" s="2" t="e">
        <f t="shared" ca="1" si="131"/>
        <v>#N/A</v>
      </c>
      <c r="BA217" s="2" t="e">
        <f t="shared" ca="1" si="132"/>
        <v>#N/A</v>
      </c>
      <c r="BB217" s="2" t="e">
        <f t="shared" ca="1" si="133"/>
        <v>#N/A</v>
      </c>
      <c r="BC217" s="9" t="e">
        <f t="shared" ca="1" si="134"/>
        <v>#N/A</v>
      </c>
      <c r="BD217" s="9" t="e">
        <f t="shared" ca="1" si="135"/>
        <v>#N/A</v>
      </c>
    </row>
    <row r="218" spans="1:56" ht="15" x14ac:dyDescent="0.25">
      <c r="A218" s="90"/>
      <c r="B218" s="90"/>
      <c r="C218" s="91"/>
      <c r="D218" s="91"/>
      <c r="E218" s="91"/>
      <c r="F218" s="91"/>
      <c r="G218" s="91"/>
      <c r="H218" s="91"/>
      <c r="I218" s="91"/>
      <c r="J218" s="64"/>
      <c r="K218" s="64"/>
      <c r="L218" s="64"/>
      <c r="M218" s="64"/>
      <c r="O218" s="11">
        <f t="shared" ca="1" si="121"/>
        <v>-3.9378682616450625E-4</v>
      </c>
      <c r="P218" s="11">
        <f t="shared" ca="1" si="122"/>
        <v>-1.6358405771021967E-4</v>
      </c>
      <c r="Q218" s="11">
        <f t="shared" ca="1" si="123"/>
        <v>-1.614029402377854E-3</v>
      </c>
      <c r="R218" s="11">
        <f t="shared" ca="1" si="124"/>
        <v>-1.4853760121635622E-5</v>
      </c>
      <c r="S218" s="11">
        <f t="shared" ca="1" si="125"/>
        <v>-1.1458026838550334E-3</v>
      </c>
      <c r="T218" s="11">
        <f t="shared" ca="1" si="126"/>
        <v>-4.9053934342410677E-4</v>
      </c>
      <c r="U218" s="11">
        <f t="shared" ca="1" si="127"/>
        <v>-5.5074395654535931E-3</v>
      </c>
      <c r="V218" s="11"/>
      <c r="W218" s="11">
        <f t="shared" ca="1" si="100"/>
        <v>0</v>
      </c>
      <c r="X218" s="2">
        <f t="shared" ca="1" si="101"/>
        <v>-1.6358405771021967E-4</v>
      </c>
      <c r="Y218" s="2">
        <f t="shared" ca="1" si="102"/>
        <v>-1.614029402377854E-3</v>
      </c>
      <c r="Z218" s="11">
        <f t="shared" ca="1" si="103"/>
        <v>-1.4853760121635622E-5</v>
      </c>
      <c r="AA218" s="2">
        <f t="shared" ca="1" si="104"/>
        <v>-1.1458026838550334E-3</v>
      </c>
      <c r="AB218" s="11">
        <f t="shared" ca="1" si="105"/>
        <v>-4.9053934342410677E-4</v>
      </c>
      <c r="AC218" s="2">
        <f t="shared" ca="1" si="106"/>
        <v>-5.5074395654535931E-3</v>
      </c>
      <c r="AF218" s="11">
        <f t="shared" ca="1" si="107"/>
        <v>0</v>
      </c>
      <c r="AG218" s="2">
        <f t="shared" ca="1" si="108"/>
        <v>-1.6358405771021967E-4</v>
      </c>
      <c r="AH218" s="2">
        <f t="shared" ca="1" si="109"/>
        <v>-1.614029402377854E-3</v>
      </c>
      <c r="AI218" s="2">
        <f t="shared" ca="1" si="110"/>
        <v>-1.4853760121635622E-5</v>
      </c>
      <c r="AJ218" s="2">
        <f t="shared" ca="1" si="111"/>
        <v>-1.1458026838550334E-3</v>
      </c>
      <c r="AK218" s="2">
        <f t="shared" ca="1" si="112"/>
        <v>-4.9053934342410677E-4</v>
      </c>
      <c r="AL218" s="2">
        <f t="shared" ca="1" si="113"/>
        <v>-5.5074395654535931E-3</v>
      </c>
      <c r="AN218" s="2" t="e">
        <f t="shared" ca="1" si="91"/>
        <v>#N/A</v>
      </c>
      <c r="AO218" s="2" t="e">
        <f t="shared" ca="1" si="92"/>
        <v>#N/A</v>
      </c>
      <c r="AP218" s="2" t="e">
        <f t="shared" ca="1" si="93"/>
        <v>#N/A</v>
      </c>
      <c r="AQ218" s="2" t="e">
        <f t="shared" ca="1" si="94"/>
        <v>#N/A</v>
      </c>
      <c r="AR218" s="2" t="e">
        <f t="shared" ca="1" si="95"/>
        <v>#N/A</v>
      </c>
      <c r="AS218" s="2" t="e">
        <f t="shared" ca="1" si="96"/>
        <v>#N/A</v>
      </c>
      <c r="AT218" s="9" t="e">
        <f t="shared" ca="1" si="97"/>
        <v>#N/A</v>
      </c>
      <c r="AU218" s="9" t="e">
        <f t="shared" ca="1" si="98"/>
        <v>#N/A</v>
      </c>
      <c r="AW218" s="2" t="e">
        <f t="shared" ca="1" si="128"/>
        <v>#N/A</v>
      </c>
      <c r="AX218" s="2" t="e">
        <f t="shared" ca="1" si="129"/>
        <v>#N/A</v>
      </c>
      <c r="AY218" s="2" t="e">
        <f t="shared" ca="1" si="130"/>
        <v>#N/A</v>
      </c>
      <c r="AZ218" s="2" t="e">
        <f t="shared" ca="1" si="131"/>
        <v>#N/A</v>
      </c>
      <c r="BA218" s="2" t="e">
        <f t="shared" ca="1" si="132"/>
        <v>#N/A</v>
      </c>
      <c r="BB218" s="2" t="e">
        <f t="shared" ca="1" si="133"/>
        <v>#N/A</v>
      </c>
      <c r="BC218" s="9" t="e">
        <f t="shared" ca="1" si="134"/>
        <v>#N/A</v>
      </c>
      <c r="BD218" s="9" t="e">
        <f t="shared" ca="1" si="135"/>
        <v>#N/A</v>
      </c>
    </row>
    <row r="219" spans="1:56" ht="15" x14ac:dyDescent="0.25">
      <c r="A219" s="90"/>
      <c r="B219" s="90"/>
      <c r="C219" s="91"/>
      <c r="D219" s="91"/>
      <c r="E219" s="91"/>
      <c r="F219" s="91"/>
      <c r="G219" s="91"/>
      <c r="H219" s="91"/>
      <c r="I219" s="91"/>
      <c r="J219" s="64"/>
      <c r="K219" s="64"/>
      <c r="L219" s="64"/>
      <c r="M219" s="64"/>
      <c r="O219" s="11">
        <f t="shared" ca="1" si="121"/>
        <v>-3.9378682616450625E-4</v>
      </c>
      <c r="P219" s="11">
        <f t="shared" ca="1" si="122"/>
        <v>-1.6358405771021967E-4</v>
      </c>
      <c r="Q219" s="11">
        <f t="shared" ca="1" si="123"/>
        <v>-1.614029402377854E-3</v>
      </c>
      <c r="R219" s="11">
        <f t="shared" ca="1" si="124"/>
        <v>-1.4853760121635622E-5</v>
      </c>
      <c r="S219" s="11">
        <f t="shared" ca="1" si="125"/>
        <v>-1.1458026838550334E-3</v>
      </c>
      <c r="T219" s="11">
        <f t="shared" ca="1" si="126"/>
        <v>-4.9053934342410677E-4</v>
      </c>
      <c r="U219" s="11">
        <f t="shared" ca="1" si="127"/>
        <v>-5.5074395654535931E-3</v>
      </c>
      <c r="V219" s="11"/>
      <c r="W219" s="11">
        <f t="shared" ca="1" si="100"/>
        <v>0</v>
      </c>
      <c r="X219" s="2">
        <f t="shared" ca="1" si="101"/>
        <v>-1.6358405771021967E-4</v>
      </c>
      <c r="Y219" s="2">
        <f t="shared" ca="1" si="102"/>
        <v>-1.614029402377854E-3</v>
      </c>
      <c r="Z219" s="11">
        <f t="shared" ca="1" si="103"/>
        <v>-1.4853760121635622E-5</v>
      </c>
      <c r="AA219" s="2">
        <f t="shared" ca="1" si="104"/>
        <v>-1.1458026838550334E-3</v>
      </c>
      <c r="AB219" s="11">
        <f t="shared" ca="1" si="105"/>
        <v>-4.9053934342410677E-4</v>
      </c>
      <c r="AC219" s="2">
        <f t="shared" ca="1" si="106"/>
        <v>-5.5074395654535931E-3</v>
      </c>
      <c r="AF219" s="11">
        <f t="shared" ca="1" si="107"/>
        <v>0</v>
      </c>
      <c r="AG219" s="2">
        <f t="shared" ca="1" si="108"/>
        <v>-1.6358405771021967E-4</v>
      </c>
      <c r="AH219" s="2">
        <f t="shared" ca="1" si="109"/>
        <v>-1.614029402377854E-3</v>
      </c>
      <c r="AI219" s="2">
        <f t="shared" ca="1" si="110"/>
        <v>-1.4853760121635622E-5</v>
      </c>
      <c r="AJ219" s="2">
        <f t="shared" ca="1" si="111"/>
        <v>-1.1458026838550334E-3</v>
      </c>
      <c r="AK219" s="2">
        <f t="shared" ca="1" si="112"/>
        <v>-4.9053934342410677E-4</v>
      </c>
      <c r="AL219" s="2">
        <f t="shared" ca="1" si="113"/>
        <v>-5.5074395654535931E-3</v>
      </c>
      <c r="AN219" s="2" t="e">
        <f t="shared" ca="1" si="91"/>
        <v>#N/A</v>
      </c>
      <c r="AO219" s="2" t="e">
        <f t="shared" ca="1" si="92"/>
        <v>#N/A</v>
      </c>
      <c r="AP219" s="2" t="e">
        <f t="shared" ca="1" si="93"/>
        <v>#N/A</v>
      </c>
      <c r="AQ219" s="2" t="e">
        <f t="shared" ca="1" si="94"/>
        <v>#N/A</v>
      </c>
      <c r="AR219" s="2" t="e">
        <f t="shared" ca="1" si="95"/>
        <v>#N/A</v>
      </c>
      <c r="AS219" s="2" t="e">
        <f t="shared" ca="1" si="96"/>
        <v>#N/A</v>
      </c>
      <c r="AT219" s="9" t="e">
        <f t="shared" ca="1" si="97"/>
        <v>#N/A</v>
      </c>
      <c r="AU219" s="9" t="e">
        <f t="shared" ca="1" si="98"/>
        <v>#N/A</v>
      </c>
      <c r="AW219" s="2" t="e">
        <f t="shared" ca="1" si="128"/>
        <v>#N/A</v>
      </c>
      <c r="AX219" s="2" t="e">
        <f t="shared" ca="1" si="129"/>
        <v>#N/A</v>
      </c>
      <c r="AY219" s="2" t="e">
        <f t="shared" ca="1" si="130"/>
        <v>#N/A</v>
      </c>
      <c r="AZ219" s="2" t="e">
        <f t="shared" ca="1" si="131"/>
        <v>#N/A</v>
      </c>
      <c r="BA219" s="2" t="e">
        <f t="shared" ca="1" si="132"/>
        <v>#N/A</v>
      </c>
      <c r="BB219" s="2" t="e">
        <f t="shared" ca="1" si="133"/>
        <v>#N/A</v>
      </c>
      <c r="BC219" s="9" t="e">
        <f t="shared" ca="1" si="134"/>
        <v>#N/A</v>
      </c>
      <c r="BD219" s="9" t="e">
        <f t="shared" ca="1" si="135"/>
        <v>#N/A</v>
      </c>
    </row>
    <row r="220" spans="1:56" ht="15" x14ac:dyDescent="0.25">
      <c r="A220" s="90"/>
      <c r="B220" s="90"/>
      <c r="C220" s="91"/>
      <c r="D220" s="91"/>
      <c r="E220" s="91"/>
      <c r="F220" s="91"/>
      <c r="G220" s="91"/>
      <c r="H220" s="91"/>
      <c r="I220" s="91"/>
      <c r="J220" s="64"/>
      <c r="K220" s="64"/>
      <c r="L220" s="64"/>
      <c r="M220" s="64"/>
      <c r="O220" s="11">
        <f t="shared" ca="1" si="121"/>
        <v>-3.9378682616450625E-4</v>
      </c>
      <c r="P220" s="11">
        <f t="shared" ca="1" si="122"/>
        <v>-1.6358405771021967E-4</v>
      </c>
      <c r="Q220" s="11">
        <f t="shared" ca="1" si="123"/>
        <v>-1.614029402377854E-3</v>
      </c>
      <c r="R220" s="11">
        <f t="shared" ca="1" si="124"/>
        <v>-1.4853760121635622E-5</v>
      </c>
      <c r="S220" s="11">
        <f t="shared" ca="1" si="125"/>
        <v>-1.1458026838550334E-3</v>
      </c>
      <c r="T220" s="11">
        <f t="shared" ca="1" si="126"/>
        <v>-4.9053934342410677E-4</v>
      </c>
      <c r="U220" s="11">
        <f t="shared" ca="1" si="127"/>
        <v>-5.5074395654535931E-3</v>
      </c>
      <c r="V220" s="11"/>
      <c r="W220" s="11">
        <f t="shared" ca="1" si="100"/>
        <v>0</v>
      </c>
      <c r="X220" s="2">
        <f t="shared" ca="1" si="101"/>
        <v>-1.6358405771021967E-4</v>
      </c>
      <c r="Y220" s="2">
        <f t="shared" ca="1" si="102"/>
        <v>-1.614029402377854E-3</v>
      </c>
      <c r="Z220" s="11">
        <f t="shared" ca="1" si="103"/>
        <v>-1.4853760121635622E-5</v>
      </c>
      <c r="AA220" s="2">
        <f t="shared" ca="1" si="104"/>
        <v>-1.1458026838550334E-3</v>
      </c>
      <c r="AB220" s="11">
        <f t="shared" ca="1" si="105"/>
        <v>-4.9053934342410677E-4</v>
      </c>
      <c r="AC220" s="2">
        <f t="shared" ca="1" si="106"/>
        <v>-5.5074395654535931E-3</v>
      </c>
      <c r="AF220" s="11">
        <f t="shared" ca="1" si="107"/>
        <v>0</v>
      </c>
      <c r="AG220" s="2">
        <f t="shared" ca="1" si="108"/>
        <v>-1.6358405771021967E-4</v>
      </c>
      <c r="AH220" s="2">
        <f t="shared" ca="1" si="109"/>
        <v>-1.614029402377854E-3</v>
      </c>
      <c r="AI220" s="2">
        <f t="shared" ca="1" si="110"/>
        <v>-1.4853760121635622E-5</v>
      </c>
      <c r="AJ220" s="2">
        <f t="shared" ca="1" si="111"/>
        <v>-1.1458026838550334E-3</v>
      </c>
      <c r="AK220" s="2">
        <f t="shared" ca="1" si="112"/>
        <v>-4.9053934342410677E-4</v>
      </c>
      <c r="AL220" s="2">
        <f t="shared" ca="1" si="113"/>
        <v>-5.5074395654535931E-3</v>
      </c>
      <c r="AN220" s="2" t="e">
        <f t="shared" ca="1" si="91"/>
        <v>#N/A</v>
      </c>
      <c r="AO220" s="2" t="e">
        <f t="shared" ca="1" si="92"/>
        <v>#N/A</v>
      </c>
      <c r="AP220" s="2" t="e">
        <f t="shared" ca="1" si="93"/>
        <v>#N/A</v>
      </c>
      <c r="AQ220" s="2" t="e">
        <f t="shared" ca="1" si="94"/>
        <v>#N/A</v>
      </c>
      <c r="AR220" s="2" t="e">
        <f t="shared" ca="1" si="95"/>
        <v>#N/A</v>
      </c>
      <c r="AS220" s="2" t="e">
        <f t="shared" ca="1" si="96"/>
        <v>#N/A</v>
      </c>
      <c r="AT220" s="9" t="e">
        <f t="shared" ca="1" si="97"/>
        <v>#N/A</v>
      </c>
      <c r="AU220" s="9" t="e">
        <f t="shared" ca="1" si="98"/>
        <v>#N/A</v>
      </c>
      <c r="AW220" s="2" t="e">
        <f t="shared" ca="1" si="128"/>
        <v>#N/A</v>
      </c>
      <c r="AX220" s="2" t="e">
        <f t="shared" ca="1" si="129"/>
        <v>#N/A</v>
      </c>
      <c r="AY220" s="2" t="e">
        <f t="shared" ca="1" si="130"/>
        <v>#N/A</v>
      </c>
      <c r="AZ220" s="2" t="e">
        <f t="shared" ca="1" si="131"/>
        <v>#N/A</v>
      </c>
      <c r="BA220" s="2" t="e">
        <f t="shared" ca="1" si="132"/>
        <v>#N/A</v>
      </c>
      <c r="BB220" s="2" t="e">
        <f t="shared" ca="1" si="133"/>
        <v>#N/A</v>
      </c>
      <c r="BC220" s="9" t="e">
        <f t="shared" ca="1" si="134"/>
        <v>#N/A</v>
      </c>
      <c r="BD220" s="9" t="e">
        <f t="shared" ca="1" si="135"/>
        <v>#N/A</v>
      </c>
    </row>
    <row r="221" spans="1:56" ht="15" x14ac:dyDescent="0.25">
      <c r="A221" s="90"/>
      <c r="B221" s="90"/>
      <c r="C221" s="91"/>
      <c r="D221" s="91"/>
      <c r="E221" s="91"/>
      <c r="F221" s="91"/>
      <c r="G221" s="91"/>
      <c r="H221" s="91"/>
      <c r="I221" s="91"/>
      <c r="J221" s="64"/>
      <c r="K221" s="64"/>
      <c r="L221" s="64"/>
      <c r="M221" s="64"/>
      <c r="O221" s="11">
        <f t="shared" ca="1" si="121"/>
        <v>-3.9378682616450625E-4</v>
      </c>
      <c r="P221" s="11">
        <f t="shared" ca="1" si="122"/>
        <v>-1.6358405771021967E-4</v>
      </c>
      <c r="Q221" s="11">
        <f t="shared" ca="1" si="123"/>
        <v>-1.614029402377854E-3</v>
      </c>
      <c r="R221" s="11">
        <f t="shared" ca="1" si="124"/>
        <v>-1.4853760121635622E-5</v>
      </c>
      <c r="S221" s="11">
        <f t="shared" ca="1" si="125"/>
        <v>-1.1458026838550334E-3</v>
      </c>
      <c r="T221" s="11">
        <f t="shared" ca="1" si="126"/>
        <v>-4.9053934342410677E-4</v>
      </c>
      <c r="U221" s="11">
        <f t="shared" ca="1" si="127"/>
        <v>-5.5074395654535931E-3</v>
      </c>
      <c r="V221" s="11"/>
      <c r="W221" s="11">
        <f t="shared" ca="1" si="100"/>
        <v>0</v>
      </c>
      <c r="X221" s="2">
        <f t="shared" ca="1" si="101"/>
        <v>-1.6358405771021967E-4</v>
      </c>
      <c r="Y221" s="2">
        <f t="shared" ca="1" si="102"/>
        <v>-1.614029402377854E-3</v>
      </c>
      <c r="Z221" s="11">
        <f t="shared" ca="1" si="103"/>
        <v>-1.4853760121635622E-5</v>
      </c>
      <c r="AA221" s="2">
        <f t="shared" ca="1" si="104"/>
        <v>-1.1458026838550334E-3</v>
      </c>
      <c r="AB221" s="11">
        <f t="shared" ca="1" si="105"/>
        <v>-4.9053934342410677E-4</v>
      </c>
      <c r="AC221" s="2">
        <f t="shared" ca="1" si="106"/>
        <v>-5.5074395654535931E-3</v>
      </c>
      <c r="AF221" s="11">
        <f t="shared" ca="1" si="107"/>
        <v>0</v>
      </c>
      <c r="AG221" s="2">
        <f t="shared" ca="1" si="108"/>
        <v>-1.6358405771021967E-4</v>
      </c>
      <c r="AH221" s="2">
        <f t="shared" ca="1" si="109"/>
        <v>-1.614029402377854E-3</v>
      </c>
      <c r="AI221" s="2">
        <f t="shared" ca="1" si="110"/>
        <v>-1.4853760121635622E-5</v>
      </c>
      <c r="AJ221" s="2">
        <f t="shared" ca="1" si="111"/>
        <v>-1.1458026838550334E-3</v>
      </c>
      <c r="AK221" s="2">
        <f t="shared" ca="1" si="112"/>
        <v>-4.9053934342410677E-4</v>
      </c>
      <c r="AL221" s="2">
        <f t="shared" ca="1" si="113"/>
        <v>-5.5074395654535931E-3</v>
      </c>
      <c r="AN221" s="2" t="e">
        <f t="shared" ca="1" si="91"/>
        <v>#N/A</v>
      </c>
      <c r="AO221" s="2" t="e">
        <f t="shared" ca="1" si="92"/>
        <v>#N/A</v>
      </c>
      <c r="AP221" s="2" t="e">
        <f t="shared" ca="1" si="93"/>
        <v>#N/A</v>
      </c>
      <c r="AQ221" s="2" t="e">
        <f t="shared" ca="1" si="94"/>
        <v>#N/A</v>
      </c>
      <c r="AR221" s="2" t="e">
        <f t="shared" ca="1" si="95"/>
        <v>#N/A</v>
      </c>
      <c r="AS221" s="2" t="e">
        <f t="shared" ca="1" si="96"/>
        <v>#N/A</v>
      </c>
      <c r="AT221" s="9" t="e">
        <f t="shared" ca="1" si="97"/>
        <v>#N/A</v>
      </c>
      <c r="AU221" s="9" t="e">
        <f t="shared" ca="1" si="98"/>
        <v>#N/A</v>
      </c>
      <c r="AW221" s="2" t="e">
        <f t="shared" ca="1" si="128"/>
        <v>#N/A</v>
      </c>
      <c r="AX221" s="2" t="e">
        <f t="shared" ca="1" si="129"/>
        <v>#N/A</v>
      </c>
      <c r="AY221" s="2" t="e">
        <f t="shared" ca="1" si="130"/>
        <v>#N/A</v>
      </c>
      <c r="AZ221" s="2" t="e">
        <f t="shared" ca="1" si="131"/>
        <v>#N/A</v>
      </c>
      <c r="BA221" s="2" t="e">
        <f t="shared" ca="1" si="132"/>
        <v>#N/A</v>
      </c>
      <c r="BB221" s="2" t="e">
        <f t="shared" ca="1" si="133"/>
        <v>#N/A</v>
      </c>
      <c r="BC221" s="9" t="e">
        <f t="shared" ca="1" si="134"/>
        <v>#N/A</v>
      </c>
      <c r="BD221" s="9" t="e">
        <f t="shared" ca="1" si="135"/>
        <v>#N/A</v>
      </c>
    </row>
    <row r="222" spans="1:56" ht="15" x14ac:dyDescent="0.25">
      <c r="A222" s="90"/>
      <c r="B222" s="90"/>
      <c r="C222" s="91"/>
      <c r="D222" s="91"/>
      <c r="E222" s="91"/>
      <c r="F222" s="91"/>
      <c r="G222" s="91"/>
      <c r="H222" s="91"/>
      <c r="I222" s="91"/>
      <c r="J222" s="64"/>
      <c r="K222" s="64"/>
      <c r="L222" s="64"/>
      <c r="M222" s="64"/>
      <c r="O222" s="11">
        <f t="shared" ca="1" si="121"/>
        <v>-3.9378682616450625E-4</v>
      </c>
      <c r="P222" s="11">
        <f t="shared" ca="1" si="122"/>
        <v>-1.6358405771021967E-4</v>
      </c>
      <c r="Q222" s="11">
        <f t="shared" ca="1" si="123"/>
        <v>-1.614029402377854E-3</v>
      </c>
      <c r="R222" s="11">
        <f t="shared" ca="1" si="124"/>
        <v>-1.4853760121635622E-5</v>
      </c>
      <c r="S222" s="11">
        <f t="shared" ca="1" si="125"/>
        <v>-1.1458026838550334E-3</v>
      </c>
      <c r="T222" s="11">
        <f t="shared" ca="1" si="126"/>
        <v>-4.9053934342410677E-4</v>
      </c>
      <c r="U222" s="11">
        <f t="shared" ca="1" si="127"/>
        <v>-5.5074395654535931E-3</v>
      </c>
      <c r="V222" s="11"/>
      <c r="W222" s="11">
        <f t="shared" ca="1" si="100"/>
        <v>0</v>
      </c>
      <c r="X222" s="2">
        <f t="shared" ca="1" si="101"/>
        <v>-1.6358405771021967E-4</v>
      </c>
      <c r="Y222" s="2">
        <f t="shared" ca="1" si="102"/>
        <v>-1.614029402377854E-3</v>
      </c>
      <c r="Z222" s="11">
        <f t="shared" ca="1" si="103"/>
        <v>-1.4853760121635622E-5</v>
      </c>
      <c r="AA222" s="2">
        <f t="shared" ca="1" si="104"/>
        <v>-1.1458026838550334E-3</v>
      </c>
      <c r="AB222" s="11">
        <f t="shared" ca="1" si="105"/>
        <v>-4.9053934342410677E-4</v>
      </c>
      <c r="AC222" s="2">
        <f t="shared" ca="1" si="106"/>
        <v>-5.5074395654535931E-3</v>
      </c>
      <c r="AF222" s="11">
        <f t="shared" ca="1" si="107"/>
        <v>0</v>
      </c>
      <c r="AG222" s="2">
        <f t="shared" ca="1" si="108"/>
        <v>-1.6358405771021967E-4</v>
      </c>
      <c r="AH222" s="2">
        <f t="shared" ca="1" si="109"/>
        <v>-1.614029402377854E-3</v>
      </c>
      <c r="AI222" s="2">
        <f t="shared" ca="1" si="110"/>
        <v>-1.4853760121635622E-5</v>
      </c>
      <c r="AJ222" s="2">
        <f t="shared" ca="1" si="111"/>
        <v>-1.1458026838550334E-3</v>
      </c>
      <c r="AK222" s="2">
        <f t="shared" ca="1" si="112"/>
        <v>-4.9053934342410677E-4</v>
      </c>
      <c r="AL222" s="2">
        <f t="shared" ca="1" si="113"/>
        <v>-5.5074395654535931E-3</v>
      </c>
      <c r="AN222" s="2" t="e">
        <f t="shared" ca="1" si="91"/>
        <v>#N/A</v>
      </c>
      <c r="AO222" s="2" t="e">
        <f t="shared" ca="1" si="92"/>
        <v>#N/A</v>
      </c>
      <c r="AP222" s="2" t="e">
        <f t="shared" ca="1" si="93"/>
        <v>#N/A</v>
      </c>
      <c r="AQ222" s="2" t="e">
        <f t="shared" ca="1" si="94"/>
        <v>#N/A</v>
      </c>
      <c r="AR222" s="2" t="e">
        <f t="shared" ca="1" si="95"/>
        <v>#N/A</v>
      </c>
      <c r="AS222" s="2" t="e">
        <f t="shared" ca="1" si="96"/>
        <v>#N/A</v>
      </c>
      <c r="AT222" s="9" t="e">
        <f t="shared" ca="1" si="97"/>
        <v>#N/A</v>
      </c>
      <c r="AU222" s="9" t="e">
        <f t="shared" ca="1" si="98"/>
        <v>#N/A</v>
      </c>
      <c r="AW222" s="2" t="e">
        <f t="shared" ca="1" si="128"/>
        <v>#N/A</v>
      </c>
      <c r="AX222" s="2" t="e">
        <f t="shared" ca="1" si="129"/>
        <v>#N/A</v>
      </c>
      <c r="AY222" s="2" t="e">
        <f t="shared" ca="1" si="130"/>
        <v>#N/A</v>
      </c>
      <c r="AZ222" s="2" t="e">
        <f t="shared" ca="1" si="131"/>
        <v>#N/A</v>
      </c>
      <c r="BA222" s="2" t="e">
        <f t="shared" ca="1" si="132"/>
        <v>#N/A</v>
      </c>
      <c r="BB222" s="2" t="e">
        <f t="shared" ca="1" si="133"/>
        <v>#N/A</v>
      </c>
      <c r="BC222" s="9" t="e">
        <f t="shared" ca="1" si="134"/>
        <v>#N/A</v>
      </c>
      <c r="BD222" s="9" t="e">
        <f t="shared" ca="1" si="135"/>
        <v>#N/A</v>
      </c>
    </row>
    <row r="223" spans="1:56" ht="15" x14ac:dyDescent="0.25">
      <c r="A223" s="90"/>
      <c r="B223" s="90"/>
      <c r="C223" s="91"/>
      <c r="D223" s="91"/>
      <c r="E223" s="91"/>
      <c r="F223" s="91"/>
      <c r="G223" s="91"/>
      <c r="H223" s="91"/>
      <c r="I223" s="91"/>
      <c r="J223" s="64"/>
      <c r="K223" s="64"/>
      <c r="L223" s="64"/>
      <c r="M223" s="64"/>
      <c r="O223" s="11">
        <f t="shared" ca="1" si="121"/>
        <v>-3.9378682616450625E-4</v>
      </c>
      <c r="P223" s="11">
        <f t="shared" ca="1" si="122"/>
        <v>-1.6358405771021967E-4</v>
      </c>
      <c r="Q223" s="11">
        <f t="shared" ca="1" si="123"/>
        <v>-1.614029402377854E-3</v>
      </c>
      <c r="R223" s="11">
        <f t="shared" ca="1" si="124"/>
        <v>-1.4853760121635622E-5</v>
      </c>
      <c r="S223" s="11">
        <f t="shared" ca="1" si="125"/>
        <v>-1.1458026838550334E-3</v>
      </c>
      <c r="T223" s="11">
        <f t="shared" ca="1" si="126"/>
        <v>-4.9053934342410677E-4</v>
      </c>
      <c r="U223" s="11">
        <f t="shared" ca="1" si="127"/>
        <v>-5.5074395654535931E-3</v>
      </c>
      <c r="V223" s="11"/>
      <c r="W223" s="11">
        <f t="shared" ca="1" si="100"/>
        <v>0</v>
      </c>
      <c r="X223" s="2">
        <f t="shared" ca="1" si="101"/>
        <v>-1.6358405771021967E-4</v>
      </c>
      <c r="Y223" s="2">
        <f t="shared" ca="1" si="102"/>
        <v>-1.614029402377854E-3</v>
      </c>
      <c r="Z223" s="11">
        <f t="shared" ca="1" si="103"/>
        <v>-1.4853760121635622E-5</v>
      </c>
      <c r="AA223" s="2">
        <f t="shared" ca="1" si="104"/>
        <v>-1.1458026838550334E-3</v>
      </c>
      <c r="AB223" s="11">
        <f t="shared" ca="1" si="105"/>
        <v>-4.9053934342410677E-4</v>
      </c>
      <c r="AC223" s="2">
        <f t="shared" ca="1" si="106"/>
        <v>-5.5074395654535931E-3</v>
      </c>
      <c r="AF223" s="11">
        <f t="shared" ca="1" si="107"/>
        <v>0</v>
      </c>
      <c r="AG223" s="2">
        <f t="shared" ca="1" si="108"/>
        <v>-1.6358405771021967E-4</v>
      </c>
      <c r="AH223" s="2">
        <f t="shared" ca="1" si="109"/>
        <v>-1.614029402377854E-3</v>
      </c>
      <c r="AI223" s="2">
        <f t="shared" ca="1" si="110"/>
        <v>-1.4853760121635622E-5</v>
      </c>
      <c r="AJ223" s="2">
        <f t="shared" ca="1" si="111"/>
        <v>-1.1458026838550334E-3</v>
      </c>
      <c r="AK223" s="2">
        <f t="shared" ca="1" si="112"/>
        <v>-4.9053934342410677E-4</v>
      </c>
      <c r="AL223" s="2">
        <f t="shared" ca="1" si="113"/>
        <v>-5.5074395654535931E-3</v>
      </c>
      <c r="AN223" s="2" t="e">
        <f t="shared" ca="1" si="91"/>
        <v>#N/A</v>
      </c>
      <c r="AO223" s="2" t="e">
        <f t="shared" ca="1" si="92"/>
        <v>#N/A</v>
      </c>
      <c r="AP223" s="2" t="e">
        <f t="shared" ca="1" si="93"/>
        <v>#N/A</v>
      </c>
      <c r="AQ223" s="2" t="e">
        <f t="shared" ca="1" si="94"/>
        <v>#N/A</v>
      </c>
      <c r="AR223" s="2" t="e">
        <f t="shared" ca="1" si="95"/>
        <v>#N/A</v>
      </c>
      <c r="AS223" s="2" t="e">
        <f t="shared" ca="1" si="96"/>
        <v>#N/A</v>
      </c>
      <c r="AT223" s="9" t="e">
        <f t="shared" ca="1" si="97"/>
        <v>#N/A</v>
      </c>
      <c r="AU223" s="9" t="e">
        <f t="shared" ca="1" si="98"/>
        <v>#N/A</v>
      </c>
      <c r="AW223" s="2" t="e">
        <f t="shared" ca="1" si="128"/>
        <v>#N/A</v>
      </c>
      <c r="AX223" s="2" t="e">
        <f t="shared" ca="1" si="129"/>
        <v>#N/A</v>
      </c>
      <c r="AY223" s="2" t="e">
        <f t="shared" ca="1" si="130"/>
        <v>#N/A</v>
      </c>
      <c r="AZ223" s="2" t="e">
        <f t="shared" ca="1" si="131"/>
        <v>#N/A</v>
      </c>
      <c r="BA223" s="2" t="e">
        <f t="shared" ca="1" si="132"/>
        <v>#N/A</v>
      </c>
      <c r="BB223" s="2" t="e">
        <f t="shared" ca="1" si="133"/>
        <v>#N/A</v>
      </c>
      <c r="BC223" s="9" t="e">
        <f t="shared" ca="1" si="134"/>
        <v>#N/A</v>
      </c>
      <c r="BD223" s="9" t="e">
        <f t="shared" ca="1" si="135"/>
        <v>#N/A</v>
      </c>
    </row>
    <row r="224" spans="1:56" ht="15" x14ac:dyDescent="0.25">
      <c r="A224" s="90"/>
      <c r="B224" s="90"/>
      <c r="C224" s="91"/>
      <c r="D224" s="91"/>
      <c r="E224" s="91"/>
      <c r="F224" s="91"/>
      <c r="G224" s="91"/>
      <c r="H224" s="91"/>
      <c r="I224" s="91"/>
      <c r="J224" s="64"/>
      <c r="K224" s="64"/>
      <c r="L224" s="64"/>
      <c r="M224" s="64"/>
      <c r="O224" s="11">
        <f t="shared" ca="1" si="121"/>
        <v>-3.9378682616450625E-4</v>
      </c>
      <c r="P224" s="11">
        <f t="shared" ca="1" si="122"/>
        <v>-1.6358405771021967E-4</v>
      </c>
      <c r="Q224" s="11">
        <f t="shared" ca="1" si="123"/>
        <v>-1.614029402377854E-3</v>
      </c>
      <c r="R224" s="11">
        <f t="shared" ca="1" si="124"/>
        <v>-1.4853760121635622E-5</v>
      </c>
      <c r="S224" s="11">
        <f t="shared" ca="1" si="125"/>
        <v>-1.1458026838550334E-3</v>
      </c>
      <c r="T224" s="11">
        <f t="shared" ca="1" si="126"/>
        <v>-4.9053934342410677E-4</v>
      </c>
      <c r="U224" s="11">
        <f t="shared" ca="1" si="127"/>
        <v>-5.5074395654535931E-3</v>
      </c>
      <c r="V224" s="11"/>
      <c r="W224" s="11">
        <f t="shared" ca="1" si="100"/>
        <v>0</v>
      </c>
      <c r="X224" s="2">
        <f t="shared" ca="1" si="101"/>
        <v>-1.6358405771021967E-4</v>
      </c>
      <c r="Y224" s="2">
        <f t="shared" ca="1" si="102"/>
        <v>-1.614029402377854E-3</v>
      </c>
      <c r="Z224" s="11">
        <f t="shared" ca="1" si="103"/>
        <v>-1.4853760121635622E-5</v>
      </c>
      <c r="AA224" s="2">
        <f t="shared" ca="1" si="104"/>
        <v>-1.1458026838550334E-3</v>
      </c>
      <c r="AB224" s="11">
        <f t="shared" ca="1" si="105"/>
        <v>-4.9053934342410677E-4</v>
      </c>
      <c r="AC224" s="2">
        <f t="shared" ca="1" si="106"/>
        <v>-5.5074395654535931E-3</v>
      </c>
      <c r="AF224" s="11">
        <f t="shared" ca="1" si="107"/>
        <v>0</v>
      </c>
      <c r="AG224" s="2">
        <f t="shared" ca="1" si="108"/>
        <v>-1.6358405771021967E-4</v>
      </c>
      <c r="AH224" s="2">
        <f t="shared" ca="1" si="109"/>
        <v>-1.614029402377854E-3</v>
      </c>
      <c r="AI224" s="2">
        <f t="shared" ca="1" si="110"/>
        <v>-1.4853760121635622E-5</v>
      </c>
      <c r="AJ224" s="2">
        <f t="shared" ca="1" si="111"/>
        <v>-1.1458026838550334E-3</v>
      </c>
      <c r="AK224" s="2">
        <f t="shared" ca="1" si="112"/>
        <v>-4.9053934342410677E-4</v>
      </c>
      <c r="AL224" s="2">
        <f t="shared" ca="1" si="113"/>
        <v>-5.5074395654535931E-3</v>
      </c>
      <c r="AN224" s="2" t="e">
        <f t="shared" ca="1" si="91"/>
        <v>#N/A</v>
      </c>
      <c r="AO224" s="2" t="e">
        <f t="shared" ca="1" si="92"/>
        <v>#N/A</v>
      </c>
      <c r="AP224" s="2" t="e">
        <f t="shared" ca="1" si="93"/>
        <v>#N/A</v>
      </c>
      <c r="AQ224" s="2" t="e">
        <f t="shared" ca="1" si="94"/>
        <v>#N/A</v>
      </c>
      <c r="AR224" s="2" t="e">
        <f t="shared" ca="1" si="95"/>
        <v>#N/A</v>
      </c>
      <c r="AS224" s="2" t="e">
        <f t="shared" ca="1" si="96"/>
        <v>#N/A</v>
      </c>
      <c r="AT224" s="9" t="e">
        <f t="shared" ca="1" si="97"/>
        <v>#N/A</v>
      </c>
      <c r="AU224" s="9" t="e">
        <f t="shared" ca="1" si="98"/>
        <v>#N/A</v>
      </c>
      <c r="AW224" s="2" t="e">
        <f t="shared" ca="1" si="128"/>
        <v>#N/A</v>
      </c>
      <c r="AX224" s="2" t="e">
        <f t="shared" ca="1" si="129"/>
        <v>#N/A</v>
      </c>
      <c r="AY224" s="2" t="e">
        <f t="shared" ca="1" si="130"/>
        <v>#N/A</v>
      </c>
      <c r="AZ224" s="2" t="e">
        <f t="shared" ca="1" si="131"/>
        <v>#N/A</v>
      </c>
      <c r="BA224" s="2" t="e">
        <f t="shared" ca="1" si="132"/>
        <v>#N/A</v>
      </c>
      <c r="BB224" s="2" t="e">
        <f t="shared" ca="1" si="133"/>
        <v>#N/A</v>
      </c>
      <c r="BC224" s="9" t="e">
        <f t="shared" ca="1" si="134"/>
        <v>#N/A</v>
      </c>
      <c r="BD224" s="9" t="e">
        <f t="shared" ca="1" si="135"/>
        <v>#N/A</v>
      </c>
    </row>
    <row r="225" spans="1:56" ht="15" x14ac:dyDescent="0.25">
      <c r="A225" s="90"/>
      <c r="B225" s="90"/>
      <c r="C225" s="91"/>
      <c r="D225" s="91"/>
      <c r="E225" s="91"/>
      <c r="F225" s="91"/>
      <c r="G225" s="91"/>
      <c r="H225" s="91"/>
      <c r="I225" s="91"/>
      <c r="J225" s="64"/>
      <c r="K225" s="64"/>
      <c r="L225" s="64"/>
      <c r="M225" s="64"/>
      <c r="O225" s="11">
        <f t="shared" ca="1" si="121"/>
        <v>-3.9378682616450625E-4</v>
      </c>
      <c r="P225" s="11">
        <f t="shared" ca="1" si="122"/>
        <v>-1.6358405771021967E-4</v>
      </c>
      <c r="Q225" s="11">
        <f t="shared" ca="1" si="123"/>
        <v>-1.614029402377854E-3</v>
      </c>
      <c r="R225" s="11">
        <f t="shared" ca="1" si="124"/>
        <v>-1.4853760121635622E-5</v>
      </c>
      <c r="S225" s="11">
        <f t="shared" ca="1" si="125"/>
        <v>-1.1458026838550334E-3</v>
      </c>
      <c r="T225" s="11">
        <f t="shared" ca="1" si="126"/>
        <v>-4.9053934342410677E-4</v>
      </c>
      <c r="U225" s="11">
        <f t="shared" ca="1" si="127"/>
        <v>-5.5074395654535931E-3</v>
      </c>
      <c r="V225" s="11"/>
      <c r="W225" s="11">
        <f t="shared" ca="1" si="100"/>
        <v>0</v>
      </c>
      <c r="X225" s="2">
        <f t="shared" ca="1" si="101"/>
        <v>-1.6358405771021967E-4</v>
      </c>
      <c r="Y225" s="2">
        <f t="shared" ca="1" si="102"/>
        <v>-1.614029402377854E-3</v>
      </c>
      <c r="Z225" s="11">
        <f t="shared" ca="1" si="103"/>
        <v>-1.4853760121635622E-5</v>
      </c>
      <c r="AA225" s="2">
        <f t="shared" ca="1" si="104"/>
        <v>-1.1458026838550334E-3</v>
      </c>
      <c r="AB225" s="11">
        <f t="shared" ca="1" si="105"/>
        <v>-4.9053934342410677E-4</v>
      </c>
      <c r="AC225" s="2">
        <f t="shared" ca="1" si="106"/>
        <v>-5.5074395654535931E-3</v>
      </c>
      <c r="AF225" s="11">
        <f t="shared" ca="1" si="107"/>
        <v>0</v>
      </c>
      <c r="AG225" s="2">
        <f t="shared" ca="1" si="108"/>
        <v>-1.6358405771021967E-4</v>
      </c>
      <c r="AH225" s="2">
        <f t="shared" ca="1" si="109"/>
        <v>-1.614029402377854E-3</v>
      </c>
      <c r="AI225" s="2">
        <f t="shared" ca="1" si="110"/>
        <v>-1.4853760121635622E-5</v>
      </c>
      <c r="AJ225" s="2">
        <f t="shared" ca="1" si="111"/>
        <v>-1.1458026838550334E-3</v>
      </c>
      <c r="AK225" s="2">
        <f t="shared" ca="1" si="112"/>
        <v>-4.9053934342410677E-4</v>
      </c>
      <c r="AL225" s="2">
        <f t="shared" ca="1" si="113"/>
        <v>-5.5074395654535931E-3</v>
      </c>
      <c r="AN225" s="2" t="e">
        <f t="shared" ca="1" si="91"/>
        <v>#N/A</v>
      </c>
      <c r="AO225" s="2" t="e">
        <f t="shared" ca="1" si="92"/>
        <v>#N/A</v>
      </c>
      <c r="AP225" s="2" t="e">
        <f t="shared" ca="1" si="93"/>
        <v>#N/A</v>
      </c>
      <c r="AQ225" s="2" t="e">
        <f t="shared" ca="1" si="94"/>
        <v>#N/A</v>
      </c>
      <c r="AR225" s="2" t="e">
        <f t="shared" ca="1" si="95"/>
        <v>#N/A</v>
      </c>
      <c r="AS225" s="2" t="e">
        <f t="shared" ca="1" si="96"/>
        <v>#N/A</v>
      </c>
      <c r="AT225" s="9" t="e">
        <f t="shared" ca="1" si="97"/>
        <v>#N/A</v>
      </c>
      <c r="AU225" s="9" t="e">
        <f t="shared" ca="1" si="98"/>
        <v>#N/A</v>
      </c>
      <c r="AW225" s="2" t="e">
        <f t="shared" ca="1" si="128"/>
        <v>#N/A</v>
      </c>
      <c r="AX225" s="2" t="e">
        <f t="shared" ca="1" si="129"/>
        <v>#N/A</v>
      </c>
      <c r="AY225" s="2" t="e">
        <f t="shared" ca="1" si="130"/>
        <v>#N/A</v>
      </c>
      <c r="AZ225" s="2" t="e">
        <f t="shared" ca="1" si="131"/>
        <v>#N/A</v>
      </c>
      <c r="BA225" s="2" t="e">
        <f t="shared" ca="1" si="132"/>
        <v>#N/A</v>
      </c>
      <c r="BB225" s="2" t="e">
        <f t="shared" ca="1" si="133"/>
        <v>#N/A</v>
      </c>
      <c r="BC225" s="9" t="e">
        <f t="shared" ca="1" si="134"/>
        <v>#N/A</v>
      </c>
      <c r="BD225" s="9" t="e">
        <f t="shared" ca="1" si="135"/>
        <v>#N/A</v>
      </c>
    </row>
    <row r="226" spans="1:56" ht="15" x14ac:dyDescent="0.25">
      <c r="A226" s="90"/>
      <c r="B226" s="90"/>
      <c r="C226" s="91"/>
      <c r="D226" s="91"/>
      <c r="E226" s="91"/>
      <c r="F226" s="91"/>
      <c r="G226" s="91"/>
      <c r="H226" s="91"/>
      <c r="I226" s="91"/>
      <c r="J226" s="64"/>
      <c r="K226" s="64"/>
      <c r="L226" s="64"/>
      <c r="M226" s="64"/>
      <c r="O226" s="11">
        <f t="shared" ca="1" si="121"/>
        <v>-3.9378682616450625E-4</v>
      </c>
      <c r="P226" s="11">
        <f t="shared" ca="1" si="122"/>
        <v>-1.6358405771021967E-4</v>
      </c>
      <c r="Q226" s="11">
        <f t="shared" ca="1" si="123"/>
        <v>-1.614029402377854E-3</v>
      </c>
      <c r="R226" s="11">
        <f t="shared" ca="1" si="124"/>
        <v>-1.4853760121635622E-5</v>
      </c>
      <c r="S226" s="11">
        <f t="shared" ca="1" si="125"/>
        <v>-1.1458026838550334E-3</v>
      </c>
      <c r="T226" s="11">
        <f t="shared" ca="1" si="126"/>
        <v>-4.9053934342410677E-4</v>
      </c>
      <c r="U226" s="11">
        <f t="shared" ca="1" si="127"/>
        <v>-5.5074395654535931E-3</v>
      </c>
      <c r="V226" s="11"/>
      <c r="W226" s="11">
        <f t="shared" ca="1" si="100"/>
        <v>0</v>
      </c>
      <c r="X226" s="2">
        <f t="shared" ca="1" si="101"/>
        <v>-1.6358405771021967E-4</v>
      </c>
      <c r="Y226" s="2">
        <f t="shared" ca="1" si="102"/>
        <v>-1.614029402377854E-3</v>
      </c>
      <c r="Z226" s="11">
        <f t="shared" ca="1" si="103"/>
        <v>-1.4853760121635622E-5</v>
      </c>
      <c r="AA226" s="2">
        <f t="shared" ca="1" si="104"/>
        <v>-1.1458026838550334E-3</v>
      </c>
      <c r="AB226" s="11">
        <f t="shared" ca="1" si="105"/>
        <v>-4.9053934342410677E-4</v>
      </c>
      <c r="AC226" s="2">
        <f t="shared" ca="1" si="106"/>
        <v>-5.5074395654535931E-3</v>
      </c>
      <c r="AF226" s="11">
        <f t="shared" ca="1" si="107"/>
        <v>0</v>
      </c>
      <c r="AG226" s="2">
        <f t="shared" ca="1" si="108"/>
        <v>-1.6358405771021967E-4</v>
      </c>
      <c r="AH226" s="2">
        <f t="shared" ca="1" si="109"/>
        <v>-1.614029402377854E-3</v>
      </c>
      <c r="AI226" s="2">
        <f t="shared" ca="1" si="110"/>
        <v>-1.4853760121635622E-5</v>
      </c>
      <c r="AJ226" s="2">
        <f t="shared" ca="1" si="111"/>
        <v>-1.1458026838550334E-3</v>
      </c>
      <c r="AK226" s="2">
        <f t="shared" ca="1" si="112"/>
        <v>-4.9053934342410677E-4</v>
      </c>
      <c r="AL226" s="2">
        <f t="shared" ca="1" si="113"/>
        <v>-5.5074395654535931E-3</v>
      </c>
      <c r="AN226" s="2" t="e">
        <f t="shared" ca="1" si="91"/>
        <v>#N/A</v>
      </c>
      <c r="AO226" s="2" t="e">
        <f t="shared" ca="1" si="92"/>
        <v>#N/A</v>
      </c>
      <c r="AP226" s="2" t="e">
        <f t="shared" ca="1" si="93"/>
        <v>#N/A</v>
      </c>
      <c r="AQ226" s="2" t="e">
        <f t="shared" ca="1" si="94"/>
        <v>#N/A</v>
      </c>
      <c r="AR226" s="2" t="e">
        <f t="shared" ca="1" si="95"/>
        <v>#N/A</v>
      </c>
      <c r="AS226" s="2" t="e">
        <f t="shared" ca="1" si="96"/>
        <v>#N/A</v>
      </c>
      <c r="AT226" s="9" t="e">
        <f t="shared" ca="1" si="97"/>
        <v>#N/A</v>
      </c>
      <c r="AU226" s="9" t="e">
        <f t="shared" ca="1" si="98"/>
        <v>#N/A</v>
      </c>
      <c r="AW226" s="2" t="e">
        <f t="shared" ca="1" si="128"/>
        <v>#N/A</v>
      </c>
      <c r="AX226" s="2" t="e">
        <f t="shared" ca="1" si="129"/>
        <v>#N/A</v>
      </c>
      <c r="AY226" s="2" t="e">
        <f t="shared" ca="1" si="130"/>
        <v>#N/A</v>
      </c>
      <c r="AZ226" s="2" t="e">
        <f t="shared" ca="1" si="131"/>
        <v>#N/A</v>
      </c>
      <c r="BA226" s="2" t="e">
        <f t="shared" ca="1" si="132"/>
        <v>#N/A</v>
      </c>
      <c r="BB226" s="2" t="e">
        <f t="shared" ca="1" si="133"/>
        <v>#N/A</v>
      </c>
      <c r="BC226" s="9" t="e">
        <f t="shared" ca="1" si="134"/>
        <v>#N/A</v>
      </c>
      <c r="BD226" s="9" t="e">
        <f t="shared" ca="1" si="135"/>
        <v>#N/A</v>
      </c>
    </row>
    <row r="227" spans="1:56" ht="15" x14ac:dyDescent="0.25">
      <c r="A227" s="90"/>
      <c r="B227" s="90"/>
      <c r="C227" s="91"/>
      <c r="D227" s="91"/>
      <c r="E227" s="91"/>
      <c r="F227" s="91"/>
      <c r="G227" s="91"/>
      <c r="H227" s="91"/>
      <c r="I227" s="91"/>
      <c r="J227" s="64"/>
      <c r="K227" s="64"/>
      <c r="L227" s="64"/>
      <c r="M227" s="64"/>
      <c r="O227" s="11">
        <f t="shared" ca="1" si="121"/>
        <v>-3.9378682616450625E-4</v>
      </c>
      <c r="P227" s="11">
        <f t="shared" ca="1" si="122"/>
        <v>-1.6358405771021967E-4</v>
      </c>
      <c r="Q227" s="11">
        <f t="shared" ca="1" si="123"/>
        <v>-1.614029402377854E-3</v>
      </c>
      <c r="R227" s="11">
        <f t="shared" ca="1" si="124"/>
        <v>-1.4853760121635622E-5</v>
      </c>
      <c r="S227" s="11">
        <f t="shared" ca="1" si="125"/>
        <v>-1.1458026838550334E-3</v>
      </c>
      <c r="T227" s="11">
        <f t="shared" ca="1" si="126"/>
        <v>-4.9053934342410677E-4</v>
      </c>
      <c r="U227" s="11">
        <f t="shared" ca="1" si="127"/>
        <v>-5.5074395654535931E-3</v>
      </c>
      <c r="V227" s="11"/>
      <c r="W227" s="11">
        <f t="shared" ca="1" si="100"/>
        <v>0</v>
      </c>
      <c r="X227" s="2">
        <f t="shared" ca="1" si="101"/>
        <v>-1.6358405771021967E-4</v>
      </c>
      <c r="Y227" s="2">
        <f t="shared" ca="1" si="102"/>
        <v>-1.614029402377854E-3</v>
      </c>
      <c r="Z227" s="11">
        <f t="shared" ca="1" si="103"/>
        <v>-1.4853760121635622E-5</v>
      </c>
      <c r="AA227" s="2">
        <f t="shared" ca="1" si="104"/>
        <v>-1.1458026838550334E-3</v>
      </c>
      <c r="AB227" s="11">
        <f t="shared" ca="1" si="105"/>
        <v>-4.9053934342410677E-4</v>
      </c>
      <c r="AC227" s="2">
        <f t="shared" ca="1" si="106"/>
        <v>-5.5074395654535931E-3</v>
      </c>
      <c r="AF227" s="11">
        <f t="shared" ca="1" si="107"/>
        <v>0</v>
      </c>
      <c r="AG227" s="2">
        <f t="shared" ca="1" si="108"/>
        <v>-1.6358405771021967E-4</v>
      </c>
      <c r="AH227" s="2">
        <f t="shared" ca="1" si="109"/>
        <v>-1.614029402377854E-3</v>
      </c>
      <c r="AI227" s="2">
        <f t="shared" ca="1" si="110"/>
        <v>-1.4853760121635622E-5</v>
      </c>
      <c r="AJ227" s="2">
        <f t="shared" ca="1" si="111"/>
        <v>-1.1458026838550334E-3</v>
      </c>
      <c r="AK227" s="2">
        <f t="shared" ca="1" si="112"/>
        <v>-4.9053934342410677E-4</v>
      </c>
      <c r="AL227" s="2">
        <f t="shared" ca="1" si="113"/>
        <v>-5.5074395654535931E-3</v>
      </c>
      <c r="AN227" s="2" t="e">
        <f t="shared" ca="1" si="91"/>
        <v>#N/A</v>
      </c>
      <c r="AO227" s="2" t="e">
        <f t="shared" ca="1" si="92"/>
        <v>#N/A</v>
      </c>
      <c r="AP227" s="2" t="e">
        <f t="shared" ca="1" si="93"/>
        <v>#N/A</v>
      </c>
      <c r="AQ227" s="2" t="e">
        <f t="shared" ca="1" si="94"/>
        <v>#N/A</v>
      </c>
      <c r="AR227" s="2" t="e">
        <f t="shared" ca="1" si="95"/>
        <v>#N/A</v>
      </c>
      <c r="AS227" s="2" t="e">
        <f t="shared" ca="1" si="96"/>
        <v>#N/A</v>
      </c>
      <c r="AT227" s="9" t="e">
        <f t="shared" ca="1" si="97"/>
        <v>#N/A</v>
      </c>
      <c r="AU227" s="9" t="e">
        <f t="shared" ca="1" si="98"/>
        <v>#N/A</v>
      </c>
      <c r="AW227" s="2" t="e">
        <f t="shared" ca="1" si="128"/>
        <v>#N/A</v>
      </c>
      <c r="AX227" s="2" t="e">
        <f t="shared" ca="1" si="129"/>
        <v>#N/A</v>
      </c>
      <c r="AY227" s="2" t="e">
        <f t="shared" ca="1" si="130"/>
        <v>#N/A</v>
      </c>
      <c r="AZ227" s="2" t="e">
        <f t="shared" ca="1" si="131"/>
        <v>#N/A</v>
      </c>
      <c r="BA227" s="2" t="e">
        <f t="shared" ca="1" si="132"/>
        <v>#N/A</v>
      </c>
      <c r="BB227" s="2" t="e">
        <f t="shared" ca="1" si="133"/>
        <v>#N/A</v>
      </c>
      <c r="BC227" s="9" t="e">
        <f t="shared" ca="1" si="134"/>
        <v>#N/A</v>
      </c>
      <c r="BD227" s="9" t="e">
        <f t="shared" ca="1" si="135"/>
        <v>#N/A</v>
      </c>
    </row>
    <row r="228" spans="1:56" ht="15" x14ac:dyDescent="0.25">
      <c r="A228" s="90"/>
      <c r="B228" s="90"/>
      <c r="C228" s="91"/>
      <c r="D228" s="91"/>
      <c r="E228" s="91"/>
      <c r="F228" s="91"/>
      <c r="G228" s="91"/>
      <c r="H228" s="91"/>
      <c r="I228" s="91"/>
      <c r="J228" s="64"/>
      <c r="K228" s="64"/>
      <c r="L228" s="64"/>
      <c r="M228" s="64"/>
      <c r="O228" s="11">
        <f t="shared" ca="1" si="121"/>
        <v>-3.9378682616450625E-4</v>
      </c>
      <c r="P228" s="11">
        <f t="shared" ca="1" si="122"/>
        <v>-1.6358405771021967E-4</v>
      </c>
      <c r="Q228" s="11">
        <f t="shared" ca="1" si="123"/>
        <v>-1.614029402377854E-3</v>
      </c>
      <c r="R228" s="11">
        <f t="shared" ca="1" si="124"/>
        <v>-1.4853760121635622E-5</v>
      </c>
      <c r="S228" s="11">
        <f t="shared" ca="1" si="125"/>
        <v>-1.1458026838550334E-3</v>
      </c>
      <c r="T228" s="11">
        <f t="shared" ca="1" si="126"/>
        <v>-4.9053934342410677E-4</v>
      </c>
      <c r="U228" s="11">
        <f t="shared" ca="1" si="127"/>
        <v>-5.5074395654535931E-3</v>
      </c>
      <c r="V228" s="11"/>
      <c r="W228" s="11">
        <f t="shared" ca="1" si="100"/>
        <v>0</v>
      </c>
      <c r="X228" s="2">
        <f t="shared" ca="1" si="101"/>
        <v>-1.6358405771021967E-4</v>
      </c>
      <c r="Y228" s="2">
        <f t="shared" ca="1" si="102"/>
        <v>-1.614029402377854E-3</v>
      </c>
      <c r="Z228" s="11">
        <f t="shared" ca="1" si="103"/>
        <v>-1.4853760121635622E-5</v>
      </c>
      <c r="AA228" s="2">
        <f t="shared" ca="1" si="104"/>
        <v>-1.1458026838550334E-3</v>
      </c>
      <c r="AB228" s="11">
        <f t="shared" ca="1" si="105"/>
        <v>-4.9053934342410677E-4</v>
      </c>
      <c r="AC228" s="2">
        <f t="shared" ca="1" si="106"/>
        <v>-5.5074395654535931E-3</v>
      </c>
      <c r="AF228" s="11">
        <f t="shared" ca="1" si="107"/>
        <v>0</v>
      </c>
      <c r="AG228" s="2">
        <f t="shared" ca="1" si="108"/>
        <v>-1.6358405771021967E-4</v>
      </c>
      <c r="AH228" s="2">
        <f t="shared" ca="1" si="109"/>
        <v>-1.614029402377854E-3</v>
      </c>
      <c r="AI228" s="2">
        <f t="shared" ca="1" si="110"/>
        <v>-1.4853760121635622E-5</v>
      </c>
      <c r="AJ228" s="2">
        <f t="shared" ca="1" si="111"/>
        <v>-1.1458026838550334E-3</v>
      </c>
      <c r="AK228" s="2">
        <f t="shared" ca="1" si="112"/>
        <v>-4.9053934342410677E-4</v>
      </c>
      <c r="AL228" s="2">
        <f t="shared" ca="1" si="113"/>
        <v>-5.5074395654535931E-3</v>
      </c>
      <c r="AN228" s="2" t="e">
        <f t="shared" ca="1" si="91"/>
        <v>#N/A</v>
      </c>
      <c r="AO228" s="2" t="e">
        <f t="shared" ca="1" si="92"/>
        <v>#N/A</v>
      </c>
      <c r="AP228" s="2" t="e">
        <f t="shared" ca="1" si="93"/>
        <v>#N/A</v>
      </c>
      <c r="AQ228" s="2" t="e">
        <f t="shared" ca="1" si="94"/>
        <v>#N/A</v>
      </c>
      <c r="AR228" s="2" t="e">
        <f t="shared" ca="1" si="95"/>
        <v>#N/A</v>
      </c>
      <c r="AS228" s="2" t="e">
        <f t="shared" ca="1" si="96"/>
        <v>#N/A</v>
      </c>
      <c r="AT228" s="9" t="e">
        <f t="shared" ca="1" si="97"/>
        <v>#N/A</v>
      </c>
      <c r="AU228" s="9" t="e">
        <f t="shared" ca="1" si="98"/>
        <v>#N/A</v>
      </c>
      <c r="AW228" s="2" t="e">
        <f t="shared" ca="1" si="128"/>
        <v>#N/A</v>
      </c>
      <c r="AX228" s="2" t="e">
        <f t="shared" ca="1" si="129"/>
        <v>#N/A</v>
      </c>
      <c r="AY228" s="2" t="e">
        <f t="shared" ca="1" si="130"/>
        <v>#N/A</v>
      </c>
      <c r="AZ228" s="2" t="e">
        <f t="shared" ca="1" si="131"/>
        <v>#N/A</v>
      </c>
      <c r="BA228" s="2" t="e">
        <f t="shared" ca="1" si="132"/>
        <v>#N/A</v>
      </c>
      <c r="BB228" s="2" t="e">
        <f t="shared" ca="1" si="133"/>
        <v>#N/A</v>
      </c>
      <c r="BC228" s="9" t="e">
        <f t="shared" ca="1" si="134"/>
        <v>#N/A</v>
      </c>
      <c r="BD228" s="9" t="e">
        <f t="shared" ca="1" si="135"/>
        <v>#N/A</v>
      </c>
    </row>
    <row r="229" spans="1:56" ht="15" x14ac:dyDescent="0.25">
      <c r="A229" s="90"/>
      <c r="B229" s="90"/>
      <c r="C229" s="91"/>
      <c r="D229" s="91"/>
      <c r="E229" s="91"/>
      <c r="F229" s="91"/>
      <c r="G229" s="91"/>
      <c r="H229" s="91"/>
      <c r="I229" s="91"/>
      <c r="J229" s="64"/>
      <c r="K229" s="64"/>
      <c r="L229" s="64"/>
      <c r="M229" s="64"/>
      <c r="O229" s="11">
        <f t="shared" ca="1" si="121"/>
        <v>-3.9378682616450625E-4</v>
      </c>
      <c r="P229" s="11">
        <f t="shared" ca="1" si="122"/>
        <v>-1.6358405771021967E-4</v>
      </c>
      <c r="Q229" s="11">
        <f t="shared" ca="1" si="123"/>
        <v>-1.614029402377854E-3</v>
      </c>
      <c r="R229" s="11">
        <f t="shared" ca="1" si="124"/>
        <v>-1.4853760121635622E-5</v>
      </c>
      <c r="S229" s="11">
        <f t="shared" ca="1" si="125"/>
        <v>-1.1458026838550334E-3</v>
      </c>
      <c r="T229" s="11">
        <f t="shared" ca="1" si="126"/>
        <v>-4.9053934342410677E-4</v>
      </c>
      <c r="U229" s="11">
        <f t="shared" ca="1" si="127"/>
        <v>-5.5074395654535931E-3</v>
      </c>
      <c r="V229" s="11"/>
      <c r="W229" s="11">
        <f t="shared" ca="1" si="100"/>
        <v>0</v>
      </c>
      <c r="X229" s="2">
        <f t="shared" ca="1" si="101"/>
        <v>-1.6358405771021967E-4</v>
      </c>
      <c r="Y229" s="2">
        <f t="shared" ca="1" si="102"/>
        <v>-1.614029402377854E-3</v>
      </c>
      <c r="Z229" s="11">
        <f t="shared" ca="1" si="103"/>
        <v>-1.4853760121635622E-5</v>
      </c>
      <c r="AA229" s="2">
        <f t="shared" ca="1" si="104"/>
        <v>-1.1458026838550334E-3</v>
      </c>
      <c r="AB229" s="11">
        <f t="shared" ca="1" si="105"/>
        <v>-4.9053934342410677E-4</v>
      </c>
      <c r="AC229" s="2">
        <f t="shared" ca="1" si="106"/>
        <v>-5.5074395654535931E-3</v>
      </c>
      <c r="AF229" s="11">
        <f t="shared" ca="1" si="107"/>
        <v>0</v>
      </c>
      <c r="AG229" s="2">
        <f t="shared" ca="1" si="108"/>
        <v>-1.6358405771021967E-4</v>
      </c>
      <c r="AH229" s="2">
        <f t="shared" ca="1" si="109"/>
        <v>-1.614029402377854E-3</v>
      </c>
      <c r="AI229" s="2">
        <f t="shared" ca="1" si="110"/>
        <v>-1.4853760121635622E-5</v>
      </c>
      <c r="AJ229" s="2">
        <f t="shared" ca="1" si="111"/>
        <v>-1.1458026838550334E-3</v>
      </c>
      <c r="AK229" s="2">
        <f t="shared" ca="1" si="112"/>
        <v>-4.9053934342410677E-4</v>
      </c>
      <c r="AL229" s="2">
        <f t="shared" ca="1" si="113"/>
        <v>-5.5074395654535931E-3</v>
      </c>
      <c r="AN229" s="2" t="e">
        <f t="shared" ca="1" si="91"/>
        <v>#N/A</v>
      </c>
      <c r="AO229" s="2" t="e">
        <f t="shared" ca="1" si="92"/>
        <v>#N/A</v>
      </c>
      <c r="AP229" s="2" t="e">
        <f t="shared" ca="1" si="93"/>
        <v>#N/A</v>
      </c>
      <c r="AQ229" s="2" t="e">
        <f t="shared" ca="1" si="94"/>
        <v>#N/A</v>
      </c>
      <c r="AR229" s="2" t="e">
        <f t="shared" ca="1" si="95"/>
        <v>#N/A</v>
      </c>
      <c r="AS229" s="2" t="e">
        <f t="shared" ca="1" si="96"/>
        <v>#N/A</v>
      </c>
      <c r="AT229" s="9" t="e">
        <f t="shared" ca="1" si="97"/>
        <v>#N/A</v>
      </c>
      <c r="AU229" s="9" t="e">
        <f t="shared" ca="1" si="98"/>
        <v>#N/A</v>
      </c>
      <c r="AW229" s="2" t="e">
        <f t="shared" ca="1" si="128"/>
        <v>#N/A</v>
      </c>
      <c r="AX229" s="2" t="e">
        <f t="shared" ca="1" si="129"/>
        <v>#N/A</v>
      </c>
      <c r="AY229" s="2" t="e">
        <f t="shared" ca="1" si="130"/>
        <v>#N/A</v>
      </c>
      <c r="AZ229" s="2" t="e">
        <f t="shared" ca="1" si="131"/>
        <v>#N/A</v>
      </c>
      <c r="BA229" s="2" t="e">
        <f t="shared" ca="1" si="132"/>
        <v>#N/A</v>
      </c>
      <c r="BB229" s="2" t="e">
        <f t="shared" ca="1" si="133"/>
        <v>#N/A</v>
      </c>
      <c r="BC229" s="9" t="e">
        <f t="shared" ca="1" si="134"/>
        <v>#N/A</v>
      </c>
      <c r="BD229" s="9" t="e">
        <f t="shared" ca="1" si="135"/>
        <v>#N/A</v>
      </c>
    </row>
    <row r="230" spans="1:56" ht="15" x14ac:dyDescent="0.25">
      <c r="A230" s="90"/>
      <c r="B230" s="90"/>
      <c r="C230" s="91"/>
      <c r="D230" s="91"/>
      <c r="E230" s="91"/>
      <c r="F230" s="91"/>
      <c r="G230" s="91"/>
      <c r="H230" s="91"/>
      <c r="I230" s="91"/>
      <c r="J230" s="64"/>
      <c r="K230" s="64"/>
      <c r="L230" s="64"/>
      <c r="M230" s="64"/>
      <c r="O230" s="11">
        <f t="shared" ca="1" si="121"/>
        <v>-3.9378682616450625E-4</v>
      </c>
      <c r="P230" s="11">
        <f t="shared" ca="1" si="122"/>
        <v>-1.6358405771021967E-4</v>
      </c>
      <c r="Q230" s="11">
        <f t="shared" ca="1" si="123"/>
        <v>-1.614029402377854E-3</v>
      </c>
      <c r="R230" s="11">
        <f t="shared" ca="1" si="124"/>
        <v>-1.4853760121635622E-5</v>
      </c>
      <c r="S230" s="11">
        <f t="shared" ca="1" si="125"/>
        <v>-1.1458026838550334E-3</v>
      </c>
      <c r="T230" s="11">
        <f t="shared" ca="1" si="126"/>
        <v>-4.9053934342410677E-4</v>
      </c>
      <c r="U230" s="11">
        <f t="shared" ca="1" si="127"/>
        <v>-5.5074395654535931E-3</v>
      </c>
      <c r="V230" s="11"/>
      <c r="W230" s="11">
        <f t="shared" ca="1" si="100"/>
        <v>0</v>
      </c>
      <c r="X230" s="2">
        <f t="shared" ca="1" si="101"/>
        <v>-1.6358405771021967E-4</v>
      </c>
      <c r="Y230" s="2">
        <f t="shared" ca="1" si="102"/>
        <v>-1.614029402377854E-3</v>
      </c>
      <c r="Z230" s="11">
        <f t="shared" ca="1" si="103"/>
        <v>-1.4853760121635622E-5</v>
      </c>
      <c r="AA230" s="2">
        <f t="shared" ca="1" si="104"/>
        <v>-1.1458026838550334E-3</v>
      </c>
      <c r="AB230" s="11">
        <f t="shared" ca="1" si="105"/>
        <v>-4.9053934342410677E-4</v>
      </c>
      <c r="AC230" s="2">
        <f t="shared" ca="1" si="106"/>
        <v>-5.5074395654535931E-3</v>
      </c>
      <c r="AF230" s="11">
        <f t="shared" ca="1" si="107"/>
        <v>0</v>
      </c>
      <c r="AG230" s="2">
        <f t="shared" ca="1" si="108"/>
        <v>-1.6358405771021967E-4</v>
      </c>
      <c r="AH230" s="2">
        <f t="shared" ca="1" si="109"/>
        <v>-1.614029402377854E-3</v>
      </c>
      <c r="AI230" s="2">
        <f t="shared" ca="1" si="110"/>
        <v>-1.4853760121635622E-5</v>
      </c>
      <c r="AJ230" s="2">
        <f t="shared" ca="1" si="111"/>
        <v>-1.1458026838550334E-3</v>
      </c>
      <c r="AK230" s="2">
        <f t="shared" ca="1" si="112"/>
        <v>-4.9053934342410677E-4</v>
      </c>
      <c r="AL230" s="2">
        <f t="shared" ca="1" si="113"/>
        <v>-5.5074395654535931E-3</v>
      </c>
      <c r="AN230" s="2" t="e">
        <f t="shared" ca="1" si="91"/>
        <v>#N/A</v>
      </c>
      <c r="AO230" s="2" t="e">
        <f t="shared" ca="1" si="92"/>
        <v>#N/A</v>
      </c>
      <c r="AP230" s="2" t="e">
        <f t="shared" ca="1" si="93"/>
        <v>#N/A</v>
      </c>
      <c r="AQ230" s="2" t="e">
        <f t="shared" ca="1" si="94"/>
        <v>#N/A</v>
      </c>
      <c r="AR230" s="2" t="e">
        <f t="shared" ca="1" si="95"/>
        <v>#N/A</v>
      </c>
      <c r="AS230" s="2" t="e">
        <f t="shared" ca="1" si="96"/>
        <v>#N/A</v>
      </c>
      <c r="AT230" s="9" t="e">
        <f t="shared" ca="1" si="97"/>
        <v>#N/A</v>
      </c>
      <c r="AU230" s="9" t="e">
        <f t="shared" ca="1" si="98"/>
        <v>#N/A</v>
      </c>
      <c r="AW230" s="2" t="e">
        <f t="shared" ca="1" si="128"/>
        <v>#N/A</v>
      </c>
      <c r="AX230" s="2" t="e">
        <f t="shared" ca="1" si="129"/>
        <v>#N/A</v>
      </c>
      <c r="AY230" s="2" t="e">
        <f t="shared" ca="1" si="130"/>
        <v>#N/A</v>
      </c>
      <c r="AZ230" s="2" t="e">
        <f t="shared" ca="1" si="131"/>
        <v>#N/A</v>
      </c>
      <c r="BA230" s="2" t="e">
        <f t="shared" ca="1" si="132"/>
        <v>#N/A</v>
      </c>
      <c r="BB230" s="2" t="e">
        <f t="shared" ca="1" si="133"/>
        <v>#N/A</v>
      </c>
      <c r="BC230" s="9" t="e">
        <f t="shared" ca="1" si="134"/>
        <v>#N/A</v>
      </c>
      <c r="BD230" s="9" t="e">
        <f t="shared" ca="1" si="135"/>
        <v>#N/A</v>
      </c>
    </row>
    <row r="231" spans="1:56" ht="15" x14ac:dyDescent="0.25">
      <c r="A231" s="90"/>
      <c r="B231" s="90"/>
      <c r="C231" s="91"/>
      <c r="D231" s="91"/>
      <c r="E231" s="91"/>
      <c r="F231" s="91"/>
      <c r="G231" s="91"/>
      <c r="H231" s="91"/>
      <c r="I231" s="91"/>
      <c r="J231" s="64"/>
      <c r="K231" s="64"/>
      <c r="L231" s="64"/>
      <c r="M231" s="64"/>
      <c r="O231" s="11">
        <f t="shared" ca="1" si="121"/>
        <v>-3.9378682616450625E-4</v>
      </c>
      <c r="P231" s="11">
        <f t="shared" ca="1" si="122"/>
        <v>-1.6358405771021967E-4</v>
      </c>
      <c r="Q231" s="11">
        <f t="shared" ca="1" si="123"/>
        <v>-1.614029402377854E-3</v>
      </c>
      <c r="R231" s="11">
        <f t="shared" ca="1" si="124"/>
        <v>-1.4853760121635622E-5</v>
      </c>
      <c r="S231" s="11">
        <f t="shared" ca="1" si="125"/>
        <v>-1.1458026838550334E-3</v>
      </c>
      <c r="T231" s="11">
        <f t="shared" ca="1" si="126"/>
        <v>-4.9053934342410677E-4</v>
      </c>
      <c r="U231" s="11">
        <f t="shared" ca="1" si="127"/>
        <v>-5.5074395654535931E-3</v>
      </c>
      <c r="V231" s="11"/>
      <c r="W231" s="11">
        <f t="shared" ca="1" si="100"/>
        <v>0</v>
      </c>
      <c r="X231" s="2">
        <f t="shared" ca="1" si="101"/>
        <v>-1.6358405771021967E-4</v>
      </c>
      <c r="Y231" s="2">
        <f t="shared" ca="1" si="102"/>
        <v>-1.614029402377854E-3</v>
      </c>
      <c r="Z231" s="11">
        <f t="shared" ca="1" si="103"/>
        <v>-1.4853760121635622E-5</v>
      </c>
      <c r="AA231" s="2">
        <f t="shared" ca="1" si="104"/>
        <v>-1.1458026838550334E-3</v>
      </c>
      <c r="AB231" s="11">
        <f t="shared" ca="1" si="105"/>
        <v>-4.9053934342410677E-4</v>
      </c>
      <c r="AC231" s="2">
        <f t="shared" ca="1" si="106"/>
        <v>-5.5074395654535931E-3</v>
      </c>
      <c r="AF231" s="11">
        <f t="shared" ca="1" si="107"/>
        <v>0</v>
      </c>
      <c r="AG231" s="2">
        <f t="shared" ca="1" si="108"/>
        <v>-1.6358405771021967E-4</v>
      </c>
      <c r="AH231" s="2">
        <f t="shared" ca="1" si="109"/>
        <v>-1.614029402377854E-3</v>
      </c>
      <c r="AI231" s="2">
        <f t="shared" ca="1" si="110"/>
        <v>-1.4853760121635622E-5</v>
      </c>
      <c r="AJ231" s="2">
        <f t="shared" ca="1" si="111"/>
        <v>-1.1458026838550334E-3</v>
      </c>
      <c r="AK231" s="2">
        <f t="shared" ca="1" si="112"/>
        <v>-4.9053934342410677E-4</v>
      </c>
      <c r="AL231" s="2">
        <f t="shared" ca="1" si="113"/>
        <v>-5.5074395654535931E-3</v>
      </c>
      <c r="AN231" s="2" t="e">
        <f t="shared" ca="1" si="91"/>
        <v>#N/A</v>
      </c>
      <c r="AO231" s="2" t="e">
        <f t="shared" ca="1" si="92"/>
        <v>#N/A</v>
      </c>
      <c r="AP231" s="2" t="e">
        <f t="shared" ca="1" si="93"/>
        <v>#N/A</v>
      </c>
      <c r="AQ231" s="2" t="e">
        <f t="shared" ca="1" si="94"/>
        <v>#N/A</v>
      </c>
      <c r="AR231" s="2" t="e">
        <f t="shared" ca="1" si="95"/>
        <v>#N/A</v>
      </c>
      <c r="AS231" s="2" t="e">
        <f t="shared" ca="1" si="96"/>
        <v>#N/A</v>
      </c>
      <c r="AT231" s="9" t="e">
        <f t="shared" ca="1" si="97"/>
        <v>#N/A</v>
      </c>
      <c r="AU231" s="9" t="e">
        <f t="shared" ca="1" si="98"/>
        <v>#N/A</v>
      </c>
      <c r="AW231" s="2" t="e">
        <f t="shared" ca="1" si="128"/>
        <v>#N/A</v>
      </c>
      <c r="AX231" s="2" t="e">
        <f t="shared" ca="1" si="129"/>
        <v>#N/A</v>
      </c>
      <c r="AY231" s="2" t="e">
        <f t="shared" ca="1" si="130"/>
        <v>#N/A</v>
      </c>
      <c r="AZ231" s="2" t="e">
        <f t="shared" ca="1" si="131"/>
        <v>#N/A</v>
      </c>
      <c r="BA231" s="2" t="e">
        <f t="shared" ca="1" si="132"/>
        <v>#N/A</v>
      </c>
      <c r="BB231" s="2" t="e">
        <f t="shared" ca="1" si="133"/>
        <v>#N/A</v>
      </c>
      <c r="BC231" s="9" t="e">
        <f t="shared" ca="1" si="134"/>
        <v>#N/A</v>
      </c>
      <c r="BD231" s="9" t="e">
        <f t="shared" ca="1" si="135"/>
        <v>#N/A</v>
      </c>
    </row>
    <row r="232" spans="1:56" ht="15" x14ac:dyDescent="0.25">
      <c r="A232" s="90"/>
      <c r="B232" s="90"/>
      <c r="C232" s="91"/>
      <c r="D232" s="91"/>
      <c r="E232" s="91"/>
      <c r="F232" s="91"/>
      <c r="G232" s="91"/>
      <c r="H232" s="91"/>
      <c r="I232" s="91"/>
      <c r="J232" s="64"/>
      <c r="K232" s="64"/>
      <c r="L232" s="64"/>
      <c r="M232" s="64"/>
      <c r="O232" s="11">
        <f t="shared" ca="1" si="121"/>
        <v>-3.9378682616450625E-4</v>
      </c>
      <c r="P232" s="11">
        <f t="shared" ca="1" si="122"/>
        <v>-1.6358405771021967E-4</v>
      </c>
      <c r="Q232" s="11">
        <f t="shared" ca="1" si="123"/>
        <v>-1.614029402377854E-3</v>
      </c>
      <c r="R232" s="11">
        <f t="shared" ca="1" si="124"/>
        <v>-1.4853760121635622E-5</v>
      </c>
      <c r="S232" s="11">
        <f t="shared" ca="1" si="125"/>
        <v>-1.1458026838550334E-3</v>
      </c>
      <c r="T232" s="11">
        <f t="shared" ca="1" si="126"/>
        <v>-4.9053934342410677E-4</v>
      </c>
      <c r="U232" s="11">
        <f t="shared" ca="1" si="127"/>
        <v>-5.5074395654535931E-3</v>
      </c>
      <c r="V232" s="11"/>
      <c r="W232" s="11">
        <f t="shared" ca="1" si="100"/>
        <v>0</v>
      </c>
      <c r="X232" s="2">
        <f t="shared" ca="1" si="101"/>
        <v>-1.6358405771021967E-4</v>
      </c>
      <c r="Y232" s="2">
        <f t="shared" ca="1" si="102"/>
        <v>-1.614029402377854E-3</v>
      </c>
      <c r="Z232" s="11">
        <f t="shared" ca="1" si="103"/>
        <v>-1.4853760121635622E-5</v>
      </c>
      <c r="AA232" s="2">
        <f t="shared" ca="1" si="104"/>
        <v>-1.1458026838550334E-3</v>
      </c>
      <c r="AB232" s="11">
        <f t="shared" ca="1" si="105"/>
        <v>-4.9053934342410677E-4</v>
      </c>
      <c r="AC232" s="2">
        <f t="shared" ca="1" si="106"/>
        <v>-5.5074395654535931E-3</v>
      </c>
      <c r="AF232" s="11">
        <f t="shared" ca="1" si="107"/>
        <v>0</v>
      </c>
      <c r="AG232" s="2">
        <f t="shared" ca="1" si="108"/>
        <v>-1.6358405771021967E-4</v>
      </c>
      <c r="AH232" s="2">
        <f t="shared" ca="1" si="109"/>
        <v>-1.614029402377854E-3</v>
      </c>
      <c r="AI232" s="2">
        <f t="shared" ca="1" si="110"/>
        <v>-1.4853760121635622E-5</v>
      </c>
      <c r="AJ232" s="2">
        <f t="shared" ca="1" si="111"/>
        <v>-1.1458026838550334E-3</v>
      </c>
      <c r="AK232" s="2">
        <f t="shared" ca="1" si="112"/>
        <v>-4.9053934342410677E-4</v>
      </c>
      <c r="AL232" s="2">
        <f t="shared" ca="1" si="113"/>
        <v>-5.5074395654535931E-3</v>
      </c>
      <c r="AN232" s="2" t="e">
        <f t="shared" ca="1" si="91"/>
        <v>#N/A</v>
      </c>
      <c r="AO232" s="2" t="e">
        <f t="shared" ca="1" si="92"/>
        <v>#N/A</v>
      </c>
      <c r="AP232" s="2" t="e">
        <f t="shared" ca="1" si="93"/>
        <v>#N/A</v>
      </c>
      <c r="AQ232" s="2" t="e">
        <f t="shared" ca="1" si="94"/>
        <v>#N/A</v>
      </c>
      <c r="AR232" s="2" t="e">
        <f t="shared" ca="1" si="95"/>
        <v>#N/A</v>
      </c>
      <c r="AS232" s="2" t="e">
        <f t="shared" ca="1" si="96"/>
        <v>#N/A</v>
      </c>
      <c r="AT232" s="9" t="e">
        <f t="shared" ca="1" si="97"/>
        <v>#N/A</v>
      </c>
      <c r="AU232" s="9" t="e">
        <f t="shared" ca="1" si="98"/>
        <v>#N/A</v>
      </c>
      <c r="AW232" s="2" t="e">
        <f t="shared" ca="1" si="128"/>
        <v>#N/A</v>
      </c>
      <c r="AX232" s="2" t="e">
        <f t="shared" ca="1" si="129"/>
        <v>#N/A</v>
      </c>
      <c r="AY232" s="2" t="e">
        <f t="shared" ca="1" si="130"/>
        <v>#N/A</v>
      </c>
      <c r="AZ232" s="2" t="e">
        <f t="shared" ca="1" si="131"/>
        <v>#N/A</v>
      </c>
      <c r="BA232" s="2" t="e">
        <f t="shared" ca="1" si="132"/>
        <v>#N/A</v>
      </c>
      <c r="BB232" s="2" t="e">
        <f t="shared" ca="1" si="133"/>
        <v>#N/A</v>
      </c>
      <c r="BC232" s="9" t="e">
        <f t="shared" ca="1" si="134"/>
        <v>#N/A</v>
      </c>
      <c r="BD232" s="9" t="e">
        <f t="shared" ca="1" si="135"/>
        <v>#N/A</v>
      </c>
    </row>
    <row r="233" spans="1:56" ht="15" x14ac:dyDescent="0.25">
      <c r="A233" s="90"/>
      <c r="B233" s="90"/>
      <c r="C233" s="91"/>
      <c r="D233" s="91"/>
      <c r="E233" s="91"/>
      <c r="F233" s="91"/>
      <c r="G233" s="91"/>
      <c r="H233" s="91"/>
      <c r="I233" s="91"/>
      <c r="J233" s="64"/>
      <c r="K233" s="64"/>
      <c r="L233" s="64"/>
      <c r="M233" s="64"/>
      <c r="O233" s="11">
        <f t="shared" ca="1" si="121"/>
        <v>-3.9378682616450625E-4</v>
      </c>
      <c r="P233" s="11">
        <f t="shared" ca="1" si="122"/>
        <v>-1.6358405771021967E-4</v>
      </c>
      <c r="Q233" s="11">
        <f t="shared" ca="1" si="123"/>
        <v>-1.614029402377854E-3</v>
      </c>
      <c r="R233" s="11">
        <f t="shared" ca="1" si="124"/>
        <v>-1.4853760121635622E-5</v>
      </c>
      <c r="S233" s="11">
        <f t="shared" ca="1" si="125"/>
        <v>-1.1458026838550334E-3</v>
      </c>
      <c r="T233" s="11">
        <f t="shared" ca="1" si="126"/>
        <v>-4.9053934342410677E-4</v>
      </c>
      <c r="U233" s="11">
        <f t="shared" ca="1" si="127"/>
        <v>-5.5074395654535931E-3</v>
      </c>
      <c r="V233" s="11"/>
      <c r="W233" s="11">
        <f t="shared" ca="1" si="100"/>
        <v>0</v>
      </c>
      <c r="X233" s="2">
        <f t="shared" ca="1" si="101"/>
        <v>-1.6358405771021967E-4</v>
      </c>
      <c r="Y233" s="2">
        <f t="shared" ca="1" si="102"/>
        <v>-1.614029402377854E-3</v>
      </c>
      <c r="Z233" s="11">
        <f t="shared" ca="1" si="103"/>
        <v>-1.4853760121635622E-5</v>
      </c>
      <c r="AA233" s="2">
        <f t="shared" ca="1" si="104"/>
        <v>-1.1458026838550334E-3</v>
      </c>
      <c r="AB233" s="11">
        <f t="shared" ca="1" si="105"/>
        <v>-4.9053934342410677E-4</v>
      </c>
      <c r="AC233" s="2">
        <f t="shared" ca="1" si="106"/>
        <v>-5.5074395654535931E-3</v>
      </c>
      <c r="AF233" s="11">
        <f t="shared" ca="1" si="107"/>
        <v>0</v>
      </c>
      <c r="AG233" s="2">
        <f t="shared" ca="1" si="108"/>
        <v>-1.6358405771021967E-4</v>
      </c>
      <c r="AH233" s="2">
        <f t="shared" ca="1" si="109"/>
        <v>-1.614029402377854E-3</v>
      </c>
      <c r="AI233" s="2">
        <f t="shared" ca="1" si="110"/>
        <v>-1.4853760121635622E-5</v>
      </c>
      <c r="AJ233" s="2">
        <f t="shared" ca="1" si="111"/>
        <v>-1.1458026838550334E-3</v>
      </c>
      <c r="AK233" s="2">
        <f t="shared" ca="1" si="112"/>
        <v>-4.9053934342410677E-4</v>
      </c>
      <c r="AL233" s="2">
        <f t="shared" ca="1" si="113"/>
        <v>-5.5074395654535931E-3</v>
      </c>
      <c r="AN233" s="2" t="e">
        <f t="shared" ca="1" si="91"/>
        <v>#N/A</v>
      </c>
      <c r="AO233" s="2" t="e">
        <f t="shared" ca="1" si="92"/>
        <v>#N/A</v>
      </c>
      <c r="AP233" s="2" t="e">
        <f t="shared" ca="1" si="93"/>
        <v>#N/A</v>
      </c>
      <c r="AQ233" s="2" t="e">
        <f t="shared" ca="1" si="94"/>
        <v>#N/A</v>
      </c>
      <c r="AR233" s="2" t="e">
        <f t="shared" ca="1" si="95"/>
        <v>#N/A</v>
      </c>
      <c r="AS233" s="2" t="e">
        <f t="shared" ca="1" si="96"/>
        <v>#N/A</v>
      </c>
      <c r="AT233" s="9" t="e">
        <f t="shared" ca="1" si="97"/>
        <v>#N/A</v>
      </c>
      <c r="AU233" s="9" t="e">
        <f t="shared" ca="1" si="98"/>
        <v>#N/A</v>
      </c>
      <c r="AW233" s="2" t="e">
        <f t="shared" ca="1" si="128"/>
        <v>#N/A</v>
      </c>
      <c r="AX233" s="2" t="e">
        <f t="shared" ca="1" si="129"/>
        <v>#N/A</v>
      </c>
      <c r="AY233" s="2" t="e">
        <f t="shared" ca="1" si="130"/>
        <v>#N/A</v>
      </c>
      <c r="AZ233" s="2" t="e">
        <f t="shared" ca="1" si="131"/>
        <v>#N/A</v>
      </c>
      <c r="BA233" s="2" t="e">
        <f t="shared" ca="1" si="132"/>
        <v>#N/A</v>
      </c>
      <c r="BB233" s="2" t="e">
        <f t="shared" ca="1" si="133"/>
        <v>#N/A</v>
      </c>
      <c r="BC233" s="9" t="e">
        <f t="shared" ca="1" si="134"/>
        <v>#N/A</v>
      </c>
      <c r="BD233" s="9" t="e">
        <f t="shared" ca="1" si="135"/>
        <v>#N/A</v>
      </c>
    </row>
    <row r="234" spans="1:56" ht="15" x14ac:dyDescent="0.25">
      <c r="A234" s="90"/>
      <c r="B234" s="90"/>
      <c r="C234" s="91"/>
      <c r="D234" s="91"/>
      <c r="E234" s="91"/>
      <c r="F234" s="91"/>
      <c r="G234" s="91"/>
      <c r="H234" s="91"/>
      <c r="I234" s="91"/>
      <c r="J234" s="64"/>
      <c r="K234" s="64"/>
      <c r="L234" s="64"/>
      <c r="M234" s="64"/>
      <c r="O234" s="11">
        <f t="shared" ca="1" si="121"/>
        <v>-3.9378682616450625E-4</v>
      </c>
      <c r="P234" s="11">
        <f t="shared" ca="1" si="122"/>
        <v>-1.6358405771021967E-4</v>
      </c>
      <c r="Q234" s="11">
        <f t="shared" ca="1" si="123"/>
        <v>-1.614029402377854E-3</v>
      </c>
      <c r="R234" s="11">
        <f t="shared" ca="1" si="124"/>
        <v>-1.4853760121635622E-5</v>
      </c>
      <c r="S234" s="11">
        <f t="shared" ca="1" si="125"/>
        <v>-1.1458026838550334E-3</v>
      </c>
      <c r="T234" s="11">
        <f t="shared" ca="1" si="126"/>
        <v>-4.9053934342410677E-4</v>
      </c>
      <c r="U234" s="11">
        <f t="shared" ca="1" si="127"/>
        <v>-5.5074395654535931E-3</v>
      </c>
      <c r="V234" s="11"/>
      <c r="W234" s="11">
        <f t="shared" ca="1" si="100"/>
        <v>0</v>
      </c>
      <c r="X234" s="2">
        <f t="shared" ca="1" si="101"/>
        <v>-1.6358405771021967E-4</v>
      </c>
      <c r="Y234" s="2">
        <f t="shared" ca="1" si="102"/>
        <v>-1.614029402377854E-3</v>
      </c>
      <c r="Z234" s="11">
        <f t="shared" ca="1" si="103"/>
        <v>-1.4853760121635622E-5</v>
      </c>
      <c r="AA234" s="2">
        <f t="shared" ca="1" si="104"/>
        <v>-1.1458026838550334E-3</v>
      </c>
      <c r="AB234" s="11">
        <f t="shared" ca="1" si="105"/>
        <v>-4.9053934342410677E-4</v>
      </c>
      <c r="AC234" s="2">
        <f t="shared" ca="1" si="106"/>
        <v>-5.5074395654535931E-3</v>
      </c>
      <c r="AF234" s="11">
        <f t="shared" ca="1" si="107"/>
        <v>0</v>
      </c>
      <c r="AG234" s="2">
        <f t="shared" ca="1" si="108"/>
        <v>-1.6358405771021967E-4</v>
      </c>
      <c r="AH234" s="2">
        <f t="shared" ca="1" si="109"/>
        <v>-1.614029402377854E-3</v>
      </c>
      <c r="AI234" s="2">
        <f t="shared" ca="1" si="110"/>
        <v>-1.4853760121635622E-5</v>
      </c>
      <c r="AJ234" s="2">
        <f t="shared" ca="1" si="111"/>
        <v>-1.1458026838550334E-3</v>
      </c>
      <c r="AK234" s="2">
        <f t="shared" ca="1" si="112"/>
        <v>-4.9053934342410677E-4</v>
      </c>
      <c r="AL234" s="2">
        <f t="shared" ca="1" si="113"/>
        <v>-5.5074395654535931E-3</v>
      </c>
      <c r="AN234" s="2" t="e">
        <f t="shared" ca="1" si="91"/>
        <v>#N/A</v>
      </c>
      <c r="AO234" s="2" t="e">
        <f t="shared" ca="1" si="92"/>
        <v>#N/A</v>
      </c>
      <c r="AP234" s="2" t="e">
        <f t="shared" ca="1" si="93"/>
        <v>#N/A</v>
      </c>
      <c r="AQ234" s="2" t="e">
        <f t="shared" ca="1" si="94"/>
        <v>#N/A</v>
      </c>
      <c r="AR234" s="2" t="e">
        <f t="shared" ca="1" si="95"/>
        <v>#N/A</v>
      </c>
      <c r="AS234" s="2" t="e">
        <f t="shared" ca="1" si="96"/>
        <v>#N/A</v>
      </c>
      <c r="AT234" s="9" t="e">
        <f t="shared" ca="1" si="97"/>
        <v>#N/A</v>
      </c>
      <c r="AU234" s="9" t="e">
        <f t="shared" ca="1" si="98"/>
        <v>#N/A</v>
      </c>
      <c r="AW234" s="2" t="e">
        <f t="shared" ca="1" si="128"/>
        <v>#N/A</v>
      </c>
      <c r="AX234" s="2" t="e">
        <f t="shared" ca="1" si="129"/>
        <v>#N/A</v>
      </c>
      <c r="AY234" s="2" t="e">
        <f t="shared" ca="1" si="130"/>
        <v>#N/A</v>
      </c>
      <c r="AZ234" s="2" t="e">
        <f t="shared" ca="1" si="131"/>
        <v>#N/A</v>
      </c>
      <c r="BA234" s="2" t="e">
        <f t="shared" ca="1" si="132"/>
        <v>#N/A</v>
      </c>
      <c r="BB234" s="2" t="e">
        <f t="shared" ca="1" si="133"/>
        <v>#N/A</v>
      </c>
      <c r="BC234" s="9" t="e">
        <f t="shared" ca="1" si="134"/>
        <v>#N/A</v>
      </c>
      <c r="BD234" s="9" t="e">
        <f t="shared" ca="1" si="135"/>
        <v>#N/A</v>
      </c>
    </row>
    <row r="235" spans="1:56" ht="15" x14ac:dyDescent="0.25">
      <c r="A235" s="90"/>
      <c r="B235" s="90"/>
      <c r="C235" s="91"/>
      <c r="D235" s="91"/>
      <c r="E235" s="91"/>
      <c r="F235" s="91"/>
      <c r="G235" s="91"/>
      <c r="H235" s="91"/>
      <c r="I235" s="91"/>
      <c r="J235" s="64"/>
      <c r="K235" s="64"/>
      <c r="L235" s="64"/>
      <c r="M235" s="64"/>
      <c r="O235" s="11">
        <f t="shared" ca="1" si="121"/>
        <v>-3.9378682616450625E-4</v>
      </c>
      <c r="P235" s="11">
        <f t="shared" ca="1" si="122"/>
        <v>-1.6358405771021967E-4</v>
      </c>
      <c r="Q235" s="11">
        <f t="shared" ca="1" si="123"/>
        <v>-1.614029402377854E-3</v>
      </c>
      <c r="R235" s="11">
        <f t="shared" ca="1" si="124"/>
        <v>-1.4853760121635622E-5</v>
      </c>
      <c r="S235" s="11">
        <f t="shared" ca="1" si="125"/>
        <v>-1.1458026838550334E-3</v>
      </c>
      <c r="T235" s="11">
        <f t="shared" ca="1" si="126"/>
        <v>-4.9053934342410677E-4</v>
      </c>
      <c r="U235" s="11">
        <f t="shared" ca="1" si="127"/>
        <v>-5.5074395654535931E-3</v>
      </c>
      <c r="V235" s="11"/>
      <c r="W235" s="11">
        <f t="shared" ca="1" si="100"/>
        <v>0</v>
      </c>
      <c r="X235" s="2">
        <f t="shared" ca="1" si="101"/>
        <v>-1.6358405771021967E-4</v>
      </c>
      <c r="Y235" s="2">
        <f t="shared" ca="1" si="102"/>
        <v>-1.614029402377854E-3</v>
      </c>
      <c r="Z235" s="11">
        <f t="shared" ca="1" si="103"/>
        <v>-1.4853760121635622E-5</v>
      </c>
      <c r="AA235" s="2">
        <f t="shared" ca="1" si="104"/>
        <v>-1.1458026838550334E-3</v>
      </c>
      <c r="AB235" s="11">
        <f t="shared" ca="1" si="105"/>
        <v>-4.9053934342410677E-4</v>
      </c>
      <c r="AC235" s="2">
        <f t="shared" ca="1" si="106"/>
        <v>-5.5074395654535931E-3</v>
      </c>
      <c r="AF235" s="11">
        <f t="shared" ca="1" si="107"/>
        <v>0</v>
      </c>
      <c r="AG235" s="2">
        <f t="shared" ca="1" si="108"/>
        <v>-1.6358405771021967E-4</v>
      </c>
      <c r="AH235" s="2">
        <f t="shared" ca="1" si="109"/>
        <v>-1.614029402377854E-3</v>
      </c>
      <c r="AI235" s="2">
        <f t="shared" ca="1" si="110"/>
        <v>-1.4853760121635622E-5</v>
      </c>
      <c r="AJ235" s="2">
        <f t="shared" ca="1" si="111"/>
        <v>-1.1458026838550334E-3</v>
      </c>
      <c r="AK235" s="2">
        <f t="shared" ca="1" si="112"/>
        <v>-4.9053934342410677E-4</v>
      </c>
      <c r="AL235" s="2">
        <f t="shared" ca="1" si="113"/>
        <v>-5.5074395654535931E-3</v>
      </c>
      <c r="AN235" s="2" t="e">
        <f t="shared" ca="1" si="91"/>
        <v>#N/A</v>
      </c>
      <c r="AO235" s="2" t="e">
        <f t="shared" ca="1" si="92"/>
        <v>#N/A</v>
      </c>
      <c r="AP235" s="2" t="e">
        <f t="shared" ca="1" si="93"/>
        <v>#N/A</v>
      </c>
      <c r="AQ235" s="2" t="e">
        <f t="shared" ca="1" si="94"/>
        <v>#N/A</v>
      </c>
      <c r="AR235" s="2" t="e">
        <f t="shared" ca="1" si="95"/>
        <v>#N/A</v>
      </c>
      <c r="AS235" s="2" t="e">
        <f t="shared" ca="1" si="96"/>
        <v>#N/A</v>
      </c>
      <c r="AT235" s="9" t="e">
        <f t="shared" ca="1" si="97"/>
        <v>#N/A</v>
      </c>
      <c r="AU235" s="9" t="e">
        <f t="shared" ca="1" si="98"/>
        <v>#N/A</v>
      </c>
      <c r="AW235" s="2" t="e">
        <f t="shared" ca="1" si="128"/>
        <v>#N/A</v>
      </c>
      <c r="AX235" s="2" t="e">
        <f t="shared" ca="1" si="129"/>
        <v>#N/A</v>
      </c>
      <c r="AY235" s="2" t="e">
        <f t="shared" ca="1" si="130"/>
        <v>#N/A</v>
      </c>
      <c r="AZ235" s="2" t="e">
        <f t="shared" ca="1" si="131"/>
        <v>#N/A</v>
      </c>
      <c r="BA235" s="2" t="e">
        <f t="shared" ca="1" si="132"/>
        <v>#N/A</v>
      </c>
      <c r="BB235" s="2" t="e">
        <f t="shared" ca="1" si="133"/>
        <v>#N/A</v>
      </c>
      <c r="BC235" s="9" t="e">
        <f t="shared" ca="1" si="134"/>
        <v>#N/A</v>
      </c>
      <c r="BD235" s="9" t="e">
        <f t="shared" ca="1" si="135"/>
        <v>#N/A</v>
      </c>
    </row>
    <row r="236" spans="1:56" ht="15" x14ac:dyDescent="0.25">
      <c r="A236" s="90"/>
      <c r="B236" s="90"/>
      <c r="C236" s="91"/>
      <c r="D236" s="91"/>
      <c r="E236" s="91"/>
      <c r="F236" s="91"/>
      <c r="G236" s="91"/>
      <c r="H236" s="91"/>
      <c r="I236" s="91"/>
      <c r="J236" s="64"/>
      <c r="K236" s="64"/>
      <c r="L236" s="64"/>
      <c r="M236" s="64"/>
      <c r="O236" s="11">
        <f t="shared" ca="1" si="121"/>
        <v>-3.9378682616450625E-4</v>
      </c>
      <c r="P236" s="11">
        <f t="shared" ca="1" si="122"/>
        <v>-1.6358405771021967E-4</v>
      </c>
      <c r="Q236" s="11">
        <f t="shared" ca="1" si="123"/>
        <v>-1.614029402377854E-3</v>
      </c>
      <c r="R236" s="11">
        <f t="shared" ca="1" si="124"/>
        <v>-1.4853760121635622E-5</v>
      </c>
      <c r="S236" s="11">
        <f t="shared" ca="1" si="125"/>
        <v>-1.1458026838550334E-3</v>
      </c>
      <c r="T236" s="11">
        <f t="shared" ca="1" si="126"/>
        <v>-4.9053934342410677E-4</v>
      </c>
      <c r="U236" s="11">
        <f t="shared" ca="1" si="127"/>
        <v>-5.5074395654535931E-3</v>
      </c>
      <c r="V236" s="11"/>
      <c r="W236" s="11">
        <f t="shared" ca="1" si="100"/>
        <v>0</v>
      </c>
      <c r="X236" s="2">
        <f t="shared" ca="1" si="101"/>
        <v>-1.6358405771021967E-4</v>
      </c>
      <c r="Y236" s="2">
        <f t="shared" ca="1" si="102"/>
        <v>-1.614029402377854E-3</v>
      </c>
      <c r="Z236" s="11">
        <f t="shared" ca="1" si="103"/>
        <v>-1.4853760121635622E-5</v>
      </c>
      <c r="AA236" s="2">
        <f t="shared" ca="1" si="104"/>
        <v>-1.1458026838550334E-3</v>
      </c>
      <c r="AB236" s="11">
        <f t="shared" ca="1" si="105"/>
        <v>-4.9053934342410677E-4</v>
      </c>
      <c r="AC236" s="2">
        <f t="shared" ca="1" si="106"/>
        <v>-5.5074395654535931E-3</v>
      </c>
      <c r="AF236" s="11">
        <f t="shared" ca="1" si="107"/>
        <v>0</v>
      </c>
      <c r="AG236" s="2">
        <f t="shared" ca="1" si="108"/>
        <v>-1.6358405771021967E-4</v>
      </c>
      <c r="AH236" s="2">
        <f t="shared" ca="1" si="109"/>
        <v>-1.614029402377854E-3</v>
      </c>
      <c r="AI236" s="2">
        <f t="shared" ca="1" si="110"/>
        <v>-1.4853760121635622E-5</v>
      </c>
      <c r="AJ236" s="2">
        <f t="shared" ca="1" si="111"/>
        <v>-1.1458026838550334E-3</v>
      </c>
      <c r="AK236" s="2">
        <f t="shared" ca="1" si="112"/>
        <v>-4.9053934342410677E-4</v>
      </c>
      <c r="AL236" s="2">
        <f t="shared" ca="1" si="113"/>
        <v>-5.5074395654535931E-3</v>
      </c>
      <c r="AN236" s="2" t="e">
        <f t="shared" ca="1" si="91"/>
        <v>#N/A</v>
      </c>
      <c r="AO236" s="2" t="e">
        <f t="shared" ca="1" si="92"/>
        <v>#N/A</v>
      </c>
      <c r="AP236" s="2" t="e">
        <f t="shared" ca="1" si="93"/>
        <v>#N/A</v>
      </c>
      <c r="AQ236" s="2" t="e">
        <f t="shared" ca="1" si="94"/>
        <v>#N/A</v>
      </c>
      <c r="AR236" s="2" t="e">
        <f t="shared" ca="1" si="95"/>
        <v>#N/A</v>
      </c>
      <c r="AS236" s="2" t="e">
        <f t="shared" ca="1" si="96"/>
        <v>#N/A</v>
      </c>
      <c r="AT236" s="9" t="e">
        <f t="shared" ca="1" si="97"/>
        <v>#N/A</v>
      </c>
      <c r="AU236" s="9" t="e">
        <f t="shared" ca="1" si="98"/>
        <v>#N/A</v>
      </c>
      <c r="AW236" s="2" t="e">
        <f t="shared" ca="1" si="128"/>
        <v>#N/A</v>
      </c>
      <c r="AX236" s="2" t="e">
        <f t="shared" ca="1" si="129"/>
        <v>#N/A</v>
      </c>
      <c r="AY236" s="2" t="e">
        <f t="shared" ca="1" si="130"/>
        <v>#N/A</v>
      </c>
      <c r="AZ236" s="2" t="e">
        <f t="shared" ca="1" si="131"/>
        <v>#N/A</v>
      </c>
      <c r="BA236" s="2" t="e">
        <f t="shared" ca="1" si="132"/>
        <v>#N/A</v>
      </c>
      <c r="BB236" s="2" t="e">
        <f t="shared" ca="1" si="133"/>
        <v>#N/A</v>
      </c>
      <c r="BC236" s="9" t="e">
        <f t="shared" ca="1" si="134"/>
        <v>#N/A</v>
      </c>
      <c r="BD236" s="9" t="e">
        <f t="shared" ca="1" si="135"/>
        <v>#N/A</v>
      </c>
    </row>
    <row r="237" spans="1:56" ht="15" x14ac:dyDescent="0.25">
      <c r="A237" s="90"/>
      <c r="B237" s="90"/>
      <c r="C237" s="91"/>
      <c r="D237" s="91"/>
      <c r="E237" s="91"/>
      <c r="F237" s="91"/>
      <c r="G237" s="91"/>
      <c r="H237" s="91"/>
      <c r="I237" s="91"/>
      <c r="J237" s="64"/>
      <c r="K237" s="64"/>
      <c r="L237" s="64"/>
      <c r="M237" s="64"/>
      <c r="O237" s="11">
        <f t="shared" ca="1" si="121"/>
        <v>-3.9378682616450625E-4</v>
      </c>
      <c r="P237" s="11">
        <f t="shared" ca="1" si="122"/>
        <v>-1.6358405771021967E-4</v>
      </c>
      <c r="Q237" s="11">
        <f t="shared" ca="1" si="123"/>
        <v>-1.614029402377854E-3</v>
      </c>
      <c r="R237" s="11">
        <f t="shared" ca="1" si="124"/>
        <v>-1.4853760121635622E-5</v>
      </c>
      <c r="S237" s="11">
        <f t="shared" ca="1" si="125"/>
        <v>-1.1458026838550334E-3</v>
      </c>
      <c r="T237" s="11">
        <f t="shared" ca="1" si="126"/>
        <v>-4.9053934342410677E-4</v>
      </c>
      <c r="U237" s="11">
        <f t="shared" ca="1" si="127"/>
        <v>-5.5074395654535931E-3</v>
      </c>
      <c r="V237" s="11"/>
      <c r="W237" s="11">
        <f t="shared" ca="1" si="100"/>
        <v>0</v>
      </c>
      <c r="X237" s="2">
        <f t="shared" ca="1" si="101"/>
        <v>-1.6358405771021967E-4</v>
      </c>
      <c r="Y237" s="2">
        <f t="shared" ca="1" si="102"/>
        <v>-1.614029402377854E-3</v>
      </c>
      <c r="Z237" s="11">
        <f t="shared" ca="1" si="103"/>
        <v>-1.4853760121635622E-5</v>
      </c>
      <c r="AA237" s="2">
        <f t="shared" ca="1" si="104"/>
        <v>-1.1458026838550334E-3</v>
      </c>
      <c r="AB237" s="11">
        <f t="shared" ca="1" si="105"/>
        <v>-4.9053934342410677E-4</v>
      </c>
      <c r="AC237" s="2">
        <f t="shared" ca="1" si="106"/>
        <v>-5.5074395654535931E-3</v>
      </c>
      <c r="AF237" s="11">
        <f t="shared" ca="1" si="107"/>
        <v>0</v>
      </c>
      <c r="AG237" s="2">
        <f t="shared" ca="1" si="108"/>
        <v>-1.6358405771021967E-4</v>
      </c>
      <c r="AH237" s="2">
        <f t="shared" ca="1" si="109"/>
        <v>-1.614029402377854E-3</v>
      </c>
      <c r="AI237" s="2">
        <f t="shared" ca="1" si="110"/>
        <v>-1.4853760121635622E-5</v>
      </c>
      <c r="AJ237" s="2">
        <f t="shared" ca="1" si="111"/>
        <v>-1.1458026838550334E-3</v>
      </c>
      <c r="AK237" s="2">
        <f t="shared" ca="1" si="112"/>
        <v>-4.9053934342410677E-4</v>
      </c>
      <c r="AL237" s="2">
        <f t="shared" ca="1" si="113"/>
        <v>-5.5074395654535931E-3</v>
      </c>
      <c r="AN237" s="2" t="e">
        <f t="shared" ca="1" si="91"/>
        <v>#N/A</v>
      </c>
      <c r="AO237" s="2" t="e">
        <f t="shared" ca="1" si="92"/>
        <v>#N/A</v>
      </c>
      <c r="AP237" s="2" t="e">
        <f t="shared" ca="1" si="93"/>
        <v>#N/A</v>
      </c>
      <c r="AQ237" s="2" t="e">
        <f t="shared" ca="1" si="94"/>
        <v>#N/A</v>
      </c>
      <c r="AR237" s="2" t="e">
        <f t="shared" ca="1" si="95"/>
        <v>#N/A</v>
      </c>
      <c r="AS237" s="2" t="e">
        <f t="shared" ca="1" si="96"/>
        <v>#N/A</v>
      </c>
      <c r="AT237" s="9" t="e">
        <f t="shared" ca="1" si="97"/>
        <v>#N/A</v>
      </c>
      <c r="AU237" s="9" t="e">
        <f t="shared" ca="1" si="98"/>
        <v>#N/A</v>
      </c>
      <c r="AW237" s="2" t="e">
        <f t="shared" ca="1" si="128"/>
        <v>#N/A</v>
      </c>
      <c r="AX237" s="2" t="e">
        <f t="shared" ca="1" si="129"/>
        <v>#N/A</v>
      </c>
      <c r="AY237" s="2" t="e">
        <f t="shared" ca="1" si="130"/>
        <v>#N/A</v>
      </c>
      <c r="AZ237" s="2" t="e">
        <f t="shared" ca="1" si="131"/>
        <v>#N/A</v>
      </c>
      <c r="BA237" s="2" t="e">
        <f t="shared" ca="1" si="132"/>
        <v>#N/A</v>
      </c>
      <c r="BB237" s="2" t="e">
        <f t="shared" ca="1" si="133"/>
        <v>#N/A</v>
      </c>
      <c r="BC237" s="9" t="e">
        <f t="shared" ca="1" si="134"/>
        <v>#N/A</v>
      </c>
      <c r="BD237" s="9" t="e">
        <f t="shared" ca="1" si="135"/>
        <v>#N/A</v>
      </c>
    </row>
    <row r="238" spans="1:56" ht="15" x14ac:dyDescent="0.25">
      <c r="A238" s="90"/>
      <c r="B238" s="90"/>
      <c r="C238" s="91"/>
      <c r="D238" s="91"/>
      <c r="E238" s="91"/>
      <c r="F238" s="91"/>
      <c r="G238" s="91"/>
      <c r="H238" s="91"/>
      <c r="I238" s="91"/>
      <c r="J238" s="64"/>
      <c r="K238" s="64"/>
      <c r="L238" s="64"/>
      <c r="M238" s="64"/>
      <c r="O238" s="11">
        <f t="shared" ca="1" si="121"/>
        <v>-3.9378682616450625E-4</v>
      </c>
      <c r="P238" s="11">
        <f t="shared" ca="1" si="122"/>
        <v>-1.6358405771021967E-4</v>
      </c>
      <c r="Q238" s="11">
        <f t="shared" ca="1" si="123"/>
        <v>-1.614029402377854E-3</v>
      </c>
      <c r="R238" s="11">
        <f t="shared" ca="1" si="124"/>
        <v>-1.4853760121635622E-5</v>
      </c>
      <c r="S238" s="11">
        <f t="shared" ca="1" si="125"/>
        <v>-1.1458026838550334E-3</v>
      </c>
      <c r="T238" s="11">
        <f t="shared" ca="1" si="126"/>
        <v>-4.9053934342410677E-4</v>
      </c>
      <c r="U238" s="11">
        <f t="shared" ca="1" si="127"/>
        <v>-5.5074395654535931E-3</v>
      </c>
      <c r="V238" s="11"/>
      <c r="W238" s="11">
        <f t="shared" ca="1" si="100"/>
        <v>0</v>
      </c>
      <c r="X238" s="2">
        <f t="shared" ca="1" si="101"/>
        <v>-1.6358405771021967E-4</v>
      </c>
      <c r="Y238" s="2">
        <f t="shared" ca="1" si="102"/>
        <v>-1.614029402377854E-3</v>
      </c>
      <c r="Z238" s="11">
        <f t="shared" ca="1" si="103"/>
        <v>-1.4853760121635622E-5</v>
      </c>
      <c r="AA238" s="2">
        <f t="shared" ca="1" si="104"/>
        <v>-1.1458026838550334E-3</v>
      </c>
      <c r="AB238" s="11">
        <f t="shared" ca="1" si="105"/>
        <v>-4.9053934342410677E-4</v>
      </c>
      <c r="AC238" s="2">
        <f t="shared" ca="1" si="106"/>
        <v>-5.5074395654535931E-3</v>
      </c>
      <c r="AF238" s="11">
        <f t="shared" ca="1" si="107"/>
        <v>0</v>
      </c>
      <c r="AG238" s="2">
        <f t="shared" ca="1" si="108"/>
        <v>-1.6358405771021967E-4</v>
      </c>
      <c r="AH238" s="2">
        <f t="shared" ca="1" si="109"/>
        <v>-1.614029402377854E-3</v>
      </c>
      <c r="AI238" s="2">
        <f t="shared" ca="1" si="110"/>
        <v>-1.4853760121635622E-5</v>
      </c>
      <c r="AJ238" s="2">
        <f t="shared" ca="1" si="111"/>
        <v>-1.1458026838550334E-3</v>
      </c>
      <c r="AK238" s="2">
        <f t="shared" ca="1" si="112"/>
        <v>-4.9053934342410677E-4</v>
      </c>
      <c r="AL238" s="2">
        <f t="shared" ca="1" si="113"/>
        <v>-5.5074395654535931E-3</v>
      </c>
      <c r="AN238" s="2" t="e">
        <f t="shared" ca="1" si="91"/>
        <v>#N/A</v>
      </c>
      <c r="AO238" s="2" t="e">
        <f t="shared" ca="1" si="92"/>
        <v>#N/A</v>
      </c>
      <c r="AP238" s="2" t="e">
        <f t="shared" ca="1" si="93"/>
        <v>#N/A</v>
      </c>
      <c r="AQ238" s="2" t="e">
        <f t="shared" ca="1" si="94"/>
        <v>#N/A</v>
      </c>
      <c r="AR238" s="2" t="e">
        <f t="shared" ca="1" si="95"/>
        <v>#N/A</v>
      </c>
      <c r="AS238" s="2" t="e">
        <f t="shared" ca="1" si="96"/>
        <v>#N/A</v>
      </c>
      <c r="AT238" s="9" t="e">
        <f t="shared" ca="1" si="97"/>
        <v>#N/A</v>
      </c>
      <c r="AU238" s="9" t="e">
        <f t="shared" ca="1" si="98"/>
        <v>#N/A</v>
      </c>
      <c r="AW238" s="2" t="e">
        <f t="shared" ca="1" si="128"/>
        <v>#N/A</v>
      </c>
      <c r="AX238" s="2" t="e">
        <f t="shared" ca="1" si="129"/>
        <v>#N/A</v>
      </c>
      <c r="AY238" s="2" t="e">
        <f t="shared" ca="1" si="130"/>
        <v>#N/A</v>
      </c>
      <c r="AZ238" s="2" t="e">
        <f t="shared" ca="1" si="131"/>
        <v>#N/A</v>
      </c>
      <c r="BA238" s="2" t="e">
        <f t="shared" ca="1" si="132"/>
        <v>#N/A</v>
      </c>
      <c r="BB238" s="2" t="e">
        <f t="shared" ca="1" si="133"/>
        <v>#N/A</v>
      </c>
      <c r="BC238" s="9" t="e">
        <f t="shared" ca="1" si="134"/>
        <v>#N/A</v>
      </c>
      <c r="BD238" s="9" t="e">
        <f t="shared" ca="1" si="135"/>
        <v>#N/A</v>
      </c>
    </row>
    <row r="239" spans="1:56" ht="15" x14ac:dyDescent="0.25">
      <c r="A239" s="90"/>
      <c r="B239" s="90"/>
      <c r="C239" s="91"/>
      <c r="D239" s="91"/>
      <c r="E239" s="91"/>
      <c r="F239" s="91"/>
      <c r="G239" s="91"/>
      <c r="H239" s="91"/>
      <c r="I239" s="91"/>
      <c r="J239" s="64"/>
      <c r="K239" s="64"/>
      <c r="L239" s="64"/>
      <c r="M239" s="64"/>
      <c r="O239" s="11">
        <f t="shared" ca="1" si="121"/>
        <v>-3.9378682616450625E-4</v>
      </c>
      <c r="P239" s="11">
        <f t="shared" ca="1" si="122"/>
        <v>-1.6358405771021967E-4</v>
      </c>
      <c r="Q239" s="11">
        <f t="shared" ca="1" si="123"/>
        <v>-1.614029402377854E-3</v>
      </c>
      <c r="R239" s="11">
        <f t="shared" ca="1" si="124"/>
        <v>-1.4853760121635622E-5</v>
      </c>
      <c r="S239" s="11">
        <f t="shared" ca="1" si="125"/>
        <v>-1.1458026838550334E-3</v>
      </c>
      <c r="T239" s="11">
        <f t="shared" ca="1" si="126"/>
        <v>-4.9053934342410677E-4</v>
      </c>
      <c r="U239" s="11">
        <f t="shared" ca="1" si="127"/>
        <v>-5.5074395654535931E-3</v>
      </c>
      <c r="V239" s="11"/>
      <c r="W239" s="11">
        <f t="shared" ca="1" si="100"/>
        <v>0</v>
      </c>
      <c r="X239" s="2">
        <f t="shared" ca="1" si="101"/>
        <v>-1.6358405771021967E-4</v>
      </c>
      <c r="Y239" s="2">
        <f t="shared" ca="1" si="102"/>
        <v>-1.614029402377854E-3</v>
      </c>
      <c r="Z239" s="11">
        <f t="shared" ca="1" si="103"/>
        <v>-1.4853760121635622E-5</v>
      </c>
      <c r="AA239" s="2">
        <f t="shared" ca="1" si="104"/>
        <v>-1.1458026838550334E-3</v>
      </c>
      <c r="AB239" s="11">
        <f t="shared" ca="1" si="105"/>
        <v>-4.9053934342410677E-4</v>
      </c>
      <c r="AC239" s="2">
        <f t="shared" ca="1" si="106"/>
        <v>-5.5074395654535931E-3</v>
      </c>
      <c r="AF239" s="11">
        <f t="shared" ca="1" si="107"/>
        <v>0</v>
      </c>
      <c r="AG239" s="2">
        <f t="shared" ca="1" si="108"/>
        <v>-1.6358405771021967E-4</v>
      </c>
      <c r="AH239" s="2">
        <f t="shared" ca="1" si="109"/>
        <v>-1.614029402377854E-3</v>
      </c>
      <c r="AI239" s="2">
        <f t="shared" ca="1" si="110"/>
        <v>-1.4853760121635622E-5</v>
      </c>
      <c r="AJ239" s="2">
        <f t="shared" ca="1" si="111"/>
        <v>-1.1458026838550334E-3</v>
      </c>
      <c r="AK239" s="2">
        <f t="shared" ca="1" si="112"/>
        <v>-4.9053934342410677E-4</v>
      </c>
      <c r="AL239" s="2">
        <f t="shared" ca="1" si="113"/>
        <v>-5.5074395654535931E-3</v>
      </c>
      <c r="AN239" s="2" t="e">
        <f t="shared" ca="1" si="91"/>
        <v>#N/A</v>
      </c>
      <c r="AO239" s="2" t="e">
        <f t="shared" ca="1" si="92"/>
        <v>#N/A</v>
      </c>
      <c r="AP239" s="2" t="e">
        <f t="shared" ca="1" si="93"/>
        <v>#N/A</v>
      </c>
      <c r="AQ239" s="2" t="e">
        <f t="shared" ca="1" si="94"/>
        <v>#N/A</v>
      </c>
      <c r="AR239" s="2" t="e">
        <f t="shared" ca="1" si="95"/>
        <v>#N/A</v>
      </c>
      <c r="AS239" s="2" t="e">
        <f t="shared" ca="1" si="96"/>
        <v>#N/A</v>
      </c>
      <c r="AT239" s="9" t="e">
        <f t="shared" ca="1" si="97"/>
        <v>#N/A</v>
      </c>
      <c r="AU239" s="9" t="e">
        <f t="shared" ca="1" si="98"/>
        <v>#N/A</v>
      </c>
      <c r="AW239" s="2" t="e">
        <f t="shared" ca="1" si="128"/>
        <v>#N/A</v>
      </c>
      <c r="AX239" s="2" t="e">
        <f t="shared" ca="1" si="129"/>
        <v>#N/A</v>
      </c>
      <c r="AY239" s="2" t="e">
        <f t="shared" ca="1" si="130"/>
        <v>#N/A</v>
      </c>
      <c r="AZ239" s="2" t="e">
        <f t="shared" ca="1" si="131"/>
        <v>#N/A</v>
      </c>
      <c r="BA239" s="2" t="e">
        <f t="shared" ca="1" si="132"/>
        <v>#N/A</v>
      </c>
      <c r="BB239" s="2" t="e">
        <f t="shared" ca="1" si="133"/>
        <v>#N/A</v>
      </c>
      <c r="BC239" s="9" t="e">
        <f t="shared" ca="1" si="134"/>
        <v>#N/A</v>
      </c>
      <c r="BD239" s="9" t="e">
        <f t="shared" ca="1" si="135"/>
        <v>#N/A</v>
      </c>
    </row>
    <row r="240" spans="1:56" ht="15" x14ac:dyDescent="0.25">
      <c r="A240" s="90"/>
      <c r="B240" s="90"/>
      <c r="C240" s="91"/>
      <c r="D240" s="91"/>
      <c r="E240" s="91"/>
      <c r="F240" s="91"/>
      <c r="G240" s="91"/>
      <c r="H240" s="91"/>
      <c r="I240" s="91"/>
      <c r="J240" s="64"/>
      <c r="K240" s="64"/>
      <c r="L240" s="64"/>
      <c r="M240" s="64"/>
      <c r="O240" s="11">
        <f t="shared" ca="1" si="121"/>
        <v>-3.9378682616450625E-4</v>
      </c>
      <c r="P240" s="11">
        <f t="shared" ca="1" si="122"/>
        <v>-1.6358405771021967E-4</v>
      </c>
      <c r="Q240" s="11">
        <f t="shared" ca="1" si="123"/>
        <v>-1.614029402377854E-3</v>
      </c>
      <c r="R240" s="11">
        <f t="shared" ca="1" si="124"/>
        <v>-1.4853760121635622E-5</v>
      </c>
      <c r="S240" s="11">
        <f t="shared" ca="1" si="125"/>
        <v>-1.1458026838550334E-3</v>
      </c>
      <c r="T240" s="11">
        <f t="shared" ca="1" si="126"/>
        <v>-4.9053934342410677E-4</v>
      </c>
      <c r="U240" s="11">
        <f t="shared" ca="1" si="127"/>
        <v>-5.5074395654535931E-3</v>
      </c>
      <c r="V240" s="11"/>
      <c r="W240" s="11">
        <f t="shared" ca="1" si="100"/>
        <v>0</v>
      </c>
      <c r="X240" s="2">
        <f t="shared" ca="1" si="101"/>
        <v>-1.6358405771021967E-4</v>
      </c>
      <c r="Y240" s="2">
        <f t="shared" ca="1" si="102"/>
        <v>-1.614029402377854E-3</v>
      </c>
      <c r="Z240" s="11">
        <f t="shared" ca="1" si="103"/>
        <v>-1.4853760121635622E-5</v>
      </c>
      <c r="AA240" s="2">
        <f t="shared" ca="1" si="104"/>
        <v>-1.1458026838550334E-3</v>
      </c>
      <c r="AB240" s="11">
        <f t="shared" ca="1" si="105"/>
        <v>-4.9053934342410677E-4</v>
      </c>
      <c r="AC240" s="2">
        <f t="shared" ca="1" si="106"/>
        <v>-5.5074395654535931E-3</v>
      </c>
      <c r="AF240" s="11">
        <f t="shared" ca="1" si="107"/>
        <v>0</v>
      </c>
      <c r="AG240" s="2">
        <f t="shared" ca="1" si="108"/>
        <v>-1.6358405771021967E-4</v>
      </c>
      <c r="AH240" s="2">
        <f t="shared" ca="1" si="109"/>
        <v>-1.614029402377854E-3</v>
      </c>
      <c r="AI240" s="2">
        <f t="shared" ca="1" si="110"/>
        <v>-1.4853760121635622E-5</v>
      </c>
      <c r="AJ240" s="2">
        <f t="shared" ca="1" si="111"/>
        <v>-1.1458026838550334E-3</v>
      </c>
      <c r="AK240" s="2">
        <f t="shared" ca="1" si="112"/>
        <v>-4.9053934342410677E-4</v>
      </c>
      <c r="AL240" s="2">
        <f t="shared" ca="1" si="113"/>
        <v>-5.5074395654535931E-3</v>
      </c>
      <c r="AN240" s="2" t="e">
        <f t="shared" ca="1" si="91"/>
        <v>#N/A</v>
      </c>
      <c r="AO240" s="2" t="e">
        <f t="shared" ca="1" si="92"/>
        <v>#N/A</v>
      </c>
      <c r="AP240" s="2" t="e">
        <f t="shared" ca="1" si="93"/>
        <v>#N/A</v>
      </c>
      <c r="AQ240" s="2" t="e">
        <f t="shared" ca="1" si="94"/>
        <v>#N/A</v>
      </c>
      <c r="AR240" s="2" t="e">
        <f t="shared" ca="1" si="95"/>
        <v>#N/A</v>
      </c>
      <c r="AS240" s="2" t="e">
        <f t="shared" ca="1" si="96"/>
        <v>#N/A</v>
      </c>
      <c r="AT240" s="9" t="e">
        <f t="shared" ca="1" si="97"/>
        <v>#N/A</v>
      </c>
      <c r="AU240" s="9" t="e">
        <f t="shared" ca="1" si="98"/>
        <v>#N/A</v>
      </c>
      <c r="AW240" s="2" t="e">
        <f t="shared" ca="1" si="128"/>
        <v>#N/A</v>
      </c>
      <c r="AX240" s="2" t="e">
        <f t="shared" ca="1" si="129"/>
        <v>#N/A</v>
      </c>
      <c r="AY240" s="2" t="e">
        <f t="shared" ca="1" si="130"/>
        <v>#N/A</v>
      </c>
      <c r="AZ240" s="2" t="e">
        <f t="shared" ca="1" si="131"/>
        <v>#N/A</v>
      </c>
      <c r="BA240" s="2" t="e">
        <f t="shared" ca="1" si="132"/>
        <v>#N/A</v>
      </c>
      <c r="BB240" s="2" t="e">
        <f t="shared" ca="1" si="133"/>
        <v>#N/A</v>
      </c>
      <c r="BC240" s="9" t="e">
        <f t="shared" ca="1" si="134"/>
        <v>#N/A</v>
      </c>
      <c r="BD240" s="9" t="e">
        <f t="shared" ca="1" si="135"/>
        <v>#N/A</v>
      </c>
    </row>
    <row r="241" spans="1:56" ht="15" x14ac:dyDescent="0.25">
      <c r="A241" s="90"/>
      <c r="B241" s="90"/>
      <c r="C241" s="91"/>
      <c r="D241" s="91"/>
      <c r="E241" s="91"/>
      <c r="F241" s="91"/>
      <c r="G241" s="91"/>
      <c r="H241" s="91"/>
      <c r="I241" s="91"/>
      <c r="J241" s="64"/>
      <c r="K241" s="64"/>
      <c r="L241" s="64"/>
      <c r="M241" s="64"/>
      <c r="O241" s="11">
        <f t="shared" ca="1" si="121"/>
        <v>-3.9378682616450625E-4</v>
      </c>
      <c r="P241" s="11">
        <f t="shared" ca="1" si="122"/>
        <v>-1.6358405771021967E-4</v>
      </c>
      <c r="Q241" s="11">
        <f t="shared" ca="1" si="123"/>
        <v>-1.614029402377854E-3</v>
      </c>
      <c r="R241" s="11">
        <f t="shared" ca="1" si="124"/>
        <v>-1.4853760121635622E-5</v>
      </c>
      <c r="S241" s="11">
        <f t="shared" ca="1" si="125"/>
        <v>-1.1458026838550334E-3</v>
      </c>
      <c r="T241" s="11">
        <f t="shared" ca="1" si="126"/>
        <v>-4.9053934342410677E-4</v>
      </c>
      <c r="U241" s="11">
        <f t="shared" ca="1" si="127"/>
        <v>-5.5074395654535931E-3</v>
      </c>
      <c r="V241" s="11"/>
      <c r="W241" s="11">
        <f t="shared" ca="1" si="100"/>
        <v>0</v>
      </c>
      <c r="X241" s="2">
        <f t="shared" ca="1" si="101"/>
        <v>-1.6358405771021967E-4</v>
      </c>
      <c r="Y241" s="2">
        <f t="shared" ca="1" si="102"/>
        <v>-1.614029402377854E-3</v>
      </c>
      <c r="Z241" s="11">
        <f t="shared" ca="1" si="103"/>
        <v>-1.4853760121635622E-5</v>
      </c>
      <c r="AA241" s="2">
        <f t="shared" ca="1" si="104"/>
        <v>-1.1458026838550334E-3</v>
      </c>
      <c r="AB241" s="11">
        <f t="shared" ca="1" si="105"/>
        <v>-4.9053934342410677E-4</v>
      </c>
      <c r="AC241" s="2">
        <f t="shared" ca="1" si="106"/>
        <v>-5.5074395654535931E-3</v>
      </c>
      <c r="AF241" s="11">
        <f t="shared" ca="1" si="107"/>
        <v>0</v>
      </c>
      <c r="AG241" s="2">
        <f t="shared" ca="1" si="108"/>
        <v>-1.6358405771021967E-4</v>
      </c>
      <c r="AH241" s="2">
        <f t="shared" ca="1" si="109"/>
        <v>-1.614029402377854E-3</v>
      </c>
      <c r="AI241" s="2">
        <f t="shared" ca="1" si="110"/>
        <v>-1.4853760121635622E-5</v>
      </c>
      <c r="AJ241" s="2">
        <f t="shared" ca="1" si="111"/>
        <v>-1.1458026838550334E-3</v>
      </c>
      <c r="AK241" s="2">
        <f t="shared" ca="1" si="112"/>
        <v>-4.9053934342410677E-4</v>
      </c>
      <c r="AL241" s="2">
        <f t="shared" ca="1" si="113"/>
        <v>-5.5074395654535931E-3</v>
      </c>
      <c r="AN241" s="2" t="e">
        <f t="shared" ca="1" si="91"/>
        <v>#N/A</v>
      </c>
      <c r="AO241" s="2" t="e">
        <f t="shared" ca="1" si="92"/>
        <v>#N/A</v>
      </c>
      <c r="AP241" s="2" t="e">
        <f t="shared" ca="1" si="93"/>
        <v>#N/A</v>
      </c>
      <c r="AQ241" s="2" t="e">
        <f t="shared" ca="1" si="94"/>
        <v>#N/A</v>
      </c>
      <c r="AR241" s="2" t="e">
        <f t="shared" ca="1" si="95"/>
        <v>#N/A</v>
      </c>
      <c r="AS241" s="2" t="e">
        <f t="shared" ca="1" si="96"/>
        <v>#N/A</v>
      </c>
      <c r="AT241" s="9" t="e">
        <f t="shared" ca="1" si="97"/>
        <v>#N/A</v>
      </c>
      <c r="AU241" s="9" t="e">
        <f t="shared" ca="1" si="98"/>
        <v>#N/A</v>
      </c>
      <c r="AW241" s="2" t="e">
        <f t="shared" ca="1" si="128"/>
        <v>#N/A</v>
      </c>
      <c r="AX241" s="2" t="e">
        <f t="shared" ca="1" si="129"/>
        <v>#N/A</v>
      </c>
      <c r="AY241" s="2" t="e">
        <f t="shared" ca="1" si="130"/>
        <v>#N/A</v>
      </c>
      <c r="AZ241" s="2" t="e">
        <f t="shared" ca="1" si="131"/>
        <v>#N/A</v>
      </c>
      <c r="BA241" s="2" t="e">
        <f t="shared" ca="1" si="132"/>
        <v>#N/A</v>
      </c>
      <c r="BB241" s="2" t="e">
        <f t="shared" ca="1" si="133"/>
        <v>#N/A</v>
      </c>
      <c r="BC241" s="9" t="e">
        <f t="shared" ca="1" si="134"/>
        <v>#N/A</v>
      </c>
      <c r="BD241" s="9" t="e">
        <f t="shared" ca="1" si="135"/>
        <v>#N/A</v>
      </c>
    </row>
    <row r="242" spans="1:56" ht="15" x14ac:dyDescent="0.25">
      <c r="A242" s="90"/>
      <c r="B242" s="90"/>
      <c r="C242" s="91"/>
      <c r="D242" s="91"/>
      <c r="E242" s="91"/>
      <c r="F242" s="91"/>
      <c r="G242" s="91"/>
      <c r="H242" s="91"/>
      <c r="I242" s="91"/>
      <c r="J242" s="64"/>
      <c r="K242" s="64"/>
      <c r="L242" s="64"/>
      <c r="M242" s="64"/>
      <c r="O242" s="11">
        <f t="shared" ca="1" si="121"/>
        <v>-3.9378682616450625E-4</v>
      </c>
      <c r="P242" s="11">
        <f t="shared" ca="1" si="122"/>
        <v>-1.6358405771021967E-4</v>
      </c>
      <c r="Q242" s="11">
        <f t="shared" ca="1" si="123"/>
        <v>-1.614029402377854E-3</v>
      </c>
      <c r="R242" s="11">
        <f t="shared" ca="1" si="124"/>
        <v>-1.4853760121635622E-5</v>
      </c>
      <c r="S242" s="11">
        <f t="shared" ca="1" si="125"/>
        <v>-1.1458026838550334E-3</v>
      </c>
      <c r="T242" s="11">
        <f t="shared" ca="1" si="126"/>
        <v>-4.9053934342410677E-4</v>
      </c>
      <c r="U242" s="11">
        <f t="shared" ca="1" si="127"/>
        <v>-5.5074395654535931E-3</v>
      </c>
      <c r="V242" s="11"/>
      <c r="W242" s="11">
        <f t="shared" ca="1" si="100"/>
        <v>0</v>
      </c>
      <c r="X242" s="2">
        <f t="shared" ca="1" si="101"/>
        <v>-1.6358405771021967E-4</v>
      </c>
      <c r="Y242" s="2">
        <f t="shared" ca="1" si="102"/>
        <v>-1.614029402377854E-3</v>
      </c>
      <c r="Z242" s="11">
        <f t="shared" ca="1" si="103"/>
        <v>-1.4853760121635622E-5</v>
      </c>
      <c r="AA242" s="2">
        <f t="shared" ca="1" si="104"/>
        <v>-1.1458026838550334E-3</v>
      </c>
      <c r="AB242" s="11">
        <f t="shared" ca="1" si="105"/>
        <v>-4.9053934342410677E-4</v>
      </c>
      <c r="AC242" s="2">
        <f t="shared" ca="1" si="106"/>
        <v>-5.5074395654535931E-3</v>
      </c>
      <c r="AF242" s="11">
        <f t="shared" ca="1" si="107"/>
        <v>0</v>
      </c>
      <c r="AG242" s="2">
        <f t="shared" ca="1" si="108"/>
        <v>-1.6358405771021967E-4</v>
      </c>
      <c r="AH242" s="2">
        <f t="shared" ca="1" si="109"/>
        <v>-1.614029402377854E-3</v>
      </c>
      <c r="AI242" s="2">
        <f t="shared" ca="1" si="110"/>
        <v>-1.4853760121635622E-5</v>
      </c>
      <c r="AJ242" s="2">
        <f t="shared" ca="1" si="111"/>
        <v>-1.1458026838550334E-3</v>
      </c>
      <c r="AK242" s="2">
        <f t="shared" ca="1" si="112"/>
        <v>-4.9053934342410677E-4</v>
      </c>
      <c r="AL242" s="2">
        <f t="shared" ca="1" si="113"/>
        <v>-5.5074395654535931E-3</v>
      </c>
      <c r="AN242" s="2" t="e">
        <f t="shared" ca="1" si="91"/>
        <v>#N/A</v>
      </c>
      <c r="AO242" s="2" t="e">
        <f t="shared" ca="1" si="92"/>
        <v>#N/A</v>
      </c>
      <c r="AP242" s="2" t="e">
        <f t="shared" ca="1" si="93"/>
        <v>#N/A</v>
      </c>
      <c r="AQ242" s="2" t="e">
        <f t="shared" ca="1" si="94"/>
        <v>#N/A</v>
      </c>
      <c r="AR242" s="2" t="e">
        <f t="shared" ca="1" si="95"/>
        <v>#N/A</v>
      </c>
      <c r="AS242" s="2" t="e">
        <f t="shared" ca="1" si="96"/>
        <v>#N/A</v>
      </c>
      <c r="AT242" s="9" t="e">
        <f t="shared" ca="1" si="97"/>
        <v>#N/A</v>
      </c>
      <c r="AU242" s="9" t="e">
        <f t="shared" ca="1" si="98"/>
        <v>#N/A</v>
      </c>
      <c r="AW242" s="2" t="e">
        <f t="shared" ca="1" si="128"/>
        <v>#N/A</v>
      </c>
      <c r="AX242" s="2" t="e">
        <f t="shared" ca="1" si="129"/>
        <v>#N/A</v>
      </c>
      <c r="AY242" s="2" t="e">
        <f t="shared" ca="1" si="130"/>
        <v>#N/A</v>
      </c>
      <c r="AZ242" s="2" t="e">
        <f t="shared" ca="1" si="131"/>
        <v>#N/A</v>
      </c>
      <c r="BA242" s="2" t="e">
        <f t="shared" ca="1" si="132"/>
        <v>#N/A</v>
      </c>
      <c r="BB242" s="2" t="e">
        <f t="shared" ca="1" si="133"/>
        <v>#N/A</v>
      </c>
      <c r="BC242" s="9" t="e">
        <f t="shared" ca="1" si="134"/>
        <v>#N/A</v>
      </c>
      <c r="BD242" s="9" t="e">
        <f t="shared" ca="1" si="135"/>
        <v>#N/A</v>
      </c>
    </row>
    <row r="243" spans="1:56" ht="15" x14ac:dyDescent="0.25">
      <c r="A243" s="90"/>
      <c r="B243" s="90"/>
      <c r="C243" s="91"/>
      <c r="D243" s="91"/>
      <c r="E243" s="91"/>
      <c r="F243" s="91"/>
      <c r="G243" s="91"/>
      <c r="H243" s="91"/>
      <c r="I243" s="91"/>
      <c r="J243" s="64"/>
      <c r="K243" s="64"/>
      <c r="L243" s="64"/>
      <c r="M243" s="64"/>
      <c r="O243" s="11">
        <f t="shared" ca="1" si="121"/>
        <v>-3.9378682616450625E-4</v>
      </c>
      <c r="P243" s="11">
        <f t="shared" ca="1" si="122"/>
        <v>-1.6358405771021967E-4</v>
      </c>
      <c r="Q243" s="11">
        <f t="shared" ca="1" si="123"/>
        <v>-1.614029402377854E-3</v>
      </c>
      <c r="R243" s="11">
        <f t="shared" ca="1" si="124"/>
        <v>-1.4853760121635622E-5</v>
      </c>
      <c r="S243" s="11">
        <f t="shared" ca="1" si="125"/>
        <v>-1.1458026838550334E-3</v>
      </c>
      <c r="T243" s="11">
        <f t="shared" ca="1" si="126"/>
        <v>-4.9053934342410677E-4</v>
      </c>
      <c r="U243" s="11">
        <f t="shared" ca="1" si="127"/>
        <v>-5.5074395654535931E-3</v>
      </c>
      <c r="V243" s="11"/>
      <c r="W243" s="11">
        <f t="shared" ca="1" si="100"/>
        <v>0</v>
      </c>
      <c r="X243" s="2">
        <f t="shared" ca="1" si="101"/>
        <v>-1.6358405771021967E-4</v>
      </c>
      <c r="Y243" s="2">
        <f t="shared" ca="1" si="102"/>
        <v>-1.614029402377854E-3</v>
      </c>
      <c r="Z243" s="11">
        <f t="shared" ca="1" si="103"/>
        <v>-1.4853760121635622E-5</v>
      </c>
      <c r="AA243" s="2">
        <f t="shared" ca="1" si="104"/>
        <v>-1.1458026838550334E-3</v>
      </c>
      <c r="AB243" s="11">
        <f t="shared" ca="1" si="105"/>
        <v>-4.9053934342410677E-4</v>
      </c>
      <c r="AC243" s="2">
        <f t="shared" ca="1" si="106"/>
        <v>-5.5074395654535931E-3</v>
      </c>
      <c r="AF243" s="11">
        <f t="shared" ca="1" si="107"/>
        <v>0</v>
      </c>
      <c r="AG243" s="2">
        <f t="shared" ca="1" si="108"/>
        <v>-1.6358405771021967E-4</v>
      </c>
      <c r="AH243" s="2">
        <f t="shared" ca="1" si="109"/>
        <v>-1.614029402377854E-3</v>
      </c>
      <c r="AI243" s="2">
        <f t="shared" ca="1" si="110"/>
        <v>-1.4853760121635622E-5</v>
      </c>
      <c r="AJ243" s="2">
        <f t="shared" ca="1" si="111"/>
        <v>-1.1458026838550334E-3</v>
      </c>
      <c r="AK243" s="2">
        <f t="shared" ca="1" si="112"/>
        <v>-4.9053934342410677E-4</v>
      </c>
      <c r="AL243" s="2">
        <f t="shared" ca="1" si="113"/>
        <v>-5.5074395654535931E-3</v>
      </c>
      <c r="AN243" s="2" t="e">
        <f t="shared" ca="1" si="91"/>
        <v>#N/A</v>
      </c>
      <c r="AO243" s="2" t="e">
        <f t="shared" ca="1" si="92"/>
        <v>#N/A</v>
      </c>
      <c r="AP243" s="2" t="e">
        <f t="shared" ca="1" si="93"/>
        <v>#N/A</v>
      </c>
      <c r="AQ243" s="2" t="e">
        <f t="shared" ca="1" si="94"/>
        <v>#N/A</v>
      </c>
      <c r="AR243" s="2" t="e">
        <f t="shared" ca="1" si="95"/>
        <v>#N/A</v>
      </c>
      <c r="AS243" s="2" t="e">
        <f t="shared" ca="1" si="96"/>
        <v>#N/A</v>
      </c>
      <c r="AT243" s="9" t="e">
        <f t="shared" ca="1" si="97"/>
        <v>#N/A</v>
      </c>
      <c r="AU243" s="9" t="e">
        <f t="shared" ca="1" si="98"/>
        <v>#N/A</v>
      </c>
      <c r="AW243" s="2" t="e">
        <f t="shared" ca="1" si="128"/>
        <v>#N/A</v>
      </c>
      <c r="AX243" s="2" t="e">
        <f t="shared" ca="1" si="129"/>
        <v>#N/A</v>
      </c>
      <c r="AY243" s="2" t="e">
        <f t="shared" ca="1" si="130"/>
        <v>#N/A</v>
      </c>
      <c r="AZ243" s="2" t="e">
        <f t="shared" ca="1" si="131"/>
        <v>#N/A</v>
      </c>
      <c r="BA243" s="2" t="e">
        <f t="shared" ca="1" si="132"/>
        <v>#N/A</v>
      </c>
      <c r="BB243" s="2" t="e">
        <f t="shared" ca="1" si="133"/>
        <v>#N/A</v>
      </c>
      <c r="BC243" s="9" t="e">
        <f t="shared" ca="1" si="134"/>
        <v>#N/A</v>
      </c>
      <c r="BD243" s="9" t="e">
        <f t="shared" ca="1" si="135"/>
        <v>#N/A</v>
      </c>
    </row>
    <row r="244" spans="1:56" ht="15" x14ac:dyDescent="0.25">
      <c r="A244" s="90"/>
      <c r="B244" s="90"/>
      <c r="C244" s="91"/>
      <c r="D244" s="91"/>
      <c r="E244" s="91"/>
      <c r="F244" s="91"/>
      <c r="G244" s="91"/>
      <c r="H244" s="91"/>
      <c r="I244" s="91"/>
      <c r="J244" s="64"/>
      <c r="K244" s="64"/>
      <c r="L244" s="64"/>
      <c r="M244" s="64"/>
      <c r="O244" s="11">
        <f t="shared" ca="1" si="121"/>
        <v>-3.9378682616450625E-4</v>
      </c>
      <c r="P244" s="11">
        <f t="shared" ca="1" si="122"/>
        <v>-1.6358405771021967E-4</v>
      </c>
      <c r="Q244" s="11">
        <f t="shared" ca="1" si="123"/>
        <v>-1.614029402377854E-3</v>
      </c>
      <c r="R244" s="11">
        <f t="shared" ca="1" si="124"/>
        <v>-1.4853760121635622E-5</v>
      </c>
      <c r="S244" s="11">
        <f t="shared" ca="1" si="125"/>
        <v>-1.1458026838550334E-3</v>
      </c>
      <c r="T244" s="11">
        <f t="shared" ca="1" si="126"/>
        <v>-4.9053934342410677E-4</v>
      </c>
      <c r="U244" s="11">
        <f t="shared" ca="1" si="127"/>
        <v>-5.5074395654535931E-3</v>
      </c>
      <c r="V244" s="11"/>
      <c r="W244" s="11">
        <f t="shared" ca="1" si="100"/>
        <v>0</v>
      </c>
      <c r="X244" s="2">
        <f t="shared" ca="1" si="101"/>
        <v>-1.6358405771021967E-4</v>
      </c>
      <c r="Y244" s="2">
        <f t="shared" ca="1" si="102"/>
        <v>-1.614029402377854E-3</v>
      </c>
      <c r="Z244" s="11">
        <f t="shared" ca="1" si="103"/>
        <v>-1.4853760121635622E-5</v>
      </c>
      <c r="AA244" s="2">
        <f t="shared" ca="1" si="104"/>
        <v>-1.1458026838550334E-3</v>
      </c>
      <c r="AB244" s="11">
        <f t="shared" ca="1" si="105"/>
        <v>-4.9053934342410677E-4</v>
      </c>
      <c r="AC244" s="2">
        <f t="shared" ca="1" si="106"/>
        <v>-5.5074395654535931E-3</v>
      </c>
      <c r="AF244" s="11">
        <f t="shared" ca="1" si="107"/>
        <v>0</v>
      </c>
      <c r="AG244" s="2">
        <f t="shared" ca="1" si="108"/>
        <v>-1.6358405771021967E-4</v>
      </c>
      <c r="AH244" s="2">
        <f t="shared" ca="1" si="109"/>
        <v>-1.614029402377854E-3</v>
      </c>
      <c r="AI244" s="2">
        <f t="shared" ca="1" si="110"/>
        <v>-1.4853760121635622E-5</v>
      </c>
      <c r="AJ244" s="2">
        <f t="shared" ca="1" si="111"/>
        <v>-1.1458026838550334E-3</v>
      </c>
      <c r="AK244" s="2">
        <f t="shared" ca="1" si="112"/>
        <v>-4.9053934342410677E-4</v>
      </c>
      <c r="AL244" s="2">
        <f t="shared" ca="1" si="113"/>
        <v>-5.5074395654535931E-3</v>
      </c>
      <c r="AN244" s="2" t="e">
        <f t="shared" ca="1" si="91"/>
        <v>#N/A</v>
      </c>
      <c r="AO244" s="2" t="e">
        <f t="shared" ca="1" si="92"/>
        <v>#N/A</v>
      </c>
      <c r="AP244" s="2" t="e">
        <f t="shared" ca="1" si="93"/>
        <v>#N/A</v>
      </c>
      <c r="AQ244" s="2" t="e">
        <f t="shared" ca="1" si="94"/>
        <v>#N/A</v>
      </c>
      <c r="AR244" s="2" t="e">
        <f t="shared" ca="1" si="95"/>
        <v>#N/A</v>
      </c>
      <c r="AS244" s="2" t="e">
        <f t="shared" ca="1" si="96"/>
        <v>#N/A</v>
      </c>
      <c r="AT244" s="9" t="e">
        <f t="shared" ca="1" si="97"/>
        <v>#N/A</v>
      </c>
      <c r="AU244" s="9" t="e">
        <f t="shared" ca="1" si="98"/>
        <v>#N/A</v>
      </c>
      <c r="AW244" s="2" t="e">
        <f t="shared" ca="1" si="128"/>
        <v>#N/A</v>
      </c>
      <c r="AX244" s="2" t="e">
        <f t="shared" ca="1" si="129"/>
        <v>#N/A</v>
      </c>
      <c r="AY244" s="2" t="e">
        <f t="shared" ca="1" si="130"/>
        <v>#N/A</v>
      </c>
      <c r="AZ244" s="2" t="e">
        <f t="shared" ca="1" si="131"/>
        <v>#N/A</v>
      </c>
      <c r="BA244" s="2" t="e">
        <f t="shared" ca="1" si="132"/>
        <v>#N/A</v>
      </c>
      <c r="BB244" s="2" t="e">
        <f t="shared" ca="1" si="133"/>
        <v>#N/A</v>
      </c>
      <c r="BC244" s="9" t="e">
        <f t="shared" ca="1" si="134"/>
        <v>#N/A</v>
      </c>
      <c r="BD244" s="9" t="e">
        <f t="shared" ca="1" si="135"/>
        <v>#N/A</v>
      </c>
    </row>
    <row r="245" spans="1:56" ht="15" x14ac:dyDescent="0.25">
      <c r="A245" s="90"/>
      <c r="B245" s="90"/>
      <c r="C245" s="91"/>
      <c r="D245" s="91"/>
      <c r="E245" s="91"/>
      <c r="F245" s="91"/>
      <c r="G245" s="91"/>
      <c r="H245" s="91"/>
      <c r="I245" s="91"/>
      <c r="J245" s="64"/>
      <c r="K245" s="64"/>
      <c r="L245" s="64"/>
      <c r="M245" s="64"/>
      <c r="O245" s="11">
        <f t="shared" ca="1" si="121"/>
        <v>-3.9378682616450625E-4</v>
      </c>
      <c r="P245" s="11">
        <f t="shared" ca="1" si="122"/>
        <v>-1.6358405771021967E-4</v>
      </c>
      <c r="Q245" s="11">
        <f t="shared" ca="1" si="123"/>
        <v>-1.614029402377854E-3</v>
      </c>
      <c r="R245" s="11">
        <f t="shared" ca="1" si="124"/>
        <v>-1.4853760121635622E-5</v>
      </c>
      <c r="S245" s="11">
        <f t="shared" ca="1" si="125"/>
        <v>-1.1458026838550334E-3</v>
      </c>
      <c r="T245" s="11">
        <f t="shared" ca="1" si="126"/>
        <v>-4.9053934342410677E-4</v>
      </c>
      <c r="U245" s="11">
        <f t="shared" ca="1" si="127"/>
        <v>-5.5074395654535931E-3</v>
      </c>
      <c r="V245" s="11"/>
      <c r="W245" s="11">
        <f t="shared" ca="1" si="100"/>
        <v>0</v>
      </c>
      <c r="X245" s="2">
        <f t="shared" ca="1" si="101"/>
        <v>-1.6358405771021967E-4</v>
      </c>
      <c r="Y245" s="2">
        <f t="shared" ca="1" si="102"/>
        <v>-1.614029402377854E-3</v>
      </c>
      <c r="Z245" s="11">
        <f t="shared" ca="1" si="103"/>
        <v>-1.4853760121635622E-5</v>
      </c>
      <c r="AA245" s="2">
        <f t="shared" ca="1" si="104"/>
        <v>-1.1458026838550334E-3</v>
      </c>
      <c r="AB245" s="11">
        <f t="shared" ca="1" si="105"/>
        <v>-4.9053934342410677E-4</v>
      </c>
      <c r="AC245" s="2">
        <f t="shared" ca="1" si="106"/>
        <v>-5.5074395654535931E-3</v>
      </c>
      <c r="AF245" s="11">
        <f t="shared" ca="1" si="107"/>
        <v>0</v>
      </c>
      <c r="AG245" s="2">
        <f t="shared" ca="1" si="108"/>
        <v>-1.6358405771021967E-4</v>
      </c>
      <c r="AH245" s="2">
        <f t="shared" ca="1" si="109"/>
        <v>-1.614029402377854E-3</v>
      </c>
      <c r="AI245" s="2">
        <f t="shared" ca="1" si="110"/>
        <v>-1.4853760121635622E-5</v>
      </c>
      <c r="AJ245" s="2">
        <f t="shared" ca="1" si="111"/>
        <v>-1.1458026838550334E-3</v>
      </c>
      <c r="AK245" s="2">
        <f t="shared" ca="1" si="112"/>
        <v>-4.9053934342410677E-4</v>
      </c>
      <c r="AL245" s="2">
        <f t="shared" ca="1" si="113"/>
        <v>-5.5074395654535931E-3</v>
      </c>
      <c r="AN245" s="2" t="e">
        <f t="shared" ca="1" si="91"/>
        <v>#N/A</v>
      </c>
      <c r="AO245" s="2" t="e">
        <f t="shared" ca="1" si="92"/>
        <v>#N/A</v>
      </c>
      <c r="AP245" s="2" t="e">
        <f t="shared" ca="1" si="93"/>
        <v>#N/A</v>
      </c>
      <c r="AQ245" s="2" t="e">
        <f t="shared" ca="1" si="94"/>
        <v>#N/A</v>
      </c>
      <c r="AR245" s="2" t="e">
        <f t="shared" ca="1" si="95"/>
        <v>#N/A</v>
      </c>
      <c r="AS245" s="2" t="e">
        <f t="shared" ca="1" si="96"/>
        <v>#N/A</v>
      </c>
      <c r="AT245" s="9" t="e">
        <f t="shared" ca="1" si="97"/>
        <v>#N/A</v>
      </c>
      <c r="AU245" s="9" t="e">
        <f t="shared" ca="1" si="98"/>
        <v>#N/A</v>
      </c>
      <c r="AW245" s="2" t="e">
        <f t="shared" ca="1" si="128"/>
        <v>#N/A</v>
      </c>
      <c r="AX245" s="2" t="e">
        <f t="shared" ca="1" si="129"/>
        <v>#N/A</v>
      </c>
      <c r="AY245" s="2" t="e">
        <f t="shared" ca="1" si="130"/>
        <v>#N/A</v>
      </c>
      <c r="AZ245" s="2" t="e">
        <f t="shared" ca="1" si="131"/>
        <v>#N/A</v>
      </c>
      <c r="BA245" s="2" t="e">
        <f t="shared" ca="1" si="132"/>
        <v>#N/A</v>
      </c>
      <c r="BB245" s="2" t="e">
        <f t="shared" ca="1" si="133"/>
        <v>#N/A</v>
      </c>
      <c r="BC245" s="9" t="e">
        <f t="shared" ca="1" si="134"/>
        <v>#N/A</v>
      </c>
      <c r="BD245" s="9" t="e">
        <f t="shared" ca="1" si="135"/>
        <v>#N/A</v>
      </c>
    </row>
    <row r="246" spans="1:56" ht="15" x14ac:dyDescent="0.25">
      <c r="A246" s="90"/>
      <c r="B246" s="90"/>
      <c r="C246" s="91"/>
      <c r="D246" s="91"/>
      <c r="E246" s="91"/>
      <c r="F246" s="91"/>
      <c r="G246" s="91"/>
      <c r="H246" s="91"/>
      <c r="I246" s="91"/>
      <c r="J246" s="64"/>
      <c r="K246" s="64"/>
      <c r="L246" s="64"/>
      <c r="M246" s="64"/>
      <c r="O246" s="11">
        <f t="shared" ca="1" si="121"/>
        <v>-3.9378682616450625E-4</v>
      </c>
      <c r="P246" s="11">
        <f t="shared" ca="1" si="122"/>
        <v>-1.6358405771021967E-4</v>
      </c>
      <c r="Q246" s="11">
        <f t="shared" ca="1" si="123"/>
        <v>-1.614029402377854E-3</v>
      </c>
      <c r="R246" s="11">
        <f t="shared" ca="1" si="124"/>
        <v>-1.4853760121635622E-5</v>
      </c>
      <c r="S246" s="11">
        <f t="shared" ca="1" si="125"/>
        <v>-1.1458026838550334E-3</v>
      </c>
      <c r="T246" s="11">
        <f t="shared" ca="1" si="126"/>
        <v>-4.9053934342410677E-4</v>
      </c>
      <c r="U246" s="11">
        <f t="shared" ca="1" si="127"/>
        <v>-5.5074395654535931E-3</v>
      </c>
      <c r="V246" s="11"/>
      <c r="W246" s="11">
        <f t="shared" ca="1" si="100"/>
        <v>0</v>
      </c>
      <c r="X246" s="2">
        <f t="shared" ca="1" si="101"/>
        <v>-1.6358405771021967E-4</v>
      </c>
      <c r="Y246" s="2">
        <f t="shared" ca="1" si="102"/>
        <v>-1.614029402377854E-3</v>
      </c>
      <c r="Z246" s="11">
        <f t="shared" ca="1" si="103"/>
        <v>-1.4853760121635622E-5</v>
      </c>
      <c r="AA246" s="2">
        <f t="shared" ca="1" si="104"/>
        <v>-1.1458026838550334E-3</v>
      </c>
      <c r="AB246" s="11">
        <f t="shared" ca="1" si="105"/>
        <v>-4.9053934342410677E-4</v>
      </c>
      <c r="AC246" s="2">
        <f t="shared" ca="1" si="106"/>
        <v>-5.5074395654535931E-3</v>
      </c>
      <c r="AF246" s="11">
        <f t="shared" ca="1" si="107"/>
        <v>0</v>
      </c>
      <c r="AG246" s="2">
        <f t="shared" ca="1" si="108"/>
        <v>-1.6358405771021967E-4</v>
      </c>
      <c r="AH246" s="2">
        <f t="shared" ca="1" si="109"/>
        <v>-1.614029402377854E-3</v>
      </c>
      <c r="AI246" s="2">
        <f t="shared" ca="1" si="110"/>
        <v>-1.4853760121635622E-5</v>
      </c>
      <c r="AJ246" s="2">
        <f t="shared" ca="1" si="111"/>
        <v>-1.1458026838550334E-3</v>
      </c>
      <c r="AK246" s="2">
        <f t="shared" ca="1" si="112"/>
        <v>-4.9053934342410677E-4</v>
      </c>
      <c r="AL246" s="2">
        <f t="shared" ca="1" si="113"/>
        <v>-5.5074395654535931E-3</v>
      </c>
      <c r="AN246" s="2" t="e">
        <f t="shared" ca="1" si="91"/>
        <v>#N/A</v>
      </c>
      <c r="AO246" s="2" t="e">
        <f t="shared" ca="1" si="92"/>
        <v>#N/A</v>
      </c>
      <c r="AP246" s="2" t="e">
        <f t="shared" ca="1" si="93"/>
        <v>#N/A</v>
      </c>
      <c r="AQ246" s="2" t="e">
        <f t="shared" ca="1" si="94"/>
        <v>#N/A</v>
      </c>
      <c r="AR246" s="2" t="e">
        <f t="shared" ca="1" si="95"/>
        <v>#N/A</v>
      </c>
      <c r="AS246" s="2" t="e">
        <f t="shared" ca="1" si="96"/>
        <v>#N/A</v>
      </c>
      <c r="AT246" s="9" t="e">
        <f t="shared" ca="1" si="97"/>
        <v>#N/A</v>
      </c>
      <c r="AU246" s="9" t="e">
        <f t="shared" ca="1" si="98"/>
        <v>#N/A</v>
      </c>
      <c r="AW246" s="2" t="e">
        <f t="shared" ca="1" si="128"/>
        <v>#N/A</v>
      </c>
      <c r="AX246" s="2" t="e">
        <f t="shared" ca="1" si="129"/>
        <v>#N/A</v>
      </c>
      <c r="AY246" s="2" t="e">
        <f t="shared" ca="1" si="130"/>
        <v>#N/A</v>
      </c>
      <c r="AZ246" s="2" t="e">
        <f t="shared" ca="1" si="131"/>
        <v>#N/A</v>
      </c>
      <c r="BA246" s="2" t="e">
        <f t="shared" ca="1" si="132"/>
        <v>#N/A</v>
      </c>
      <c r="BB246" s="2" t="e">
        <f t="shared" ca="1" si="133"/>
        <v>#N/A</v>
      </c>
      <c r="BC246" s="9" t="e">
        <f t="shared" ca="1" si="134"/>
        <v>#N/A</v>
      </c>
      <c r="BD246" s="9" t="e">
        <f t="shared" ca="1" si="135"/>
        <v>#N/A</v>
      </c>
    </row>
    <row r="247" spans="1:56" ht="15" x14ac:dyDescent="0.25">
      <c r="A247" s="90"/>
      <c r="B247" s="90"/>
      <c r="C247" s="91"/>
      <c r="D247" s="91"/>
      <c r="E247" s="91"/>
      <c r="F247" s="91"/>
      <c r="G247" s="91"/>
      <c r="H247" s="91"/>
      <c r="I247" s="91"/>
      <c r="J247" s="64"/>
      <c r="K247" s="64"/>
      <c r="L247" s="64"/>
      <c r="M247" s="64"/>
      <c r="O247" s="11">
        <f t="shared" ca="1" si="121"/>
        <v>-3.9378682616450625E-4</v>
      </c>
      <c r="P247" s="11">
        <f t="shared" ca="1" si="122"/>
        <v>-1.6358405771021967E-4</v>
      </c>
      <c r="Q247" s="11">
        <f t="shared" ca="1" si="123"/>
        <v>-1.614029402377854E-3</v>
      </c>
      <c r="R247" s="11">
        <f t="shared" ca="1" si="124"/>
        <v>-1.4853760121635622E-5</v>
      </c>
      <c r="S247" s="11">
        <f t="shared" ca="1" si="125"/>
        <v>-1.1458026838550334E-3</v>
      </c>
      <c r="T247" s="11">
        <f t="shared" ca="1" si="126"/>
        <v>-4.9053934342410677E-4</v>
      </c>
      <c r="U247" s="11">
        <f t="shared" ca="1" si="127"/>
        <v>-5.5074395654535931E-3</v>
      </c>
      <c r="V247" s="11"/>
      <c r="W247" s="11">
        <f t="shared" ca="1" si="100"/>
        <v>0</v>
      </c>
      <c r="X247" s="2">
        <f t="shared" ca="1" si="101"/>
        <v>-1.6358405771021967E-4</v>
      </c>
      <c r="Y247" s="2">
        <f t="shared" ca="1" si="102"/>
        <v>-1.614029402377854E-3</v>
      </c>
      <c r="Z247" s="11">
        <f t="shared" ca="1" si="103"/>
        <v>-1.4853760121635622E-5</v>
      </c>
      <c r="AA247" s="2">
        <f t="shared" ca="1" si="104"/>
        <v>-1.1458026838550334E-3</v>
      </c>
      <c r="AB247" s="11">
        <f t="shared" ca="1" si="105"/>
        <v>-4.9053934342410677E-4</v>
      </c>
      <c r="AC247" s="2">
        <f t="shared" ca="1" si="106"/>
        <v>-5.5074395654535931E-3</v>
      </c>
      <c r="AF247" s="11">
        <f t="shared" ca="1" si="107"/>
        <v>0</v>
      </c>
      <c r="AG247" s="2">
        <f t="shared" ca="1" si="108"/>
        <v>-1.6358405771021967E-4</v>
      </c>
      <c r="AH247" s="2">
        <f t="shared" ca="1" si="109"/>
        <v>-1.614029402377854E-3</v>
      </c>
      <c r="AI247" s="2">
        <f t="shared" ca="1" si="110"/>
        <v>-1.4853760121635622E-5</v>
      </c>
      <c r="AJ247" s="2">
        <f t="shared" ca="1" si="111"/>
        <v>-1.1458026838550334E-3</v>
      </c>
      <c r="AK247" s="2">
        <f t="shared" ca="1" si="112"/>
        <v>-4.9053934342410677E-4</v>
      </c>
      <c r="AL247" s="2">
        <f t="shared" ca="1" si="113"/>
        <v>-5.5074395654535931E-3</v>
      </c>
      <c r="AN247" s="2" t="e">
        <f t="shared" ca="1" si="91"/>
        <v>#N/A</v>
      </c>
      <c r="AO247" s="2" t="e">
        <f t="shared" ca="1" si="92"/>
        <v>#N/A</v>
      </c>
      <c r="AP247" s="2" t="e">
        <f t="shared" ca="1" si="93"/>
        <v>#N/A</v>
      </c>
      <c r="AQ247" s="2" t="e">
        <f t="shared" ca="1" si="94"/>
        <v>#N/A</v>
      </c>
      <c r="AR247" s="2" t="e">
        <f t="shared" ca="1" si="95"/>
        <v>#N/A</v>
      </c>
      <c r="AS247" s="2" t="e">
        <f t="shared" ca="1" si="96"/>
        <v>#N/A</v>
      </c>
      <c r="AT247" s="9" t="e">
        <f t="shared" ca="1" si="97"/>
        <v>#N/A</v>
      </c>
      <c r="AU247" s="9" t="e">
        <f t="shared" ca="1" si="98"/>
        <v>#N/A</v>
      </c>
      <c r="AW247" s="2" t="e">
        <f t="shared" ca="1" si="128"/>
        <v>#N/A</v>
      </c>
      <c r="AX247" s="2" t="e">
        <f t="shared" ca="1" si="129"/>
        <v>#N/A</v>
      </c>
      <c r="AY247" s="2" t="e">
        <f t="shared" ca="1" si="130"/>
        <v>#N/A</v>
      </c>
      <c r="AZ247" s="2" t="e">
        <f t="shared" ca="1" si="131"/>
        <v>#N/A</v>
      </c>
      <c r="BA247" s="2" t="e">
        <f t="shared" ca="1" si="132"/>
        <v>#N/A</v>
      </c>
      <c r="BB247" s="2" t="e">
        <f t="shared" ca="1" si="133"/>
        <v>#N/A</v>
      </c>
      <c r="BC247" s="9" t="e">
        <f t="shared" ca="1" si="134"/>
        <v>#N/A</v>
      </c>
      <c r="BD247" s="9" t="e">
        <f t="shared" ca="1" si="135"/>
        <v>#N/A</v>
      </c>
    </row>
    <row r="248" spans="1:56" ht="15" x14ac:dyDescent="0.25">
      <c r="A248" s="90"/>
      <c r="B248" s="90"/>
      <c r="C248" s="91"/>
      <c r="D248" s="91"/>
      <c r="E248" s="91"/>
      <c r="F248" s="91"/>
      <c r="G248" s="91"/>
      <c r="H248" s="91"/>
      <c r="I248" s="91"/>
      <c r="J248" s="64"/>
      <c r="K248" s="64"/>
      <c r="L248" s="64"/>
      <c r="M248" s="64"/>
      <c r="O248" s="11">
        <f t="shared" ca="1" si="121"/>
        <v>-3.9378682616450625E-4</v>
      </c>
      <c r="P248" s="11">
        <f t="shared" ca="1" si="122"/>
        <v>-1.6358405771021967E-4</v>
      </c>
      <c r="Q248" s="11">
        <f t="shared" ca="1" si="123"/>
        <v>-1.614029402377854E-3</v>
      </c>
      <c r="R248" s="11">
        <f t="shared" ca="1" si="124"/>
        <v>-1.4853760121635622E-5</v>
      </c>
      <c r="S248" s="11">
        <f t="shared" ca="1" si="125"/>
        <v>-1.1458026838550334E-3</v>
      </c>
      <c r="T248" s="11">
        <f t="shared" ca="1" si="126"/>
        <v>-4.9053934342410677E-4</v>
      </c>
      <c r="U248" s="11">
        <f t="shared" ca="1" si="127"/>
        <v>-5.5074395654535931E-3</v>
      </c>
      <c r="V248" s="11"/>
      <c r="W248" s="11">
        <f t="shared" ca="1" si="100"/>
        <v>0</v>
      </c>
      <c r="X248" s="2">
        <f t="shared" ca="1" si="101"/>
        <v>-1.6358405771021967E-4</v>
      </c>
      <c r="Y248" s="2">
        <f t="shared" ca="1" si="102"/>
        <v>-1.614029402377854E-3</v>
      </c>
      <c r="Z248" s="11">
        <f t="shared" ca="1" si="103"/>
        <v>-1.4853760121635622E-5</v>
      </c>
      <c r="AA248" s="2">
        <f t="shared" ca="1" si="104"/>
        <v>-1.1458026838550334E-3</v>
      </c>
      <c r="AB248" s="11">
        <f t="shared" ca="1" si="105"/>
        <v>-4.9053934342410677E-4</v>
      </c>
      <c r="AC248" s="2">
        <f t="shared" ca="1" si="106"/>
        <v>-5.5074395654535931E-3</v>
      </c>
      <c r="AF248" s="11">
        <f t="shared" ca="1" si="107"/>
        <v>0</v>
      </c>
      <c r="AG248" s="2">
        <f t="shared" ca="1" si="108"/>
        <v>-1.6358405771021967E-4</v>
      </c>
      <c r="AH248" s="2">
        <f t="shared" ca="1" si="109"/>
        <v>-1.614029402377854E-3</v>
      </c>
      <c r="AI248" s="2">
        <f t="shared" ca="1" si="110"/>
        <v>-1.4853760121635622E-5</v>
      </c>
      <c r="AJ248" s="2">
        <f t="shared" ca="1" si="111"/>
        <v>-1.1458026838550334E-3</v>
      </c>
      <c r="AK248" s="2">
        <f t="shared" ca="1" si="112"/>
        <v>-4.9053934342410677E-4</v>
      </c>
      <c r="AL248" s="2">
        <f t="shared" ca="1" si="113"/>
        <v>-5.5074395654535931E-3</v>
      </c>
      <c r="AN248" s="2" t="e">
        <f t="shared" ca="1" si="91"/>
        <v>#N/A</v>
      </c>
      <c r="AO248" s="2" t="e">
        <f t="shared" ca="1" si="92"/>
        <v>#N/A</v>
      </c>
      <c r="AP248" s="2" t="e">
        <f t="shared" ca="1" si="93"/>
        <v>#N/A</v>
      </c>
      <c r="AQ248" s="2" t="e">
        <f t="shared" ca="1" si="94"/>
        <v>#N/A</v>
      </c>
      <c r="AR248" s="2" t="e">
        <f t="shared" ca="1" si="95"/>
        <v>#N/A</v>
      </c>
      <c r="AS248" s="2" t="e">
        <f t="shared" ca="1" si="96"/>
        <v>#N/A</v>
      </c>
      <c r="AT248" s="9" t="e">
        <f t="shared" ca="1" si="97"/>
        <v>#N/A</v>
      </c>
      <c r="AU248" s="9" t="e">
        <f t="shared" ca="1" si="98"/>
        <v>#N/A</v>
      </c>
      <c r="AW248" s="2" t="e">
        <f t="shared" ca="1" si="128"/>
        <v>#N/A</v>
      </c>
      <c r="AX248" s="2" t="e">
        <f t="shared" ca="1" si="129"/>
        <v>#N/A</v>
      </c>
      <c r="AY248" s="2" t="e">
        <f t="shared" ca="1" si="130"/>
        <v>#N/A</v>
      </c>
      <c r="AZ248" s="2" t="e">
        <f t="shared" ca="1" si="131"/>
        <v>#N/A</v>
      </c>
      <c r="BA248" s="2" t="e">
        <f t="shared" ca="1" si="132"/>
        <v>#N/A</v>
      </c>
      <c r="BB248" s="2" t="e">
        <f t="shared" ca="1" si="133"/>
        <v>#N/A</v>
      </c>
      <c r="BC248" s="9" t="e">
        <f t="shared" ca="1" si="134"/>
        <v>#N/A</v>
      </c>
      <c r="BD248" s="9" t="e">
        <f t="shared" ca="1" si="135"/>
        <v>#N/A</v>
      </c>
    </row>
    <row r="249" spans="1:56" ht="15" x14ac:dyDescent="0.25">
      <c r="A249" s="90"/>
      <c r="B249" s="90"/>
      <c r="C249" s="91"/>
      <c r="D249" s="91"/>
      <c r="E249" s="91"/>
      <c r="F249" s="91"/>
      <c r="G249" s="91"/>
      <c r="H249" s="91"/>
      <c r="I249" s="91"/>
      <c r="J249" s="64"/>
      <c r="K249" s="64"/>
      <c r="L249" s="64"/>
      <c r="M249" s="64"/>
      <c r="O249" s="11">
        <f t="shared" ca="1" si="121"/>
        <v>-3.9378682616450625E-4</v>
      </c>
      <c r="P249" s="11">
        <f t="shared" ca="1" si="122"/>
        <v>-1.6358405771021967E-4</v>
      </c>
      <c r="Q249" s="11">
        <f t="shared" ca="1" si="123"/>
        <v>-1.614029402377854E-3</v>
      </c>
      <c r="R249" s="11">
        <f t="shared" ca="1" si="124"/>
        <v>-1.4853760121635622E-5</v>
      </c>
      <c r="S249" s="11">
        <f t="shared" ca="1" si="125"/>
        <v>-1.1458026838550334E-3</v>
      </c>
      <c r="T249" s="11">
        <f t="shared" ca="1" si="126"/>
        <v>-4.9053934342410677E-4</v>
      </c>
      <c r="U249" s="11">
        <f t="shared" ca="1" si="127"/>
        <v>-5.5074395654535931E-3</v>
      </c>
      <c r="V249" s="11"/>
      <c r="W249" s="11">
        <f t="shared" ca="1" si="100"/>
        <v>0</v>
      </c>
      <c r="X249" s="2">
        <f t="shared" ca="1" si="101"/>
        <v>-1.6358405771021967E-4</v>
      </c>
      <c r="Y249" s="2">
        <f t="shared" ca="1" si="102"/>
        <v>-1.614029402377854E-3</v>
      </c>
      <c r="Z249" s="11">
        <f t="shared" ca="1" si="103"/>
        <v>-1.4853760121635622E-5</v>
      </c>
      <c r="AA249" s="2">
        <f t="shared" ca="1" si="104"/>
        <v>-1.1458026838550334E-3</v>
      </c>
      <c r="AB249" s="11">
        <f t="shared" ca="1" si="105"/>
        <v>-4.9053934342410677E-4</v>
      </c>
      <c r="AC249" s="2">
        <f t="shared" ca="1" si="106"/>
        <v>-5.5074395654535931E-3</v>
      </c>
      <c r="AF249" s="11">
        <f t="shared" ca="1" si="107"/>
        <v>0</v>
      </c>
      <c r="AG249" s="2">
        <f t="shared" ca="1" si="108"/>
        <v>-1.6358405771021967E-4</v>
      </c>
      <c r="AH249" s="2">
        <f t="shared" ca="1" si="109"/>
        <v>-1.614029402377854E-3</v>
      </c>
      <c r="AI249" s="2">
        <f t="shared" ca="1" si="110"/>
        <v>-1.4853760121635622E-5</v>
      </c>
      <c r="AJ249" s="2">
        <f t="shared" ca="1" si="111"/>
        <v>-1.1458026838550334E-3</v>
      </c>
      <c r="AK249" s="2">
        <f t="shared" ca="1" si="112"/>
        <v>-4.9053934342410677E-4</v>
      </c>
      <c r="AL249" s="2">
        <f t="shared" ca="1" si="113"/>
        <v>-5.5074395654535931E-3</v>
      </c>
      <c r="AN249" s="2" t="e">
        <f t="shared" ca="1" si="91"/>
        <v>#N/A</v>
      </c>
      <c r="AO249" s="2" t="e">
        <f t="shared" ca="1" si="92"/>
        <v>#N/A</v>
      </c>
      <c r="AP249" s="2" t="e">
        <f t="shared" ca="1" si="93"/>
        <v>#N/A</v>
      </c>
      <c r="AQ249" s="2" t="e">
        <f t="shared" ca="1" si="94"/>
        <v>#N/A</v>
      </c>
      <c r="AR249" s="2" t="e">
        <f t="shared" ca="1" si="95"/>
        <v>#N/A</v>
      </c>
      <c r="AS249" s="2" t="e">
        <f t="shared" ca="1" si="96"/>
        <v>#N/A</v>
      </c>
      <c r="AT249" s="9" t="e">
        <f t="shared" ca="1" si="97"/>
        <v>#N/A</v>
      </c>
      <c r="AU249" s="9" t="e">
        <f t="shared" ca="1" si="98"/>
        <v>#N/A</v>
      </c>
      <c r="AW249" s="2" t="e">
        <f t="shared" ca="1" si="128"/>
        <v>#N/A</v>
      </c>
      <c r="AX249" s="2" t="e">
        <f t="shared" ca="1" si="129"/>
        <v>#N/A</v>
      </c>
      <c r="AY249" s="2" t="e">
        <f t="shared" ca="1" si="130"/>
        <v>#N/A</v>
      </c>
      <c r="AZ249" s="2" t="e">
        <f t="shared" ca="1" si="131"/>
        <v>#N/A</v>
      </c>
      <c r="BA249" s="2" t="e">
        <f t="shared" ca="1" si="132"/>
        <v>#N/A</v>
      </c>
      <c r="BB249" s="2" t="e">
        <f t="shared" ca="1" si="133"/>
        <v>#N/A</v>
      </c>
      <c r="BC249" s="9" t="e">
        <f t="shared" ca="1" si="134"/>
        <v>#N/A</v>
      </c>
      <c r="BD249" s="9" t="e">
        <f t="shared" ca="1" si="135"/>
        <v>#N/A</v>
      </c>
    </row>
    <row r="250" spans="1:56" ht="15" x14ac:dyDescent="0.25">
      <c r="A250" s="90"/>
      <c r="B250" s="90"/>
      <c r="C250" s="91"/>
      <c r="D250" s="91"/>
      <c r="E250" s="91"/>
      <c r="F250" s="91"/>
      <c r="G250" s="91"/>
      <c r="H250" s="91"/>
      <c r="I250" s="91"/>
      <c r="J250" s="64"/>
      <c r="K250" s="64"/>
      <c r="L250" s="64"/>
      <c r="M250" s="64"/>
      <c r="O250" s="11">
        <f t="shared" ca="1" si="121"/>
        <v>-3.9378682616450625E-4</v>
      </c>
      <c r="P250" s="11">
        <f t="shared" ca="1" si="122"/>
        <v>-1.6358405771021967E-4</v>
      </c>
      <c r="Q250" s="11">
        <f t="shared" ca="1" si="123"/>
        <v>-1.614029402377854E-3</v>
      </c>
      <c r="R250" s="11">
        <f t="shared" ca="1" si="124"/>
        <v>-1.4853760121635622E-5</v>
      </c>
      <c r="S250" s="11">
        <f t="shared" ca="1" si="125"/>
        <v>-1.1458026838550334E-3</v>
      </c>
      <c r="T250" s="11">
        <f t="shared" ca="1" si="126"/>
        <v>-4.9053934342410677E-4</v>
      </c>
      <c r="U250" s="11">
        <f t="shared" ca="1" si="127"/>
        <v>-5.5074395654535931E-3</v>
      </c>
      <c r="V250" s="11"/>
      <c r="W250" s="11">
        <f t="shared" ca="1" si="100"/>
        <v>0</v>
      </c>
      <c r="X250" s="2">
        <f t="shared" ca="1" si="101"/>
        <v>-1.6358405771021967E-4</v>
      </c>
      <c r="Y250" s="2">
        <f t="shared" ca="1" si="102"/>
        <v>-1.614029402377854E-3</v>
      </c>
      <c r="Z250" s="11">
        <f t="shared" ca="1" si="103"/>
        <v>-1.4853760121635622E-5</v>
      </c>
      <c r="AA250" s="2">
        <f t="shared" ca="1" si="104"/>
        <v>-1.1458026838550334E-3</v>
      </c>
      <c r="AB250" s="11">
        <f t="shared" ca="1" si="105"/>
        <v>-4.9053934342410677E-4</v>
      </c>
      <c r="AC250" s="2">
        <f t="shared" ca="1" si="106"/>
        <v>-5.5074395654535931E-3</v>
      </c>
      <c r="AF250" s="11">
        <f t="shared" ca="1" si="107"/>
        <v>0</v>
      </c>
      <c r="AG250" s="2">
        <f t="shared" ca="1" si="108"/>
        <v>-1.6358405771021967E-4</v>
      </c>
      <c r="AH250" s="2">
        <f t="shared" ca="1" si="109"/>
        <v>-1.614029402377854E-3</v>
      </c>
      <c r="AI250" s="2">
        <f t="shared" ca="1" si="110"/>
        <v>-1.4853760121635622E-5</v>
      </c>
      <c r="AJ250" s="2">
        <f t="shared" ca="1" si="111"/>
        <v>-1.1458026838550334E-3</v>
      </c>
      <c r="AK250" s="2">
        <f t="shared" ca="1" si="112"/>
        <v>-4.9053934342410677E-4</v>
      </c>
      <c r="AL250" s="2">
        <f t="shared" ca="1" si="113"/>
        <v>-5.5074395654535931E-3</v>
      </c>
      <c r="AN250" s="2" t="e">
        <f t="shared" ca="1" si="91"/>
        <v>#N/A</v>
      </c>
      <c r="AO250" s="2" t="e">
        <f t="shared" ca="1" si="92"/>
        <v>#N/A</v>
      </c>
      <c r="AP250" s="2" t="e">
        <f t="shared" ca="1" si="93"/>
        <v>#N/A</v>
      </c>
      <c r="AQ250" s="2" t="e">
        <f t="shared" ca="1" si="94"/>
        <v>#N/A</v>
      </c>
      <c r="AR250" s="2" t="e">
        <f t="shared" ca="1" si="95"/>
        <v>#N/A</v>
      </c>
      <c r="AS250" s="2" t="e">
        <f t="shared" ca="1" si="96"/>
        <v>#N/A</v>
      </c>
      <c r="AT250" s="9" t="e">
        <f t="shared" ca="1" si="97"/>
        <v>#N/A</v>
      </c>
      <c r="AU250" s="9" t="e">
        <f t="shared" ca="1" si="98"/>
        <v>#N/A</v>
      </c>
      <c r="AW250" s="2" t="e">
        <f t="shared" ca="1" si="128"/>
        <v>#N/A</v>
      </c>
      <c r="AX250" s="2" t="e">
        <f t="shared" ca="1" si="129"/>
        <v>#N/A</v>
      </c>
      <c r="AY250" s="2" t="e">
        <f t="shared" ca="1" si="130"/>
        <v>#N/A</v>
      </c>
      <c r="AZ250" s="2" t="e">
        <f t="shared" ca="1" si="131"/>
        <v>#N/A</v>
      </c>
      <c r="BA250" s="2" t="e">
        <f t="shared" ca="1" si="132"/>
        <v>#N/A</v>
      </c>
      <c r="BB250" s="2" t="e">
        <f t="shared" ca="1" si="133"/>
        <v>#N/A</v>
      </c>
      <c r="BC250" s="9" t="e">
        <f t="shared" ca="1" si="134"/>
        <v>#N/A</v>
      </c>
      <c r="BD250" s="9" t="e">
        <f t="shared" ca="1" si="135"/>
        <v>#N/A</v>
      </c>
    </row>
    <row r="251" spans="1:56" ht="15" x14ac:dyDescent="0.25">
      <c r="A251" s="90"/>
      <c r="B251" s="90"/>
      <c r="C251" s="91"/>
      <c r="D251" s="91"/>
      <c r="E251" s="91"/>
      <c r="F251" s="91"/>
      <c r="G251" s="91"/>
      <c r="H251" s="91"/>
      <c r="I251" s="91"/>
      <c r="J251" s="64"/>
      <c r="K251" s="64"/>
      <c r="L251" s="64"/>
      <c r="M251" s="64"/>
      <c r="O251" s="11">
        <f t="shared" ca="1" si="121"/>
        <v>-3.9378682616450625E-4</v>
      </c>
      <c r="P251" s="11">
        <f t="shared" ca="1" si="122"/>
        <v>-1.6358405771021967E-4</v>
      </c>
      <c r="Q251" s="11">
        <f t="shared" ca="1" si="123"/>
        <v>-1.614029402377854E-3</v>
      </c>
      <c r="R251" s="11">
        <f t="shared" ca="1" si="124"/>
        <v>-1.4853760121635622E-5</v>
      </c>
      <c r="S251" s="11">
        <f t="shared" ca="1" si="125"/>
        <v>-1.1458026838550334E-3</v>
      </c>
      <c r="T251" s="11">
        <f t="shared" ca="1" si="126"/>
        <v>-4.9053934342410677E-4</v>
      </c>
      <c r="U251" s="11">
        <f t="shared" ca="1" si="127"/>
        <v>-5.5074395654535931E-3</v>
      </c>
      <c r="V251" s="11"/>
      <c r="W251" s="11">
        <f t="shared" ca="1" si="100"/>
        <v>0</v>
      </c>
      <c r="X251" s="2">
        <f t="shared" ca="1" si="101"/>
        <v>-1.6358405771021967E-4</v>
      </c>
      <c r="Y251" s="2">
        <f t="shared" ca="1" si="102"/>
        <v>-1.614029402377854E-3</v>
      </c>
      <c r="Z251" s="11">
        <f t="shared" ca="1" si="103"/>
        <v>-1.4853760121635622E-5</v>
      </c>
      <c r="AA251" s="2">
        <f t="shared" ca="1" si="104"/>
        <v>-1.1458026838550334E-3</v>
      </c>
      <c r="AB251" s="11">
        <f t="shared" ca="1" si="105"/>
        <v>-4.9053934342410677E-4</v>
      </c>
      <c r="AC251" s="2">
        <f t="shared" ca="1" si="106"/>
        <v>-5.5074395654535931E-3</v>
      </c>
      <c r="AF251" s="11">
        <f t="shared" ca="1" si="107"/>
        <v>0</v>
      </c>
      <c r="AG251" s="2">
        <f t="shared" ca="1" si="108"/>
        <v>-1.6358405771021967E-4</v>
      </c>
      <c r="AH251" s="2">
        <f t="shared" ca="1" si="109"/>
        <v>-1.614029402377854E-3</v>
      </c>
      <c r="AI251" s="2">
        <f t="shared" ca="1" si="110"/>
        <v>-1.4853760121635622E-5</v>
      </c>
      <c r="AJ251" s="2">
        <f t="shared" ca="1" si="111"/>
        <v>-1.1458026838550334E-3</v>
      </c>
      <c r="AK251" s="2">
        <f t="shared" ca="1" si="112"/>
        <v>-4.9053934342410677E-4</v>
      </c>
      <c r="AL251" s="2">
        <f t="shared" ca="1" si="113"/>
        <v>-5.5074395654535931E-3</v>
      </c>
      <c r="AN251" s="2" t="e">
        <f t="shared" ca="1" si="91"/>
        <v>#N/A</v>
      </c>
      <c r="AO251" s="2" t="e">
        <f t="shared" ca="1" si="92"/>
        <v>#N/A</v>
      </c>
      <c r="AP251" s="2" t="e">
        <f t="shared" ca="1" si="93"/>
        <v>#N/A</v>
      </c>
      <c r="AQ251" s="2" t="e">
        <f t="shared" ca="1" si="94"/>
        <v>#N/A</v>
      </c>
      <c r="AR251" s="2" t="e">
        <f t="shared" ca="1" si="95"/>
        <v>#N/A</v>
      </c>
      <c r="AS251" s="2" t="e">
        <f t="shared" ca="1" si="96"/>
        <v>#N/A</v>
      </c>
      <c r="AT251" s="9" t="e">
        <f t="shared" ca="1" si="97"/>
        <v>#N/A</v>
      </c>
      <c r="AU251" s="9" t="e">
        <f t="shared" ca="1" si="98"/>
        <v>#N/A</v>
      </c>
      <c r="AW251" s="2" t="e">
        <f t="shared" ca="1" si="128"/>
        <v>#N/A</v>
      </c>
      <c r="AX251" s="2" t="e">
        <f t="shared" ca="1" si="129"/>
        <v>#N/A</v>
      </c>
      <c r="AY251" s="2" t="e">
        <f t="shared" ca="1" si="130"/>
        <v>#N/A</v>
      </c>
      <c r="AZ251" s="2" t="e">
        <f t="shared" ca="1" si="131"/>
        <v>#N/A</v>
      </c>
      <c r="BA251" s="2" t="e">
        <f t="shared" ca="1" si="132"/>
        <v>#N/A</v>
      </c>
      <c r="BB251" s="2" t="e">
        <f t="shared" ca="1" si="133"/>
        <v>#N/A</v>
      </c>
      <c r="BC251" s="9" t="e">
        <f t="shared" ca="1" si="134"/>
        <v>#N/A</v>
      </c>
      <c r="BD251" s="9" t="e">
        <f t="shared" ca="1" si="135"/>
        <v>#N/A</v>
      </c>
    </row>
    <row r="252" spans="1:56" ht="15" x14ac:dyDescent="0.25">
      <c r="A252" s="90"/>
      <c r="B252" s="90"/>
      <c r="C252" s="91"/>
      <c r="D252" s="91"/>
      <c r="E252" s="91"/>
      <c r="F252" s="91"/>
      <c r="G252" s="91"/>
      <c r="H252" s="91"/>
      <c r="I252" s="91"/>
      <c r="J252" s="64"/>
      <c r="K252" s="64"/>
      <c r="L252" s="64"/>
      <c r="M252" s="64"/>
      <c r="O252" s="11">
        <f t="shared" ca="1" si="121"/>
        <v>-3.9378682616450625E-4</v>
      </c>
      <c r="P252" s="11">
        <f t="shared" ca="1" si="122"/>
        <v>-1.6358405771021967E-4</v>
      </c>
      <c r="Q252" s="11">
        <f t="shared" ca="1" si="123"/>
        <v>-1.614029402377854E-3</v>
      </c>
      <c r="R252" s="11">
        <f t="shared" ca="1" si="124"/>
        <v>-1.4853760121635622E-5</v>
      </c>
      <c r="S252" s="11">
        <f t="shared" ca="1" si="125"/>
        <v>-1.1458026838550334E-3</v>
      </c>
      <c r="T252" s="11">
        <f t="shared" ca="1" si="126"/>
        <v>-4.9053934342410677E-4</v>
      </c>
      <c r="U252" s="11">
        <f t="shared" ca="1" si="127"/>
        <v>-5.5074395654535931E-3</v>
      </c>
      <c r="V252" s="11"/>
      <c r="W252" s="11">
        <f t="shared" ca="1" si="100"/>
        <v>0</v>
      </c>
      <c r="X252" s="2">
        <f t="shared" ca="1" si="101"/>
        <v>-1.6358405771021967E-4</v>
      </c>
      <c r="Y252" s="2">
        <f t="shared" ca="1" si="102"/>
        <v>-1.614029402377854E-3</v>
      </c>
      <c r="Z252" s="11">
        <f t="shared" ca="1" si="103"/>
        <v>-1.4853760121635622E-5</v>
      </c>
      <c r="AA252" s="2">
        <f t="shared" ca="1" si="104"/>
        <v>-1.1458026838550334E-3</v>
      </c>
      <c r="AB252" s="11">
        <f t="shared" ca="1" si="105"/>
        <v>-4.9053934342410677E-4</v>
      </c>
      <c r="AC252" s="2">
        <f t="shared" ca="1" si="106"/>
        <v>-5.5074395654535931E-3</v>
      </c>
      <c r="AF252" s="11">
        <f t="shared" ca="1" si="107"/>
        <v>0</v>
      </c>
      <c r="AG252" s="2">
        <f t="shared" ca="1" si="108"/>
        <v>-1.6358405771021967E-4</v>
      </c>
      <c r="AH252" s="2">
        <f t="shared" ca="1" si="109"/>
        <v>-1.614029402377854E-3</v>
      </c>
      <c r="AI252" s="2">
        <f t="shared" ca="1" si="110"/>
        <v>-1.4853760121635622E-5</v>
      </c>
      <c r="AJ252" s="2">
        <f t="shared" ca="1" si="111"/>
        <v>-1.1458026838550334E-3</v>
      </c>
      <c r="AK252" s="2">
        <f t="shared" ca="1" si="112"/>
        <v>-4.9053934342410677E-4</v>
      </c>
      <c r="AL252" s="2">
        <f t="shared" ca="1" si="113"/>
        <v>-5.5074395654535931E-3</v>
      </c>
      <c r="AN252" s="2" t="e">
        <f t="shared" ca="1" si="91"/>
        <v>#N/A</v>
      </c>
      <c r="AO252" s="2" t="e">
        <f t="shared" ca="1" si="92"/>
        <v>#N/A</v>
      </c>
      <c r="AP252" s="2" t="e">
        <f t="shared" ca="1" si="93"/>
        <v>#N/A</v>
      </c>
      <c r="AQ252" s="2" t="e">
        <f t="shared" ca="1" si="94"/>
        <v>#N/A</v>
      </c>
      <c r="AR252" s="2" t="e">
        <f t="shared" ca="1" si="95"/>
        <v>#N/A</v>
      </c>
      <c r="AS252" s="2" t="e">
        <f t="shared" ca="1" si="96"/>
        <v>#N/A</v>
      </c>
      <c r="AT252" s="9" t="e">
        <f t="shared" ca="1" si="97"/>
        <v>#N/A</v>
      </c>
      <c r="AU252" s="9" t="e">
        <f t="shared" ca="1" si="98"/>
        <v>#N/A</v>
      </c>
      <c r="AW252" s="2" t="e">
        <f t="shared" ca="1" si="128"/>
        <v>#N/A</v>
      </c>
      <c r="AX252" s="2" t="e">
        <f t="shared" ca="1" si="129"/>
        <v>#N/A</v>
      </c>
      <c r="AY252" s="2" t="e">
        <f t="shared" ca="1" si="130"/>
        <v>#N/A</v>
      </c>
      <c r="AZ252" s="2" t="e">
        <f t="shared" ca="1" si="131"/>
        <v>#N/A</v>
      </c>
      <c r="BA252" s="2" t="e">
        <f t="shared" ca="1" si="132"/>
        <v>#N/A</v>
      </c>
      <c r="BB252" s="2" t="e">
        <f t="shared" ca="1" si="133"/>
        <v>#N/A</v>
      </c>
      <c r="BC252" s="9" t="e">
        <f t="shared" ca="1" si="134"/>
        <v>#N/A</v>
      </c>
      <c r="BD252" s="9" t="e">
        <f t="shared" ca="1" si="135"/>
        <v>#N/A</v>
      </c>
    </row>
    <row r="253" spans="1:56" ht="15" x14ac:dyDescent="0.25">
      <c r="A253" s="90"/>
      <c r="B253" s="90"/>
      <c r="C253" s="91"/>
      <c r="D253" s="91"/>
      <c r="E253" s="91"/>
      <c r="F253" s="91"/>
      <c r="G253" s="91"/>
      <c r="H253" s="91"/>
      <c r="I253" s="91"/>
      <c r="J253" s="64"/>
      <c r="K253" s="64"/>
      <c r="L253" s="64"/>
      <c r="M253" s="64"/>
      <c r="O253" s="11">
        <f t="shared" ca="1" si="121"/>
        <v>-3.9378682616450625E-4</v>
      </c>
      <c r="P253" s="11">
        <f t="shared" ca="1" si="122"/>
        <v>-1.6358405771021967E-4</v>
      </c>
      <c r="Q253" s="11">
        <f t="shared" ca="1" si="123"/>
        <v>-1.614029402377854E-3</v>
      </c>
      <c r="R253" s="11">
        <f t="shared" ca="1" si="124"/>
        <v>-1.4853760121635622E-5</v>
      </c>
      <c r="S253" s="11">
        <f t="shared" ca="1" si="125"/>
        <v>-1.1458026838550334E-3</v>
      </c>
      <c r="T253" s="11">
        <f t="shared" ca="1" si="126"/>
        <v>-4.9053934342410677E-4</v>
      </c>
      <c r="U253" s="11">
        <f t="shared" ca="1" si="127"/>
        <v>-5.5074395654535931E-3</v>
      </c>
      <c r="V253" s="11"/>
      <c r="W253" s="11">
        <f t="shared" ca="1" si="100"/>
        <v>0</v>
      </c>
      <c r="X253" s="2">
        <f t="shared" ca="1" si="101"/>
        <v>-1.6358405771021967E-4</v>
      </c>
      <c r="Y253" s="2">
        <f t="shared" ca="1" si="102"/>
        <v>-1.614029402377854E-3</v>
      </c>
      <c r="Z253" s="11">
        <f t="shared" ca="1" si="103"/>
        <v>-1.4853760121635622E-5</v>
      </c>
      <c r="AA253" s="2">
        <f t="shared" ca="1" si="104"/>
        <v>-1.1458026838550334E-3</v>
      </c>
      <c r="AB253" s="11">
        <f t="shared" ca="1" si="105"/>
        <v>-4.9053934342410677E-4</v>
      </c>
      <c r="AC253" s="2">
        <f t="shared" ca="1" si="106"/>
        <v>-5.5074395654535931E-3</v>
      </c>
      <c r="AF253" s="11">
        <f t="shared" ca="1" si="107"/>
        <v>0</v>
      </c>
      <c r="AG253" s="2">
        <f t="shared" ca="1" si="108"/>
        <v>-1.6358405771021967E-4</v>
      </c>
      <c r="AH253" s="2">
        <f t="shared" ca="1" si="109"/>
        <v>-1.614029402377854E-3</v>
      </c>
      <c r="AI253" s="2">
        <f t="shared" ca="1" si="110"/>
        <v>-1.4853760121635622E-5</v>
      </c>
      <c r="AJ253" s="2">
        <f t="shared" ca="1" si="111"/>
        <v>-1.1458026838550334E-3</v>
      </c>
      <c r="AK253" s="2">
        <f t="shared" ca="1" si="112"/>
        <v>-4.9053934342410677E-4</v>
      </c>
      <c r="AL253" s="2">
        <f t="shared" ca="1" si="113"/>
        <v>-5.5074395654535931E-3</v>
      </c>
      <c r="AN253" s="2" t="e">
        <f t="shared" ca="1" si="91"/>
        <v>#N/A</v>
      </c>
      <c r="AO253" s="2" t="e">
        <f t="shared" ca="1" si="92"/>
        <v>#N/A</v>
      </c>
      <c r="AP253" s="2" t="e">
        <f t="shared" ca="1" si="93"/>
        <v>#N/A</v>
      </c>
      <c r="AQ253" s="2" t="e">
        <f t="shared" ca="1" si="94"/>
        <v>#N/A</v>
      </c>
      <c r="AR253" s="2" t="e">
        <f t="shared" ca="1" si="95"/>
        <v>#N/A</v>
      </c>
      <c r="AS253" s="2" t="e">
        <f t="shared" ca="1" si="96"/>
        <v>#N/A</v>
      </c>
      <c r="AT253" s="9" t="e">
        <f t="shared" ca="1" si="97"/>
        <v>#N/A</v>
      </c>
      <c r="AU253" s="9" t="e">
        <f t="shared" ca="1" si="98"/>
        <v>#N/A</v>
      </c>
      <c r="AW253" s="2" t="e">
        <f t="shared" ca="1" si="128"/>
        <v>#N/A</v>
      </c>
      <c r="AX253" s="2" t="e">
        <f t="shared" ca="1" si="129"/>
        <v>#N/A</v>
      </c>
      <c r="AY253" s="2" t="e">
        <f t="shared" ca="1" si="130"/>
        <v>#N/A</v>
      </c>
      <c r="AZ253" s="2" t="e">
        <f t="shared" ca="1" si="131"/>
        <v>#N/A</v>
      </c>
      <c r="BA253" s="2" t="e">
        <f t="shared" ca="1" si="132"/>
        <v>#N/A</v>
      </c>
      <c r="BB253" s="2" t="e">
        <f t="shared" ca="1" si="133"/>
        <v>#N/A</v>
      </c>
      <c r="BC253" s="9" t="e">
        <f t="shared" ca="1" si="134"/>
        <v>#N/A</v>
      </c>
      <c r="BD253" s="9" t="e">
        <f t="shared" ca="1" si="135"/>
        <v>#N/A</v>
      </c>
    </row>
    <row r="254" spans="1:56" ht="15" x14ac:dyDescent="0.25">
      <c r="A254" s="90"/>
      <c r="B254" s="90"/>
      <c r="C254" s="91"/>
      <c r="D254" s="91"/>
      <c r="E254" s="91"/>
      <c r="F254" s="91"/>
      <c r="G254" s="91"/>
      <c r="H254" s="91"/>
      <c r="I254" s="91"/>
      <c r="J254" s="64"/>
      <c r="K254" s="64"/>
      <c r="L254" s="64"/>
      <c r="M254" s="64"/>
      <c r="O254" s="11">
        <f t="shared" ca="1" si="121"/>
        <v>-3.9378682616450625E-4</v>
      </c>
      <c r="P254" s="11">
        <f t="shared" ca="1" si="122"/>
        <v>-1.6358405771021967E-4</v>
      </c>
      <c r="Q254" s="11">
        <f t="shared" ca="1" si="123"/>
        <v>-1.614029402377854E-3</v>
      </c>
      <c r="R254" s="11">
        <f t="shared" ca="1" si="124"/>
        <v>-1.4853760121635622E-5</v>
      </c>
      <c r="S254" s="11">
        <f t="shared" ca="1" si="125"/>
        <v>-1.1458026838550334E-3</v>
      </c>
      <c r="T254" s="11">
        <f t="shared" ca="1" si="126"/>
        <v>-4.9053934342410677E-4</v>
      </c>
      <c r="U254" s="11">
        <f t="shared" ca="1" si="127"/>
        <v>-5.5074395654535931E-3</v>
      </c>
      <c r="V254" s="11"/>
      <c r="W254" s="11">
        <f t="shared" ca="1" si="100"/>
        <v>0</v>
      </c>
      <c r="X254" s="2">
        <f t="shared" ca="1" si="101"/>
        <v>-1.6358405771021967E-4</v>
      </c>
      <c r="Y254" s="2">
        <f t="shared" ca="1" si="102"/>
        <v>-1.614029402377854E-3</v>
      </c>
      <c r="Z254" s="11">
        <f t="shared" ca="1" si="103"/>
        <v>-1.4853760121635622E-5</v>
      </c>
      <c r="AA254" s="2">
        <f t="shared" ca="1" si="104"/>
        <v>-1.1458026838550334E-3</v>
      </c>
      <c r="AB254" s="11">
        <f t="shared" ca="1" si="105"/>
        <v>-4.9053934342410677E-4</v>
      </c>
      <c r="AC254" s="2">
        <f t="shared" ca="1" si="106"/>
        <v>-5.5074395654535931E-3</v>
      </c>
      <c r="AF254" s="11">
        <f t="shared" ca="1" si="107"/>
        <v>0</v>
      </c>
      <c r="AG254" s="2">
        <f t="shared" ca="1" si="108"/>
        <v>-1.6358405771021967E-4</v>
      </c>
      <c r="AH254" s="2">
        <f t="shared" ca="1" si="109"/>
        <v>-1.614029402377854E-3</v>
      </c>
      <c r="AI254" s="2">
        <f t="shared" ca="1" si="110"/>
        <v>-1.4853760121635622E-5</v>
      </c>
      <c r="AJ254" s="2">
        <f t="shared" ca="1" si="111"/>
        <v>-1.1458026838550334E-3</v>
      </c>
      <c r="AK254" s="2">
        <f t="shared" ca="1" si="112"/>
        <v>-4.9053934342410677E-4</v>
      </c>
      <c r="AL254" s="2">
        <f t="shared" ca="1" si="113"/>
        <v>-5.5074395654535931E-3</v>
      </c>
      <c r="AN254" s="2" t="e">
        <f t="shared" ca="1" si="91"/>
        <v>#N/A</v>
      </c>
      <c r="AO254" s="2" t="e">
        <f t="shared" ca="1" si="92"/>
        <v>#N/A</v>
      </c>
      <c r="AP254" s="2" t="e">
        <f t="shared" ca="1" si="93"/>
        <v>#N/A</v>
      </c>
      <c r="AQ254" s="2" t="e">
        <f t="shared" ca="1" si="94"/>
        <v>#N/A</v>
      </c>
      <c r="AR254" s="2" t="e">
        <f t="shared" ca="1" si="95"/>
        <v>#N/A</v>
      </c>
      <c r="AS254" s="2" t="e">
        <f t="shared" ca="1" si="96"/>
        <v>#N/A</v>
      </c>
      <c r="AT254" s="9" t="e">
        <f t="shared" ca="1" si="97"/>
        <v>#N/A</v>
      </c>
      <c r="AU254" s="9" t="e">
        <f t="shared" ca="1" si="98"/>
        <v>#N/A</v>
      </c>
      <c r="AW254" s="2" t="e">
        <f t="shared" ca="1" si="128"/>
        <v>#N/A</v>
      </c>
      <c r="AX254" s="2" t="e">
        <f t="shared" ca="1" si="129"/>
        <v>#N/A</v>
      </c>
      <c r="AY254" s="2" t="e">
        <f t="shared" ca="1" si="130"/>
        <v>#N/A</v>
      </c>
      <c r="AZ254" s="2" t="e">
        <f t="shared" ca="1" si="131"/>
        <v>#N/A</v>
      </c>
      <c r="BA254" s="2" t="e">
        <f t="shared" ca="1" si="132"/>
        <v>#N/A</v>
      </c>
      <c r="BB254" s="2" t="e">
        <f t="shared" ca="1" si="133"/>
        <v>#N/A</v>
      </c>
      <c r="BC254" s="9" t="e">
        <f t="shared" ca="1" si="134"/>
        <v>#N/A</v>
      </c>
      <c r="BD254" s="9" t="e">
        <f t="shared" ca="1" si="135"/>
        <v>#N/A</v>
      </c>
    </row>
    <row r="255" spans="1:56" ht="15" x14ac:dyDescent="0.25">
      <c r="A255" s="90"/>
      <c r="B255" s="90"/>
      <c r="C255" s="91"/>
      <c r="D255" s="91"/>
      <c r="E255" s="91"/>
      <c r="F255" s="91"/>
      <c r="G255" s="91"/>
      <c r="H255" s="91"/>
      <c r="I255" s="91"/>
      <c r="J255" s="64"/>
      <c r="K255" s="64"/>
      <c r="L255" s="64"/>
      <c r="M255" s="64"/>
      <c r="O255" s="11">
        <f t="shared" ca="1" si="121"/>
        <v>-3.9378682616450625E-4</v>
      </c>
      <c r="P255" s="11">
        <f t="shared" ca="1" si="122"/>
        <v>-1.6358405771021967E-4</v>
      </c>
      <c r="Q255" s="11">
        <f t="shared" ca="1" si="123"/>
        <v>-1.614029402377854E-3</v>
      </c>
      <c r="R255" s="11">
        <f t="shared" ca="1" si="124"/>
        <v>-1.4853760121635622E-5</v>
      </c>
      <c r="S255" s="11">
        <f t="shared" ca="1" si="125"/>
        <v>-1.1458026838550334E-3</v>
      </c>
      <c r="T255" s="11">
        <f t="shared" ca="1" si="126"/>
        <v>-4.9053934342410677E-4</v>
      </c>
      <c r="U255" s="11">
        <f t="shared" ca="1" si="127"/>
        <v>-5.5074395654535931E-3</v>
      </c>
      <c r="V255" s="11"/>
      <c r="W255" s="11">
        <f t="shared" ca="1" si="100"/>
        <v>0</v>
      </c>
      <c r="X255" s="2">
        <f t="shared" ca="1" si="101"/>
        <v>-1.6358405771021967E-4</v>
      </c>
      <c r="Y255" s="2">
        <f t="shared" ca="1" si="102"/>
        <v>-1.614029402377854E-3</v>
      </c>
      <c r="Z255" s="11">
        <f t="shared" ca="1" si="103"/>
        <v>-1.4853760121635622E-5</v>
      </c>
      <c r="AA255" s="2">
        <f t="shared" ca="1" si="104"/>
        <v>-1.1458026838550334E-3</v>
      </c>
      <c r="AB255" s="11">
        <f t="shared" ca="1" si="105"/>
        <v>-4.9053934342410677E-4</v>
      </c>
      <c r="AC255" s="2">
        <f t="shared" ca="1" si="106"/>
        <v>-5.5074395654535931E-3</v>
      </c>
      <c r="AF255" s="11">
        <f t="shared" ca="1" si="107"/>
        <v>0</v>
      </c>
      <c r="AG255" s="2">
        <f t="shared" ca="1" si="108"/>
        <v>-1.6358405771021967E-4</v>
      </c>
      <c r="AH255" s="2">
        <f t="shared" ca="1" si="109"/>
        <v>-1.614029402377854E-3</v>
      </c>
      <c r="AI255" s="2">
        <f t="shared" ca="1" si="110"/>
        <v>-1.4853760121635622E-5</v>
      </c>
      <c r="AJ255" s="2">
        <f t="shared" ca="1" si="111"/>
        <v>-1.1458026838550334E-3</v>
      </c>
      <c r="AK255" s="2">
        <f t="shared" ca="1" si="112"/>
        <v>-4.9053934342410677E-4</v>
      </c>
      <c r="AL255" s="2">
        <f t="shared" ca="1" si="113"/>
        <v>-5.5074395654535931E-3</v>
      </c>
      <c r="AN255" s="2" t="e">
        <f t="shared" ca="1" si="91"/>
        <v>#N/A</v>
      </c>
      <c r="AO255" s="2" t="e">
        <f t="shared" ca="1" si="92"/>
        <v>#N/A</v>
      </c>
      <c r="AP255" s="2" t="e">
        <f t="shared" ca="1" si="93"/>
        <v>#N/A</v>
      </c>
      <c r="AQ255" s="2" t="e">
        <f t="shared" ca="1" si="94"/>
        <v>#N/A</v>
      </c>
      <c r="AR255" s="2" t="e">
        <f t="shared" ca="1" si="95"/>
        <v>#N/A</v>
      </c>
      <c r="AS255" s="2" t="e">
        <f t="shared" ca="1" si="96"/>
        <v>#N/A</v>
      </c>
      <c r="AT255" s="9" t="e">
        <f t="shared" ca="1" si="97"/>
        <v>#N/A</v>
      </c>
      <c r="AU255" s="9" t="e">
        <f t="shared" ca="1" si="98"/>
        <v>#N/A</v>
      </c>
      <c r="AW255" s="2" t="e">
        <f t="shared" ca="1" si="128"/>
        <v>#N/A</v>
      </c>
      <c r="AX255" s="2" t="e">
        <f t="shared" ca="1" si="129"/>
        <v>#N/A</v>
      </c>
      <c r="AY255" s="2" t="e">
        <f t="shared" ca="1" si="130"/>
        <v>#N/A</v>
      </c>
      <c r="AZ255" s="2" t="e">
        <f t="shared" ca="1" si="131"/>
        <v>#N/A</v>
      </c>
      <c r="BA255" s="2" t="e">
        <f t="shared" ca="1" si="132"/>
        <v>#N/A</v>
      </c>
      <c r="BB255" s="2" t="e">
        <f t="shared" ca="1" si="133"/>
        <v>#N/A</v>
      </c>
      <c r="BC255" s="9" t="e">
        <f t="shared" ca="1" si="134"/>
        <v>#N/A</v>
      </c>
      <c r="BD255" s="9" t="e">
        <f t="shared" ca="1" si="135"/>
        <v>#N/A</v>
      </c>
    </row>
    <row r="256" spans="1:56" ht="15" x14ac:dyDescent="0.25">
      <c r="A256" s="90"/>
      <c r="B256" s="90"/>
      <c r="C256" s="91"/>
      <c r="D256" s="91"/>
      <c r="E256" s="91"/>
      <c r="F256" s="91"/>
      <c r="G256" s="91"/>
      <c r="H256" s="91"/>
      <c r="I256" s="91"/>
      <c r="J256" s="64"/>
      <c r="K256" s="64"/>
      <c r="L256" s="64"/>
      <c r="M256" s="64"/>
      <c r="O256" s="11">
        <f t="shared" ca="1" si="121"/>
        <v>-3.9378682616450625E-4</v>
      </c>
      <c r="P256" s="11">
        <f t="shared" ca="1" si="122"/>
        <v>-1.6358405771021967E-4</v>
      </c>
      <c r="Q256" s="11">
        <f t="shared" ca="1" si="123"/>
        <v>-1.614029402377854E-3</v>
      </c>
      <c r="R256" s="11">
        <f t="shared" ca="1" si="124"/>
        <v>-1.4853760121635622E-5</v>
      </c>
      <c r="S256" s="11">
        <f t="shared" ca="1" si="125"/>
        <v>-1.1458026838550334E-3</v>
      </c>
      <c r="T256" s="11">
        <f t="shared" ca="1" si="126"/>
        <v>-4.9053934342410677E-4</v>
      </c>
      <c r="U256" s="11">
        <f t="shared" ca="1" si="127"/>
        <v>-5.5074395654535931E-3</v>
      </c>
      <c r="V256" s="11"/>
      <c r="W256" s="11">
        <f t="shared" ca="1" si="100"/>
        <v>0</v>
      </c>
      <c r="X256" s="2">
        <f t="shared" ca="1" si="101"/>
        <v>-1.6358405771021967E-4</v>
      </c>
      <c r="Y256" s="2">
        <f t="shared" ca="1" si="102"/>
        <v>-1.614029402377854E-3</v>
      </c>
      <c r="Z256" s="11">
        <f t="shared" ca="1" si="103"/>
        <v>-1.4853760121635622E-5</v>
      </c>
      <c r="AA256" s="2">
        <f t="shared" ca="1" si="104"/>
        <v>-1.1458026838550334E-3</v>
      </c>
      <c r="AB256" s="11">
        <f t="shared" ca="1" si="105"/>
        <v>-4.9053934342410677E-4</v>
      </c>
      <c r="AC256" s="2">
        <f t="shared" ca="1" si="106"/>
        <v>-5.5074395654535931E-3</v>
      </c>
      <c r="AF256" s="11">
        <f t="shared" ca="1" si="107"/>
        <v>0</v>
      </c>
      <c r="AG256" s="2">
        <f t="shared" ca="1" si="108"/>
        <v>-1.6358405771021967E-4</v>
      </c>
      <c r="AH256" s="2">
        <f t="shared" ca="1" si="109"/>
        <v>-1.614029402377854E-3</v>
      </c>
      <c r="AI256" s="2">
        <f t="shared" ca="1" si="110"/>
        <v>-1.4853760121635622E-5</v>
      </c>
      <c r="AJ256" s="2">
        <f t="shared" ca="1" si="111"/>
        <v>-1.1458026838550334E-3</v>
      </c>
      <c r="AK256" s="2">
        <f t="shared" ca="1" si="112"/>
        <v>-4.9053934342410677E-4</v>
      </c>
      <c r="AL256" s="2">
        <f t="shared" ca="1" si="113"/>
        <v>-5.5074395654535931E-3</v>
      </c>
      <c r="AN256" s="2" t="e">
        <f t="shared" ca="1" si="91"/>
        <v>#N/A</v>
      </c>
      <c r="AO256" s="2" t="e">
        <f t="shared" ca="1" si="92"/>
        <v>#N/A</v>
      </c>
      <c r="AP256" s="2" t="e">
        <f t="shared" ca="1" si="93"/>
        <v>#N/A</v>
      </c>
      <c r="AQ256" s="2" t="e">
        <f t="shared" ca="1" si="94"/>
        <v>#N/A</v>
      </c>
      <c r="AR256" s="2" t="e">
        <f t="shared" ca="1" si="95"/>
        <v>#N/A</v>
      </c>
      <c r="AS256" s="2" t="e">
        <f t="shared" ca="1" si="96"/>
        <v>#N/A</v>
      </c>
      <c r="AT256" s="9" t="e">
        <f t="shared" ca="1" si="97"/>
        <v>#N/A</v>
      </c>
      <c r="AU256" s="9" t="e">
        <f t="shared" ca="1" si="98"/>
        <v>#N/A</v>
      </c>
      <c r="AW256" s="2" t="e">
        <f t="shared" ca="1" si="128"/>
        <v>#N/A</v>
      </c>
      <c r="AX256" s="2" t="e">
        <f t="shared" ca="1" si="129"/>
        <v>#N/A</v>
      </c>
      <c r="AY256" s="2" t="e">
        <f t="shared" ca="1" si="130"/>
        <v>#N/A</v>
      </c>
      <c r="AZ256" s="2" t="e">
        <f t="shared" ca="1" si="131"/>
        <v>#N/A</v>
      </c>
      <c r="BA256" s="2" t="e">
        <f t="shared" ca="1" si="132"/>
        <v>#N/A</v>
      </c>
      <c r="BB256" s="2" t="e">
        <f t="shared" ca="1" si="133"/>
        <v>#N/A</v>
      </c>
      <c r="BC256" s="9" t="e">
        <f t="shared" ca="1" si="134"/>
        <v>#N/A</v>
      </c>
      <c r="BD256" s="9" t="e">
        <f t="shared" ca="1" si="135"/>
        <v>#N/A</v>
      </c>
    </row>
    <row r="257" spans="1:56" ht="15" x14ac:dyDescent="0.25">
      <c r="A257" s="90"/>
      <c r="B257" s="90"/>
      <c r="C257" s="91"/>
      <c r="D257" s="91"/>
      <c r="E257" s="91"/>
      <c r="F257" s="91"/>
      <c r="G257" s="91"/>
      <c r="H257" s="91"/>
      <c r="I257" s="91"/>
      <c r="J257" s="64"/>
      <c r="K257" s="64"/>
      <c r="L257" s="64"/>
      <c r="M257" s="64"/>
      <c r="O257" s="11">
        <f t="shared" ca="1" si="121"/>
        <v>-3.9378682616450625E-4</v>
      </c>
      <c r="P257" s="11">
        <f t="shared" ca="1" si="122"/>
        <v>-1.6358405771021967E-4</v>
      </c>
      <c r="Q257" s="11">
        <f t="shared" ca="1" si="123"/>
        <v>-1.614029402377854E-3</v>
      </c>
      <c r="R257" s="11">
        <f t="shared" ca="1" si="124"/>
        <v>-1.4853760121635622E-5</v>
      </c>
      <c r="S257" s="11">
        <f t="shared" ca="1" si="125"/>
        <v>-1.1458026838550334E-3</v>
      </c>
      <c r="T257" s="11">
        <f t="shared" ca="1" si="126"/>
        <v>-4.9053934342410677E-4</v>
      </c>
      <c r="U257" s="11">
        <f t="shared" ca="1" si="127"/>
        <v>-5.5074395654535931E-3</v>
      </c>
      <c r="V257" s="11"/>
      <c r="W257" s="11">
        <f t="shared" ca="1" si="100"/>
        <v>0</v>
      </c>
      <c r="X257" s="2">
        <f t="shared" ca="1" si="101"/>
        <v>-1.6358405771021967E-4</v>
      </c>
      <c r="Y257" s="2">
        <f t="shared" ca="1" si="102"/>
        <v>-1.614029402377854E-3</v>
      </c>
      <c r="Z257" s="11">
        <f t="shared" ca="1" si="103"/>
        <v>-1.4853760121635622E-5</v>
      </c>
      <c r="AA257" s="2">
        <f t="shared" ca="1" si="104"/>
        <v>-1.1458026838550334E-3</v>
      </c>
      <c r="AB257" s="11">
        <f t="shared" ca="1" si="105"/>
        <v>-4.9053934342410677E-4</v>
      </c>
      <c r="AC257" s="2">
        <f t="shared" ca="1" si="106"/>
        <v>-5.5074395654535931E-3</v>
      </c>
      <c r="AF257" s="11">
        <f t="shared" ca="1" si="107"/>
        <v>0</v>
      </c>
      <c r="AG257" s="2">
        <f t="shared" ca="1" si="108"/>
        <v>-1.6358405771021967E-4</v>
      </c>
      <c r="AH257" s="2">
        <f t="shared" ca="1" si="109"/>
        <v>-1.614029402377854E-3</v>
      </c>
      <c r="AI257" s="2">
        <f t="shared" ca="1" si="110"/>
        <v>-1.4853760121635622E-5</v>
      </c>
      <c r="AJ257" s="2">
        <f t="shared" ca="1" si="111"/>
        <v>-1.1458026838550334E-3</v>
      </c>
      <c r="AK257" s="2">
        <f t="shared" ca="1" si="112"/>
        <v>-4.9053934342410677E-4</v>
      </c>
      <c r="AL257" s="2">
        <f t="shared" ca="1" si="113"/>
        <v>-5.5074395654535931E-3</v>
      </c>
      <c r="AN257" s="2" t="e">
        <f t="shared" ca="1" si="91"/>
        <v>#N/A</v>
      </c>
      <c r="AO257" s="2" t="e">
        <f t="shared" ca="1" si="92"/>
        <v>#N/A</v>
      </c>
      <c r="AP257" s="2" t="e">
        <f t="shared" ca="1" si="93"/>
        <v>#N/A</v>
      </c>
      <c r="AQ257" s="2" t="e">
        <f t="shared" ca="1" si="94"/>
        <v>#N/A</v>
      </c>
      <c r="AR257" s="2" t="e">
        <f t="shared" ca="1" si="95"/>
        <v>#N/A</v>
      </c>
      <c r="AS257" s="2" t="e">
        <f t="shared" ca="1" si="96"/>
        <v>#N/A</v>
      </c>
      <c r="AT257" s="9" t="e">
        <f t="shared" ca="1" si="97"/>
        <v>#N/A</v>
      </c>
      <c r="AU257" s="9" t="e">
        <f t="shared" ca="1" si="98"/>
        <v>#N/A</v>
      </c>
      <c r="AW257" s="2" t="e">
        <f t="shared" ca="1" si="128"/>
        <v>#N/A</v>
      </c>
      <c r="AX257" s="2" t="e">
        <f t="shared" ca="1" si="129"/>
        <v>#N/A</v>
      </c>
      <c r="AY257" s="2" t="e">
        <f t="shared" ca="1" si="130"/>
        <v>#N/A</v>
      </c>
      <c r="AZ257" s="2" t="e">
        <f t="shared" ca="1" si="131"/>
        <v>#N/A</v>
      </c>
      <c r="BA257" s="2" t="e">
        <f t="shared" ca="1" si="132"/>
        <v>#N/A</v>
      </c>
      <c r="BB257" s="2" t="e">
        <f t="shared" ca="1" si="133"/>
        <v>#N/A</v>
      </c>
      <c r="BC257" s="9" t="e">
        <f t="shared" ca="1" si="134"/>
        <v>#N/A</v>
      </c>
      <c r="BD257" s="9" t="e">
        <f t="shared" ca="1" si="135"/>
        <v>#N/A</v>
      </c>
    </row>
    <row r="258" spans="1:56" ht="15" x14ac:dyDescent="0.25">
      <c r="A258" s="90"/>
      <c r="B258" s="90"/>
      <c r="C258" s="91"/>
      <c r="D258" s="91"/>
      <c r="E258" s="91"/>
      <c r="F258" s="91"/>
      <c r="G258" s="91"/>
      <c r="H258" s="91"/>
      <c r="I258" s="91"/>
      <c r="J258" s="64"/>
      <c r="K258" s="64"/>
      <c r="L258" s="64"/>
      <c r="M258" s="64"/>
      <c r="O258" s="11">
        <f t="shared" ca="1" si="121"/>
        <v>-3.9378682616450625E-4</v>
      </c>
      <c r="P258" s="11">
        <f t="shared" ca="1" si="122"/>
        <v>-1.6358405771021967E-4</v>
      </c>
      <c r="Q258" s="11">
        <f t="shared" ca="1" si="123"/>
        <v>-1.614029402377854E-3</v>
      </c>
      <c r="R258" s="11">
        <f t="shared" ca="1" si="124"/>
        <v>-1.4853760121635622E-5</v>
      </c>
      <c r="S258" s="11">
        <f t="shared" ca="1" si="125"/>
        <v>-1.1458026838550334E-3</v>
      </c>
      <c r="T258" s="11">
        <f t="shared" ca="1" si="126"/>
        <v>-4.9053934342410677E-4</v>
      </c>
      <c r="U258" s="11">
        <f t="shared" ca="1" si="127"/>
        <v>-5.5074395654535931E-3</v>
      </c>
      <c r="V258" s="11"/>
      <c r="W258" s="11">
        <f t="shared" ca="1" si="100"/>
        <v>0</v>
      </c>
      <c r="X258" s="2">
        <f t="shared" ca="1" si="101"/>
        <v>-1.6358405771021967E-4</v>
      </c>
      <c r="Y258" s="2">
        <f t="shared" ca="1" si="102"/>
        <v>-1.614029402377854E-3</v>
      </c>
      <c r="Z258" s="11">
        <f t="shared" ca="1" si="103"/>
        <v>-1.4853760121635622E-5</v>
      </c>
      <c r="AA258" s="2">
        <f t="shared" ca="1" si="104"/>
        <v>-1.1458026838550334E-3</v>
      </c>
      <c r="AB258" s="11">
        <f t="shared" ca="1" si="105"/>
        <v>-4.9053934342410677E-4</v>
      </c>
      <c r="AC258" s="2">
        <f t="shared" ca="1" si="106"/>
        <v>-5.5074395654535931E-3</v>
      </c>
      <c r="AF258" s="11">
        <f t="shared" ca="1" si="107"/>
        <v>0</v>
      </c>
      <c r="AG258" s="2">
        <f t="shared" ca="1" si="108"/>
        <v>-1.6358405771021967E-4</v>
      </c>
      <c r="AH258" s="2">
        <f t="shared" ca="1" si="109"/>
        <v>-1.614029402377854E-3</v>
      </c>
      <c r="AI258" s="2">
        <f t="shared" ca="1" si="110"/>
        <v>-1.4853760121635622E-5</v>
      </c>
      <c r="AJ258" s="2">
        <f t="shared" ca="1" si="111"/>
        <v>-1.1458026838550334E-3</v>
      </c>
      <c r="AK258" s="2">
        <f t="shared" ca="1" si="112"/>
        <v>-4.9053934342410677E-4</v>
      </c>
      <c r="AL258" s="2">
        <f t="shared" ca="1" si="113"/>
        <v>-5.5074395654535931E-3</v>
      </c>
      <c r="AN258" s="2" t="e">
        <f t="shared" ca="1" si="91"/>
        <v>#N/A</v>
      </c>
      <c r="AO258" s="2" t="e">
        <f t="shared" ca="1" si="92"/>
        <v>#N/A</v>
      </c>
      <c r="AP258" s="2" t="e">
        <f t="shared" ca="1" si="93"/>
        <v>#N/A</v>
      </c>
      <c r="AQ258" s="2" t="e">
        <f t="shared" ca="1" si="94"/>
        <v>#N/A</v>
      </c>
      <c r="AR258" s="2" t="e">
        <f t="shared" ca="1" si="95"/>
        <v>#N/A</v>
      </c>
      <c r="AS258" s="2" t="e">
        <f t="shared" ca="1" si="96"/>
        <v>#N/A</v>
      </c>
      <c r="AT258" s="9" t="e">
        <f t="shared" ca="1" si="97"/>
        <v>#N/A</v>
      </c>
      <c r="AU258" s="9" t="e">
        <f t="shared" ca="1" si="98"/>
        <v>#N/A</v>
      </c>
      <c r="AW258" s="2" t="e">
        <f t="shared" ca="1" si="128"/>
        <v>#N/A</v>
      </c>
      <c r="AX258" s="2" t="e">
        <f t="shared" ca="1" si="129"/>
        <v>#N/A</v>
      </c>
      <c r="AY258" s="2" t="e">
        <f t="shared" ca="1" si="130"/>
        <v>#N/A</v>
      </c>
      <c r="AZ258" s="2" t="e">
        <f t="shared" ca="1" si="131"/>
        <v>#N/A</v>
      </c>
      <c r="BA258" s="2" t="e">
        <f t="shared" ca="1" si="132"/>
        <v>#N/A</v>
      </c>
      <c r="BB258" s="2" t="e">
        <f t="shared" ca="1" si="133"/>
        <v>#N/A</v>
      </c>
      <c r="BC258" s="9" t="e">
        <f t="shared" ca="1" si="134"/>
        <v>#N/A</v>
      </c>
      <c r="BD258" s="9" t="e">
        <f t="shared" ca="1" si="135"/>
        <v>#N/A</v>
      </c>
    </row>
    <row r="259" spans="1:56" ht="15" x14ac:dyDescent="0.25">
      <c r="A259" s="90"/>
      <c r="B259" s="90"/>
      <c r="C259" s="91"/>
      <c r="D259" s="91"/>
      <c r="E259" s="91"/>
      <c r="F259" s="91"/>
      <c r="G259" s="91"/>
      <c r="H259" s="91"/>
      <c r="I259" s="91"/>
      <c r="J259" s="64"/>
      <c r="K259" s="64"/>
      <c r="L259" s="64"/>
      <c r="M259" s="64"/>
      <c r="O259" s="11">
        <f t="shared" ca="1" si="121"/>
        <v>-3.9378682616450625E-4</v>
      </c>
      <c r="P259" s="11">
        <f t="shared" ca="1" si="122"/>
        <v>-1.6358405771021967E-4</v>
      </c>
      <c r="Q259" s="11">
        <f t="shared" ca="1" si="123"/>
        <v>-1.614029402377854E-3</v>
      </c>
      <c r="R259" s="11">
        <f t="shared" ca="1" si="124"/>
        <v>-1.4853760121635622E-5</v>
      </c>
      <c r="S259" s="11">
        <f t="shared" ca="1" si="125"/>
        <v>-1.1458026838550334E-3</v>
      </c>
      <c r="T259" s="11">
        <f t="shared" ca="1" si="126"/>
        <v>-4.9053934342410677E-4</v>
      </c>
      <c r="U259" s="11">
        <f t="shared" ca="1" si="127"/>
        <v>-5.5074395654535931E-3</v>
      </c>
      <c r="V259" s="11"/>
      <c r="W259" s="11">
        <f t="shared" ca="1" si="100"/>
        <v>0</v>
      </c>
      <c r="X259" s="2">
        <f t="shared" ca="1" si="101"/>
        <v>-1.6358405771021967E-4</v>
      </c>
      <c r="Y259" s="2">
        <f t="shared" ca="1" si="102"/>
        <v>-1.614029402377854E-3</v>
      </c>
      <c r="Z259" s="11">
        <f t="shared" ca="1" si="103"/>
        <v>-1.4853760121635622E-5</v>
      </c>
      <c r="AA259" s="2">
        <f t="shared" ca="1" si="104"/>
        <v>-1.1458026838550334E-3</v>
      </c>
      <c r="AB259" s="11">
        <f t="shared" ca="1" si="105"/>
        <v>-4.9053934342410677E-4</v>
      </c>
      <c r="AC259" s="2">
        <f t="shared" ca="1" si="106"/>
        <v>-5.5074395654535931E-3</v>
      </c>
      <c r="AF259" s="11">
        <f t="shared" ca="1" si="107"/>
        <v>0</v>
      </c>
      <c r="AG259" s="2">
        <f t="shared" ca="1" si="108"/>
        <v>-1.6358405771021967E-4</v>
      </c>
      <c r="AH259" s="2">
        <f t="shared" ca="1" si="109"/>
        <v>-1.614029402377854E-3</v>
      </c>
      <c r="AI259" s="2">
        <f t="shared" ca="1" si="110"/>
        <v>-1.4853760121635622E-5</v>
      </c>
      <c r="AJ259" s="2">
        <f t="shared" ca="1" si="111"/>
        <v>-1.1458026838550334E-3</v>
      </c>
      <c r="AK259" s="2">
        <f t="shared" ca="1" si="112"/>
        <v>-4.9053934342410677E-4</v>
      </c>
      <c r="AL259" s="2">
        <f t="shared" ca="1" si="113"/>
        <v>-5.5074395654535931E-3</v>
      </c>
      <c r="AN259" s="2" t="e">
        <f t="shared" ref="AN259:AN322" ca="1" si="136">IF(AND(S259&gt;0,U259&gt;0),U259/S259, #N/A)</f>
        <v>#N/A</v>
      </c>
      <c r="AO259" s="2" t="e">
        <f t="shared" ref="AO259:AO322" ca="1" si="137">$B$8*((AN259/$B$10)^$B$11)</f>
        <v>#N/A</v>
      </c>
      <c r="AP259" s="2" t="e">
        <f t="shared" ref="AP259:AP322" ca="1" si="138">AO259*R259</f>
        <v>#N/A</v>
      </c>
      <c r="AQ259" s="2" t="e">
        <f t="shared" ref="AQ259:AQ322" ca="1" si="139">T259-AP259</f>
        <v>#N/A</v>
      </c>
      <c r="AR259" s="2" t="e">
        <f t="shared" ref="AR259:AR322" ca="1" si="140">(AQ259/S259)/((AN259/$B$10)^$B$12)</f>
        <v>#N/A</v>
      </c>
      <c r="AS259" s="2" t="e">
        <f t="shared" ref="AS259:AS322" ca="1" si="141">(Q259/S259)/((AN259/$B$10)^$B$13)</f>
        <v>#N/A</v>
      </c>
      <c r="AT259" s="9" t="e">
        <f t="shared" ref="AT259:AT322" ca="1" si="142">IF(AND(AR259&lt;$M$3,AR259&gt;$M$4),AR259,"rejected")</f>
        <v>#N/A</v>
      </c>
      <c r="AU259" s="9" t="e">
        <f t="shared" ref="AU259:AU322" ca="1" si="143">IF(AND(AR259&lt;$M$3,AR259&gt;$M$4),AR259,#N/A)</f>
        <v>#N/A</v>
      </c>
      <c r="AW259" s="2" t="e">
        <f t="shared" ca="1" si="128"/>
        <v>#N/A</v>
      </c>
      <c r="AX259" s="2" t="e">
        <f t="shared" ca="1" si="129"/>
        <v>#N/A</v>
      </c>
      <c r="AY259" s="2" t="e">
        <f t="shared" ca="1" si="130"/>
        <v>#N/A</v>
      </c>
      <c r="AZ259" s="2" t="e">
        <f t="shared" ca="1" si="131"/>
        <v>#N/A</v>
      </c>
      <c r="BA259" s="2" t="e">
        <f t="shared" ca="1" si="132"/>
        <v>#N/A</v>
      </c>
      <c r="BB259" s="2" t="e">
        <f t="shared" ca="1" si="133"/>
        <v>#N/A</v>
      </c>
      <c r="BC259" s="9" t="e">
        <f t="shared" ca="1" si="134"/>
        <v>#N/A</v>
      </c>
      <c r="BD259" s="9" t="e">
        <f t="shared" ca="1" si="135"/>
        <v>#N/A</v>
      </c>
    </row>
    <row r="260" spans="1:56" ht="15" x14ac:dyDescent="0.25">
      <c r="A260" s="90"/>
      <c r="B260" s="90"/>
      <c r="C260" s="91"/>
      <c r="D260" s="91"/>
      <c r="E260" s="91"/>
      <c r="F260" s="91"/>
      <c r="G260" s="91"/>
      <c r="H260" s="91"/>
      <c r="I260" s="91"/>
      <c r="J260" s="64"/>
      <c r="K260" s="64"/>
      <c r="L260" s="64"/>
      <c r="M260" s="64"/>
      <c r="O260" s="11">
        <f t="shared" ca="1" si="121"/>
        <v>-3.9378682616450625E-4</v>
      </c>
      <c r="P260" s="11">
        <f t="shared" ca="1" si="122"/>
        <v>-1.6358405771021967E-4</v>
      </c>
      <c r="Q260" s="11">
        <f t="shared" ca="1" si="123"/>
        <v>-1.614029402377854E-3</v>
      </c>
      <c r="R260" s="11">
        <f t="shared" ca="1" si="124"/>
        <v>-1.4853760121635622E-5</v>
      </c>
      <c r="S260" s="11">
        <f t="shared" ca="1" si="125"/>
        <v>-1.1458026838550334E-3</v>
      </c>
      <c r="T260" s="11">
        <f t="shared" ca="1" si="126"/>
        <v>-4.9053934342410677E-4</v>
      </c>
      <c r="U260" s="11">
        <f t="shared" ca="1" si="127"/>
        <v>-5.5074395654535931E-3</v>
      </c>
      <c r="V260" s="11"/>
      <c r="W260" s="11">
        <f t="shared" ref="W260:W323" ca="1" si="144">O260-O260</f>
        <v>0</v>
      </c>
      <c r="X260" s="2">
        <f t="shared" ref="X260:X323" ca="1" si="145">IF(O260&gt;0,P260-(O260*$X$63/$W$63), P260)</f>
        <v>-1.6358405771021967E-4</v>
      </c>
      <c r="Y260" s="2">
        <f t="shared" ref="Y260:Y323" ca="1" si="146">IF(O260&gt;0,Q260-(O260*$Y$63/$W$63),Q260)</f>
        <v>-1.614029402377854E-3</v>
      </c>
      <c r="Z260" s="11">
        <f t="shared" ref="Z260:Z323" ca="1" si="147">R260</f>
        <v>-1.4853760121635622E-5</v>
      </c>
      <c r="AA260" s="2">
        <f t="shared" ref="AA260:AA323" ca="1" si="148">IF(O260&gt;0,S260-(O260*$AA$63/$W$63),S260)</f>
        <v>-1.1458026838550334E-3</v>
      </c>
      <c r="AB260" s="11">
        <f t="shared" ref="AB260:AB323" ca="1" si="149">T260</f>
        <v>-4.9053934342410677E-4</v>
      </c>
      <c r="AC260" s="2">
        <f t="shared" ref="AC260:AC323" ca="1" si="150">IF(O260&gt;0,U260-(O260*$AC$63/$W$63),U260)</f>
        <v>-5.5074395654535931E-3</v>
      </c>
      <c r="AF260" s="11">
        <f t="shared" ref="AF260:AF323" ca="1" si="151">W260</f>
        <v>0</v>
      </c>
      <c r="AG260" s="2">
        <f t="shared" ref="AG260:AG323" ca="1" si="152">IF(O260&gt;0, X260-(O260*$AG$63/$AF$63), X260)</f>
        <v>-1.6358405771021967E-4</v>
      </c>
      <c r="AH260" s="2">
        <f t="shared" ref="AH260:AH323" ca="1" si="153">IF(O260&gt;0, Y260-(O260*$AH$63/$AF$63), Y260)</f>
        <v>-1.614029402377854E-3</v>
      </c>
      <c r="AI260" s="2">
        <f t="shared" ref="AI260:AI323" ca="1" si="154">IF(O260&gt;0, Z260-(O260*$AI$63/$AF$63), Z260)</f>
        <v>-1.4853760121635622E-5</v>
      </c>
      <c r="AJ260" s="2">
        <f t="shared" ref="AJ260:AJ323" ca="1" si="155">IF(O260&gt;0, AA260-(O260*$AJ$63/$AF$63), AA260)</f>
        <v>-1.1458026838550334E-3</v>
      </c>
      <c r="AK260" s="2">
        <f t="shared" ref="AK260:AK323" ca="1" si="156">IF(P260&gt;0, AB260-(P260*$AK$63/$AG$63), AB260)</f>
        <v>-4.9053934342410677E-4</v>
      </c>
      <c r="AL260" s="2">
        <f t="shared" ref="AL260:AL323" ca="1" si="157">IF(O260&gt;0, AC260-(O260*$AL$63/$AF$63), AC260)</f>
        <v>-5.5074395654535931E-3</v>
      </c>
      <c r="AN260" s="2" t="e">
        <f t="shared" ca="1" si="136"/>
        <v>#N/A</v>
      </c>
      <c r="AO260" s="2" t="e">
        <f t="shared" ca="1" si="137"/>
        <v>#N/A</v>
      </c>
      <c r="AP260" s="2" t="e">
        <f t="shared" ca="1" si="138"/>
        <v>#N/A</v>
      </c>
      <c r="AQ260" s="2" t="e">
        <f t="shared" ca="1" si="139"/>
        <v>#N/A</v>
      </c>
      <c r="AR260" s="2" t="e">
        <f t="shared" ca="1" si="140"/>
        <v>#N/A</v>
      </c>
      <c r="AS260" s="2" t="e">
        <f t="shared" ca="1" si="141"/>
        <v>#N/A</v>
      </c>
      <c r="AT260" s="9" t="e">
        <f t="shared" ca="1" si="142"/>
        <v>#N/A</v>
      </c>
      <c r="AU260" s="9" t="e">
        <f t="shared" ca="1" si="143"/>
        <v>#N/A</v>
      </c>
      <c r="AW260" s="2" t="e">
        <f t="shared" ca="1" si="128"/>
        <v>#N/A</v>
      </c>
      <c r="AX260" s="2" t="e">
        <f t="shared" ca="1" si="129"/>
        <v>#N/A</v>
      </c>
      <c r="AY260" s="2" t="e">
        <f t="shared" ca="1" si="130"/>
        <v>#N/A</v>
      </c>
      <c r="AZ260" s="2" t="e">
        <f t="shared" ca="1" si="131"/>
        <v>#N/A</v>
      </c>
      <c r="BA260" s="2" t="e">
        <f t="shared" ca="1" si="132"/>
        <v>#N/A</v>
      </c>
      <c r="BB260" s="2" t="e">
        <f t="shared" ca="1" si="133"/>
        <v>#N/A</v>
      </c>
      <c r="BC260" s="9" t="e">
        <f t="shared" ca="1" si="134"/>
        <v>#N/A</v>
      </c>
      <c r="BD260" s="9" t="e">
        <f t="shared" ca="1" si="135"/>
        <v>#N/A</v>
      </c>
    </row>
    <row r="261" spans="1:56" ht="15" x14ac:dyDescent="0.25">
      <c r="A261" s="90"/>
      <c r="B261" s="90"/>
      <c r="C261" s="91"/>
      <c r="D261" s="91"/>
      <c r="E261" s="91"/>
      <c r="F261" s="91"/>
      <c r="G261" s="91"/>
      <c r="H261" s="91"/>
      <c r="I261" s="91"/>
      <c r="J261" s="64"/>
      <c r="K261" s="64"/>
      <c r="L261" s="64"/>
      <c r="M261" s="64"/>
      <c r="O261" s="11">
        <f t="shared" ca="1" si="121"/>
        <v>-3.9378682616450625E-4</v>
      </c>
      <c r="P261" s="11">
        <f t="shared" ca="1" si="122"/>
        <v>-1.6358405771021967E-4</v>
      </c>
      <c r="Q261" s="11">
        <f t="shared" ca="1" si="123"/>
        <v>-1.614029402377854E-3</v>
      </c>
      <c r="R261" s="11">
        <f t="shared" ca="1" si="124"/>
        <v>-1.4853760121635622E-5</v>
      </c>
      <c r="S261" s="11">
        <f t="shared" ca="1" si="125"/>
        <v>-1.1458026838550334E-3</v>
      </c>
      <c r="T261" s="11">
        <f t="shared" ca="1" si="126"/>
        <v>-4.9053934342410677E-4</v>
      </c>
      <c r="U261" s="11">
        <f t="shared" ca="1" si="127"/>
        <v>-5.5074395654535931E-3</v>
      </c>
      <c r="V261" s="11"/>
      <c r="W261" s="11">
        <f t="shared" ca="1" si="144"/>
        <v>0</v>
      </c>
      <c r="X261" s="2">
        <f t="shared" ca="1" si="145"/>
        <v>-1.6358405771021967E-4</v>
      </c>
      <c r="Y261" s="2">
        <f t="shared" ca="1" si="146"/>
        <v>-1.614029402377854E-3</v>
      </c>
      <c r="Z261" s="11">
        <f t="shared" ca="1" si="147"/>
        <v>-1.4853760121635622E-5</v>
      </c>
      <c r="AA261" s="2">
        <f t="shared" ca="1" si="148"/>
        <v>-1.1458026838550334E-3</v>
      </c>
      <c r="AB261" s="11">
        <f t="shared" ca="1" si="149"/>
        <v>-4.9053934342410677E-4</v>
      </c>
      <c r="AC261" s="2">
        <f t="shared" ca="1" si="150"/>
        <v>-5.5074395654535931E-3</v>
      </c>
      <c r="AF261" s="11">
        <f t="shared" ca="1" si="151"/>
        <v>0</v>
      </c>
      <c r="AG261" s="2">
        <f t="shared" ca="1" si="152"/>
        <v>-1.6358405771021967E-4</v>
      </c>
      <c r="AH261" s="2">
        <f t="shared" ca="1" si="153"/>
        <v>-1.614029402377854E-3</v>
      </c>
      <c r="AI261" s="2">
        <f t="shared" ca="1" si="154"/>
        <v>-1.4853760121635622E-5</v>
      </c>
      <c r="AJ261" s="2">
        <f t="shared" ca="1" si="155"/>
        <v>-1.1458026838550334E-3</v>
      </c>
      <c r="AK261" s="2">
        <f t="shared" ca="1" si="156"/>
        <v>-4.9053934342410677E-4</v>
      </c>
      <c r="AL261" s="2">
        <f t="shared" ca="1" si="157"/>
        <v>-5.5074395654535931E-3</v>
      </c>
      <c r="AN261" s="2" t="e">
        <f t="shared" ca="1" si="136"/>
        <v>#N/A</v>
      </c>
      <c r="AO261" s="2" t="e">
        <f t="shared" ca="1" si="137"/>
        <v>#N/A</v>
      </c>
      <c r="AP261" s="2" t="e">
        <f t="shared" ca="1" si="138"/>
        <v>#N/A</v>
      </c>
      <c r="AQ261" s="2" t="e">
        <f t="shared" ca="1" si="139"/>
        <v>#N/A</v>
      </c>
      <c r="AR261" s="2" t="e">
        <f t="shared" ca="1" si="140"/>
        <v>#N/A</v>
      </c>
      <c r="AS261" s="2" t="e">
        <f t="shared" ca="1" si="141"/>
        <v>#N/A</v>
      </c>
      <c r="AT261" s="9" t="e">
        <f t="shared" ca="1" si="142"/>
        <v>#N/A</v>
      </c>
      <c r="AU261" s="9" t="e">
        <f t="shared" ca="1" si="143"/>
        <v>#N/A</v>
      </c>
      <c r="AW261" s="2" t="e">
        <f t="shared" ca="1" si="128"/>
        <v>#N/A</v>
      </c>
      <c r="AX261" s="2" t="e">
        <f t="shared" ca="1" si="129"/>
        <v>#N/A</v>
      </c>
      <c r="AY261" s="2" t="e">
        <f t="shared" ca="1" si="130"/>
        <v>#N/A</v>
      </c>
      <c r="AZ261" s="2" t="e">
        <f t="shared" ca="1" si="131"/>
        <v>#N/A</v>
      </c>
      <c r="BA261" s="2" t="e">
        <f t="shared" ca="1" si="132"/>
        <v>#N/A</v>
      </c>
      <c r="BB261" s="2" t="e">
        <f t="shared" ca="1" si="133"/>
        <v>#N/A</v>
      </c>
      <c r="BC261" s="9" t="e">
        <f t="shared" ca="1" si="134"/>
        <v>#N/A</v>
      </c>
      <c r="BD261" s="9" t="e">
        <f t="shared" ca="1" si="135"/>
        <v>#N/A</v>
      </c>
    </row>
    <row r="262" spans="1:56" ht="15" x14ac:dyDescent="0.25">
      <c r="A262" s="90"/>
      <c r="B262" s="90"/>
      <c r="C262" s="91"/>
      <c r="D262" s="91"/>
      <c r="E262" s="91"/>
      <c r="F262" s="91"/>
      <c r="G262" s="91"/>
      <c r="H262" s="91"/>
      <c r="I262" s="91"/>
      <c r="J262" s="64"/>
      <c r="K262" s="64"/>
      <c r="L262" s="64"/>
      <c r="M262" s="64"/>
      <c r="O262" s="11">
        <f t="shared" ca="1" si="121"/>
        <v>-3.9378682616450625E-4</v>
      </c>
      <c r="P262" s="11">
        <f t="shared" ca="1" si="122"/>
        <v>-1.6358405771021967E-4</v>
      </c>
      <c r="Q262" s="11">
        <f t="shared" ca="1" si="123"/>
        <v>-1.614029402377854E-3</v>
      </c>
      <c r="R262" s="11">
        <f t="shared" ca="1" si="124"/>
        <v>-1.4853760121635622E-5</v>
      </c>
      <c r="S262" s="11">
        <f t="shared" ca="1" si="125"/>
        <v>-1.1458026838550334E-3</v>
      </c>
      <c r="T262" s="11">
        <f t="shared" ca="1" si="126"/>
        <v>-4.9053934342410677E-4</v>
      </c>
      <c r="U262" s="11">
        <f t="shared" ca="1" si="127"/>
        <v>-5.5074395654535931E-3</v>
      </c>
      <c r="V262" s="11"/>
      <c r="W262" s="11">
        <f t="shared" ca="1" si="144"/>
        <v>0</v>
      </c>
      <c r="X262" s="2">
        <f t="shared" ca="1" si="145"/>
        <v>-1.6358405771021967E-4</v>
      </c>
      <c r="Y262" s="2">
        <f t="shared" ca="1" si="146"/>
        <v>-1.614029402377854E-3</v>
      </c>
      <c r="Z262" s="11">
        <f t="shared" ca="1" si="147"/>
        <v>-1.4853760121635622E-5</v>
      </c>
      <c r="AA262" s="2">
        <f t="shared" ca="1" si="148"/>
        <v>-1.1458026838550334E-3</v>
      </c>
      <c r="AB262" s="11">
        <f t="shared" ca="1" si="149"/>
        <v>-4.9053934342410677E-4</v>
      </c>
      <c r="AC262" s="2">
        <f t="shared" ca="1" si="150"/>
        <v>-5.5074395654535931E-3</v>
      </c>
      <c r="AF262" s="11">
        <f t="shared" ca="1" si="151"/>
        <v>0</v>
      </c>
      <c r="AG262" s="2">
        <f t="shared" ca="1" si="152"/>
        <v>-1.6358405771021967E-4</v>
      </c>
      <c r="AH262" s="2">
        <f t="shared" ca="1" si="153"/>
        <v>-1.614029402377854E-3</v>
      </c>
      <c r="AI262" s="2">
        <f t="shared" ca="1" si="154"/>
        <v>-1.4853760121635622E-5</v>
      </c>
      <c r="AJ262" s="2">
        <f t="shared" ca="1" si="155"/>
        <v>-1.1458026838550334E-3</v>
      </c>
      <c r="AK262" s="2">
        <f t="shared" ca="1" si="156"/>
        <v>-4.9053934342410677E-4</v>
      </c>
      <c r="AL262" s="2">
        <f t="shared" ca="1" si="157"/>
        <v>-5.5074395654535931E-3</v>
      </c>
      <c r="AN262" s="2" t="e">
        <f t="shared" ca="1" si="136"/>
        <v>#N/A</v>
      </c>
      <c r="AO262" s="2" t="e">
        <f t="shared" ca="1" si="137"/>
        <v>#N/A</v>
      </c>
      <c r="AP262" s="2" t="e">
        <f t="shared" ca="1" si="138"/>
        <v>#N/A</v>
      </c>
      <c r="AQ262" s="2" t="e">
        <f t="shared" ca="1" si="139"/>
        <v>#N/A</v>
      </c>
      <c r="AR262" s="2" t="e">
        <f t="shared" ca="1" si="140"/>
        <v>#N/A</v>
      </c>
      <c r="AS262" s="2" t="e">
        <f t="shared" ca="1" si="141"/>
        <v>#N/A</v>
      </c>
      <c r="AT262" s="9" t="e">
        <f t="shared" ca="1" si="142"/>
        <v>#N/A</v>
      </c>
      <c r="AU262" s="9" t="e">
        <f t="shared" ca="1" si="143"/>
        <v>#N/A</v>
      </c>
      <c r="AW262" s="2" t="e">
        <f t="shared" ca="1" si="128"/>
        <v>#N/A</v>
      </c>
      <c r="AX262" s="2" t="e">
        <f t="shared" ca="1" si="129"/>
        <v>#N/A</v>
      </c>
      <c r="AY262" s="2" t="e">
        <f t="shared" ca="1" si="130"/>
        <v>#N/A</v>
      </c>
      <c r="AZ262" s="2" t="e">
        <f t="shared" ca="1" si="131"/>
        <v>#N/A</v>
      </c>
      <c r="BA262" s="2" t="e">
        <f t="shared" ca="1" si="132"/>
        <v>#N/A</v>
      </c>
      <c r="BB262" s="2" t="e">
        <f t="shared" ca="1" si="133"/>
        <v>#N/A</v>
      </c>
      <c r="BC262" s="9" t="e">
        <f t="shared" ca="1" si="134"/>
        <v>#N/A</v>
      </c>
      <c r="BD262" s="9" t="e">
        <f t="shared" ca="1" si="135"/>
        <v>#N/A</v>
      </c>
    </row>
    <row r="263" spans="1:56" ht="15" x14ac:dyDescent="0.25">
      <c r="A263" s="90"/>
      <c r="B263" s="90"/>
      <c r="C263" s="91"/>
      <c r="D263" s="91"/>
      <c r="E263" s="91"/>
      <c r="F263" s="91"/>
      <c r="G263" s="91"/>
      <c r="H263" s="91"/>
      <c r="I263" s="91"/>
      <c r="J263" s="64"/>
      <c r="K263" s="64"/>
      <c r="L263" s="64"/>
      <c r="M263" s="64"/>
      <c r="O263" s="11">
        <f t="shared" ca="1" si="121"/>
        <v>-3.9378682616450625E-4</v>
      </c>
      <c r="P263" s="11">
        <f t="shared" ca="1" si="122"/>
        <v>-1.6358405771021967E-4</v>
      </c>
      <c r="Q263" s="11">
        <f t="shared" ca="1" si="123"/>
        <v>-1.614029402377854E-3</v>
      </c>
      <c r="R263" s="11">
        <f t="shared" ca="1" si="124"/>
        <v>-1.4853760121635622E-5</v>
      </c>
      <c r="S263" s="11">
        <f t="shared" ca="1" si="125"/>
        <v>-1.1458026838550334E-3</v>
      </c>
      <c r="T263" s="11">
        <f t="shared" ca="1" si="126"/>
        <v>-4.9053934342410677E-4</v>
      </c>
      <c r="U263" s="11">
        <f t="shared" ca="1" si="127"/>
        <v>-5.5074395654535931E-3</v>
      </c>
      <c r="V263" s="11"/>
      <c r="W263" s="11">
        <f t="shared" ca="1" si="144"/>
        <v>0</v>
      </c>
      <c r="X263" s="2">
        <f t="shared" ca="1" si="145"/>
        <v>-1.6358405771021967E-4</v>
      </c>
      <c r="Y263" s="2">
        <f t="shared" ca="1" si="146"/>
        <v>-1.614029402377854E-3</v>
      </c>
      <c r="Z263" s="11">
        <f t="shared" ca="1" si="147"/>
        <v>-1.4853760121635622E-5</v>
      </c>
      <c r="AA263" s="2">
        <f t="shared" ca="1" si="148"/>
        <v>-1.1458026838550334E-3</v>
      </c>
      <c r="AB263" s="11">
        <f t="shared" ca="1" si="149"/>
        <v>-4.9053934342410677E-4</v>
      </c>
      <c r="AC263" s="2">
        <f t="shared" ca="1" si="150"/>
        <v>-5.5074395654535931E-3</v>
      </c>
      <c r="AF263" s="11">
        <f t="shared" ca="1" si="151"/>
        <v>0</v>
      </c>
      <c r="AG263" s="2">
        <f t="shared" ca="1" si="152"/>
        <v>-1.6358405771021967E-4</v>
      </c>
      <c r="AH263" s="2">
        <f t="shared" ca="1" si="153"/>
        <v>-1.614029402377854E-3</v>
      </c>
      <c r="AI263" s="2">
        <f t="shared" ca="1" si="154"/>
        <v>-1.4853760121635622E-5</v>
      </c>
      <c r="AJ263" s="2">
        <f t="shared" ca="1" si="155"/>
        <v>-1.1458026838550334E-3</v>
      </c>
      <c r="AK263" s="2">
        <f t="shared" ca="1" si="156"/>
        <v>-4.9053934342410677E-4</v>
      </c>
      <c r="AL263" s="2">
        <f t="shared" ca="1" si="157"/>
        <v>-5.5074395654535931E-3</v>
      </c>
      <c r="AN263" s="2" t="e">
        <f t="shared" ca="1" si="136"/>
        <v>#N/A</v>
      </c>
      <c r="AO263" s="2" t="e">
        <f t="shared" ca="1" si="137"/>
        <v>#N/A</v>
      </c>
      <c r="AP263" s="2" t="e">
        <f t="shared" ca="1" si="138"/>
        <v>#N/A</v>
      </c>
      <c r="AQ263" s="2" t="e">
        <f t="shared" ca="1" si="139"/>
        <v>#N/A</v>
      </c>
      <c r="AR263" s="2" t="e">
        <f t="shared" ca="1" si="140"/>
        <v>#N/A</v>
      </c>
      <c r="AS263" s="2" t="e">
        <f t="shared" ca="1" si="141"/>
        <v>#N/A</v>
      </c>
      <c r="AT263" s="9" t="e">
        <f t="shared" ca="1" si="142"/>
        <v>#N/A</v>
      </c>
      <c r="AU263" s="9" t="e">
        <f t="shared" ca="1" si="143"/>
        <v>#N/A</v>
      </c>
      <c r="AW263" s="2" t="e">
        <f t="shared" ca="1" si="128"/>
        <v>#N/A</v>
      </c>
      <c r="AX263" s="2" t="e">
        <f t="shared" ca="1" si="129"/>
        <v>#N/A</v>
      </c>
      <c r="AY263" s="2" t="e">
        <f t="shared" ca="1" si="130"/>
        <v>#N/A</v>
      </c>
      <c r="AZ263" s="2" t="e">
        <f t="shared" ca="1" si="131"/>
        <v>#N/A</v>
      </c>
      <c r="BA263" s="2" t="e">
        <f t="shared" ca="1" si="132"/>
        <v>#N/A</v>
      </c>
      <c r="BB263" s="2" t="e">
        <f t="shared" ca="1" si="133"/>
        <v>#N/A</v>
      </c>
      <c r="BC263" s="9" t="e">
        <f t="shared" ca="1" si="134"/>
        <v>#N/A</v>
      </c>
      <c r="BD263" s="9" t="e">
        <f t="shared" ca="1" si="135"/>
        <v>#N/A</v>
      </c>
    </row>
    <row r="264" spans="1:56" ht="15" x14ac:dyDescent="0.25">
      <c r="A264" s="90"/>
      <c r="B264" s="90"/>
      <c r="C264" s="91"/>
      <c r="D264" s="91"/>
      <c r="E264" s="91"/>
      <c r="F264" s="91"/>
      <c r="G264" s="91"/>
      <c r="H264" s="91"/>
      <c r="I264" s="91"/>
      <c r="J264" s="64"/>
      <c r="K264" s="64"/>
      <c r="L264" s="64"/>
      <c r="M264" s="64"/>
      <c r="O264" s="11">
        <f t="shared" ca="1" si="121"/>
        <v>-3.9378682616450625E-4</v>
      </c>
      <c r="P264" s="11">
        <f t="shared" ca="1" si="122"/>
        <v>-1.6358405771021967E-4</v>
      </c>
      <c r="Q264" s="11">
        <f t="shared" ca="1" si="123"/>
        <v>-1.614029402377854E-3</v>
      </c>
      <c r="R264" s="11">
        <f t="shared" ca="1" si="124"/>
        <v>-1.4853760121635622E-5</v>
      </c>
      <c r="S264" s="11">
        <f t="shared" ca="1" si="125"/>
        <v>-1.1458026838550334E-3</v>
      </c>
      <c r="T264" s="11">
        <f t="shared" ca="1" si="126"/>
        <v>-4.9053934342410677E-4</v>
      </c>
      <c r="U264" s="11">
        <f t="shared" ca="1" si="127"/>
        <v>-5.5074395654535931E-3</v>
      </c>
      <c r="V264" s="11"/>
      <c r="W264" s="11">
        <f t="shared" ca="1" si="144"/>
        <v>0</v>
      </c>
      <c r="X264" s="2">
        <f t="shared" ca="1" si="145"/>
        <v>-1.6358405771021967E-4</v>
      </c>
      <c r="Y264" s="2">
        <f t="shared" ca="1" si="146"/>
        <v>-1.614029402377854E-3</v>
      </c>
      <c r="Z264" s="11">
        <f t="shared" ca="1" si="147"/>
        <v>-1.4853760121635622E-5</v>
      </c>
      <c r="AA264" s="2">
        <f t="shared" ca="1" si="148"/>
        <v>-1.1458026838550334E-3</v>
      </c>
      <c r="AB264" s="11">
        <f t="shared" ca="1" si="149"/>
        <v>-4.9053934342410677E-4</v>
      </c>
      <c r="AC264" s="2">
        <f t="shared" ca="1" si="150"/>
        <v>-5.5074395654535931E-3</v>
      </c>
      <c r="AF264" s="11">
        <f t="shared" ca="1" si="151"/>
        <v>0</v>
      </c>
      <c r="AG264" s="2">
        <f t="shared" ca="1" si="152"/>
        <v>-1.6358405771021967E-4</v>
      </c>
      <c r="AH264" s="2">
        <f t="shared" ca="1" si="153"/>
        <v>-1.614029402377854E-3</v>
      </c>
      <c r="AI264" s="2">
        <f t="shared" ca="1" si="154"/>
        <v>-1.4853760121635622E-5</v>
      </c>
      <c r="AJ264" s="2">
        <f t="shared" ca="1" si="155"/>
        <v>-1.1458026838550334E-3</v>
      </c>
      <c r="AK264" s="2">
        <f t="shared" ca="1" si="156"/>
        <v>-4.9053934342410677E-4</v>
      </c>
      <c r="AL264" s="2">
        <f t="shared" ca="1" si="157"/>
        <v>-5.5074395654535931E-3</v>
      </c>
      <c r="AN264" s="2" t="e">
        <f t="shared" ca="1" si="136"/>
        <v>#N/A</v>
      </c>
      <c r="AO264" s="2" t="e">
        <f t="shared" ca="1" si="137"/>
        <v>#N/A</v>
      </c>
      <c r="AP264" s="2" t="e">
        <f t="shared" ca="1" si="138"/>
        <v>#N/A</v>
      </c>
      <c r="AQ264" s="2" t="e">
        <f t="shared" ca="1" si="139"/>
        <v>#N/A</v>
      </c>
      <c r="AR264" s="2" t="e">
        <f t="shared" ca="1" si="140"/>
        <v>#N/A</v>
      </c>
      <c r="AS264" s="2" t="e">
        <f t="shared" ca="1" si="141"/>
        <v>#N/A</v>
      </c>
      <c r="AT264" s="9" t="e">
        <f t="shared" ca="1" si="142"/>
        <v>#N/A</v>
      </c>
      <c r="AU264" s="9" t="e">
        <f t="shared" ca="1" si="143"/>
        <v>#N/A</v>
      </c>
      <c r="AW264" s="2" t="e">
        <f t="shared" ca="1" si="128"/>
        <v>#N/A</v>
      </c>
      <c r="AX264" s="2" t="e">
        <f t="shared" ca="1" si="129"/>
        <v>#N/A</v>
      </c>
      <c r="AY264" s="2" t="e">
        <f t="shared" ca="1" si="130"/>
        <v>#N/A</v>
      </c>
      <c r="AZ264" s="2" t="e">
        <f t="shared" ca="1" si="131"/>
        <v>#N/A</v>
      </c>
      <c r="BA264" s="2" t="e">
        <f t="shared" ca="1" si="132"/>
        <v>#N/A</v>
      </c>
      <c r="BB264" s="2" t="e">
        <f t="shared" ca="1" si="133"/>
        <v>#N/A</v>
      </c>
      <c r="BC264" s="9" t="e">
        <f t="shared" ca="1" si="134"/>
        <v>#N/A</v>
      </c>
      <c r="BD264" s="9" t="e">
        <f t="shared" ca="1" si="135"/>
        <v>#N/A</v>
      </c>
    </row>
    <row r="265" spans="1:56" ht="15" x14ac:dyDescent="0.25">
      <c r="A265" s="90"/>
      <c r="B265" s="90"/>
      <c r="C265" s="91"/>
      <c r="D265" s="91"/>
      <c r="E265" s="91"/>
      <c r="F265" s="91"/>
      <c r="G265" s="91"/>
      <c r="H265" s="91"/>
      <c r="I265" s="91"/>
      <c r="J265" s="64"/>
      <c r="K265" s="64"/>
      <c r="L265" s="64"/>
      <c r="M265" s="64"/>
      <c r="O265" s="11">
        <f t="shared" ca="1" si="121"/>
        <v>-3.9378682616450625E-4</v>
      </c>
      <c r="P265" s="11">
        <f t="shared" ca="1" si="122"/>
        <v>-1.6358405771021967E-4</v>
      </c>
      <c r="Q265" s="11">
        <f t="shared" ca="1" si="123"/>
        <v>-1.614029402377854E-3</v>
      </c>
      <c r="R265" s="11">
        <f t="shared" ca="1" si="124"/>
        <v>-1.4853760121635622E-5</v>
      </c>
      <c r="S265" s="11">
        <f t="shared" ca="1" si="125"/>
        <v>-1.1458026838550334E-3</v>
      </c>
      <c r="T265" s="11">
        <f t="shared" ca="1" si="126"/>
        <v>-4.9053934342410677E-4</v>
      </c>
      <c r="U265" s="11">
        <f t="shared" ca="1" si="127"/>
        <v>-5.5074395654535931E-3</v>
      </c>
      <c r="V265" s="11"/>
      <c r="W265" s="11">
        <f t="shared" ca="1" si="144"/>
        <v>0</v>
      </c>
      <c r="X265" s="2">
        <f t="shared" ca="1" si="145"/>
        <v>-1.6358405771021967E-4</v>
      </c>
      <c r="Y265" s="2">
        <f t="shared" ca="1" si="146"/>
        <v>-1.614029402377854E-3</v>
      </c>
      <c r="Z265" s="11">
        <f t="shared" ca="1" si="147"/>
        <v>-1.4853760121635622E-5</v>
      </c>
      <c r="AA265" s="2">
        <f t="shared" ca="1" si="148"/>
        <v>-1.1458026838550334E-3</v>
      </c>
      <c r="AB265" s="11">
        <f t="shared" ca="1" si="149"/>
        <v>-4.9053934342410677E-4</v>
      </c>
      <c r="AC265" s="2">
        <f t="shared" ca="1" si="150"/>
        <v>-5.5074395654535931E-3</v>
      </c>
      <c r="AF265" s="11">
        <f t="shared" ca="1" si="151"/>
        <v>0</v>
      </c>
      <c r="AG265" s="2">
        <f t="shared" ca="1" si="152"/>
        <v>-1.6358405771021967E-4</v>
      </c>
      <c r="AH265" s="2">
        <f t="shared" ca="1" si="153"/>
        <v>-1.614029402377854E-3</v>
      </c>
      <c r="AI265" s="2">
        <f t="shared" ca="1" si="154"/>
        <v>-1.4853760121635622E-5</v>
      </c>
      <c r="AJ265" s="2">
        <f t="shared" ca="1" si="155"/>
        <v>-1.1458026838550334E-3</v>
      </c>
      <c r="AK265" s="2">
        <f t="shared" ca="1" si="156"/>
        <v>-4.9053934342410677E-4</v>
      </c>
      <c r="AL265" s="2">
        <f t="shared" ca="1" si="157"/>
        <v>-5.5074395654535931E-3</v>
      </c>
      <c r="AN265" s="2" t="e">
        <f t="shared" ca="1" si="136"/>
        <v>#N/A</v>
      </c>
      <c r="AO265" s="2" t="e">
        <f t="shared" ca="1" si="137"/>
        <v>#N/A</v>
      </c>
      <c r="AP265" s="2" t="e">
        <f t="shared" ca="1" si="138"/>
        <v>#N/A</v>
      </c>
      <c r="AQ265" s="2" t="e">
        <f t="shared" ca="1" si="139"/>
        <v>#N/A</v>
      </c>
      <c r="AR265" s="2" t="e">
        <f t="shared" ca="1" si="140"/>
        <v>#N/A</v>
      </c>
      <c r="AS265" s="2" t="e">
        <f t="shared" ca="1" si="141"/>
        <v>#N/A</v>
      </c>
      <c r="AT265" s="9" t="e">
        <f t="shared" ca="1" si="142"/>
        <v>#N/A</v>
      </c>
      <c r="AU265" s="9" t="e">
        <f t="shared" ca="1" si="143"/>
        <v>#N/A</v>
      </c>
      <c r="AW265" s="2" t="e">
        <f t="shared" ca="1" si="128"/>
        <v>#N/A</v>
      </c>
      <c r="AX265" s="2" t="e">
        <f t="shared" ca="1" si="129"/>
        <v>#N/A</v>
      </c>
      <c r="AY265" s="2" t="e">
        <f t="shared" ca="1" si="130"/>
        <v>#N/A</v>
      </c>
      <c r="AZ265" s="2" t="e">
        <f t="shared" ca="1" si="131"/>
        <v>#N/A</v>
      </c>
      <c r="BA265" s="2" t="e">
        <f t="shared" ca="1" si="132"/>
        <v>#N/A</v>
      </c>
      <c r="BB265" s="2" t="e">
        <f t="shared" ca="1" si="133"/>
        <v>#N/A</v>
      </c>
      <c r="BC265" s="9" t="e">
        <f t="shared" ca="1" si="134"/>
        <v>#N/A</v>
      </c>
      <c r="BD265" s="9" t="e">
        <f t="shared" ca="1" si="135"/>
        <v>#N/A</v>
      </c>
    </row>
    <row r="266" spans="1:56" ht="15" x14ac:dyDescent="0.25">
      <c r="A266" s="90"/>
      <c r="B266" s="90"/>
      <c r="C266" s="91"/>
      <c r="D266" s="91"/>
      <c r="E266" s="91"/>
      <c r="F266" s="91"/>
      <c r="G266" s="91"/>
      <c r="H266" s="91"/>
      <c r="I266" s="91"/>
      <c r="J266" s="64"/>
      <c r="K266" s="64"/>
      <c r="L266" s="64"/>
      <c r="M266" s="64"/>
      <c r="O266" s="11">
        <f t="shared" ca="1" si="121"/>
        <v>-3.9378682616450625E-4</v>
      </c>
      <c r="P266" s="11">
        <f t="shared" ca="1" si="122"/>
        <v>-1.6358405771021967E-4</v>
      </c>
      <c r="Q266" s="11">
        <f t="shared" ca="1" si="123"/>
        <v>-1.614029402377854E-3</v>
      </c>
      <c r="R266" s="11">
        <f t="shared" ca="1" si="124"/>
        <v>-1.4853760121635622E-5</v>
      </c>
      <c r="S266" s="11">
        <f t="shared" ca="1" si="125"/>
        <v>-1.1458026838550334E-3</v>
      </c>
      <c r="T266" s="11">
        <f t="shared" ca="1" si="126"/>
        <v>-4.9053934342410677E-4</v>
      </c>
      <c r="U266" s="11">
        <f t="shared" ca="1" si="127"/>
        <v>-5.5074395654535931E-3</v>
      </c>
      <c r="V266" s="11"/>
      <c r="W266" s="11">
        <f t="shared" ca="1" si="144"/>
        <v>0</v>
      </c>
      <c r="X266" s="2">
        <f t="shared" ca="1" si="145"/>
        <v>-1.6358405771021967E-4</v>
      </c>
      <c r="Y266" s="2">
        <f t="shared" ca="1" si="146"/>
        <v>-1.614029402377854E-3</v>
      </c>
      <c r="Z266" s="11">
        <f t="shared" ca="1" si="147"/>
        <v>-1.4853760121635622E-5</v>
      </c>
      <c r="AA266" s="2">
        <f t="shared" ca="1" si="148"/>
        <v>-1.1458026838550334E-3</v>
      </c>
      <c r="AB266" s="11">
        <f t="shared" ca="1" si="149"/>
        <v>-4.9053934342410677E-4</v>
      </c>
      <c r="AC266" s="2">
        <f t="shared" ca="1" si="150"/>
        <v>-5.5074395654535931E-3</v>
      </c>
      <c r="AF266" s="11">
        <f t="shared" ca="1" si="151"/>
        <v>0</v>
      </c>
      <c r="AG266" s="2">
        <f t="shared" ca="1" si="152"/>
        <v>-1.6358405771021967E-4</v>
      </c>
      <c r="AH266" s="2">
        <f t="shared" ca="1" si="153"/>
        <v>-1.614029402377854E-3</v>
      </c>
      <c r="AI266" s="2">
        <f t="shared" ca="1" si="154"/>
        <v>-1.4853760121635622E-5</v>
      </c>
      <c r="AJ266" s="2">
        <f t="shared" ca="1" si="155"/>
        <v>-1.1458026838550334E-3</v>
      </c>
      <c r="AK266" s="2">
        <f t="shared" ca="1" si="156"/>
        <v>-4.9053934342410677E-4</v>
      </c>
      <c r="AL266" s="2">
        <f t="shared" ca="1" si="157"/>
        <v>-5.5074395654535931E-3</v>
      </c>
      <c r="AN266" s="2" t="e">
        <f t="shared" ca="1" si="136"/>
        <v>#N/A</v>
      </c>
      <c r="AO266" s="2" t="e">
        <f t="shared" ca="1" si="137"/>
        <v>#N/A</v>
      </c>
      <c r="AP266" s="2" t="e">
        <f t="shared" ca="1" si="138"/>
        <v>#N/A</v>
      </c>
      <c r="AQ266" s="2" t="e">
        <f t="shared" ca="1" si="139"/>
        <v>#N/A</v>
      </c>
      <c r="AR266" s="2" t="e">
        <f t="shared" ca="1" si="140"/>
        <v>#N/A</v>
      </c>
      <c r="AS266" s="2" t="e">
        <f t="shared" ca="1" si="141"/>
        <v>#N/A</v>
      </c>
      <c r="AT266" s="9" t="e">
        <f t="shared" ca="1" si="142"/>
        <v>#N/A</v>
      </c>
      <c r="AU266" s="9" t="e">
        <f t="shared" ca="1" si="143"/>
        <v>#N/A</v>
      </c>
      <c r="AW266" s="2" t="e">
        <f t="shared" ca="1" si="128"/>
        <v>#N/A</v>
      </c>
      <c r="AX266" s="2" t="e">
        <f t="shared" ca="1" si="129"/>
        <v>#N/A</v>
      </c>
      <c r="AY266" s="2" t="e">
        <f t="shared" ca="1" si="130"/>
        <v>#N/A</v>
      </c>
      <c r="AZ266" s="2" t="e">
        <f t="shared" ca="1" si="131"/>
        <v>#N/A</v>
      </c>
      <c r="BA266" s="2" t="e">
        <f t="shared" ca="1" si="132"/>
        <v>#N/A</v>
      </c>
      <c r="BB266" s="2" t="e">
        <f t="shared" ca="1" si="133"/>
        <v>#N/A</v>
      </c>
      <c r="BC266" s="9" t="e">
        <f t="shared" ca="1" si="134"/>
        <v>#N/A</v>
      </c>
      <c r="BD266" s="9" t="e">
        <f t="shared" ca="1" si="135"/>
        <v>#N/A</v>
      </c>
    </row>
    <row r="267" spans="1:56" ht="15" x14ac:dyDescent="0.25">
      <c r="A267" s="90"/>
      <c r="B267" s="90"/>
      <c r="C267" s="91"/>
      <c r="D267" s="91"/>
      <c r="E267" s="91"/>
      <c r="F267" s="91"/>
      <c r="G267" s="91"/>
      <c r="H267" s="91"/>
      <c r="I267" s="91"/>
      <c r="J267" s="64"/>
      <c r="K267" s="64"/>
      <c r="L267" s="64"/>
      <c r="M267" s="64"/>
      <c r="O267" s="11">
        <f t="shared" ca="1" si="121"/>
        <v>-3.9378682616450625E-4</v>
      </c>
      <c r="P267" s="11">
        <f t="shared" ca="1" si="122"/>
        <v>-1.6358405771021967E-4</v>
      </c>
      <c r="Q267" s="11">
        <f t="shared" ca="1" si="123"/>
        <v>-1.614029402377854E-3</v>
      </c>
      <c r="R267" s="11">
        <f t="shared" ca="1" si="124"/>
        <v>-1.4853760121635622E-5</v>
      </c>
      <c r="S267" s="11">
        <f t="shared" ca="1" si="125"/>
        <v>-1.1458026838550334E-3</v>
      </c>
      <c r="T267" s="11">
        <f t="shared" ca="1" si="126"/>
        <v>-4.9053934342410677E-4</v>
      </c>
      <c r="U267" s="11">
        <f t="shared" ca="1" si="127"/>
        <v>-5.5074395654535931E-3</v>
      </c>
      <c r="V267" s="11"/>
      <c r="W267" s="11">
        <f t="shared" ca="1" si="144"/>
        <v>0</v>
      </c>
      <c r="X267" s="2">
        <f t="shared" ca="1" si="145"/>
        <v>-1.6358405771021967E-4</v>
      </c>
      <c r="Y267" s="2">
        <f t="shared" ca="1" si="146"/>
        <v>-1.614029402377854E-3</v>
      </c>
      <c r="Z267" s="11">
        <f t="shared" ca="1" si="147"/>
        <v>-1.4853760121635622E-5</v>
      </c>
      <c r="AA267" s="2">
        <f t="shared" ca="1" si="148"/>
        <v>-1.1458026838550334E-3</v>
      </c>
      <c r="AB267" s="11">
        <f t="shared" ca="1" si="149"/>
        <v>-4.9053934342410677E-4</v>
      </c>
      <c r="AC267" s="2">
        <f t="shared" ca="1" si="150"/>
        <v>-5.5074395654535931E-3</v>
      </c>
      <c r="AF267" s="11">
        <f t="shared" ca="1" si="151"/>
        <v>0</v>
      </c>
      <c r="AG267" s="2">
        <f t="shared" ca="1" si="152"/>
        <v>-1.6358405771021967E-4</v>
      </c>
      <c r="AH267" s="2">
        <f t="shared" ca="1" si="153"/>
        <v>-1.614029402377854E-3</v>
      </c>
      <c r="AI267" s="2">
        <f t="shared" ca="1" si="154"/>
        <v>-1.4853760121635622E-5</v>
      </c>
      <c r="AJ267" s="2">
        <f t="shared" ca="1" si="155"/>
        <v>-1.1458026838550334E-3</v>
      </c>
      <c r="AK267" s="2">
        <f t="shared" ca="1" si="156"/>
        <v>-4.9053934342410677E-4</v>
      </c>
      <c r="AL267" s="2">
        <f t="shared" ca="1" si="157"/>
        <v>-5.5074395654535931E-3</v>
      </c>
      <c r="AN267" s="2" t="e">
        <f t="shared" ca="1" si="136"/>
        <v>#N/A</v>
      </c>
      <c r="AO267" s="2" t="e">
        <f t="shared" ca="1" si="137"/>
        <v>#N/A</v>
      </c>
      <c r="AP267" s="2" t="e">
        <f t="shared" ca="1" si="138"/>
        <v>#N/A</v>
      </c>
      <c r="AQ267" s="2" t="e">
        <f t="shared" ca="1" si="139"/>
        <v>#N/A</v>
      </c>
      <c r="AR267" s="2" t="e">
        <f t="shared" ca="1" si="140"/>
        <v>#N/A</v>
      </c>
      <c r="AS267" s="2" t="e">
        <f t="shared" ca="1" si="141"/>
        <v>#N/A</v>
      </c>
      <c r="AT267" s="9" t="e">
        <f t="shared" ca="1" si="142"/>
        <v>#N/A</v>
      </c>
      <c r="AU267" s="9" t="e">
        <f t="shared" ca="1" si="143"/>
        <v>#N/A</v>
      </c>
      <c r="AW267" s="2" t="e">
        <f t="shared" ca="1" si="128"/>
        <v>#N/A</v>
      </c>
      <c r="AX267" s="2" t="e">
        <f t="shared" ca="1" si="129"/>
        <v>#N/A</v>
      </c>
      <c r="AY267" s="2" t="e">
        <f t="shared" ca="1" si="130"/>
        <v>#N/A</v>
      </c>
      <c r="AZ267" s="2" t="e">
        <f t="shared" ca="1" si="131"/>
        <v>#N/A</v>
      </c>
      <c r="BA267" s="2" t="e">
        <f t="shared" ca="1" si="132"/>
        <v>#N/A</v>
      </c>
      <c r="BB267" s="2" t="e">
        <f t="shared" ca="1" si="133"/>
        <v>#N/A</v>
      </c>
      <c r="BC267" s="9" t="e">
        <f t="shared" ca="1" si="134"/>
        <v>#N/A</v>
      </c>
      <c r="BD267" s="9" t="e">
        <f t="shared" ca="1" si="135"/>
        <v>#N/A</v>
      </c>
    </row>
    <row r="268" spans="1:56" ht="15" x14ac:dyDescent="0.25">
      <c r="A268" s="90"/>
      <c r="B268" s="90"/>
      <c r="C268" s="91"/>
      <c r="D268" s="91"/>
      <c r="E268" s="91"/>
      <c r="F268" s="91"/>
      <c r="G268" s="91"/>
      <c r="H268" s="91"/>
      <c r="I268" s="91"/>
      <c r="J268" s="64"/>
      <c r="K268" s="64"/>
      <c r="L268" s="64"/>
      <c r="M268" s="64"/>
      <c r="O268" s="11">
        <f t="shared" ca="1" si="121"/>
        <v>-3.9378682616450625E-4</v>
      </c>
      <c r="P268" s="11">
        <f t="shared" ca="1" si="122"/>
        <v>-1.6358405771021967E-4</v>
      </c>
      <c r="Q268" s="11">
        <f t="shared" ca="1" si="123"/>
        <v>-1.614029402377854E-3</v>
      </c>
      <c r="R268" s="11">
        <f t="shared" ca="1" si="124"/>
        <v>-1.4853760121635622E-5</v>
      </c>
      <c r="S268" s="11">
        <f t="shared" ca="1" si="125"/>
        <v>-1.1458026838550334E-3</v>
      </c>
      <c r="T268" s="11">
        <f t="shared" ca="1" si="126"/>
        <v>-4.9053934342410677E-4</v>
      </c>
      <c r="U268" s="11">
        <f t="shared" ca="1" si="127"/>
        <v>-5.5074395654535931E-3</v>
      </c>
      <c r="V268" s="11"/>
      <c r="W268" s="11">
        <f t="shared" ca="1" si="144"/>
        <v>0</v>
      </c>
      <c r="X268" s="2">
        <f t="shared" ca="1" si="145"/>
        <v>-1.6358405771021967E-4</v>
      </c>
      <c r="Y268" s="2">
        <f t="shared" ca="1" si="146"/>
        <v>-1.614029402377854E-3</v>
      </c>
      <c r="Z268" s="11">
        <f t="shared" ca="1" si="147"/>
        <v>-1.4853760121635622E-5</v>
      </c>
      <c r="AA268" s="2">
        <f t="shared" ca="1" si="148"/>
        <v>-1.1458026838550334E-3</v>
      </c>
      <c r="AB268" s="11">
        <f t="shared" ca="1" si="149"/>
        <v>-4.9053934342410677E-4</v>
      </c>
      <c r="AC268" s="2">
        <f t="shared" ca="1" si="150"/>
        <v>-5.5074395654535931E-3</v>
      </c>
      <c r="AF268" s="11">
        <f t="shared" ca="1" si="151"/>
        <v>0</v>
      </c>
      <c r="AG268" s="2">
        <f t="shared" ca="1" si="152"/>
        <v>-1.6358405771021967E-4</v>
      </c>
      <c r="AH268" s="2">
        <f t="shared" ca="1" si="153"/>
        <v>-1.614029402377854E-3</v>
      </c>
      <c r="AI268" s="2">
        <f t="shared" ca="1" si="154"/>
        <v>-1.4853760121635622E-5</v>
      </c>
      <c r="AJ268" s="2">
        <f t="shared" ca="1" si="155"/>
        <v>-1.1458026838550334E-3</v>
      </c>
      <c r="AK268" s="2">
        <f t="shared" ca="1" si="156"/>
        <v>-4.9053934342410677E-4</v>
      </c>
      <c r="AL268" s="2">
        <f t="shared" ca="1" si="157"/>
        <v>-5.5074395654535931E-3</v>
      </c>
      <c r="AN268" s="2" t="e">
        <f t="shared" ca="1" si="136"/>
        <v>#N/A</v>
      </c>
      <c r="AO268" s="2" t="e">
        <f t="shared" ca="1" si="137"/>
        <v>#N/A</v>
      </c>
      <c r="AP268" s="2" t="e">
        <f t="shared" ca="1" si="138"/>
        <v>#N/A</v>
      </c>
      <c r="AQ268" s="2" t="e">
        <f t="shared" ca="1" si="139"/>
        <v>#N/A</v>
      </c>
      <c r="AR268" s="2" t="e">
        <f t="shared" ca="1" si="140"/>
        <v>#N/A</v>
      </c>
      <c r="AS268" s="2" t="e">
        <f t="shared" ca="1" si="141"/>
        <v>#N/A</v>
      </c>
      <c r="AT268" s="9" t="e">
        <f t="shared" ca="1" si="142"/>
        <v>#N/A</v>
      </c>
      <c r="AU268" s="9" t="e">
        <f t="shared" ca="1" si="143"/>
        <v>#N/A</v>
      </c>
      <c r="AW268" s="2" t="e">
        <f t="shared" ca="1" si="128"/>
        <v>#N/A</v>
      </c>
      <c r="AX268" s="2" t="e">
        <f t="shared" ca="1" si="129"/>
        <v>#N/A</v>
      </c>
      <c r="AY268" s="2" t="e">
        <f t="shared" ca="1" si="130"/>
        <v>#N/A</v>
      </c>
      <c r="AZ268" s="2" t="e">
        <f t="shared" ca="1" si="131"/>
        <v>#N/A</v>
      </c>
      <c r="BA268" s="2" t="e">
        <f t="shared" ca="1" si="132"/>
        <v>#N/A</v>
      </c>
      <c r="BB268" s="2" t="e">
        <f t="shared" ca="1" si="133"/>
        <v>#N/A</v>
      </c>
      <c r="BC268" s="9" t="e">
        <f t="shared" ca="1" si="134"/>
        <v>#N/A</v>
      </c>
      <c r="BD268" s="9" t="e">
        <f t="shared" ca="1" si="135"/>
        <v>#N/A</v>
      </c>
    </row>
    <row r="269" spans="1:56" ht="15" x14ac:dyDescent="0.25">
      <c r="A269" s="90"/>
      <c r="B269" s="90"/>
      <c r="C269" s="91"/>
      <c r="D269" s="91"/>
      <c r="E269" s="91"/>
      <c r="F269" s="91"/>
      <c r="G269" s="91"/>
      <c r="H269" s="91"/>
      <c r="I269" s="91"/>
      <c r="J269" s="64"/>
      <c r="K269" s="64"/>
      <c r="L269" s="64"/>
      <c r="M269" s="64"/>
      <c r="O269" s="11">
        <f t="shared" ca="1" si="121"/>
        <v>-3.9378682616450625E-4</v>
      </c>
      <c r="P269" s="11">
        <f t="shared" ca="1" si="122"/>
        <v>-1.6358405771021967E-4</v>
      </c>
      <c r="Q269" s="11">
        <f t="shared" ca="1" si="123"/>
        <v>-1.614029402377854E-3</v>
      </c>
      <c r="R269" s="11">
        <f t="shared" ca="1" si="124"/>
        <v>-1.4853760121635622E-5</v>
      </c>
      <c r="S269" s="11">
        <f t="shared" ca="1" si="125"/>
        <v>-1.1458026838550334E-3</v>
      </c>
      <c r="T269" s="11">
        <f t="shared" ca="1" si="126"/>
        <v>-4.9053934342410677E-4</v>
      </c>
      <c r="U269" s="11">
        <f t="shared" ca="1" si="127"/>
        <v>-5.5074395654535931E-3</v>
      </c>
      <c r="V269" s="11"/>
      <c r="W269" s="11">
        <f t="shared" ca="1" si="144"/>
        <v>0</v>
      </c>
      <c r="X269" s="2">
        <f t="shared" ca="1" si="145"/>
        <v>-1.6358405771021967E-4</v>
      </c>
      <c r="Y269" s="2">
        <f t="shared" ca="1" si="146"/>
        <v>-1.614029402377854E-3</v>
      </c>
      <c r="Z269" s="11">
        <f t="shared" ca="1" si="147"/>
        <v>-1.4853760121635622E-5</v>
      </c>
      <c r="AA269" s="2">
        <f t="shared" ca="1" si="148"/>
        <v>-1.1458026838550334E-3</v>
      </c>
      <c r="AB269" s="11">
        <f t="shared" ca="1" si="149"/>
        <v>-4.9053934342410677E-4</v>
      </c>
      <c r="AC269" s="2">
        <f t="shared" ca="1" si="150"/>
        <v>-5.5074395654535931E-3</v>
      </c>
      <c r="AF269" s="11">
        <f t="shared" ca="1" si="151"/>
        <v>0</v>
      </c>
      <c r="AG269" s="2">
        <f t="shared" ca="1" si="152"/>
        <v>-1.6358405771021967E-4</v>
      </c>
      <c r="AH269" s="2">
        <f t="shared" ca="1" si="153"/>
        <v>-1.614029402377854E-3</v>
      </c>
      <c r="AI269" s="2">
        <f t="shared" ca="1" si="154"/>
        <v>-1.4853760121635622E-5</v>
      </c>
      <c r="AJ269" s="2">
        <f t="shared" ca="1" si="155"/>
        <v>-1.1458026838550334E-3</v>
      </c>
      <c r="AK269" s="2">
        <f t="shared" ca="1" si="156"/>
        <v>-4.9053934342410677E-4</v>
      </c>
      <c r="AL269" s="2">
        <f t="shared" ca="1" si="157"/>
        <v>-5.5074395654535931E-3</v>
      </c>
      <c r="AN269" s="2" t="e">
        <f t="shared" ca="1" si="136"/>
        <v>#N/A</v>
      </c>
      <c r="AO269" s="2" t="e">
        <f t="shared" ca="1" si="137"/>
        <v>#N/A</v>
      </c>
      <c r="AP269" s="2" t="e">
        <f t="shared" ca="1" si="138"/>
        <v>#N/A</v>
      </c>
      <c r="AQ269" s="2" t="e">
        <f t="shared" ca="1" si="139"/>
        <v>#N/A</v>
      </c>
      <c r="AR269" s="2" t="e">
        <f t="shared" ca="1" si="140"/>
        <v>#N/A</v>
      </c>
      <c r="AS269" s="2" t="e">
        <f t="shared" ca="1" si="141"/>
        <v>#N/A</v>
      </c>
      <c r="AT269" s="9" t="e">
        <f t="shared" ca="1" si="142"/>
        <v>#N/A</v>
      </c>
      <c r="AU269" s="9" t="e">
        <f t="shared" ca="1" si="143"/>
        <v>#N/A</v>
      </c>
      <c r="AW269" s="2" t="e">
        <f t="shared" ca="1" si="128"/>
        <v>#N/A</v>
      </c>
      <c r="AX269" s="2" t="e">
        <f t="shared" ca="1" si="129"/>
        <v>#N/A</v>
      </c>
      <c r="AY269" s="2" t="e">
        <f t="shared" ca="1" si="130"/>
        <v>#N/A</v>
      </c>
      <c r="AZ269" s="2" t="e">
        <f t="shared" ca="1" si="131"/>
        <v>#N/A</v>
      </c>
      <c r="BA269" s="2" t="e">
        <f t="shared" ca="1" si="132"/>
        <v>#N/A</v>
      </c>
      <c r="BB269" s="2" t="e">
        <f t="shared" ca="1" si="133"/>
        <v>#N/A</v>
      </c>
      <c r="BC269" s="9" t="e">
        <f t="shared" ca="1" si="134"/>
        <v>#N/A</v>
      </c>
      <c r="BD269" s="9" t="e">
        <f t="shared" ca="1" si="135"/>
        <v>#N/A</v>
      </c>
    </row>
    <row r="270" spans="1:56" ht="15" x14ac:dyDescent="0.25">
      <c r="A270" s="90"/>
      <c r="B270" s="90"/>
      <c r="C270" s="91"/>
      <c r="D270" s="91"/>
      <c r="E270" s="91"/>
      <c r="F270" s="91"/>
      <c r="G270" s="91"/>
      <c r="H270" s="91"/>
      <c r="I270" s="91"/>
      <c r="J270" s="64"/>
      <c r="K270" s="64"/>
      <c r="L270" s="64"/>
      <c r="M270" s="64"/>
      <c r="O270" s="11">
        <f t="shared" ca="1" si="121"/>
        <v>-3.9378682616450625E-4</v>
      </c>
      <c r="P270" s="11">
        <f t="shared" ca="1" si="122"/>
        <v>-1.6358405771021967E-4</v>
      </c>
      <c r="Q270" s="11">
        <f t="shared" ca="1" si="123"/>
        <v>-1.614029402377854E-3</v>
      </c>
      <c r="R270" s="11">
        <f t="shared" ca="1" si="124"/>
        <v>-1.4853760121635622E-5</v>
      </c>
      <c r="S270" s="11">
        <f t="shared" ca="1" si="125"/>
        <v>-1.1458026838550334E-3</v>
      </c>
      <c r="T270" s="11">
        <f t="shared" ca="1" si="126"/>
        <v>-4.9053934342410677E-4</v>
      </c>
      <c r="U270" s="11">
        <f t="shared" ca="1" si="127"/>
        <v>-5.5074395654535931E-3</v>
      </c>
      <c r="V270" s="11"/>
      <c r="W270" s="11">
        <f t="shared" ca="1" si="144"/>
        <v>0</v>
      </c>
      <c r="X270" s="2">
        <f t="shared" ca="1" si="145"/>
        <v>-1.6358405771021967E-4</v>
      </c>
      <c r="Y270" s="2">
        <f t="shared" ca="1" si="146"/>
        <v>-1.614029402377854E-3</v>
      </c>
      <c r="Z270" s="11">
        <f t="shared" ca="1" si="147"/>
        <v>-1.4853760121635622E-5</v>
      </c>
      <c r="AA270" s="2">
        <f t="shared" ca="1" si="148"/>
        <v>-1.1458026838550334E-3</v>
      </c>
      <c r="AB270" s="11">
        <f t="shared" ca="1" si="149"/>
        <v>-4.9053934342410677E-4</v>
      </c>
      <c r="AC270" s="2">
        <f t="shared" ca="1" si="150"/>
        <v>-5.5074395654535931E-3</v>
      </c>
      <c r="AF270" s="11">
        <f t="shared" ca="1" si="151"/>
        <v>0</v>
      </c>
      <c r="AG270" s="2">
        <f t="shared" ca="1" si="152"/>
        <v>-1.6358405771021967E-4</v>
      </c>
      <c r="AH270" s="2">
        <f t="shared" ca="1" si="153"/>
        <v>-1.614029402377854E-3</v>
      </c>
      <c r="AI270" s="2">
        <f t="shared" ca="1" si="154"/>
        <v>-1.4853760121635622E-5</v>
      </c>
      <c r="AJ270" s="2">
        <f t="shared" ca="1" si="155"/>
        <v>-1.1458026838550334E-3</v>
      </c>
      <c r="AK270" s="2">
        <f t="shared" ca="1" si="156"/>
        <v>-4.9053934342410677E-4</v>
      </c>
      <c r="AL270" s="2">
        <f t="shared" ca="1" si="157"/>
        <v>-5.5074395654535931E-3</v>
      </c>
      <c r="AN270" s="2" t="e">
        <f t="shared" ca="1" si="136"/>
        <v>#N/A</v>
      </c>
      <c r="AO270" s="2" t="e">
        <f t="shared" ca="1" si="137"/>
        <v>#N/A</v>
      </c>
      <c r="AP270" s="2" t="e">
        <f t="shared" ca="1" si="138"/>
        <v>#N/A</v>
      </c>
      <c r="AQ270" s="2" t="e">
        <f t="shared" ca="1" si="139"/>
        <v>#N/A</v>
      </c>
      <c r="AR270" s="2" t="e">
        <f t="shared" ca="1" si="140"/>
        <v>#N/A</v>
      </c>
      <c r="AS270" s="2" t="e">
        <f t="shared" ca="1" si="141"/>
        <v>#N/A</v>
      </c>
      <c r="AT270" s="9" t="e">
        <f t="shared" ca="1" si="142"/>
        <v>#N/A</v>
      </c>
      <c r="AU270" s="9" t="e">
        <f t="shared" ca="1" si="143"/>
        <v>#N/A</v>
      </c>
      <c r="AW270" s="2" t="e">
        <f t="shared" ca="1" si="128"/>
        <v>#N/A</v>
      </c>
      <c r="AX270" s="2" t="e">
        <f t="shared" ca="1" si="129"/>
        <v>#N/A</v>
      </c>
      <c r="AY270" s="2" t="e">
        <f t="shared" ca="1" si="130"/>
        <v>#N/A</v>
      </c>
      <c r="AZ270" s="2" t="e">
        <f t="shared" ca="1" si="131"/>
        <v>#N/A</v>
      </c>
      <c r="BA270" s="2" t="e">
        <f t="shared" ca="1" si="132"/>
        <v>#N/A</v>
      </c>
      <c r="BB270" s="2" t="e">
        <f t="shared" ca="1" si="133"/>
        <v>#N/A</v>
      </c>
      <c r="BC270" s="9" t="e">
        <f t="shared" ca="1" si="134"/>
        <v>#N/A</v>
      </c>
      <c r="BD270" s="9" t="e">
        <f t="shared" ca="1" si="135"/>
        <v>#N/A</v>
      </c>
    </row>
    <row r="271" spans="1:56" ht="15" x14ac:dyDescent="0.25">
      <c r="A271" s="90"/>
      <c r="B271" s="90"/>
      <c r="C271" s="91"/>
      <c r="D271" s="91"/>
      <c r="E271" s="91"/>
      <c r="F271" s="91"/>
      <c r="G271" s="91"/>
      <c r="H271" s="91"/>
      <c r="I271" s="91"/>
      <c r="J271" s="64"/>
      <c r="K271" s="64"/>
      <c r="L271" s="64"/>
      <c r="M271" s="64"/>
      <c r="O271" s="11">
        <f t="shared" ca="1" si="121"/>
        <v>-3.9378682616450625E-4</v>
      </c>
      <c r="P271" s="11">
        <f t="shared" ca="1" si="122"/>
        <v>-1.6358405771021967E-4</v>
      </c>
      <c r="Q271" s="11">
        <f t="shared" ca="1" si="123"/>
        <v>-1.614029402377854E-3</v>
      </c>
      <c r="R271" s="11">
        <f t="shared" ca="1" si="124"/>
        <v>-1.4853760121635622E-5</v>
      </c>
      <c r="S271" s="11">
        <f t="shared" ca="1" si="125"/>
        <v>-1.1458026838550334E-3</v>
      </c>
      <c r="T271" s="11">
        <f t="shared" ca="1" si="126"/>
        <v>-4.9053934342410677E-4</v>
      </c>
      <c r="U271" s="11">
        <f t="shared" ca="1" si="127"/>
        <v>-5.5074395654535931E-3</v>
      </c>
      <c r="V271" s="11"/>
      <c r="W271" s="11">
        <f t="shared" ca="1" si="144"/>
        <v>0</v>
      </c>
      <c r="X271" s="2">
        <f t="shared" ca="1" si="145"/>
        <v>-1.6358405771021967E-4</v>
      </c>
      <c r="Y271" s="2">
        <f t="shared" ca="1" si="146"/>
        <v>-1.614029402377854E-3</v>
      </c>
      <c r="Z271" s="11">
        <f t="shared" ca="1" si="147"/>
        <v>-1.4853760121635622E-5</v>
      </c>
      <c r="AA271" s="2">
        <f t="shared" ca="1" si="148"/>
        <v>-1.1458026838550334E-3</v>
      </c>
      <c r="AB271" s="11">
        <f t="shared" ca="1" si="149"/>
        <v>-4.9053934342410677E-4</v>
      </c>
      <c r="AC271" s="2">
        <f t="shared" ca="1" si="150"/>
        <v>-5.5074395654535931E-3</v>
      </c>
      <c r="AF271" s="11">
        <f t="shared" ca="1" si="151"/>
        <v>0</v>
      </c>
      <c r="AG271" s="2">
        <f t="shared" ca="1" si="152"/>
        <v>-1.6358405771021967E-4</v>
      </c>
      <c r="AH271" s="2">
        <f t="shared" ca="1" si="153"/>
        <v>-1.614029402377854E-3</v>
      </c>
      <c r="AI271" s="2">
        <f t="shared" ca="1" si="154"/>
        <v>-1.4853760121635622E-5</v>
      </c>
      <c r="AJ271" s="2">
        <f t="shared" ca="1" si="155"/>
        <v>-1.1458026838550334E-3</v>
      </c>
      <c r="AK271" s="2">
        <f t="shared" ca="1" si="156"/>
        <v>-4.9053934342410677E-4</v>
      </c>
      <c r="AL271" s="2">
        <f t="shared" ca="1" si="157"/>
        <v>-5.5074395654535931E-3</v>
      </c>
      <c r="AN271" s="2" t="e">
        <f t="shared" ca="1" si="136"/>
        <v>#N/A</v>
      </c>
      <c r="AO271" s="2" t="e">
        <f t="shared" ca="1" si="137"/>
        <v>#N/A</v>
      </c>
      <c r="AP271" s="2" t="e">
        <f t="shared" ca="1" si="138"/>
        <v>#N/A</v>
      </c>
      <c r="AQ271" s="2" t="e">
        <f t="shared" ca="1" si="139"/>
        <v>#N/A</v>
      </c>
      <c r="AR271" s="2" t="e">
        <f t="shared" ca="1" si="140"/>
        <v>#N/A</v>
      </c>
      <c r="AS271" s="2" t="e">
        <f t="shared" ca="1" si="141"/>
        <v>#N/A</v>
      </c>
      <c r="AT271" s="9" t="e">
        <f t="shared" ca="1" si="142"/>
        <v>#N/A</v>
      </c>
      <c r="AU271" s="9" t="e">
        <f t="shared" ca="1" si="143"/>
        <v>#N/A</v>
      </c>
      <c r="AW271" s="2" t="e">
        <f t="shared" ca="1" si="128"/>
        <v>#N/A</v>
      </c>
      <c r="AX271" s="2" t="e">
        <f t="shared" ca="1" si="129"/>
        <v>#N/A</v>
      </c>
      <c r="AY271" s="2" t="e">
        <f t="shared" ca="1" si="130"/>
        <v>#N/A</v>
      </c>
      <c r="AZ271" s="2" t="e">
        <f t="shared" ca="1" si="131"/>
        <v>#N/A</v>
      </c>
      <c r="BA271" s="2" t="e">
        <f t="shared" ca="1" si="132"/>
        <v>#N/A</v>
      </c>
      <c r="BB271" s="2" t="e">
        <f t="shared" ca="1" si="133"/>
        <v>#N/A</v>
      </c>
      <c r="BC271" s="9" t="e">
        <f t="shared" ca="1" si="134"/>
        <v>#N/A</v>
      </c>
      <c r="BD271" s="9" t="e">
        <f t="shared" ca="1" si="135"/>
        <v>#N/A</v>
      </c>
    </row>
    <row r="272" spans="1:56" ht="15" x14ac:dyDescent="0.25">
      <c r="A272" s="90"/>
      <c r="B272" s="90"/>
      <c r="C272" s="91"/>
      <c r="D272" s="91"/>
      <c r="E272" s="91"/>
      <c r="F272" s="91"/>
      <c r="G272" s="91"/>
      <c r="H272" s="91"/>
      <c r="I272" s="91"/>
      <c r="J272" s="64"/>
      <c r="K272" s="64"/>
      <c r="L272" s="64"/>
      <c r="M272" s="64"/>
      <c r="O272" s="11">
        <f t="shared" ca="1" si="121"/>
        <v>-3.9378682616450625E-4</v>
      </c>
      <c r="P272" s="11">
        <f t="shared" ca="1" si="122"/>
        <v>-1.6358405771021967E-4</v>
      </c>
      <c r="Q272" s="11">
        <f t="shared" ca="1" si="123"/>
        <v>-1.614029402377854E-3</v>
      </c>
      <c r="R272" s="11">
        <f t="shared" ca="1" si="124"/>
        <v>-1.4853760121635622E-5</v>
      </c>
      <c r="S272" s="11">
        <f t="shared" ca="1" si="125"/>
        <v>-1.1458026838550334E-3</v>
      </c>
      <c r="T272" s="11">
        <f t="shared" ca="1" si="126"/>
        <v>-4.9053934342410677E-4</v>
      </c>
      <c r="U272" s="11">
        <f t="shared" ca="1" si="127"/>
        <v>-5.5074395654535931E-3</v>
      </c>
      <c r="V272" s="11"/>
      <c r="W272" s="11">
        <f t="shared" ca="1" si="144"/>
        <v>0</v>
      </c>
      <c r="X272" s="2">
        <f t="shared" ca="1" si="145"/>
        <v>-1.6358405771021967E-4</v>
      </c>
      <c r="Y272" s="2">
        <f t="shared" ca="1" si="146"/>
        <v>-1.614029402377854E-3</v>
      </c>
      <c r="Z272" s="11">
        <f t="shared" ca="1" si="147"/>
        <v>-1.4853760121635622E-5</v>
      </c>
      <c r="AA272" s="2">
        <f t="shared" ca="1" si="148"/>
        <v>-1.1458026838550334E-3</v>
      </c>
      <c r="AB272" s="11">
        <f t="shared" ca="1" si="149"/>
        <v>-4.9053934342410677E-4</v>
      </c>
      <c r="AC272" s="2">
        <f t="shared" ca="1" si="150"/>
        <v>-5.5074395654535931E-3</v>
      </c>
      <c r="AF272" s="11">
        <f t="shared" ca="1" si="151"/>
        <v>0</v>
      </c>
      <c r="AG272" s="2">
        <f t="shared" ca="1" si="152"/>
        <v>-1.6358405771021967E-4</v>
      </c>
      <c r="AH272" s="2">
        <f t="shared" ca="1" si="153"/>
        <v>-1.614029402377854E-3</v>
      </c>
      <c r="AI272" s="2">
        <f t="shared" ca="1" si="154"/>
        <v>-1.4853760121635622E-5</v>
      </c>
      <c r="AJ272" s="2">
        <f t="shared" ca="1" si="155"/>
        <v>-1.1458026838550334E-3</v>
      </c>
      <c r="AK272" s="2">
        <f t="shared" ca="1" si="156"/>
        <v>-4.9053934342410677E-4</v>
      </c>
      <c r="AL272" s="2">
        <f t="shared" ca="1" si="157"/>
        <v>-5.5074395654535931E-3</v>
      </c>
      <c r="AN272" s="2" t="e">
        <f t="shared" ca="1" si="136"/>
        <v>#N/A</v>
      </c>
      <c r="AO272" s="2" t="e">
        <f t="shared" ca="1" si="137"/>
        <v>#N/A</v>
      </c>
      <c r="AP272" s="2" t="e">
        <f t="shared" ca="1" si="138"/>
        <v>#N/A</v>
      </c>
      <c r="AQ272" s="2" t="e">
        <f t="shared" ca="1" si="139"/>
        <v>#N/A</v>
      </c>
      <c r="AR272" s="2" t="e">
        <f t="shared" ca="1" si="140"/>
        <v>#N/A</v>
      </c>
      <c r="AS272" s="2" t="e">
        <f t="shared" ca="1" si="141"/>
        <v>#N/A</v>
      </c>
      <c r="AT272" s="9" t="e">
        <f t="shared" ca="1" si="142"/>
        <v>#N/A</v>
      </c>
      <c r="AU272" s="9" t="e">
        <f t="shared" ca="1" si="143"/>
        <v>#N/A</v>
      </c>
      <c r="AW272" s="2" t="e">
        <f t="shared" ca="1" si="128"/>
        <v>#N/A</v>
      </c>
      <c r="AX272" s="2" t="e">
        <f t="shared" ca="1" si="129"/>
        <v>#N/A</v>
      </c>
      <c r="AY272" s="2" t="e">
        <f t="shared" ca="1" si="130"/>
        <v>#N/A</v>
      </c>
      <c r="AZ272" s="2" t="e">
        <f t="shared" ca="1" si="131"/>
        <v>#N/A</v>
      </c>
      <c r="BA272" s="2" t="e">
        <f t="shared" ca="1" si="132"/>
        <v>#N/A</v>
      </c>
      <c r="BB272" s="2" t="e">
        <f t="shared" ca="1" si="133"/>
        <v>#N/A</v>
      </c>
      <c r="BC272" s="9" t="e">
        <f t="shared" ca="1" si="134"/>
        <v>#N/A</v>
      </c>
      <c r="BD272" s="9" t="e">
        <f t="shared" ca="1" si="135"/>
        <v>#N/A</v>
      </c>
    </row>
    <row r="273" spans="1:56" ht="15" x14ac:dyDescent="0.25">
      <c r="A273" s="90"/>
      <c r="B273" s="90"/>
      <c r="C273" s="91"/>
      <c r="D273" s="91"/>
      <c r="E273" s="91"/>
      <c r="F273" s="91"/>
      <c r="G273" s="91"/>
      <c r="H273" s="91"/>
      <c r="I273" s="91"/>
      <c r="J273" s="64"/>
      <c r="K273" s="64"/>
      <c r="L273" s="64"/>
      <c r="M273" s="64"/>
      <c r="O273" s="11">
        <f t="shared" ca="1" si="121"/>
        <v>-3.9378682616450625E-4</v>
      </c>
      <c r="P273" s="11">
        <f t="shared" ca="1" si="122"/>
        <v>-1.6358405771021967E-4</v>
      </c>
      <c r="Q273" s="11">
        <f t="shared" ca="1" si="123"/>
        <v>-1.614029402377854E-3</v>
      </c>
      <c r="R273" s="11">
        <f t="shared" ca="1" si="124"/>
        <v>-1.4853760121635622E-5</v>
      </c>
      <c r="S273" s="11">
        <f t="shared" ca="1" si="125"/>
        <v>-1.1458026838550334E-3</v>
      </c>
      <c r="T273" s="11">
        <f t="shared" ca="1" si="126"/>
        <v>-4.9053934342410677E-4</v>
      </c>
      <c r="U273" s="11">
        <f t="shared" ca="1" si="127"/>
        <v>-5.5074395654535931E-3</v>
      </c>
      <c r="V273" s="11"/>
      <c r="W273" s="11">
        <f t="shared" ca="1" si="144"/>
        <v>0</v>
      </c>
      <c r="X273" s="2">
        <f t="shared" ca="1" si="145"/>
        <v>-1.6358405771021967E-4</v>
      </c>
      <c r="Y273" s="2">
        <f t="shared" ca="1" si="146"/>
        <v>-1.614029402377854E-3</v>
      </c>
      <c r="Z273" s="11">
        <f t="shared" ca="1" si="147"/>
        <v>-1.4853760121635622E-5</v>
      </c>
      <c r="AA273" s="2">
        <f t="shared" ca="1" si="148"/>
        <v>-1.1458026838550334E-3</v>
      </c>
      <c r="AB273" s="11">
        <f t="shared" ca="1" si="149"/>
        <v>-4.9053934342410677E-4</v>
      </c>
      <c r="AC273" s="2">
        <f t="shared" ca="1" si="150"/>
        <v>-5.5074395654535931E-3</v>
      </c>
      <c r="AF273" s="11">
        <f t="shared" ca="1" si="151"/>
        <v>0</v>
      </c>
      <c r="AG273" s="2">
        <f t="shared" ca="1" si="152"/>
        <v>-1.6358405771021967E-4</v>
      </c>
      <c r="AH273" s="2">
        <f t="shared" ca="1" si="153"/>
        <v>-1.614029402377854E-3</v>
      </c>
      <c r="AI273" s="2">
        <f t="shared" ca="1" si="154"/>
        <v>-1.4853760121635622E-5</v>
      </c>
      <c r="AJ273" s="2">
        <f t="shared" ca="1" si="155"/>
        <v>-1.1458026838550334E-3</v>
      </c>
      <c r="AK273" s="2">
        <f t="shared" ca="1" si="156"/>
        <v>-4.9053934342410677E-4</v>
      </c>
      <c r="AL273" s="2">
        <f t="shared" ca="1" si="157"/>
        <v>-5.5074395654535931E-3</v>
      </c>
      <c r="AN273" s="2" t="e">
        <f t="shared" ca="1" si="136"/>
        <v>#N/A</v>
      </c>
      <c r="AO273" s="2" t="e">
        <f t="shared" ca="1" si="137"/>
        <v>#N/A</v>
      </c>
      <c r="AP273" s="2" t="e">
        <f t="shared" ca="1" si="138"/>
        <v>#N/A</v>
      </c>
      <c r="AQ273" s="2" t="e">
        <f t="shared" ca="1" si="139"/>
        <v>#N/A</v>
      </c>
      <c r="AR273" s="2" t="e">
        <f t="shared" ca="1" si="140"/>
        <v>#N/A</v>
      </c>
      <c r="AS273" s="2" t="e">
        <f t="shared" ca="1" si="141"/>
        <v>#N/A</v>
      </c>
      <c r="AT273" s="9" t="e">
        <f t="shared" ca="1" si="142"/>
        <v>#N/A</v>
      </c>
      <c r="AU273" s="9" t="e">
        <f t="shared" ca="1" si="143"/>
        <v>#N/A</v>
      </c>
      <c r="AW273" s="2" t="e">
        <f t="shared" ca="1" si="128"/>
        <v>#N/A</v>
      </c>
      <c r="AX273" s="2" t="e">
        <f t="shared" ca="1" si="129"/>
        <v>#N/A</v>
      </c>
      <c r="AY273" s="2" t="e">
        <f t="shared" ca="1" si="130"/>
        <v>#N/A</v>
      </c>
      <c r="AZ273" s="2" t="e">
        <f t="shared" ca="1" si="131"/>
        <v>#N/A</v>
      </c>
      <c r="BA273" s="2" t="e">
        <f t="shared" ca="1" si="132"/>
        <v>#N/A</v>
      </c>
      <c r="BB273" s="2" t="e">
        <f t="shared" ca="1" si="133"/>
        <v>#N/A</v>
      </c>
      <c r="BC273" s="9" t="e">
        <f t="shared" ca="1" si="134"/>
        <v>#N/A</v>
      </c>
      <c r="BD273" s="9" t="e">
        <f t="shared" ca="1" si="135"/>
        <v>#N/A</v>
      </c>
    </row>
    <row r="274" spans="1:56" ht="15" x14ac:dyDescent="0.25">
      <c r="A274" s="90"/>
      <c r="B274" s="90"/>
      <c r="C274" s="91"/>
      <c r="D274" s="91"/>
      <c r="E274" s="91"/>
      <c r="F274" s="91"/>
      <c r="G274" s="91"/>
      <c r="H274" s="91"/>
      <c r="I274" s="91"/>
      <c r="J274" s="64"/>
      <c r="K274" s="64"/>
      <c r="L274" s="64"/>
      <c r="M274" s="64"/>
      <c r="O274" s="11">
        <f t="shared" ref="O274:O337" ca="1" si="158">C274-AVERAGE(OFFSET(C$67,$J$2,0,$J$3))</f>
        <v>-3.9378682616450625E-4</v>
      </c>
      <c r="P274" s="11">
        <f t="shared" ref="P274:P337" ca="1" si="159">D274-AVERAGE(OFFSET(D$67,$J$2,0,$J$3))</f>
        <v>-1.6358405771021967E-4</v>
      </c>
      <c r="Q274" s="11">
        <f t="shared" ref="Q274:Q337" ca="1" si="160">E274-AVERAGE(OFFSET(E$67,$J$2,0,$J$3))</f>
        <v>-1.614029402377854E-3</v>
      </c>
      <c r="R274" s="11">
        <f t="shared" ref="R274:R337" ca="1" si="161">F274-AVERAGE(OFFSET(F$67,$J$2,0,$J$3))</f>
        <v>-1.4853760121635622E-5</v>
      </c>
      <c r="S274" s="11">
        <f t="shared" ref="S274:S337" ca="1" si="162">G274-AVERAGE(OFFSET(G$67,$J$2,0,$J$3))</f>
        <v>-1.1458026838550334E-3</v>
      </c>
      <c r="T274" s="11">
        <f t="shared" ref="T274:T337" ca="1" si="163">H274-AVERAGE(OFFSET(H$67,$J$2,0,$J$3))</f>
        <v>-4.9053934342410677E-4</v>
      </c>
      <c r="U274" s="11">
        <f t="shared" ref="U274:U337" ca="1" si="164">I274-AVERAGE(OFFSET(I$67,$J$2,0,$J$3))</f>
        <v>-5.5074395654535931E-3</v>
      </c>
      <c r="V274" s="11"/>
      <c r="W274" s="11">
        <f t="shared" ca="1" si="144"/>
        <v>0</v>
      </c>
      <c r="X274" s="2">
        <f t="shared" ca="1" si="145"/>
        <v>-1.6358405771021967E-4</v>
      </c>
      <c r="Y274" s="2">
        <f t="shared" ca="1" si="146"/>
        <v>-1.614029402377854E-3</v>
      </c>
      <c r="Z274" s="11">
        <f t="shared" ca="1" si="147"/>
        <v>-1.4853760121635622E-5</v>
      </c>
      <c r="AA274" s="2">
        <f t="shared" ca="1" si="148"/>
        <v>-1.1458026838550334E-3</v>
      </c>
      <c r="AB274" s="11">
        <f t="shared" ca="1" si="149"/>
        <v>-4.9053934342410677E-4</v>
      </c>
      <c r="AC274" s="2">
        <f t="shared" ca="1" si="150"/>
        <v>-5.5074395654535931E-3</v>
      </c>
      <c r="AF274" s="11">
        <f t="shared" ca="1" si="151"/>
        <v>0</v>
      </c>
      <c r="AG274" s="2">
        <f t="shared" ca="1" si="152"/>
        <v>-1.6358405771021967E-4</v>
      </c>
      <c r="AH274" s="2">
        <f t="shared" ca="1" si="153"/>
        <v>-1.614029402377854E-3</v>
      </c>
      <c r="AI274" s="2">
        <f t="shared" ca="1" si="154"/>
        <v>-1.4853760121635622E-5</v>
      </c>
      <c r="AJ274" s="2">
        <f t="shared" ca="1" si="155"/>
        <v>-1.1458026838550334E-3</v>
      </c>
      <c r="AK274" s="2">
        <f t="shared" ca="1" si="156"/>
        <v>-4.9053934342410677E-4</v>
      </c>
      <c r="AL274" s="2">
        <f t="shared" ca="1" si="157"/>
        <v>-5.5074395654535931E-3</v>
      </c>
      <c r="AN274" s="2" t="e">
        <f t="shared" ca="1" si="136"/>
        <v>#N/A</v>
      </c>
      <c r="AO274" s="2" t="e">
        <f t="shared" ca="1" si="137"/>
        <v>#N/A</v>
      </c>
      <c r="AP274" s="2" t="e">
        <f t="shared" ca="1" si="138"/>
        <v>#N/A</v>
      </c>
      <c r="AQ274" s="2" t="e">
        <f t="shared" ca="1" si="139"/>
        <v>#N/A</v>
      </c>
      <c r="AR274" s="2" t="e">
        <f t="shared" ca="1" si="140"/>
        <v>#N/A</v>
      </c>
      <c r="AS274" s="2" t="e">
        <f t="shared" ca="1" si="141"/>
        <v>#N/A</v>
      </c>
      <c r="AT274" s="9" t="e">
        <f t="shared" ca="1" si="142"/>
        <v>#N/A</v>
      </c>
      <c r="AU274" s="9" t="e">
        <f t="shared" ca="1" si="143"/>
        <v>#N/A</v>
      </c>
      <c r="AW274" s="2" t="e">
        <f t="shared" ca="1" si="128"/>
        <v>#N/A</v>
      </c>
      <c r="AX274" s="2" t="e">
        <f t="shared" ca="1" si="129"/>
        <v>#N/A</v>
      </c>
      <c r="AY274" s="2" t="e">
        <f t="shared" ca="1" si="130"/>
        <v>#N/A</v>
      </c>
      <c r="AZ274" s="2" t="e">
        <f t="shared" ca="1" si="131"/>
        <v>#N/A</v>
      </c>
      <c r="BA274" s="2" t="e">
        <f t="shared" ca="1" si="132"/>
        <v>#N/A</v>
      </c>
      <c r="BB274" s="2" t="e">
        <f t="shared" ca="1" si="133"/>
        <v>#N/A</v>
      </c>
      <c r="BC274" s="9" t="e">
        <f t="shared" ca="1" si="134"/>
        <v>#N/A</v>
      </c>
      <c r="BD274" s="9" t="e">
        <f t="shared" ca="1" si="135"/>
        <v>#N/A</v>
      </c>
    </row>
    <row r="275" spans="1:56" ht="15" x14ac:dyDescent="0.25">
      <c r="A275" s="90"/>
      <c r="B275" s="90"/>
      <c r="C275" s="91"/>
      <c r="D275" s="91"/>
      <c r="E275" s="91"/>
      <c r="F275" s="91"/>
      <c r="G275" s="91"/>
      <c r="H275" s="91"/>
      <c r="I275" s="91"/>
      <c r="J275" s="64"/>
      <c r="K275" s="64"/>
      <c r="L275" s="64"/>
      <c r="M275" s="64"/>
      <c r="O275" s="11">
        <f t="shared" ca="1" si="158"/>
        <v>-3.9378682616450625E-4</v>
      </c>
      <c r="P275" s="11">
        <f t="shared" ca="1" si="159"/>
        <v>-1.6358405771021967E-4</v>
      </c>
      <c r="Q275" s="11">
        <f t="shared" ca="1" si="160"/>
        <v>-1.614029402377854E-3</v>
      </c>
      <c r="R275" s="11">
        <f t="shared" ca="1" si="161"/>
        <v>-1.4853760121635622E-5</v>
      </c>
      <c r="S275" s="11">
        <f t="shared" ca="1" si="162"/>
        <v>-1.1458026838550334E-3</v>
      </c>
      <c r="T275" s="11">
        <f t="shared" ca="1" si="163"/>
        <v>-4.9053934342410677E-4</v>
      </c>
      <c r="U275" s="11">
        <f t="shared" ca="1" si="164"/>
        <v>-5.5074395654535931E-3</v>
      </c>
      <c r="V275" s="11"/>
      <c r="W275" s="11">
        <f t="shared" ca="1" si="144"/>
        <v>0</v>
      </c>
      <c r="X275" s="2">
        <f t="shared" ca="1" si="145"/>
        <v>-1.6358405771021967E-4</v>
      </c>
      <c r="Y275" s="2">
        <f t="shared" ca="1" si="146"/>
        <v>-1.614029402377854E-3</v>
      </c>
      <c r="Z275" s="11">
        <f t="shared" ca="1" si="147"/>
        <v>-1.4853760121635622E-5</v>
      </c>
      <c r="AA275" s="2">
        <f t="shared" ca="1" si="148"/>
        <v>-1.1458026838550334E-3</v>
      </c>
      <c r="AB275" s="11">
        <f t="shared" ca="1" si="149"/>
        <v>-4.9053934342410677E-4</v>
      </c>
      <c r="AC275" s="2">
        <f t="shared" ca="1" si="150"/>
        <v>-5.5074395654535931E-3</v>
      </c>
      <c r="AF275" s="11">
        <f t="shared" ca="1" si="151"/>
        <v>0</v>
      </c>
      <c r="AG275" s="2">
        <f t="shared" ca="1" si="152"/>
        <v>-1.6358405771021967E-4</v>
      </c>
      <c r="AH275" s="2">
        <f t="shared" ca="1" si="153"/>
        <v>-1.614029402377854E-3</v>
      </c>
      <c r="AI275" s="2">
        <f t="shared" ca="1" si="154"/>
        <v>-1.4853760121635622E-5</v>
      </c>
      <c r="AJ275" s="2">
        <f t="shared" ca="1" si="155"/>
        <v>-1.1458026838550334E-3</v>
      </c>
      <c r="AK275" s="2">
        <f t="shared" ca="1" si="156"/>
        <v>-4.9053934342410677E-4</v>
      </c>
      <c r="AL275" s="2">
        <f t="shared" ca="1" si="157"/>
        <v>-5.5074395654535931E-3</v>
      </c>
      <c r="AN275" s="2" t="e">
        <f t="shared" ca="1" si="136"/>
        <v>#N/A</v>
      </c>
      <c r="AO275" s="2" t="e">
        <f t="shared" ca="1" si="137"/>
        <v>#N/A</v>
      </c>
      <c r="AP275" s="2" t="e">
        <f t="shared" ca="1" si="138"/>
        <v>#N/A</v>
      </c>
      <c r="AQ275" s="2" t="e">
        <f t="shared" ca="1" si="139"/>
        <v>#N/A</v>
      </c>
      <c r="AR275" s="2" t="e">
        <f t="shared" ca="1" si="140"/>
        <v>#N/A</v>
      </c>
      <c r="AS275" s="2" t="e">
        <f t="shared" ca="1" si="141"/>
        <v>#N/A</v>
      </c>
      <c r="AT275" s="9" t="e">
        <f t="shared" ca="1" si="142"/>
        <v>#N/A</v>
      </c>
      <c r="AU275" s="9" t="e">
        <f t="shared" ca="1" si="143"/>
        <v>#N/A</v>
      </c>
      <c r="AW275" s="2" t="e">
        <f t="shared" ca="1" si="128"/>
        <v>#N/A</v>
      </c>
      <c r="AX275" s="2" t="e">
        <f t="shared" ca="1" si="129"/>
        <v>#N/A</v>
      </c>
      <c r="AY275" s="2" t="e">
        <f t="shared" ca="1" si="130"/>
        <v>#N/A</v>
      </c>
      <c r="AZ275" s="2" t="e">
        <f t="shared" ca="1" si="131"/>
        <v>#N/A</v>
      </c>
      <c r="BA275" s="2" t="e">
        <f t="shared" ca="1" si="132"/>
        <v>#N/A</v>
      </c>
      <c r="BB275" s="2" t="e">
        <f t="shared" ca="1" si="133"/>
        <v>#N/A</v>
      </c>
      <c r="BC275" s="9" t="e">
        <f t="shared" ca="1" si="134"/>
        <v>#N/A</v>
      </c>
      <c r="BD275" s="9" t="e">
        <f t="shared" ca="1" si="135"/>
        <v>#N/A</v>
      </c>
    </row>
    <row r="276" spans="1:56" ht="15" x14ac:dyDescent="0.25">
      <c r="A276" s="90"/>
      <c r="B276" s="90"/>
      <c r="C276" s="91"/>
      <c r="D276" s="91"/>
      <c r="E276" s="91"/>
      <c r="F276" s="91"/>
      <c r="G276" s="91"/>
      <c r="H276" s="91"/>
      <c r="I276" s="91"/>
      <c r="J276" s="64"/>
      <c r="K276" s="64"/>
      <c r="L276" s="64"/>
      <c r="M276" s="64"/>
      <c r="O276" s="11">
        <f t="shared" ca="1" si="158"/>
        <v>-3.9378682616450625E-4</v>
      </c>
      <c r="P276" s="11">
        <f t="shared" ca="1" si="159"/>
        <v>-1.6358405771021967E-4</v>
      </c>
      <c r="Q276" s="11">
        <f t="shared" ca="1" si="160"/>
        <v>-1.614029402377854E-3</v>
      </c>
      <c r="R276" s="11">
        <f t="shared" ca="1" si="161"/>
        <v>-1.4853760121635622E-5</v>
      </c>
      <c r="S276" s="11">
        <f t="shared" ca="1" si="162"/>
        <v>-1.1458026838550334E-3</v>
      </c>
      <c r="T276" s="11">
        <f t="shared" ca="1" si="163"/>
        <v>-4.9053934342410677E-4</v>
      </c>
      <c r="U276" s="11">
        <f t="shared" ca="1" si="164"/>
        <v>-5.5074395654535931E-3</v>
      </c>
      <c r="V276" s="11"/>
      <c r="W276" s="11">
        <f t="shared" ca="1" si="144"/>
        <v>0</v>
      </c>
      <c r="X276" s="2">
        <f t="shared" ca="1" si="145"/>
        <v>-1.6358405771021967E-4</v>
      </c>
      <c r="Y276" s="2">
        <f t="shared" ca="1" si="146"/>
        <v>-1.614029402377854E-3</v>
      </c>
      <c r="Z276" s="11">
        <f t="shared" ca="1" si="147"/>
        <v>-1.4853760121635622E-5</v>
      </c>
      <c r="AA276" s="2">
        <f t="shared" ca="1" si="148"/>
        <v>-1.1458026838550334E-3</v>
      </c>
      <c r="AB276" s="11">
        <f t="shared" ca="1" si="149"/>
        <v>-4.9053934342410677E-4</v>
      </c>
      <c r="AC276" s="2">
        <f t="shared" ca="1" si="150"/>
        <v>-5.5074395654535931E-3</v>
      </c>
      <c r="AF276" s="11">
        <f t="shared" ca="1" si="151"/>
        <v>0</v>
      </c>
      <c r="AG276" s="2">
        <f t="shared" ca="1" si="152"/>
        <v>-1.6358405771021967E-4</v>
      </c>
      <c r="AH276" s="2">
        <f t="shared" ca="1" si="153"/>
        <v>-1.614029402377854E-3</v>
      </c>
      <c r="AI276" s="2">
        <f t="shared" ca="1" si="154"/>
        <v>-1.4853760121635622E-5</v>
      </c>
      <c r="AJ276" s="2">
        <f t="shared" ca="1" si="155"/>
        <v>-1.1458026838550334E-3</v>
      </c>
      <c r="AK276" s="2">
        <f t="shared" ca="1" si="156"/>
        <v>-4.9053934342410677E-4</v>
      </c>
      <c r="AL276" s="2">
        <f t="shared" ca="1" si="157"/>
        <v>-5.5074395654535931E-3</v>
      </c>
      <c r="AN276" s="2" t="e">
        <f t="shared" ca="1" si="136"/>
        <v>#N/A</v>
      </c>
      <c r="AO276" s="2" t="e">
        <f t="shared" ca="1" si="137"/>
        <v>#N/A</v>
      </c>
      <c r="AP276" s="2" t="e">
        <f t="shared" ca="1" si="138"/>
        <v>#N/A</v>
      </c>
      <c r="AQ276" s="2" t="e">
        <f t="shared" ca="1" si="139"/>
        <v>#N/A</v>
      </c>
      <c r="AR276" s="2" t="e">
        <f t="shared" ca="1" si="140"/>
        <v>#N/A</v>
      </c>
      <c r="AS276" s="2" t="e">
        <f t="shared" ca="1" si="141"/>
        <v>#N/A</v>
      </c>
      <c r="AT276" s="9" t="e">
        <f t="shared" ca="1" si="142"/>
        <v>#N/A</v>
      </c>
      <c r="AU276" s="9" t="e">
        <f t="shared" ca="1" si="143"/>
        <v>#N/A</v>
      </c>
      <c r="AW276" s="2" t="e">
        <f t="shared" ca="1" si="128"/>
        <v>#N/A</v>
      </c>
      <c r="AX276" s="2" t="e">
        <f t="shared" ca="1" si="129"/>
        <v>#N/A</v>
      </c>
      <c r="AY276" s="2" t="e">
        <f t="shared" ca="1" si="130"/>
        <v>#N/A</v>
      </c>
      <c r="AZ276" s="2" t="e">
        <f t="shared" ca="1" si="131"/>
        <v>#N/A</v>
      </c>
      <c r="BA276" s="2" t="e">
        <f t="shared" ca="1" si="132"/>
        <v>#N/A</v>
      </c>
      <c r="BB276" s="2" t="e">
        <f t="shared" ca="1" si="133"/>
        <v>#N/A</v>
      </c>
      <c r="BC276" s="9" t="e">
        <f t="shared" ca="1" si="134"/>
        <v>#N/A</v>
      </c>
      <c r="BD276" s="9" t="e">
        <f t="shared" ca="1" si="135"/>
        <v>#N/A</v>
      </c>
    </row>
    <row r="277" spans="1:56" ht="15" x14ac:dyDescent="0.25">
      <c r="A277" s="90"/>
      <c r="B277" s="90"/>
      <c r="C277" s="91"/>
      <c r="D277" s="91"/>
      <c r="E277" s="91"/>
      <c r="F277" s="91"/>
      <c r="G277" s="91"/>
      <c r="H277" s="91"/>
      <c r="I277" s="91"/>
      <c r="J277" s="64"/>
      <c r="K277" s="64"/>
      <c r="L277" s="64"/>
      <c r="M277" s="64"/>
      <c r="O277" s="11">
        <f t="shared" ca="1" si="158"/>
        <v>-3.9378682616450625E-4</v>
      </c>
      <c r="P277" s="11">
        <f t="shared" ca="1" si="159"/>
        <v>-1.6358405771021967E-4</v>
      </c>
      <c r="Q277" s="11">
        <f t="shared" ca="1" si="160"/>
        <v>-1.614029402377854E-3</v>
      </c>
      <c r="R277" s="11">
        <f t="shared" ca="1" si="161"/>
        <v>-1.4853760121635622E-5</v>
      </c>
      <c r="S277" s="11">
        <f t="shared" ca="1" si="162"/>
        <v>-1.1458026838550334E-3</v>
      </c>
      <c r="T277" s="11">
        <f t="shared" ca="1" si="163"/>
        <v>-4.9053934342410677E-4</v>
      </c>
      <c r="U277" s="11">
        <f t="shared" ca="1" si="164"/>
        <v>-5.5074395654535931E-3</v>
      </c>
      <c r="V277" s="11"/>
      <c r="W277" s="11">
        <f t="shared" ca="1" si="144"/>
        <v>0</v>
      </c>
      <c r="X277" s="2">
        <f t="shared" ca="1" si="145"/>
        <v>-1.6358405771021967E-4</v>
      </c>
      <c r="Y277" s="2">
        <f t="shared" ca="1" si="146"/>
        <v>-1.614029402377854E-3</v>
      </c>
      <c r="Z277" s="11">
        <f t="shared" ca="1" si="147"/>
        <v>-1.4853760121635622E-5</v>
      </c>
      <c r="AA277" s="2">
        <f t="shared" ca="1" si="148"/>
        <v>-1.1458026838550334E-3</v>
      </c>
      <c r="AB277" s="11">
        <f t="shared" ca="1" si="149"/>
        <v>-4.9053934342410677E-4</v>
      </c>
      <c r="AC277" s="2">
        <f t="shared" ca="1" si="150"/>
        <v>-5.5074395654535931E-3</v>
      </c>
      <c r="AF277" s="11">
        <f t="shared" ca="1" si="151"/>
        <v>0</v>
      </c>
      <c r="AG277" s="2">
        <f t="shared" ca="1" si="152"/>
        <v>-1.6358405771021967E-4</v>
      </c>
      <c r="AH277" s="2">
        <f t="shared" ca="1" si="153"/>
        <v>-1.614029402377854E-3</v>
      </c>
      <c r="AI277" s="2">
        <f t="shared" ca="1" si="154"/>
        <v>-1.4853760121635622E-5</v>
      </c>
      <c r="AJ277" s="2">
        <f t="shared" ca="1" si="155"/>
        <v>-1.1458026838550334E-3</v>
      </c>
      <c r="AK277" s="2">
        <f t="shared" ca="1" si="156"/>
        <v>-4.9053934342410677E-4</v>
      </c>
      <c r="AL277" s="2">
        <f t="shared" ca="1" si="157"/>
        <v>-5.5074395654535931E-3</v>
      </c>
      <c r="AN277" s="2" t="e">
        <f t="shared" ca="1" si="136"/>
        <v>#N/A</v>
      </c>
      <c r="AO277" s="2" t="e">
        <f t="shared" ca="1" si="137"/>
        <v>#N/A</v>
      </c>
      <c r="AP277" s="2" t="e">
        <f t="shared" ca="1" si="138"/>
        <v>#N/A</v>
      </c>
      <c r="AQ277" s="2" t="e">
        <f t="shared" ca="1" si="139"/>
        <v>#N/A</v>
      </c>
      <c r="AR277" s="2" t="e">
        <f t="shared" ca="1" si="140"/>
        <v>#N/A</v>
      </c>
      <c r="AS277" s="2" t="e">
        <f t="shared" ca="1" si="141"/>
        <v>#N/A</v>
      </c>
      <c r="AT277" s="9" t="e">
        <f t="shared" ca="1" si="142"/>
        <v>#N/A</v>
      </c>
      <c r="AU277" s="9" t="e">
        <f t="shared" ca="1" si="143"/>
        <v>#N/A</v>
      </c>
      <c r="AW277" s="2" t="e">
        <f t="shared" ca="1" si="128"/>
        <v>#N/A</v>
      </c>
      <c r="AX277" s="2" t="e">
        <f t="shared" ca="1" si="129"/>
        <v>#N/A</v>
      </c>
      <c r="AY277" s="2" t="e">
        <f t="shared" ca="1" si="130"/>
        <v>#N/A</v>
      </c>
      <c r="AZ277" s="2" t="e">
        <f t="shared" ca="1" si="131"/>
        <v>#N/A</v>
      </c>
      <c r="BA277" s="2" t="e">
        <f t="shared" ca="1" si="132"/>
        <v>#N/A</v>
      </c>
      <c r="BB277" s="2" t="e">
        <f t="shared" ca="1" si="133"/>
        <v>#N/A</v>
      </c>
      <c r="BC277" s="9" t="e">
        <f t="shared" ca="1" si="134"/>
        <v>#N/A</v>
      </c>
      <c r="BD277" s="9" t="e">
        <f t="shared" ca="1" si="135"/>
        <v>#N/A</v>
      </c>
    </row>
    <row r="278" spans="1:56" ht="15" x14ac:dyDescent="0.25">
      <c r="A278" s="90"/>
      <c r="B278" s="90"/>
      <c r="C278" s="91"/>
      <c r="D278" s="91"/>
      <c r="E278" s="91"/>
      <c r="F278" s="91"/>
      <c r="G278" s="91"/>
      <c r="H278" s="91"/>
      <c r="I278" s="91"/>
      <c r="J278" s="64"/>
      <c r="K278" s="64"/>
      <c r="L278" s="64"/>
      <c r="M278" s="64"/>
      <c r="O278" s="11">
        <f t="shared" ca="1" si="158"/>
        <v>-3.9378682616450625E-4</v>
      </c>
      <c r="P278" s="11">
        <f t="shared" ca="1" si="159"/>
        <v>-1.6358405771021967E-4</v>
      </c>
      <c r="Q278" s="11">
        <f t="shared" ca="1" si="160"/>
        <v>-1.614029402377854E-3</v>
      </c>
      <c r="R278" s="11">
        <f t="shared" ca="1" si="161"/>
        <v>-1.4853760121635622E-5</v>
      </c>
      <c r="S278" s="11">
        <f t="shared" ca="1" si="162"/>
        <v>-1.1458026838550334E-3</v>
      </c>
      <c r="T278" s="11">
        <f t="shared" ca="1" si="163"/>
        <v>-4.9053934342410677E-4</v>
      </c>
      <c r="U278" s="11">
        <f t="shared" ca="1" si="164"/>
        <v>-5.5074395654535931E-3</v>
      </c>
      <c r="V278" s="11"/>
      <c r="W278" s="11">
        <f t="shared" ca="1" si="144"/>
        <v>0</v>
      </c>
      <c r="X278" s="2">
        <f t="shared" ca="1" si="145"/>
        <v>-1.6358405771021967E-4</v>
      </c>
      <c r="Y278" s="2">
        <f t="shared" ca="1" si="146"/>
        <v>-1.614029402377854E-3</v>
      </c>
      <c r="Z278" s="11">
        <f t="shared" ca="1" si="147"/>
        <v>-1.4853760121635622E-5</v>
      </c>
      <c r="AA278" s="2">
        <f t="shared" ca="1" si="148"/>
        <v>-1.1458026838550334E-3</v>
      </c>
      <c r="AB278" s="11">
        <f t="shared" ca="1" si="149"/>
        <v>-4.9053934342410677E-4</v>
      </c>
      <c r="AC278" s="2">
        <f t="shared" ca="1" si="150"/>
        <v>-5.5074395654535931E-3</v>
      </c>
      <c r="AF278" s="11">
        <f t="shared" ca="1" si="151"/>
        <v>0</v>
      </c>
      <c r="AG278" s="2">
        <f t="shared" ca="1" si="152"/>
        <v>-1.6358405771021967E-4</v>
      </c>
      <c r="AH278" s="2">
        <f t="shared" ca="1" si="153"/>
        <v>-1.614029402377854E-3</v>
      </c>
      <c r="AI278" s="2">
        <f t="shared" ca="1" si="154"/>
        <v>-1.4853760121635622E-5</v>
      </c>
      <c r="AJ278" s="2">
        <f t="shared" ca="1" si="155"/>
        <v>-1.1458026838550334E-3</v>
      </c>
      <c r="AK278" s="2">
        <f t="shared" ca="1" si="156"/>
        <v>-4.9053934342410677E-4</v>
      </c>
      <c r="AL278" s="2">
        <f t="shared" ca="1" si="157"/>
        <v>-5.5074395654535931E-3</v>
      </c>
      <c r="AN278" s="2" t="e">
        <f t="shared" ca="1" si="136"/>
        <v>#N/A</v>
      </c>
      <c r="AO278" s="2" t="e">
        <f t="shared" ca="1" si="137"/>
        <v>#N/A</v>
      </c>
      <c r="AP278" s="2" t="e">
        <f t="shared" ca="1" si="138"/>
        <v>#N/A</v>
      </c>
      <c r="AQ278" s="2" t="e">
        <f t="shared" ca="1" si="139"/>
        <v>#N/A</v>
      </c>
      <c r="AR278" s="2" t="e">
        <f t="shared" ca="1" si="140"/>
        <v>#N/A</v>
      </c>
      <c r="AS278" s="2" t="e">
        <f t="shared" ca="1" si="141"/>
        <v>#N/A</v>
      </c>
      <c r="AT278" s="9" t="e">
        <f t="shared" ca="1" si="142"/>
        <v>#N/A</v>
      </c>
      <c r="AU278" s="9" t="e">
        <f t="shared" ca="1" si="143"/>
        <v>#N/A</v>
      </c>
      <c r="AW278" s="2" t="e">
        <f t="shared" ca="1" si="128"/>
        <v>#N/A</v>
      </c>
      <c r="AX278" s="2" t="e">
        <f t="shared" ca="1" si="129"/>
        <v>#N/A</v>
      </c>
      <c r="AY278" s="2" t="e">
        <f t="shared" ca="1" si="130"/>
        <v>#N/A</v>
      </c>
      <c r="AZ278" s="2" t="e">
        <f t="shared" ca="1" si="131"/>
        <v>#N/A</v>
      </c>
      <c r="BA278" s="2" t="e">
        <f t="shared" ca="1" si="132"/>
        <v>#N/A</v>
      </c>
      <c r="BB278" s="2" t="e">
        <f t="shared" ca="1" si="133"/>
        <v>#N/A</v>
      </c>
      <c r="BC278" s="9" t="e">
        <f t="shared" ca="1" si="134"/>
        <v>#N/A</v>
      </c>
      <c r="BD278" s="9" t="e">
        <f t="shared" ca="1" si="135"/>
        <v>#N/A</v>
      </c>
    </row>
    <row r="279" spans="1:56" ht="15" x14ac:dyDescent="0.25">
      <c r="A279" s="90"/>
      <c r="B279" s="90"/>
      <c r="C279" s="91"/>
      <c r="D279" s="91"/>
      <c r="E279" s="91"/>
      <c r="F279" s="91"/>
      <c r="G279" s="91"/>
      <c r="H279" s="91"/>
      <c r="I279" s="91"/>
      <c r="J279" s="64"/>
      <c r="K279" s="64"/>
      <c r="L279" s="64"/>
      <c r="M279" s="64"/>
      <c r="O279" s="11">
        <f t="shared" ca="1" si="158"/>
        <v>-3.9378682616450625E-4</v>
      </c>
      <c r="P279" s="11">
        <f t="shared" ca="1" si="159"/>
        <v>-1.6358405771021967E-4</v>
      </c>
      <c r="Q279" s="11">
        <f t="shared" ca="1" si="160"/>
        <v>-1.614029402377854E-3</v>
      </c>
      <c r="R279" s="11">
        <f t="shared" ca="1" si="161"/>
        <v>-1.4853760121635622E-5</v>
      </c>
      <c r="S279" s="11">
        <f t="shared" ca="1" si="162"/>
        <v>-1.1458026838550334E-3</v>
      </c>
      <c r="T279" s="11">
        <f t="shared" ca="1" si="163"/>
        <v>-4.9053934342410677E-4</v>
      </c>
      <c r="U279" s="11">
        <f t="shared" ca="1" si="164"/>
        <v>-5.5074395654535931E-3</v>
      </c>
      <c r="V279" s="11"/>
      <c r="W279" s="11">
        <f t="shared" ca="1" si="144"/>
        <v>0</v>
      </c>
      <c r="X279" s="2">
        <f t="shared" ca="1" si="145"/>
        <v>-1.6358405771021967E-4</v>
      </c>
      <c r="Y279" s="2">
        <f t="shared" ca="1" si="146"/>
        <v>-1.614029402377854E-3</v>
      </c>
      <c r="Z279" s="11">
        <f t="shared" ca="1" si="147"/>
        <v>-1.4853760121635622E-5</v>
      </c>
      <c r="AA279" s="2">
        <f t="shared" ca="1" si="148"/>
        <v>-1.1458026838550334E-3</v>
      </c>
      <c r="AB279" s="11">
        <f t="shared" ca="1" si="149"/>
        <v>-4.9053934342410677E-4</v>
      </c>
      <c r="AC279" s="2">
        <f t="shared" ca="1" si="150"/>
        <v>-5.5074395654535931E-3</v>
      </c>
      <c r="AF279" s="11">
        <f t="shared" ca="1" si="151"/>
        <v>0</v>
      </c>
      <c r="AG279" s="2">
        <f t="shared" ca="1" si="152"/>
        <v>-1.6358405771021967E-4</v>
      </c>
      <c r="AH279" s="2">
        <f t="shared" ca="1" si="153"/>
        <v>-1.614029402377854E-3</v>
      </c>
      <c r="AI279" s="2">
        <f t="shared" ca="1" si="154"/>
        <v>-1.4853760121635622E-5</v>
      </c>
      <c r="AJ279" s="2">
        <f t="shared" ca="1" si="155"/>
        <v>-1.1458026838550334E-3</v>
      </c>
      <c r="AK279" s="2">
        <f t="shared" ca="1" si="156"/>
        <v>-4.9053934342410677E-4</v>
      </c>
      <c r="AL279" s="2">
        <f t="shared" ca="1" si="157"/>
        <v>-5.5074395654535931E-3</v>
      </c>
      <c r="AN279" s="2" t="e">
        <f t="shared" ca="1" si="136"/>
        <v>#N/A</v>
      </c>
      <c r="AO279" s="2" t="e">
        <f t="shared" ca="1" si="137"/>
        <v>#N/A</v>
      </c>
      <c r="AP279" s="2" t="e">
        <f t="shared" ca="1" si="138"/>
        <v>#N/A</v>
      </c>
      <c r="AQ279" s="2" t="e">
        <f t="shared" ca="1" si="139"/>
        <v>#N/A</v>
      </c>
      <c r="AR279" s="2" t="e">
        <f t="shared" ca="1" si="140"/>
        <v>#N/A</v>
      </c>
      <c r="AS279" s="2" t="e">
        <f t="shared" ca="1" si="141"/>
        <v>#N/A</v>
      </c>
      <c r="AT279" s="9" t="e">
        <f t="shared" ca="1" si="142"/>
        <v>#N/A</v>
      </c>
      <c r="AU279" s="9" t="e">
        <f t="shared" ca="1" si="143"/>
        <v>#N/A</v>
      </c>
      <c r="AW279" s="2" t="e">
        <f t="shared" ref="AW279:AW342" ca="1" si="165">IF(AND(AL279&gt;0, AJ279&gt;0), AL279/AJ279, #N/A)</f>
        <v>#N/A</v>
      </c>
      <c r="AX279" s="2" t="e">
        <f t="shared" ref="AX279:AX342" ca="1" si="166">$B$8*((AW279/$B$10)^$B$11)</f>
        <v>#N/A</v>
      </c>
      <c r="AY279" s="2" t="e">
        <f t="shared" ref="AY279:AY342" ca="1" si="167">AX279*AI279</f>
        <v>#N/A</v>
      </c>
      <c r="AZ279" s="2" t="e">
        <f t="shared" ref="AZ279:AZ342" ca="1" si="168">AK279-AY279</f>
        <v>#N/A</v>
      </c>
      <c r="BA279" s="2" t="e">
        <f t="shared" ref="BA279:BA342" ca="1" si="169">(AZ279/AJ279)/((AW279/$B$10)^$B$12)</f>
        <v>#N/A</v>
      </c>
      <c r="BB279" s="2" t="e">
        <f t="shared" ref="BB279:BB342" ca="1" si="170">(AH279/AJ279)/((AW279/$B$10)^$B$13)</f>
        <v>#N/A</v>
      </c>
      <c r="BC279" s="9" t="e">
        <f t="shared" ref="BC279:BC342" ca="1" si="171">IF(AND(BA279&lt;$P$3,BA279&gt;$P$4),BA279,"rejected")</f>
        <v>#N/A</v>
      </c>
      <c r="BD279" s="9" t="e">
        <f t="shared" ref="BD279:BD342" ca="1" si="172">IF(AND(BA279&lt;$P$3,BA279&gt;$P$4),BA279,#N/A)</f>
        <v>#N/A</v>
      </c>
    </row>
    <row r="280" spans="1:56" ht="15" x14ac:dyDescent="0.25">
      <c r="A280" s="90"/>
      <c r="B280" s="90"/>
      <c r="C280" s="91"/>
      <c r="D280" s="91"/>
      <c r="E280" s="91"/>
      <c r="F280" s="91"/>
      <c r="G280" s="91"/>
      <c r="H280" s="91"/>
      <c r="I280" s="91"/>
      <c r="J280" s="64"/>
      <c r="K280" s="64"/>
      <c r="L280" s="64"/>
      <c r="M280" s="64"/>
      <c r="O280" s="11">
        <f t="shared" ca="1" si="158"/>
        <v>-3.9378682616450625E-4</v>
      </c>
      <c r="P280" s="11">
        <f t="shared" ca="1" si="159"/>
        <v>-1.6358405771021967E-4</v>
      </c>
      <c r="Q280" s="11">
        <f t="shared" ca="1" si="160"/>
        <v>-1.614029402377854E-3</v>
      </c>
      <c r="R280" s="11">
        <f t="shared" ca="1" si="161"/>
        <v>-1.4853760121635622E-5</v>
      </c>
      <c r="S280" s="11">
        <f t="shared" ca="1" si="162"/>
        <v>-1.1458026838550334E-3</v>
      </c>
      <c r="T280" s="11">
        <f t="shared" ca="1" si="163"/>
        <v>-4.9053934342410677E-4</v>
      </c>
      <c r="U280" s="11">
        <f t="shared" ca="1" si="164"/>
        <v>-5.5074395654535931E-3</v>
      </c>
      <c r="V280" s="11"/>
      <c r="W280" s="11">
        <f t="shared" ca="1" si="144"/>
        <v>0</v>
      </c>
      <c r="X280" s="2">
        <f t="shared" ca="1" si="145"/>
        <v>-1.6358405771021967E-4</v>
      </c>
      <c r="Y280" s="2">
        <f t="shared" ca="1" si="146"/>
        <v>-1.614029402377854E-3</v>
      </c>
      <c r="Z280" s="11">
        <f t="shared" ca="1" si="147"/>
        <v>-1.4853760121635622E-5</v>
      </c>
      <c r="AA280" s="2">
        <f t="shared" ca="1" si="148"/>
        <v>-1.1458026838550334E-3</v>
      </c>
      <c r="AB280" s="11">
        <f t="shared" ca="1" si="149"/>
        <v>-4.9053934342410677E-4</v>
      </c>
      <c r="AC280" s="2">
        <f t="shared" ca="1" si="150"/>
        <v>-5.5074395654535931E-3</v>
      </c>
      <c r="AF280" s="11">
        <f t="shared" ca="1" si="151"/>
        <v>0</v>
      </c>
      <c r="AG280" s="2">
        <f t="shared" ca="1" si="152"/>
        <v>-1.6358405771021967E-4</v>
      </c>
      <c r="AH280" s="2">
        <f t="shared" ca="1" si="153"/>
        <v>-1.614029402377854E-3</v>
      </c>
      <c r="AI280" s="2">
        <f t="shared" ca="1" si="154"/>
        <v>-1.4853760121635622E-5</v>
      </c>
      <c r="AJ280" s="2">
        <f t="shared" ca="1" si="155"/>
        <v>-1.1458026838550334E-3</v>
      </c>
      <c r="AK280" s="2">
        <f t="shared" ca="1" si="156"/>
        <v>-4.9053934342410677E-4</v>
      </c>
      <c r="AL280" s="2">
        <f t="shared" ca="1" si="157"/>
        <v>-5.5074395654535931E-3</v>
      </c>
      <c r="AN280" s="2" t="e">
        <f t="shared" ca="1" si="136"/>
        <v>#N/A</v>
      </c>
      <c r="AO280" s="2" t="e">
        <f t="shared" ca="1" si="137"/>
        <v>#N/A</v>
      </c>
      <c r="AP280" s="2" t="e">
        <f t="shared" ca="1" si="138"/>
        <v>#N/A</v>
      </c>
      <c r="AQ280" s="2" t="e">
        <f t="shared" ca="1" si="139"/>
        <v>#N/A</v>
      </c>
      <c r="AR280" s="2" t="e">
        <f t="shared" ca="1" si="140"/>
        <v>#N/A</v>
      </c>
      <c r="AS280" s="2" t="e">
        <f t="shared" ca="1" si="141"/>
        <v>#N/A</v>
      </c>
      <c r="AT280" s="9" t="e">
        <f t="shared" ca="1" si="142"/>
        <v>#N/A</v>
      </c>
      <c r="AU280" s="9" t="e">
        <f t="shared" ca="1" si="143"/>
        <v>#N/A</v>
      </c>
      <c r="AW280" s="2" t="e">
        <f t="shared" ca="1" si="165"/>
        <v>#N/A</v>
      </c>
      <c r="AX280" s="2" t="e">
        <f t="shared" ca="1" si="166"/>
        <v>#N/A</v>
      </c>
      <c r="AY280" s="2" t="e">
        <f t="shared" ca="1" si="167"/>
        <v>#N/A</v>
      </c>
      <c r="AZ280" s="2" t="e">
        <f t="shared" ca="1" si="168"/>
        <v>#N/A</v>
      </c>
      <c r="BA280" s="2" t="e">
        <f t="shared" ca="1" si="169"/>
        <v>#N/A</v>
      </c>
      <c r="BB280" s="2" t="e">
        <f t="shared" ca="1" si="170"/>
        <v>#N/A</v>
      </c>
      <c r="BC280" s="9" t="e">
        <f t="shared" ca="1" si="171"/>
        <v>#N/A</v>
      </c>
      <c r="BD280" s="9" t="e">
        <f t="shared" ca="1" si="172"/>
        <v>#N/A</v>
      </c>
    </row>
    <row r="281" spans="1:56" ht="15" x14ac:dyDescent="0.25">
      <c r="A281" s="90"/>
      <c r="B281" s="90"/>
      <c r="C281" s="91"/>
      <c r="D281" s="91"/>
      <c r="E281" s="91"/>
      <c r="F281" s="91"/>
      <c r="G281" s="91"/>
      <c r="H281" s="91"/>
      <c r="I281" s="91"/>
      <c r="J281" s="64"/>
      <c r="K281" s="64"/>
      <c r="L281" s="64"/>
      <c r="M281" s="64"/>
      <c r="O281" s="11">
        <f t="shared" ca="1" si="158"/>
        <v>-3.9378682616450625E-4</v>
      </c>
      <c r="P281" s="11">
        <f t="shared" ca="1" si="159"/>
        <v>-1.6358405771021967E-4</v>
      </c>
      <c r="Q281" s="11">
        <f t="shared" ca="1" si="160"/>
        <v>-1.614029402377854E-3</v>
      </c>
      <c r="R281" s="11">
        <f t="shared" ca="1" si="161"/>
        <v>-1.4853760121635622E-5</v>
      </c>
      <c r="S281" s="11">
        <f t="shared" ca="1" si="162"/>
        <v>-1.1458026838550334E-3</v>
      </c>
      <c r="T281" s="11">
        <f t="shared" ca="1" si="163"/>
        <v>-4.9053934342410677E-4</v>
      </c>
      <c r="U281" s="11">
        <f t="shared" ca="1" si="164"/>
        <v>-5.5074395654535931E-3</v>
      </c>
      <c r="V281" s="11"/>
      <c r="W281" s="11">
        <f t="shared" ca="1" si="144"/>
        <v>0</v>
      </c>
      <c r="X281" s="2">
        <f t="shared" ca="1" si="145"/>
        <v>-1.6358405771021967E-4</v>
      </c>
      <c r="Y281" s="2">
        <f t="shared" ca="1" si="146"/>
        <v>-1.614029402377854E-3</v>
      </c>
      <c r="Z281" s="11">
        <f t="shared" ca="1" si="147"/>
        <v>-1.4853760121635622E-5</v>
      </c>
      <c r="AA281" s="2">
        <f t="shared" ca="1" si="148"/>
        <v>-1.1458026838550334E-3</v>
      </c>
      <c r="AB281" s="11">
        <f t="shared" ca="1" si="149"/>
        <v>-4.9053934342410677E-4</v>
      </c>
      <c r="AC281" s="2">
        <f t="shared" ca="1" si="150"/>
        <v>-5.5074395654535931E-3</v>
      </c>
      <c r="AF281" s="11">
        <f t="shared" ca="1" si="151"/>
        <v>0</v>
      </c>
      <c r="AG281" s="2">
        <f t="shared" ca="1" si="152"/>
        <v>-1.6358405771021967E-4</v>
      </c>
      <c r="AH281" s="2">
        <f t="shared" ca="1" si="153"/>
        <v>-1.614029402377854E-3</v>
      </c>
      <c r="AI281" s="2">
        <f t="shared" ca="1" si="154"/>
        <v>-1.4853760121635622E-5</v>
      </c>
      <c r="AJ281" s="2">
        <f t="shared" ca="1" si="155"/>
        <v>-1.1458026838550334E-3</v>
      </c>
      <c r="AK281" s="2">
        <f t="shared" ca="1" si="156"/>
        <v>-4.9053934342410677E-4</v>
      </c>
      <c r="AL281" s="2">
        <f t="shared" ca="1" si="157"/>
        <v>-5.5074395654535931E-3</v>
      </c>
      <c r="AN281" s="2" t="e">
        <f t="shared" ca="1" si="136"/>
        <v>#N/A</v>
      </c>
      <c r="AO281" s="2" t="e">
        <f t="shared" ca="1" si="137"/>
        <v>#N/A</v>
      </c>
      <c r="AP281" s="2" t="e">
        <f t="shared" ca="1" si="138"/>
        <v>#N/A</v>
      </c>
      <c r="AQ281" s="2" t="e">
        <f t="shared" ca="1" si="139"/>
        <v>#N/A</v>
      </c>
      <c r="AR281" s="2" t="e">
        <f t="shared" ca="1" si="140"/>
        <v>#N/A</v>
      </c>
      <c r="AS281" s="2" t="e">
        <f t="shared" ca="1" si="141"/>
        <v>#N/A</v>
      </c>
      <c r="AT281" s="9" t="e">
        <f t="shared" ca="1" si="142"/>
        <v>#N/A</v>
      </c>
      <c r="AU281" s="9" t="e">
        <f t="shared" ca="1" si="143"/>
        <v>#N/A</v>
      </c>
      <c r="AW281" s="2" t="e">
        <f t="shared" ca="1" si="165"/>
        <v>#N/A</v>
      </c>
      <c r="AX281" s="2" t="e">
        <f t="shared" ca="1" si="166"/>
        <v>#N/A</v>
      </c>
      <c r="AY281" s="2" t="e">
        <f t="shared" ca="1" si="167"/>
        <v>#N/A</v>
      </c>
      <c r="AZ281" s="2" t="e">
        <f t="shared" ca="1" si="168"/>
        <v>#N/A</v>
      </c>
      <c r="BA281" s="2" t="e">
        <f t="shared" ca="1" si="169"/>
        <v>#N/A</v>
      </c>
      <c r="BB281" s="2" t="e">
        <f t="shared" ca="1" si="170"/>
        <v>#N/A</v>
      </c>
      <c r="BC281" s="9" t="e">
        <f t="shared" ca="1" si="171"/>
        <v>#N/A</v>
      </c>
      <c r="BD281" s="9" t="e">
        <f t="shared" ca="1" si="172"/>
        <v>#N/A</v>
      </c>
    </row>
    <row r="282" spans="1:56" ht="15" x14ac:dyDescent="0.25">
      <c r="A282" s="90"/>
      <c r="B282" s="90"/>
      <c r="C282" s="91"/>
      <c r="D282" s="91"/>
      <c r="E282" s="91"/>
      <c r="F282" s="91"/>
      <c r="G282" s="91"/>
      <c r="H282" s="91"/>
      <c r="I282" s="91"/>
      <c r="J282" s="64"/>
      <c r="K282" s="64"/>
      <c r="L282" s="64"/>
      <c r="M282" s="64"/>
      <c r="O282" s="11">
        <f t="shared" ca="1" si="158"/>
        <v>-3.9378682616450625E-4</v>
      </c>
      <c r="P282" s="11">
        <f t="shared" ca="1" si="159"/>
        <v>-1.6358405771021967E-4</v>
      </c>
      <c r="Q282" s="11">
        <f t="shared" ca="1" si="160"/>
        <v>-1.614029402377854E-3</v>
      </c>
      <c r="R282" s="11">
        <f t="shared" ca="1" si="161"/>
        <v>-1.4853760121635622E-5</v>
      </c>
      <c r="S282" s="11">
        <f t="shared" ca="1" si="162"/>
        <v>-1.1458026838550334E-3</v>
      </c>
      <c r="T282" s="11">
        <f t="shared" ca="1" si="163"/>
        <v>-4.9053934342410677E-4</v>
      </c>
      <c r="U282" s="11">
        <f t="shared" ca="1" si="164"/>
        <v>-5.5074395654535931E-3</v>
      </c>
      <c r="V282" s="11"/>
      <c r="W282" s="11">
        <f t="shared" ca="1" si="144"/>
        <v>0</v>
      </c>
      <c r="X282" s="2">
        <f t="shared" ca="1" si="145"/>
        <v>-1.6358405771021967E-4</v>
      </c>
      <c r="Y282" s="2">
        <f t="shared" ca="1" si="146"/>
        <v>-1.614029402377854E-3</v>
      </c>
      <c r="Z282" s="11">
        <f t="shared" ca="1" si="147"/>
        <v>-1.4853760121635622E-5</v>
      </c>
      <c r="AA282" s="2">
        <f t="shared" ca="1" si="148"/>
        <v>-1.1458026838550334E-3</v>
      </c>
      <c r="AB282" s="11">
        <f t="shared" ca="1" si="149"/>
        <v>-4.9053934342410677E-4</v>
      </c>
      <c r="AC282" s="2">
        <f t="shared" ca="1" si="150"/>
        <v>-5.5074395654535931E-3</v>
      </c>
      <c r="AF282" s="11">
        <f t="shared" ca="1" si="151"/>
        <v>0</v>
      </c>
      <c r="AG282" s="2">
        <f t="shared" ca="1" si="152"/>
        <v>-1.6358405771021967E-4</v>
      </c>
      <c r="AH282" s="2">
        <f t="shared" ca="1" si="153"/>
        <v>-1.614029402377854E-3</v>
      </c>
      <c r="AI282" s="2">
        <f t="shared" ca="1" si="154"/>
        <v>-1.4853760121635622E-5</v>
      </c>
      <c r="AJ282" s="2">
        <f t="shared" ca="1" si="155"/>
        <v>-1.1458026838550334E-3</v>
      </c>
      <c r="AK282" s="2">
        <f t="shared" ca="1" si="156"/>
        <v>-4.9053934342410677E-4</v>
      </c>
      <c r="AL282" s="2">
        <f t="shared" ca="1" si="157"/>
        <v>-5.5074395654535931E-3</v>
      </c>
      <c r="AN282" s="2" t="e">
        <f t="shared" ca="1" si="136"/>
        <v>#N/A</v>
      </c>
      <c r="AO282" s="2" t="e">
        <f t="shared" ca="1" si="137"/>
        <v>#N/A</v>
      </c>
      <c r="AP282" s="2" t="e">
        <f t="shared" ca="1" si="138"/>
        <v>#N/A</v>
      </c>
      <c r="AQ282" s="2" t="e">
        <f t="shared" ca="1" si="139"/>
        <v>#N/A</v>
      </c>
      <c r="AR282" s="2" t="e">
        <f t="shared" ca="1" si="140"/>
        <v>#N/A</v>
      </c>
      <c r="AS282" s="2" t="e">
        <f t="shared" ca="1" si="141"/>
        <v>#N/A</v>
      </c>
      <c r="AT282" s="9" t="e">
        <f t="shared" ca="1" si="142"/>
        <v>#N/A</v>
      </c>
      <c r="AU282" s="9" t="e">
        <f t="shared" ca="1" si="143"/>
        <v>#N/A</v>
      </c>
      <c r="AW282" s="2" t="e">
        <f t="shared" ca="1" si="165"/>
        <v>#N/A</v>
      </c>
      <c r="AX282" s="2" t="e">
        <f t="shared" ca="1" si="166"/>
        <v>#N/A</v>
      </c>
      <c r="AY282" s="2" t="e">
        <f t="shared" ca="1" si="167"/>
        <v>#N/A</v>
      </c>
      <c r="AZ282" s="2" t="e">
        <f t="shared" ca="1" si="168"/>
        <v>#N/A</v>
      </c>
      <c r="BA282" s="2" t="e">
        <f t="shared" ca="1" si="169"/>
        <v>#N/A</v>
      </c>
      <c r="BB282" s="2" t="e">
        <f t="shared" ca="1" si="170"/>
        <v>#N/A</v>
      </c>
      <c r="BC282" s="9" t="e">
        <f t="shared" ca="1" si="171"/>
        <v>#N/A</v>
      </c>
      <c r="BD282" s="9" t="e">
        <f t="shared" ca="1" si="172"/>
        <v>#N/A</v>
      </c>
    </row>
    <row r="283" spans="1:56" ht="15" x14ac:dyDescent="0.25">
      <c r="A283" s="90"/>
      <c r="B283" s="90"/>
      <c r="C283" s="91"/>
      <c r="D283" s="91"/>
      <c r="E283" s="91"/>
      <c r="F283" s="91"/>
      <c r="G283" s="91"/>
      <c r="H283" s="91"/>
      <c r="I283" s="91"/>
      <c r="J283" s="64"/>
      <c r="K283" s="64"/>
      <c r="L283" s="64"/>
      <c r="M283" s="64"/>
      <c r="O283" s="11">
        <f t="shared" ca="1" si="158"/>
        <v>-3.9378682616450625E-4</v>
      </c>
      <c r="P283" s="11">
        <f t="shared" ca="1" si="159"/>
        <v>-1.6358405771021967E-4</v>
      </c>
      <c r="Q283" s="11">
        <f t="shared" ca="1" si="160"/>
        <v>-1.614029402377854E-3</v>
      </c>
      <c r="R283" s="11">
        <f t="shared" ca="1" si="161"/>
        <v>-1.4853760121635622E-5</v>
      </c>
      <c r="S283" s="11">
        <f t="shared" ca="1" si="162"/>
        <v>-1.1458026838550334E-3</v>
      </c>
      <c r="T283" s="11">
        <f t="shared" ca="1" si="163"/>
        <v>-4.9053934342410677E-4</v>
      </c>
      <c r="U283" s="11">
        <f t="shared" ca="1" si="164"/>
        <v>-5.5074395654535931E-3</v>
      </c>
      <c r="V283" s="11"/>
      <c r="W283" s="11">
        <f t="shared" ca="1" si="144"/>
        <v>0</v>
      </c>
      <c r="X283" s="2">
        <f t="shared" ca="1" si="145"/>
        <v>-1.6358405771021967E-4</v>
      </c>
      <c r="Y283" s="2">
        <f t="shared" ca="1" si="146"/>
        <v>-1.614029402377854E-3</v>
      </c>
      <c r="Z283" s="11">
        <f t="shared" ca="1" si="147"/>
        <v>-1.4853760121635622E-5</v>
      </c>
      <c r="AA283" s="2">
        <f t="shared" ca="1" si="148"/>
        <v>-1.1458026838550334E-3</v>
      </c>
      <c r="AB283" s="11">
        <f t="shared" ca="1" si="149"/>
        <v>-4.9053934342410677E-4</v>
      </c>
      <c r="AC283" s="2">
        <f t="shared" ca="1" si="150"/>
        <v>-5.5074395654535931E-3</v>
      </c>
      <c r="AF283" s="11">
        <f t="shared" ca="1" si="151"/>
        <v>0</v>
      </c>
      <c r="AG283" s="2">
        <f t="shared" ca="1" si="152"/>
        <v>-1.6358405771021967E-4</v>
      </c>
      <c r="AH283" s="2">
        <f t="shared" ca="1" si="153"/>
        <v>-1.614029402377854E-3</v>
      </c>
      <c r="AI283" s="2">
        <f t="shared" ca="1" si="154"/>
        <v>-1.4853760121635622E-5</v>
      </c>
      <c r="AJ283" s="2">
        <f t="shared" ca="1" si="155"/>
        <v>-1.1458026838550334E-3</v>
      </c>
      <c r="AK283" s="2">
        <f t="shared" ca="1" si="156"/>
        <v>-4.9053934342410677E-4</v>
      </c>
      <c r="AL283" s="2">
        <f t="shared" ca="1" si="157"/>
        <v>-5.5074395654535931E-3</v>
      </c>
      <c r="AN283" s="2" t="e">
        <f t="shared" ca="1" si="136"/>
        <v>#N/A</v>
      </c>
      <c r="AO283" s="2" t="e">
        <f t="shared" ca="1" si="137"/>
        <v>#N/A</v>
      </c>
      <c r="AP283" s="2" t="e">
        <f t="shared" ca="1" si="138"/>
        <v>#N/A</v>
      </c>
      <c r="AQ283" s="2" t="e">
        <f t="shared" ca="1" si="139"/>
        <v>#N/A</v>
      </c>
      <c r="AR283" s="2" t="e">
        <f t="shared" ca="1" si="140"/>
        <v>#N/A</v>
      </c>
      <c r="AS283" s="2" t="e">
        <f t="shared" ca="1" si="141"/>
        <v>#N/A</v>
      </c>
      <c r="AT283" s="9" t="e">
        <f t="shared" ca="1" si="142"/>
        <v>#N/A</v>
      </c>
      <c r="AU283" s="9" t="e">
        <f t="shared" ca="1" si="143"/>
        <v>#N/A</v>
      </c>
      <c r="AW283" s="2" t="e">
        <f t="shared" ca="1" si="165"/>
        <v>#N/A</v>
      </c>
      <c r="AX283" s="2" t="e">
        <f t="shared" ca="1" si="166"/>
        <v>#N/A</v>
      </c>
      <c r="AY283" s="2" t="e">
        <f t="shared" ca="1" si="167"/>
        <v>#N/A</v>
      </c>
      <c r="AZ283" s="2" t="e">
        <f t="shared" ca="1" si="168"/>
        <v>#N/A</v>
      </c>
      <c r="BA283" s="2" t="e">
        <f t="shared" ca="1" si="169"/>
        <v>#N/A</v>
      </c>
      <c r="BB283" s="2" t="e">
        <f t="shared" ca="1" si="170"/>
        <v>#N/A</v>
      </c>
      <c r="BC283" s="9" t="e">
        <f t="shared" ca="1" si="171"/>
        <v>#N/A</v>
      </c>
      <c r="BD283" s="9" t="e">
        <f t="shared" ca="1" si="172"/>
        <v>#N/A</v>
      </c>
    </row>
    <row r="284" spans="1:56" ht="15" x14ac:dyDescent="0.25">
      <c r="A284" s="90"/>
      <c r="B284" s="90"/>
      <c r="C284" s="91"/>
      <c r="D284" s="91"/>
      <c r="E284" s="91"/>
      <c r="F284" s="91"/>
      <c r="G284" s="91"/>
      <c r="H284" s="91"/>
      <c r="I284" s="91"/>
      <c r="J284" s="64"/>
      <c r="K284" s="64"/>
      <c r="L284" s="64"/>
      <c r="M284" s="64"/>
      <c r="O284" s="11">
        <f t="shared" ca="1" si="158"/>
        <v>-3.9378682616450625E-4</v>
      </c>
      <c r="P284" s="11">
        <f t="shared" ca="1" si="159"/>
        <v>-1.6358405771021967E-4</v>
      </c>
      <c r="Q284" s="11">
        <f t="shared" ca="1" si="160"/>
        <v>-1.614029402377854E-3</v>
      </c>
      <c r="R284" s="11">
        <f t="shared" ca="1" si="161"/>
        <v>-1.4853760121635622E-5</v>
      </c>
      <c r="S284" s="11">
        <f t="shared" ca="1" si="162"/>
        <v>-1.1458026838550334E-3</v>
      </c>
      <c r="T284" s="11">
        <f t="shared" ca="1" si="163"/>
        <v>-4.9053934342410677E-4</v>
      </c>
      <c r="U284" s="11">
        <f t="shared" ca="1" si="164"/>
        <v>-5.5074395654535931E-3</v>
      </c>
      <c r="V284" s="11"/>
      <c r="W284" s="11">
        <f t="shared" ca="1" si="144"/>
        <v>0</v>
      </c>
      <c r="X284" s="2">
        <f t="shared" ca="1" si="145"/>
        <v>-1.6358405771021967E-4</v>
      </c>
      <c r="Y284" s="2">
        <f t="shared" ca="1" si="146"/>
        <v>-1.614029402377854E-3</v>
      </c>
      <c r="Z284" s="11">
        <f t="shared" ca="1" si="147"/>
        <v>-1.4853760121635622E-5</v>
      </c>
      <c r="AA284" s="2">
        <f t="shared" ca="1" si="148"/>
        <v>-1.1458026838550334E-3</v>
      </c>
      <c r="AB284" s="11">
        <f t="shared" ca="1" si="149"/>
        <v>-4.9053934342410677E-4</v>
      </c>
      <c r="AC284" s="2">
        <f t="shared" ca="1" si="150"/>
        <v>-5.5074395654535931E-3</v>
      </c>
      <c r="AF284" s="11">
        <f t="shared" ca="1" si="151"/>
        <v>0</v>
      </c>
      <c r="AG284" s="2">
        <f t="shared" ca="1" si="152"/>
        <v>-1.6358405771021967E-4</v>
      </c>
      <c r="AH284" s="2">
        <f t="shared" ca="1" si="153"/>
        <v>-1.614029402377854E-3</v>
      </c>
      <c r="AI284" s="2">
        <f t="shared" ca="1" si="154"/>
        <v>-1.4853760121635622E-5</v>
      </c>
      <c r="AJ284" s="2">
        <f t="shared" ca="1" si="155"/>
        <v>-1.1458026838550334E-3</v>
      </c>
      <c r="AK284" s="2">
        <f t="shared" ca="1" si="156"/>
        <v>-4.9053934342410677E-4</v>
      </c>
      <c r="AL284" s="2">
        <f t="shared" ca="1" si="157"/>
        <v>-5.5074395654535931E-3</v>
      </c>
      <c r="AN284" s="2" t="e">
        <f t="shared" ca="1" si="136"/>
        <v>#N/A</v>
      </c>
      <c r="AO284" s="2" t="e">
        <f t="shared" ca="1" si="137"/>
        <v>#N/A</v>
      </c>
      <c r="AP284" s="2" t="e">
        <f t="shared" ca="1" si="138"/>
        <v>#N/A</v>
      </c>
      <c r="AQ284" s="2" t="e">
        <f t="shared" ca="1" si="139"/>
        <v>#N/A</v>
      </c>
      <c r="AR284" s="2" t="e">
        <f t="shared" ca="1" si="140"/>
        <v>#N/A</v>
      </c>
      <c r="AS284" s="2" t="e">
        <f t="shared" ca="1" si="141"/>
        <v>#N/A</v>
      </c>
      <c r="AT284" s="9" t="e">
        <f t="shared" ca="1" si="142"/>
        <v>#N/A</v>
      </c>
      <c r="AU284" s="9" t="e">
        <f t="shared" ca="1" si="143"/>
        <v>#N/A</v>
      </c>
      <c r="AW284" s="2" t="e">
        <f t="shared" ca="1" si="165"/>
        <v>#N/A</v>
      </c>
      <c r="AX284" s="2" t="e">
        <f t="shared" ca="1" si="166"/>
        <v>#N/A</v>
      </c>
      <c r="AY284" s="2" t="e">
        <f t="shared" ca="1" si="167"/>
        <v>#N/A</v>
      </c>
      <c r="AZ284" s="2" t="e">
        <f t="shared" ca="1" si="168"/>
        <v>#N/A</v>
      </c>
      <c r="BA284" s="2" t="e">
        <f t="shared" ca="1" si="169"/>
        <v>#N/A</v>
      </c>
      <c r="BB284" s="2" t="e">
        <f t="shared" ca="1" si="170"/>
        <v>#N/A</v>
      </c>
      <c r="BC284" s="9" t="e">
        <f t="shared" ca="1" si="171"/>
        <v>#N/A</v>
      </c>
      <c r="BD284" s="9" t="e">
        <f t="shared" ca="1" si="172"/>
        <v>#N/A</v>
      </c>
    </row>
    <row r="285" spans="1:56" ht="15" x14ac:dyDescent="0.25">
      <c r="A285" s="90"/>
      <c r="B285" s="90"/>
      <c r="C285" s="91"/>
      <c r="D285" s="91"/>
      <c r="E285" s="91"/>
      <c r="F285" s="91"/>
      <c r="G285" s="91"/>
      <c r="H285" s="91"/>
      <c r="I285" s="91"/>
      <c r="J285" s="64"/>
      <c r="K285" s="64"/>
      <c r="L285" s="64"/>
      <c r="M285" s="64"/>
      <c r="O285" s="11">
        <f t="shared" ca="1" si="158"/>
        <v>-3.9378682616450625E-4</v>
      </c>
      <c r="P285" s="11">
        <f t="shared" ca="1" si="159"/>
        <v>-1.6358405771021967E-4</v>
      </c>
      <c r="Q285" s="11">
        <f t="shared" ca="1" si="160"/>
        <v>-1.614029402377854E-3</v>
      </c>
      <c r="R285" s="11">
        <f t="shared" ca="1" si="161"/>
        <v>-1.4853760121635622E-5</v>
      </c>
      <c r="S285" s="11">
        <f t="shared" ca="1" si="162"/>
        <v>-1.1458026838550334E-3</v>
      </c>
      <c r="T285" s="11">
        <f t="shared" ca="1" si="163"/>
        <v>-4.9053934342410677E-4</v>
      </c>
      <c r="U285" s="11">
        <f t="shared" ca="1" si="164"/>
        <v>-5.5074395654535931E-3</v>
      </c>
      <c r="V285" s="11"/>
      <c r="W285" s="11">
        <f t="shared" ca="1" si="144"/>
        <v>0</v>
      </c>
      <c r="X285" s="2">
        <f t="shared" ca="1" si="145"/>
        <v>-1.6358405771021967E-4</v>
      </c>
      <c r="Y285" s="2">
        <f t="shared" ca="1" si="146"/>
        <v>-1.614029402377854E-3</v>
      </c>
      <c r="Z285" s="11">
        <f t="shared" ca="1" si="147"/>
        <v>-1.4853760121635622E-5</v>
      </c>
      <c r="AA285" s="2">
        <f t="shared" ca="1" si="148"/>
        <v>-1.1458026838550334E-3</v>
      </c>
      <c r="AB285" s="11">
        <f t="shared" ca="1" si="149"/>
        <v>-4.9053934342410677E-4</v>
      </c>
      <c r="AC285" s="2">
        <f t="shared" ca="1" si="150"/>
        <v>-5.5074395654535931E-3</v>
      </c>
      <c r="AF285" s="11">
        <f t="shared" ca="1" si="151"/>
        <v>0</v>
      </c>
      <c r="AG285" s="2">
        <f t="shared" ca="1" si="152"/>
        <v>-1.6358405771021967E-4</v>
      </c>
      <c r="AH285" s="2">
        <f t="shared" ca="1" si="153"/>
        <v>-1.614029402377854E-3</v>
      </c>
      <c r="AI285" s="2">
        <f t="shared" ca="1" si="154"/>
        <v>-1.4853760121635622E-5</v>
      </c>
      <c r="AJ285" s="2">
        <f t="shared" ca="1" si="155"/>
        <v>-1.1458026838550334E-3</v>
      </c>
      <c r="AK285" s="2">
        <f t="shared" ca="1" si="156"/>
        <v>-4.9053934342410677E-4</v>
      </c>
      <c r="AL285" s="2">
        <f t="shared" ca="1" si="157"/>
        <v>-5.5074395654535931E-3</v>
      </c>
      <c r="AN285" s="2" t="e">
        <f t="shared" ca="1" si="136"/>
        <v>#N/A</v>
      </c>
      <c r="AO285" s="2" t="e">
        <f t="shared" ca="1" si="137"/>
        <v>#N/A</v>
      </c>
      <c r="AP285" s="2" t="e">
        <f t="shared" ca="1" si="138"/>
        <v>#N/A</v>
      </c>
      <c r="AQ285" s="2" t="e">
        <f t="shared" ca="1" si="139"/>
        <v>#N/A</v>
      </c>
      <c r="AR285" s="2" t="e">
        <f t="shared" ca="1" si="140"/>
        <v>#N/A</v>
      </c>
      <c r="AS285" s="2" t="e">
        <f t="shared" ca="1" si="141"/>
        <v>#N/A</v>
      </c>
      <c r="AT285" s="9" t="e">
        <f t="shared" ca="1" si="142"/>
        <v>#N/A</v>
      </c>
      <c r="AU285" s="9" t="e">
        <f t="shared" ca="1" si="143"/>
        <v>#N/A</v>
      </c>
      <c r="AW285" s="2" t="e">
        <f t="shared" ca="1" si="165"/>
        <v>#N/A</v>
      </c>
      <c r="AX285" s="2" t="e">
        <f t="shared" ca="1" si="166"/>
        <v>#N/A</v>
      </c>
      <c r="AY285" s="2" t="e">
        <f t="shared" ca="1" si="167"/>
        <v>#N/A</v>
      </c>
      <c r="AZ285" s="2" t="e">
        <f t="shared" ca="1" si="168"/>
        <v>#N/A</v>
      </c>
      <c r="BA285" s="2" t="e">
        <f t="shared" ca="1" si="169"/>
        <v>#N/A</v>
      </c>
      <c r="BB285" s="2" t="e">
        <f t="shared" ca="1" si="170"/>
        <v>#N/A</v>
      </c>
      <c r="BC285" s="9" t="e">
        <f t="shared" ca="1" si="171"/>
        <v>#N/A</v>
      </c>
      <c r="BD285" s="9" t="e">
        <f t="shared" ca="1" si="172"/>
        <v>#N/A</v>
      </c>
    </row>
    <row r="286" spans="1:56" ht="15" x14ac:dyDescent="0.25">
      <c r="A286" s="90"/>
      <c r="B286" s="90"/>
      <c r="C286" s="91"/>
      <c r="D286" s="91"/>
      <c r="E286" s="91"/>
      <c r="F286" s="91"/>
      <c r="G286" s="91"/>
      <c r="H286" s="91"/>
      <c r="I286" s="91"/>
      <c r="J286" s="64"/>
      <c r="K286" s="64"/>
      <c r="L286" s="64"/>
      <c r="M286" s="64"/>
      <c r="O286" s="11">
        <f t="shared" ca="1" si="158"/>
        <v>-3.9378682616450625E-4</v>
      </c>
      <c r="P286" s="11">
        <f t="shared" ca="1" si="159"/>
        <v>-1.6358405771021967E-4</v>
      </c>
      <c r="Q286" s="11">
        <f t="shared" ca="1" si="160"/>
        <v>-1.614029402377854E-3</v>
      </c>
      <c r="R286" s="11">
        <f t="shared" ca="1" si="161"/>
        <v>-1.4853760121635622E-5</v>
      </c>
      <c r="S286" s="11">
        <f t="shared" ca="1" si="162"/>
        <v>-1.1458026838550334E-3</v>
      </c>
      <c r="T286" s="11">
        <f t="shared" ca="1" si="163"/>
        <v>-4.9053934342410677E-4</v>
      </c>
      <c r="U286" s="11">
        <f t="shared" ca="1" si="164"/>
        <v>-5.5074395654535931E-3</v>
      </c>
      <c r="V286" s="11"/>
      <c r="W286" s="11">
        <f t="shared" ca="1" si="144"/>
        <v>0</v>
      </c>
      <c r="X286" s="2">
        <f t="shared" ca="1" si="145"/>
        <v>-1.6358405771021967E-4</v>
      </c>
      <c r="Y286" s="2">
        <f t="shared" ca="1" si="146"/>
        <v>-1.614029402377854E-3</v>
      </c>
      <c r="Z286" s="11">
        <f t="shared" ca="1" si="147"/>
        <v>-1.4853760121635622E-5</v>
      </c>
      <c r="AA286" s="2">
        <f t="shared" ca="1" si="148"/>
        <v>-1.1458026838550334E-3</v>
      </c>
      <c r="AB286" s="11">
        <f t="shared" ca="1" si="149"/>
        <v>-4.9053934342410677E-4</v>
      </c>
      <c r="AC286" s="2">
        <f t="shared" ca="1" si="150"/>
        <v>-5.5074395654535931E-3</v>
      </c>
      <c r="AF286" s="11">
        <f t="shared" ca="1" si="151"/>
        <v>0</v>
      </c>
      <c r="AG286" s="2">
        <f t="shared" ca="1" si="152"/>
        <v>-1.6358405771021967E-4</v>
      </c>
      <c r="AH286" s="2">
        <f t="shared" ca="1" si="153"/>
        <v>-1.614029402377854E-3</v>
      </c>
      <c r="AI286" s="2">
        <f t="shared" ca="1" si="154"/>
        <v>-1.4853760121635622E-5</v>
      </c>
      <c r="AJ286" s="2">
        <f t="shared" ca="1" si="155"/>
        <v>-1.1458026838550334E-3</v>
      </c>
      <c r="AK286" s="2">
        <f t="shared" ca="1" si="156"/>
        <v>-4.9053934342410677E-4</v>
      </c>
      <c r="AL286" s="2">
        <f t="shared" ca="1" si="157"/>
        <v>-5.5074395654535931E-3</v>
      </c>
      <c r="AN286" s="2" t="e">
        <f t="shared" ca="1" si="136"/>
        <v>#N/A</v>
      </c>
      <c r="AO286" s="2" t="e">
        <f t="shared" ca="1" si="137"/>
        <v>#N/A</v>
      </c>
      <c r="AP286" s="2" t="e">
        <f t="shared" ca="1" si="138"/>
        <v>#N/A</v>
      </c>
      <c r="AQ286" s="2" t="e">
        <f t="shared" ca="1" si="139"/>
        <v>#N/A</v>
      </c>
      <c r="AR286" s="2" t="e">
        <f t="shared" ca="1" si="140"/>
        <v>#N/A</v>
      </c>
      <c r="AS286" s="2" t="e">
        <f t="shared" ca="1" si="141"/>
        <v>#N/A</v>
      </c>
      <c r="AT286" s="9" t="e">
        <f t="shared" ca="1" si="142"/>
        <v>#N/A</v>
      </c>
      <c r="AU286" s="9" t="e">
        <f t="shared" ca="1" si="143"/>
        <v>#N/A</v>
      </c>
      <c r="AW286" s="2" t="e">
        <f t="shared" ca="1" si="165"/>
        <v>#N/A</v>
      </c>
      <c r="AX286" s="2" t="e">
        <f t="shared" ca="1" si="166"/>
        <v>#N/A</v>
      </c>
      <c r="AY286" s="2" t="e">
        <f t="shared" ca="1" si="167"/>
        <v>#N/A</v>
      </c>
      <c r="AZ286" s="2" t="e">
        <f t="shared" ca="1" si="168"/>
        <v>#N/A</v>
      </c>
      <c r="BA286" s="2" t="e">
        <f t="shared" ca="1" si="169"/>
        <v>#N/A</v>
      </c>
      <c r="BB286" s="2" t="e">
        <f t="shared" ca="1" si="170"/>
        <v>#N/A</v>
      </c>
      <c r="BC286" s="9" t="e">
        <f t="shared" ca="1" si="171"/>
        <v>#N/A</v>
      </c>
      <c r="BD286" s="9" t="e">
        <f t="shared" ca="1" si="172"/>
        <v>#N/A</v>
      </c>
    </row>
    <row r="287" spans="1:56" ht="15" x14ac:dyDescent="0.25">
      <c r="A287" s="90"/>
      <c r="B287" s="90"/>
      <c r="C287" s="91"/>
      <c r="D287" s="91"/>
      <c r="E287" s="91"/>
      <c r="F287" s="91"/>
      <c r="G287" s="91"/>
      <c r="H287" s="91"/>
      <c r="I287" s="91"/>
      <c r="J287" s="64"/>
      <c r="K287" s="64"/>
      <c r="L287" s="64"/>
      <c r="M287" s="64"/>
      <c r="O287" s="11">
        <f t="shared" ca="1" si="158"/>
        <v>-3.9378682616450625E-4</v>
      </c>
      <c r="P287" s="11">
        <f t="shared" ca="1" si="159"/>
        <v>-1.6358405771021967E-4</v>
      </c>
      <c r="Q287" s="11">
        <f t="shared" ca="1" si="160"/>
        <v>-1.614029402377854E-3</v>
      </c>
      <c r="R287" s="11">
        <f t="shared" ca="1" si="161"/>
        <v>-1.4853760121635622E-5</v>
      </c>
      <c r="S287" s="11">
        <f t="shared" ca="1" si="162"/>
        <v>-1.1458026838550334E-3</v>
      </c>
      <c r="T287" s="11">
        <f t="shared" ca="1" si="163"/>
        <v>-4.9053934342410677E-4</v>
      </c>
      <c r="U287" s="11">
        <f t="shared" ca="1" si="164"/>
        <v>-5.5074395654535931E-3</v>
      </c>
      <c r="V287" s="11"/>
      <c r="W287" s="11">
        <f t="shared" ca="1" si="144"/>
        <v>0</v>
      </c>
      <c r="X287" s="2">
        <f t="shared" ca="1" si="145"/>
        <v>-1.6358405771021967E-4</v>
      </c>
      <c r="Y287" s="2">
        <f t="shared" ca="1" si="146"/>
        <v>-1.614029402377854E-3</v>
      </c>
      <c r="Z287" s="11">
        <f t="shared" ca="1" si="147"/>
        <v>-1.4853760121635622E-5</v>
      </c>
      <c r="AA287" s="2">
        <f t="shared" ca="1" si="148"/>
        <v>-1.1458026838550334E-3</v>
      </c>
      <c r="AB287" s="11">
        <f t="shared" ca="1" si="149"/>
        <v>-4.9053934342410677E-4</v>
      </c>
      <c r="AC287" s="2">
        <f t="shared" ca="1" si="150"/>
        <v>-5.5074395654535931E-3</v>
      </c>
      <c r="AF287" s="11">
        <f t="shared" ca="1" si="151"/>
        <v>0</v>
      </c>
      <c r="AG287" s="2">
        <f t="shared" ca="1" si="152"/>
        <v>-1.6358405771021967E-4</v>
      </c>
      <c r="AH287" s="2">
        <f t="shared" ca="1" si="153"/>
        <v>-1.614029402377854E-3</v>
      </c>
      <c r="AI287" s="2">
        <f t="shared" ca="1" si="154"/>
        <v>-1.4853760121635622E-5</v>
      </c>
      <c r="AJ287" s="2">
        <f t="shared" ca="1" si="155"/>
        <v>-1.1458026838550334E-3</v>
      </c>
      <c r="AK287" s="2">
        <f t="shared" ca="1" si="156"/>
        <v>-4.9053934342410677E-4</v>
      </c>
      <c r="AL287" s="2">
        <f t="shared" ca="1" si="157"/>
        <v>-5.5074395654535931E-3</v>
      </c>
      <c r="AN287" s="2" t="e">
        <f t="shared" ca="1" si="136"/>
        <v>#N/A</v>
      </c>
      <c r="AO287" s="2" t="e">
        <f t="shared" ca="1" si="137"/>
        <v>#N/A</v>
      </c>
      <c r="AP287" s="2" t="e">
        <f t="shared" ca="1" si="138"/>
        <v>#N/A</v>
      </c>
      <c r="AQ287" s="2" t="e">
        <f t="shared" ca="1" si="139"/>
        <v>#N/A</v>
      </c>
      <c r="AR287" s="2" t="e">
        <f t="shared" ca="1" si="140"/>
        <v>#N/A</v>
      </c>
      <c r="AS287" s="2" t="e">
        <f t="shared" ca="1" si="141"/>
        <v>#N/A</v>
      </c>
      <c r="AT287" s="9" t="e">
        <f t="shared" ca="1" si="142"/>
        <v>#N/A</v>
      </c>
      <c r="AU287" s="9" t="e">
        <f t="shared" ca="1" si="143"/>
        <v>#N/A</v>
      </c>
      <c r="AW287" s="2" t="e">
        <f t="shared" ca="1" si="165"/>
        <v>#N/A</v>
      </c>
      <c r="AX287" s="2" t="e">
        <f t="shared" ca="1" si="166"/>
        <v>#N/A</v>
      </c>
      <c r="AY287" s="2" t="e">
        <f t="shared" ca="1" si="167"/>
        <v>#N/A</v>
      </c>
      <c r="AZ287" s="2" t="e">
        <f t="shared" ca="1" si="168"/>
        <v>#N/A</v>
      </c>
      <c r="BA287" s="2" t="e">
        <f t="shared" ca="1" si="169"/>
        <v>#N/A</v>
      </c>
      <c r="BB287" s="2" t="e">
        <f t="shared" ca="1" si="170"/>
        <v>#N/A</v>
      </c>
      <c r="BC287" s="9" t="e">
        <f t="shared" ca="1" si="171"/>
        <v>#N/A</v>
      </c>
      <c r="BD287" s="9" t="e">
        <f t="shared" ca="1" si="172"/>
        <v>#N/A</v>
      </c>
    </row>
    <row r="288" spans="1:56" ht="15" x14ac:dyDescent="0.25">
      <c r="A288" s="90"/>
      <c r="B288" s="90"/>
      <c r="C288" s="91"/>
      <c r="D288" s="91"/>
      <c r="E288" s="91"/>
      <c r="F288" s="91"/>
      <c r="G288" s="91"/>
      <c r="H288" s="91"/>
      <c r="I288" s="91"/>
      <c r="J288" s="64"/>
      <c r="K288" s="64"/>
      <c r="L288" s="64"/>
      <c r="M288" s="64"/>
      <c r="O288" s="11">
        <f t="shared" ca="1" si="158"/>
        <v>-3.9378682616450625E-4</v>
      </c>
      <c r="P288" s="11">
        <f t="shared" ca="1" si="159"/>
        <v>-1.6358405771021967E-4</v>
      </c>
      <c r="Q288" s="11">
        <f t="shared" ca="1" si="160"/>
        <v>-1.614029402377854E-3</v>
      </c>
      <c r="R288" s="11">
        <f t="shared" ca="1" si="161"/>
        <v>-1.4853760121635622E-5</v>
      </c>
      <c r="S288" s="11">
        <f t="shared" ca="1" si="162"/>
        <v>-1.1458026838550334E-3</v>
      </c>
      <c r="T288" s="11">
        <f t="shared" ca="1" si="163"/>
        <v>-4.9053934342410677E-4</v>
      </c>
      <c r="U288" s="11">
        <f t="shared" ca="1" si="164"/>
        <v>-5.5074395654535931E-3</v>
      </c>
      <c r="V288" s="11"/>
      <c r="W288" s="11">
        <f t="shared" ca="1" si="144"/>
        <v>0</v>
      </c>
      <c r="X288" s="2">
        <f t="shared" ca="1" si="145"/>
        <v>-1.6358405771021967E-4</v>
      </c>
      <c r="Y288" s="2">
        <f t="shared" ca="1" si="146"/>
        <v>-1.614029402377854E-3</v>
      </c>
      <c r="Z288" s="11">
        <f t="shared" ca="1" si="147"/>
        <v>-1.4853760121635622E-5</v>
      </c>
      <c r="AA288" s="2">
        <f t="shared" ca="1" si="148"/>
        <v>-1.1458026838550334E-3</v>
      </c>
      <c r="AB288" s="11">
        <f t="shared" ca="1" si="149"/>
        <v>-4.9053934342410677E-4</v>
      </c>
      <c r="AC288" s="2">
        <f t="shared" ca="1" si="150"/>
        <v>-5.5074395654535931E-3</v>
      </c>
      <c r="AF288" s="11">
        <f t="shared" ca="1" si="151"/>
        <v>0</v>
      </c>
      <c r="AG288" s="2">
        <f t="shared" ca="1" si="152"/>
        <v>-1.6358405771021967E-4</v>
      </c>
      <c r="AH288" s="2">
        <f t="shared" ca="1" si="153"/>
        <v>-1.614029402377854E-3</v>
      </c>
      <c r="AI288" s="2">
        <f t="shared" ca="1" si="154"/>
        <v>-1.4853760121635622E-5</v>
      </c>
      <c r="AJ288" s="2">
        <f t="shared" ca="1" si="155"/>
        <v>-1.1458026838550334E-3</v>
      </c>
      <c r="AK288" s="2">
        <f t="shared" ca="1" si="156"/>
        <v>-4.9053934342410677E-4</v>
      </c>
      <c r="AL288" s="2">
        <f t="shared" ca="1" si="157"/>
        <v>-5.5074395654535931E-3</v>
      </c>
      <c r="AN288" s="2" t="e">
        <f t="shared" ca="1" si="136"/>
        <v>#N/A</v>
      </c>
      <c r="AO288" s="2" t="e">
        <f t="shared" ca="1" si="137"/>
        <v>#N/A</v>
      </c>
      <c r="AP288" s="2" t="e">
        <f t="shared" ca="1" si="138"/>
        <v>#N/A</v>
      </c>
      <c r="AQ288" s="2" t="e">
        <f t="shared" ca="1" si="139"/>
        <v>#N/A</v>
      </c>
      <c r="AR288" s="2" t="e">
        <f t="shared" ca="1" si="140"/>
        <v>#N/A</v>
      </c>
      <c r="AS288" s="2" t="e">
        <f t="shared" ca="1" si="141"/>
        <v>#N/A</v>
      </c>
      <c r="AT288" s="9" t="e">
        <f t="shared" ca="1" si="142"/>
        <v>#N/A</v>
      </c>
      <c r="AU288" s="9" t="e">
        <f t="shared" ca="1" si="143"/>
        <v>#N/A</v>
      </c>
      <c r="AW288" s="2" t="e">
        <f t="shared" ca="1" si="165"/>
        <v>#N/A</v>
      </c>
      <c r="AX288" s="2" t="e">
        <f t="shared" ca="1" si="166"/>
        <v>#N/A</v>
      </c>
      <c r="AY288" s="2" t="e">
        <f t="shared" ca="1" si="167"/>
        <v>#N/A</v>
      </c>
      <c r="AZ288" s="2" t="e">
        <f t="shared" ca="1" si="168"/>
        <v>#N/A</v>
      </c>
      <c r="BA288" s="2" t="e">
        <f t="shared" ca="1" si="169"/>
        <v>#N/A</v>
      </c>
      <c r="BB288" s="2" t="e">
        <f t="shared" ca="1" si="170"/>
        <v>#N/A</v>
      </c>
      <c r="BC288" s="9" t="e">
        <f t="shared" ca="1" si="171"/>
        <v>#N/A</v>
      </c>
      <c r="BD288" s="9" t="e">
        <f t="shared" ca="1" si="172"/>
        <v>#N/A</v>
      </c>
    </row>
    <row r="289" spans="1:56" ht="15" x14ac:dyDescent="0.25">
      <c r="A289" s="90"/>
      <c r="B289" s="90"/>
      <c r="C289" s="91"/>
      <c r="D289" s="91"/>
      <c r="E289" s="91"/>
      <c r="F289" s="91"/>
      <c r="G289" s="91"/>
      <c r="H289" s="91"/>
      <c r="I289" s="91"/>
      <c r="J289" s="64"/>
      <c r="K289" s="64"/>
      <c r="L289" s="64"/>
      <c r="M289" s="64"/>
      <c r="O289" s="11">
        <f t="shared" ca="1" si="158"/>
        <v>-3.9378682616450625E-4</v>
      </c>
      <c r="P289" s="11">
        <f t="shared" ca="1" si="159"/>
        <v>-1.6358405771021967E-4</v>
      </c>
      <c r="Q289" s="11">
        <f t="shared" ca="1" si="160"/>
        <v>-1.614029402377854E-3</v>
      </c>
      <c r="R289" s="11">
        <f t="shared" ca="1" si="161"/>
        <v>-1.4853760121635622E-5</v>
      </c>
      <c r="S289" s="11">
        <f t="shared" ca="1" si="162"/>
        <v>-1.1458026838550334E-3</v>
      </c>
      <c r="T289" s="11">
        <f t="shared" ca="1" si="163"/>
        <v>-4.9053934342410677E-4</v>
      </c>
      <c r="U289" s="11">
        <f t="shared" ca="1" si="164"/>
        <v>-5.5074395654535931E-3</v>
      </c>
      <c r="V289" s="11"/>
      <c r="W289" s="11">
        <f t="shared" ca="1" si="144"/>
        <v>0</v>
      </c>
      <c r="X289" s="2">
        <f t="shared" ca="1" si="145"/>
        <v>-1.6358405771021967E-4</v>
      </c>
      <c r="Y289" s="2">
        <f t="shared" ca="1" si="146"/>
        <v>-1.614029402377854E-3</v>
      </c>
      <c r="Z289" s="11">
        <f t="shared" ca="1" si="147"/>
        <v>-1.4853760121635622E-5</v>
      </c>
      <c r="AA289" s="2">
        <f t="shared" ca="1" si="148"/>
        <v>-1.1458026838550334E-3</v>
      </c>
      <c r="AB289" s="11">
        <f t="shared" ca="1" si="149"/>
        <v>-4.9053934342410677E-4</v>
      </c>
      <c r="AC289" s="2">
        <f t="shared" ca="1" si="150"/>
        <v>-5.5074395654535931E-3</v>
      </c>
      <c r="AF289" s="11">
        <f t="shared" ca="1" si="151"/>
        <v>0</v>
      </c>
      <c r="AG289" s="2">
        <f t="shared" ca="1" si="152"/>
        <v>-1.6358405771021967E-4</v>
      </c>
      <c r="AH289" s="2">
        <f t="shared" ca="1" si="153"/>
        <v>-1.614029402377854E-3</v>
      </c>
      <c r="AI289" s="2">
        <f t="shared" ca="1" si="154"/>
        <v>-1.4853760121635622E-5</v>
      </c>
      <c r="AJ289" s="2">
        <f t="shared" ca="1" si="155"/>
        <v>-1.1458026838550334E-3</v>
      </c>
      <c r="AK289" s="2">
        <f t="shared" ca="1" si="156"/>
        <v>-4.9053934342410677E-4</v>
      </c>
      <c r="AL289" s="2">
        <f t="shared" ca="1" si="157"/>
        <v>-5.5074395654535931E-3</v>
      </c>
      <c r="AN289" s="2" t="e">
        <f t="shared" ca="1" si="136"/>
        <v>#N/A</v>
      </c>
      <c r="AO289" s="2" t="e">
        <f t="shared" ca="1" si="137"/>
        <v>#N/A</v>
      </c>
      <c r="AP289" s="2" t="e">
        <f t="shared" ca="1" si="138"/>
        <v>#N/A</v>
      </c>
      <c r="AQ289" s="2" t="e">
        <f t="shared" ca="1" si="139"/>
        <v>#N/A</v>
      </c>
      <c r="AR289" s="2" t="e">
        <f t="shared" ca="1" si="140"/>
        <v>#N/A</v>
      </c>
      <c r="AS289" s="2" t="e">
        <f t="shared" ca="1" si="141"/>
        <v>#N/A</v>
      </c>
      <c r="AT289" s="9" t="e">
        <f t="shared" ca="1" si="142"/>
        <v>#N/A</v>
      </c>
      <c r="AU289" s="9" t="e">
        <f t="shared" ca="1" si="143"/>
        <v>#N/A</v>
      </c>
      <c r="AW289" s="2" t="e">
        <f t="shared" ca="1" si="165"/>
        <v>#N/A</v>
      </c>
      <c r="AX289" s="2" t="e">
        <f t="shared" ca="1" si="166"/>
        <v>#N/A</v>
      </c>
      <c r="AY289" s="2" t="e">
        <f t="shared" ca="1" si="167"/>
        <v>#N/A</v>
      </c>
      <c r="AZ289" s="2" t="e">
        <f t="shared" ca="1" si="168"/>
        <v>#N/A</v>
      </c>
      <c r="BA289" s="2" t="e">
        <f t="shared" ca="1" si="169"/>
        <v>#N/A</v>
      </c>
      <c r="BB289" s="2" t="e">
        <f t="shared" ca="1" si="170"/>
        <v>#N/A</v>
      </c>
      <c r="BC289" s="9" t="e">
        <f t="shared" ca="1" si="171"/>
        <v>#N/A</v>
      </c>
      <c r="BD289" s="9" t="e">
        <f t="shared" ca="1" si="172"/>
        <v>#N/A</v>
      </c>
    </row>
    <row r="290" spans="1:56" ht="15" x14ac:dyDescent="0.25">
      <c r="A290" s="90"/>
      <c r="B290" s="90"/>
      <c r="C290" s="91"/>
      <c r="D290" s="91"/>
      <c r="E290" s="91"/>
      <c r="F290" s="91"/>
      <c r="G290" s="91"/>
      <c r="H290" s="91"/>
      <c r="I290" s="91"/>
      <c r="J290" s="64"/>
      <c r="K290" s="64"/>
      <c r="L290" s="64"/>
      <c r="M290" s="64"/>
      <c r="O290" s="11">
        <f t="shared" ca="1" si="158"/>
        <v>-3.9378682616450625E-4</v>
      </c>
      <c r="P290" s="11">
        <f t="shared" ca="1" si="159"/>
        <v>-1.6358405771021967E-4</v>
      </c>
      <c r="Q290" s="11">
        <f t="shared" ca="1" si="160"/>
        <v>-1.614029402377854E-3</v>
      </c>
      <c r="R290" s="11">
        <f t="shared" ca="1" si="161"/>
        <v>-1.4853760121635622E-5</v>
      </c>
      <c r="S290" s="11">
        <f t="shared" ca="1" si="162"/>
        <v>-1.1458026838550334E-3</v>
      </c>
      <c r="T290" s="11">
        <f t="shared" ca="1" si="163"/>
        <v>-4.9053934342410677E-4</v>
      </c>
      <c r="U290" s="11">
        <f t="shared" ca="1" si="164"/>
        <v>-5.5074395654535931E-3</v>
      </c>
      <c r="V290" s="11"/>
      <c r="W290" s="11">
        <f t="shared" ca="1" si="144"/>
        <v>0</v>
      </c>
      <c r="X290" s="2">
        <f t="shared" ca="1" si="145"/>
        <v>-1.6358405771021967E-4</v>
      </c>
      <c r="Y290" s="2">
        <f t="shared" ca="1" si="146"/>
        <v>-1.614029402377854E-3</v>
      </c>
      <c r="Z290" s="11">
        <f t="shared" ca="1" si="147"/>
        <v>-1.4853760121635622E-5</v>
      </c>
      <c r="AA290" s="2">
        <f t="shared" ca="1" si="148"/>
        <v>-1.1458026838550334E-3</v>
      </c>
      <c r="AB290" s="11">
        <f t="shared" ca="1" si="149"/>
        <v>-4.9053934342410677E-4</v>
      </c>
      <c r="AC290" s="2">
        <f t="shared" ca="1" si="150"/>
        <v>-5.5074395654535931E-3</v>
      </c>
      <c r="AF290" s="11">
        <f t="shared" ca="1" si="151"/>
        <v>0</v>
      </c>
      <c r="AG290" s="2">
        <f t="shared" ca="1" si="152"/>
        <v>-1.6358405771021967E-4</v>
      </c>
      <c r="AH290" s="2">
        <f t="shared" ca="1" si="153"/>
        <v>-1.614029402377854E-3</v>
      </c>
      <c r="AI290" s="2">
        <f t="shared" ca="1" si="154"/>
        <v>-1.4853760121635622E-5</v>
      </c>
      <c r="AJ290" s="2">
        <f t="shared" ca="1" si="155"/>
        <v>-1.1458026838550334E-3</v>
      </c>
      <c r="AK290" s="2">
        <f t="shared" ca="1" si="156"/>
        <v>-4.9053934342410677E-4</v>
      </c>
      <c r="AL290" s="2">
        <f t="shared" ca="1" si="157"/>
        <v>-5.5074395654535931E-3</v>
      </c>
      <c r="AN290" s="2" t="e">
        <f t="shared" ca="1" si="136"/>
        <v>#N/A</v>
      </c>
      <c r="AO290" s="2" t="e">
        <f t="shared" ca="1" si="137"/>
        <v>#N/A</v>
      </c>
      <c r="AP290" s="2" t="e">
        <f t="shared" ca="1" si="138"/>
        <v>#N/A</v>
      </c>
      <c r="AQ290" s="2" t="e">
        <f t="shared" ca="1" si="139"/>
        <v>#N/A</v>
      </c>
      <c r="AR290" s="2" t="e">
        <f t="shared" ca="1" si="140"/>
        <v>#N/A</v>
      </c>
      <c r="AS290" s="2" t="e">
        <f t="shared" ca="1" si="141"/>
        <v>#N/A</v>
      </c>
      <c r="AT290" s="9" t="e">
        <f t="shared" ca="1" si="142"/>
        <v>#N/A</v>
      </c>
      <c r="AU290" s="9" t="e">
        <f t="shared" ca="1" si="143"/>
        <v>#N/A</v>
      </c>
      <c r="AW290" s="2" t="e">
        <f t="shared" ca="1" si="165"/>
        <v>#N/A</v>
      </c>
      <c r="AX290" s="2" t="e">
        <f t="shared" ca="1" si="166"/>
        <v>#N/A</v>
      </c>
      <c r="AY290" s="2" t="e">
        <f t="shared" ca="1" si="167"/>
        <v>#N/A</v>
      </c>
      <c r="AZ290" s="2" t="e">
        <f t="shared" ca="1" si="168"/>
        <v>#N/A</v>
      </c>
      <c r="BA290" s="2" t="e">
        <f t="shared" ca="1" si="169"/>
        <v>#N/A</v>
      </c>
      <c r="BB290" s="2" t="e">
        <f t="shared" ca="1" si="170"/>
        <v>#N/A</v>
      </c>
      <c r="BC290" s="9" t="e">
        <f t="shared" ca="1" si="171"/>
        <v>#N/A</v>
      </c>
      <c r="BD290" s="9" t="e">
        <f t="shared" ca="1" si="172"/>
        <v>#N/A</v>
      </c>
    </row>
    <row r="291" spans="1:56" ht="15" x14ac:dyDescent="0.25">
      <c r="A291" s="90"/>
      <c r="B291" s="90"/>
      <c r="C291" s="91"/>
      <c r="D291" s="91"/>
      <c r="E291" s="91"/>
      <c r="F291" s="91"/>
      <c r="G291" s="91"/>
      <c r="H291" s="91"/>
      <c r="I291" s="91"/>
      <c r="J291" s="64"/>
      <c r="K291" s="64"/>
      <c r="L291" s="64"/>
      <c r="M291" s="64"/>
      <c r="O291" s="11">
        <f t="shared" ca="1" si="158"/>
        <v>-3.9378682616450625E-4</v>
      </c>
      <c r="P291" s="11">
        <f t="shared" ca="1" si="159"/>
        <v>-1.6358405771021967E-4</v>
      </c>
      <c r="Q291" s="11">
        <f t="shared" ca="1" si="160"/>
        <v>-1.614029402377854E-3</v>
      </c>
      <c r="R291" s="11">
        <f t="shared" ca="1" si="161"/>
        <v>-1.4853760121635622E-5</v>
      </c>
      <c r="S291" s="11">
        <f t="shared" ca="1" si="162"/>
        <v>-1.1458026838550334E-3</v>
      </c>
      <c r="T291" s="11">
        <f t="shared" ca="1" si="163"/>
        <v>-4.9053934342410677E-4</v>
      </c>
      <c r="U291" s="11">
        <f t="shared" ca="1" si="164"/>
        <v>-5.5074395654535931E-3</v>
      </c>
      <c r="V291" s="11"/>
      <c r="W291" s="11">
        <f t="shared" ca="1" si="144"/>
        <v>0</v>
      </c>
      <c r="X291" s="2">
        <f t="shared" ca="1" si="145"/>
        <v>-1.6358405771021967E-4</v>
      </c>
      <c r="Y291" s="2">
        <f t="shared" ca="1" si="146"/>
        <v>-1.614029402377854E-3</v>
      </c>
      <c r="Z291" s="11">
        <f t="shared" ca="1" si="147"/>
        <v>-1.4853760121635622E-5</v>
      </c>
      <c r="AA291" s="2">
        <f t="shared" ca="1" si="148"/>
        <v>-1.1458026838550334E-3</v>
      </c>
      <c r="AB291" s="11">
        <f t="shared" ca="1" si="149"/>
        <v>-4.9053934342410677E-4</v>
      </c>
      <c r="AC291" s="2">
        <f t="shared" ca="1" si="150"/>
        <v>-5.5074395654535931E-3</v>
      </c>
      <c r="AF291" s="11">
        <f t="shared" ca="1" si="151"/>
        <v>0</v>
      </c>
      <c r="AG291" s="2">
        <f t="shared" ca="1" si="152"/>
        <v>-1.6358405771021967E-4</v>
      </c>
      <c r="AH291" s="2">
        <f t="shared" ca="1" si="153"/>
        <v>-1.614029402377854E-3</v>
      </c>
      <c r="AI291" s="2">
        <f t="shared" ca="1" si="154"/>
        <v>-1.4853760121635622E-5</v>
      </c>
      <c r="AJ291" s="2">
        <f t="shared" ca="1" si="155"/>
        <v>-1.1458026838550334E-3</v>
      </c>
      <c r="AK291" s="2">
        <f t="shared" ca="1" si="156"/>
        <v>-4.9053934342410677E-4</v>
      </c>
      <c r="AL291" s="2">
        <f t="shared" ca="1" si="157"/>
        <v>-5.5074395654535931E-3</v>
      </c>
      <c r="AN291" s="2" t="e">
        <f t="shared" ca="1" si="136"/>
        <v>#N/A</v>
      </c>
      <c r="AO291" s="2" t="e">
        <f t="shared" ca="1" si="137"/>
        <v>#N/A</v>
      </c>
      <c r="AP291" s="2" t="e">
        <f t="shared" ca="1" si="138"/>
        <v>#N/A</v>
      </c>
      <c r="AQ291" s="2" t="e">
        <f t="shared" ca="1" si="139"/>
        <v>#N/A</v>
      </c>
      <c r="AR291" s="2" t="e">
        <f t="shared" ca="1" si="140"/>
        <v>#N/A</v>
      </c>
      <c r="AS291" s="2" t="e">
        <f t="shared" ca="1" si="141"/>
        <v>#N/A</v>
      </c>
      <c r="AT291" s="9" t="e">
        <f t="shared" ca="1" si="142"/>
        <v>#N/A</v>
      </c>
      <c r="AU291" s="9" t="e">
        <f t="shared" ca="1" si="143"/>
        <v>#N/A</v>
      </c>
      <c r="AW291" s="2" t="e">
        <f t="shared" ca="1" si="165"/>
        <v>#N/A</v>
      </c>
      <c r="AX291" s="2" t="e">
        <f t="shared" ca="1" si="166"/>
        <v>#N/A</v>
      </c>
      <c r="AY291" s="2" t="e">
        <f t="shared" ca="1" si="167"/>
        <v>#N/A</v>
      </c>
      <c r="AZ291" s="2" t="e">
        <f t="shared" ca="1" si="168"/>
        <v>#N/A</v>
      </c>
      <c r="BA291" s="2" t="e">
        <f t="shared" ca="1" si="169"/>
        <v>#N/A</v>
      </c>
      <c r="BB291" s="2" t="e">
        <f t="shared" ca="1" si="170"/>
        <v>#N/A</v>
      </c>
      <c r="BC291" s="9" t="e">
        <f t="shared" ca="1" si="171"/>
        <v>#N/A</v>
      </c>
      <c r="BD291" s="9" t="e">
        <f t="shared" ca="1" si="172"/>
        <v>#N/A</v>
      </c>
    </row>
    <row r="292" spans="1:56" ht="15" x14ac:dyDescent="0.25">
      <c r="A292" s="90"/>
      <c r="B292" s="90"/>
      <c r="C292" s="91"/>
      <c r="D292" s="91"/>
      <c r="E292" s="91"/>
      <c r="F292" s="91"/>
      <c r="G292" s="91"/>
      <c r="H292" s="91"/>
      <c r="I292" s="91"/>
      <c r="J292" s="64"/>
      <c r="K292" s="64"/>
      <c r="L292" s="64"/>
      <c r="M292" s="64"/>
      <c r="O292" s="11">
        <f t="shared" ca="1" si="158"/>
        <v>-3.9378682616450625E-4</v>
      </c>
      <c r="P292" s="11">
        <f t="shared" ca="1" si="159"/>
        <v>-1.6358405771021967E-4</v>
      </c>
      <c r="Q292" s="11">
        <f t="shared" ca="1" si="160"/>
        <v>-1.614029402377854E-3</v>
      </c>
      <c r="R292" s="11">
        <f t="shared" ca="1" si="161"/>
        <v>-1.4853760121635622E-5</v>
      </c>
      <c r="S292" s="11">
        <f t="shared" ca="1" si="162"/>
        <v>-1.1458026838550334E-3</v>
      </c>
      <c r="T292" s="11">
        <f t="shared" ca="1" si="163"/>
        <v>-4.9053934342410677E-4</v>
      </c>
      <c r="U292" s="11">
        <f t="shared" ca="1" si="164"/>
        <v>-5.5074395654535931E-3</v>
      </c>
      <c r="V292" s="11"/>
      <c r="W292" s="11">
        <f t="shared" ca="1" si="144"/>
        <v>0</v>
      </c>
      <c r="X292" s="2">
        <f t="shared" ca="1" si="145"/>
        <v>-1.6358405771021967E-4</v>
      </c>
      <c r="Y292" s="2">
        <f t="shared" ca="1" si="146"/>
        <v>-1.614029402377854E-3</v>
      </c>
      <c r="Z292" s="11">
        <f t="shared" ca="1" si="147"/>
        <v>-1.4853760121635622E-5</v>
      </c>
      <c r="AA292" s="2">
        <f t="shared" ca="1" si="148"/>
        <v>-1.1458026838550334E-3</v>
      </c>
      <c r="AB292" s="11">
        <f t="shared" ca="1" si="149"/>
        <v>-4.9053934342410677E-4</v>
      </c>
      <c r="AC292" s="2">
        <f t="shared" ca="1" si="150"/>
        <v>-5.5074395654535931E-3</v>
      </c>
      <c r="AF292" s="11">
        <f t="shared" ca="1" si="151"/>
        <v>0</v>
      </c>
      <c r="AG292" s="2">
        <f t="shared" ca="1" si="152"/>
        <v>-1.6358405771021967E-4</v>
      </c>
      <c r="AH292" s="2">
        <f t="shared" ca="1" si="153"/>
        <v>-1.614029402377854E-3</v>
      </c>
      <c r="AI292" s="2">
        <f t="shared" ca="1" si="154"/>
        <v>-1.4853760121635622E-5</v>
      </c>
      <c r="AJ292" s="2">
        <f t="shared" ca="1" si="155"/>
        <v>-1.1458026838550334E-3</v>
      </c>
      <c r="AK292" s="2">
        <f t="shared" ca="1" si="156"/>
        <v>-4.9053934342410677E-4</v>
      </c>
      <c r="AL292" s="2">
        <f t="shared" ca="1" si="157"/>
        <v>-5.5074395654535931E-3</v>
      </c>
      <c r="AN292" s="2" t="e">
        <f t="shared" ca="1" si="136"/>
        <v>#N/A</v>
      </c>
      <c r="AO292" s="2" t="e">
        <f t="shared" ca="1" si="137"/>
        <v>#N/A</v>
      </c>
      <c r="AP292" s="2" t="e">
        <f t="shared" ca="1" si="138"/>
        <v>#N/A</v>
      </c>
      <c r="AQ292" s="2" t="e">
        <f t="shared" ca="1" si="139"/>
        <v>#N/A</v>
      </c>
      <c r="AR292" s="2" t="e">
        <f t="shared" ca="1" si="140"/>
        <v>#N/A</v>
      </c>
      <c r="AS292" s="2" t="e">
        <f t="shared" ca="1" si="141"/>
        <v>#N/A</v>
      </c>
      <c r="AT292" s="9" t="e">
        <f t="shared" ca="1" si="142"/>
        <v>#N/A</v>
      </c>
      <c r="AU292" s="9" t="e">
        <f t="shared" ca="1" si="143"/>
        <v>#N/A</v>
      </c>
      <c r="AW292" s="2" t="e">
        <f t="shared" ca="1" si="165"/>
        <v>#N/A</v>
      </c>
      <c r="AX292" s="2" t="e">
        <f t="shared" ca="1" si="166"/>
        <v>#N/A</v>
      </c>
      <c r="AY292" s="2" t="e">
        <f t="shared" ca="1" si="167"/>
        <v>#N/A</v>
      </c>
      <c r="AZ292" s="2" t="e">
        <f t="shared" ca="1" si="168"/>
        <v>#N/A</v>
      </c>
      <c r="BA292" s="2" t="e">
        <f t="shared" ca="1" si="169"/>
        <v>#N/A</v>
      </c>
      <c r="BB292" s="2" t="e">
        <f t="shared" ca="1" si="170"/>
        <v>#N/A</v>
      </c>
      <c r="BC292" s="9" t="e">
        <f t="shared" ca="1" si="171"/>
        <v>#N/A</v>
      </c>
      <c r="BD292" s="9" t="e">
        <f t="shared" ca="1" si="172"/>
        <v>#N/A</v>
      </c>
    </row>
    <row r="293" spans="1:56" ht="15" x14ac:dyDescent="0.25">
      <c r="A293" s="90"/>
      <c r="B293" s="90"/>
      <c r="C293" s="91"/>
      <c r="D293" s="91"/>
      <c r="E293" s="91"/>
      <c r="F293" s="91"/>
      <c r="G293" s="91"/>
      <c r="H293" s="91"/>
      <c r="I293" s="91"/>
      <c r="J293" s="64"/>
      <c r="K293" s="64"/>
      <c r="L293" s="64"/>
      <c r="M293" s="64"/>
      <c r="O293" s="11">
        <f t="shared" ca="1" si="158"/>
        <v>-3.9378682616450625E-4</v>
      </c>
      <c r="P293" s="11">
        <f t="shared" ca="1" si="159"/>
        <v>-1.6358405771021967E-4</v>
      </c>
      <c r="Q293" s="11">
        <f t="shared" ca="1" si="160"/>
        <v>-1.614029402377854E-3</v>
      </c>
      <c r="R293" s="11">
        <f t="shared" ca="1" si="161"/>
        <v>-1.4853760121635622E-5</v>
      </c>
      <c r="S293" s="11">
        <f t="shared" ca="1" si="162"/>
        <v>-1.1458026838550334E-3</v>
      </c>
      <c r="T293" s="11">
        <f t="shared" ca="1" si="163"/>
        <v>-4.9053934342410677E-4</v>
      </c>
      <c r="U293" s="11">
        <f t="shared" ca="1" si="164"/>
        <v>-5.5074395654535931E-3</v>
      </c>
      <c r="V293" s="11"/>
      <c r="W293" s="11">
        <f t="shared" ca="1" si="144"/>
        <v>0</v>
      </c>
      <c r="X293" s="2">
        <f t="shared" ca="1" si="145"/>
        <v>-1.6358405771021967E-4</v>
      </c>
      <c r="Y293" s="2">
        <f t="shared" ca="1" si="146"/>
        <v>-1.614029402377854E-3</v>
      </c>
      <c r="Z293" s="11">
        <f t="shared" ca="1" si="147"/>
        <v>-1.4853760121635622E-5</v>
      </c>
      <c r="AA293" s="2">
        <f t="shared" ca="1" si="148"/>
        <v>-1.1458026838550334E-3</v>
      </c>
      <c r="AB293" s="11">
        <f t="shared" ca="1" si="149"/>
        <v>-4.9053934342410677E-4</v>
      </c>
      <c r="AC293" s="2">
        <f t="shared" ca="1" si="150"/>
        <v>-5.5074395654535931E-3</v>
      </c>
      <c r="AF293" s="11">
        <f t="shared" ca="1" si="151"/>
        <v>0</v>
      </c>
      <c r="AG293" s="2">
        <f t="shared" ca="1" si="152"/>
        <v>-1.6358405771021967E-4</v>
      </c>
      <c r="AH293" s="2">
        <f t="shared" ca="1" si="153"/>
        <v>-1.614029402377854E-3</v>
      </c>
      <c r="AI293" s="2">
        <f t="shared" ca="1" si="154"/>
        <v>-1.4853760121635622E-5</v>
      </c>
      <c r="AJ293" s="2">
        <f t="shared" ca="1" si="155"/>
        <v>-1.1458026838550334E-3</v>
      </c>
      <c r="AK293" s="2">
        <f t="shared" ca="1" si="156"/>
        <v>-4.9053934342410677E-4</v>
      </c>
      <c r="AL293" s="2">
        <f t="shared" ca="1" si="157"/>
        <v>-5.5074395654535931E-3</v>
      </c>
      <c r="AN293" s="2" t="e">
        <f t="shared" ca="1" si="136"/>
        <v>#N/A</v>
      </c>
      <c r="AO293" s="2" t="e">
        <f t="shared" ca="1" si="137"/>
        <v>#N/A</v>
      </c>
      <c r="AP293" s="2" t="e">
        <f t="shared" ca="1" si="138"/>
        <v>#N/A</v>
      </c>
      <c r="AQ293" s="2" t="e">
        <f t="shared" ca="1" si="139"/>
        <v>#N/A</v>
      </c>
      <c r="AR293" s="2" t="e">
        <f t="shared" ca="1" si="140"/>
        <v>#N/A</v>
      </c>
      <c r="AS293" s="2" t="e">
        <f t="shared" ca="1" si="141"/>
        <v>#N/A</v>
      </c>
      <c r="AT293" s="9" t="e">
        <f t="shared" ca="1" si="142"/>
        <v>#N/A</v>
      </c>
      <c r="AU293" s="9" t="e">
        <f t="shared" ca="1" si="143"/>
        <v>#N/A</v>
      </c>
      <c r="AW293" s="2" t="e">
        <f t="shared" ca="1" si="165"/>
        <v>#N/A</v>
      </c>
      <c r="AX293" s="2" t="e">
        <f t="shared" ca="1" si="166"/>
        <v>#N/A</v>
      </c>
      <c r="AY293" s="2" t="e">
        <f t="shared" ca="1" si="167"/>
        <v>#N/A</v>
      </c>
      <c r="AZ293" s="2" t="e">
        <f t="shared" ca="1" si="168"/>
        <v>#N/A</v>
      </c>
      <c r="BA293" s="2" t="e">
        <f t="shared" ca="1" si="169"/>
        <v>#N/A</v>
      </c>
      <c r="BB293" s="2" t="e">
        <f t="shared" ca="1" si="170"/>
        <v>#N/A</v>
      </c>
      <c r="BC293" s="9" t="e">
        <f t="shared" ca="1" si="171"/>
        <v>#N/A</v>
      </c>
      <c r="BD293" s="9" t="e">
        <f t="shared" ca="1" si="172"/>
        <v>#N/A</v>
      </c>
    </row>
    <row r="294" spans="1:56" ht="15" x14ac:dyDescent="0.25">
      <c r="A294" s="90"/>
      <c r="B294" s="90"/>
      <c r="C294" s="91"/>
      <c r="D294" s="91"/>
      <c r="E294" s="91"/>
      <c r="F294" s="91"/>
      <c r="G294" s="91"/>
      <c r="H294" s="91"/>
      <c r="I294" s="91"/>
      <c r="J294" s="64"/>
      <c r="K294" s="64"/>
      <c r="L294" s="64"/>
      <c r="M294" s="64"/>
      <c r="O294" s="11">
        <f t="shared" ca="1" si="158"/>
        <v>-3.9378682616450625E-4</v>
      </c>
      <c r="P294" s="11">
        <f t="shared" ca="1" si="159"/>
        <v>-1.6358405771021967E-4</v>
      </c>
      <c r="Q294" s="11">
        <f t="shared" ca="1" si="160"/>
        <v>-1.614029402377854E-3</v>
      </c>
      <c r="R294" s="11">
        <f t="shared" ca="1" si="161"/>
        <v>-1.4853760121635622E-5</v>
      </c>
      <c r="S294" s="11">
        <f t="shared" ca="1" si="162"/>
        <v>-1.1458026838550334E-3</v>
      </c>
      <c r="T294" s="11">
        <f t="shared" ca="1" si="163"/>
        <v>-4.9053934342410677E-4</v>
      </c>
      <c r="U294" s="11">
        <f t="shared" ca="1" si="164"/>
        <v>-5.5074395654535931E-3</v>
      </c>
      <c r="V294" s="11"/>
      <c r="W294" s="11">
        <f t="shared" ca="1" si="144"/>
        <v>0</v>
      </c>
      <c r="X294" s="2">
        <f t="shared" ca="1" si="145"/>
        <v>-1.6358405771021967E-4</v>
      </c>
      <c r="Y294" s="2">
        <f t="shared" ca="1" si="146"/>
        <v>-1.614029402377854E-3</v>
      </c>
      <c r="Z294" s="11">
        <f t="shared" ca="1" si="147"/>
        <v>-1.4853760121635622E-5</v>
      </c>
      <c r="AA294" s="2">
        <f t="shared" ca="1" si="148"/>
        <v>-1.1458026838550334E-3</v>
      </c>
      <c r="AB294" s="11">
        <f t="shared" ca="1" si="149"/>
        <v>-4.9053934342410677E-4</v>
      </c>
      <c r="AC294" s="2">
        <f t="shared" ca="1" si="150"/>
        <v>-5.5074395654535931E-3</v>
      </c>
      <c r="AF294" s="11">
        <f t="shared" ca="1" si="151"/>
        <v>0</v>
      </c>
      <c r="AG294" s="2">
        <f t="shared" ca="1" si="152"/>
        <v>-1.6358405771021967E-4</v>
      </c>
      <c r="AH294" s="2">
        <f t="shared" ca="1" si="153"/>
        <v>-1.614029402377854E-3</v>
      </c>
      <c r="AI294" s="2">
        <f t="shared" ca="1" si="154"/>
        <v>-1.4853760121635622E-5</v>
      </c>
      <c r="AJ294" s="2">
        <f t="shared" ca="1" si="155"/>
        <v>-1.1458026838550334E-3</v>
      </c>
      <c r="AK294" s="2">
        <f t="shared" ca="1" si="156"/>
        <v>-4.9053934342410677E-4</v>
      </c>
      <c r="AL294" s="2">
        <f t="shared" ca="1" si="157"/>
        <v>-5.5074395654535931E-3</v>
      </c>
      <c r="AN294" s="2" t="e">
        <f t="shared" ca="1" si="136"/>
        <v>#N/A</v>
      </c>
      <c r="AO294" s="2" t="e">
        <f t="shared" ca="1" si="137"/>
        <v>#N/A</v>
      </c>
      <c r="AP294" s="2" t="e">
        <f t="shared" ca="1" si="138"/>
        <v>#N/A</v>
      </c>
      <c r="AQ294" s="2" t="e">
        <f t="shared" ca="1" si="139"/>
        <v>#N/A</v>
      </c>
      <c r="AR294" s="2" t="e">
        <f t="shared" ca="1" si="140"/>
        <v>#N/A</v>
      </c>
      <c r="AS294" s="2" t="e">
        <f t="shared" ca="1" si="141"/>
        <v>#N/A</v>
      </c>
      <c r="AT294" s="9" t="e">
        <f t="shared" ca="1" si="142"/>
        <v>#N/A</v>
      </c>
      <c r="AU294" s="9" t="e">
        <f t="shared" ca="1" si="143"/>
        <v>#N/A</v>
      </c>
      <c r="AW294" s="2" t="e">
        <f t="shared" ca="1" si="165"/>
        <v>#N/A</v>
      </c>
      <c r="AX294" s="2" t="e">
        <f t="shared" ca="1" si="166"/>
        <v>#N/A</v>
      </c>
      <c r="AY294" s="2" t="e">
        <f t="shared" ca="1" si="167"/>
        <v>#N/A</v>
      </c>
      <c r="AZ294" s="2" t="e">
        <f t="shared" ca="1" si="168"/>
        <v>#N/A</v>
      </c>
      <c r="BA294" s="2" t="e">
        <f t="shared" ca="1" si="169"/>
        <v>#N/A</v>
      </c>
      <c r="BB294" s="2" t="e">
        <f t="shared" ca="1" si="170"/>
        <v>#N/A</v>
      </c>
      <c r="BC294" s="9" t="e">
        <f t="shared" ca="1" si="171"/>
        <v>#N/A</v>
      </c>
      <c r="BD294" s="9" t="e">
        <f t="shared" ca="1" si="172"/>
        <v>#N/A</v>
      </c>
    </row>
    <row r="295" spans="1:56" ht="15" x14ac:dyDescent="0.25">
      <c r="A295" s="90"/>
      <c r="B295" s="90"/>
      <c r="C295" s="91"/>
      <c r="D295" s="91"/>
      <c r="E295" s="91"/>
      <c r="F295" s="91"/>
      <c r="G295" s="91"/>
      <c r="H295" s="91"/>
      <c r="I295" s="91"/>
      <c r="J295" s="64"/>
      <c r="K295" s="64"/>
      <c r="L295" s="64"/>
      <c r="M295" s="64"/>
      <c r="O295" s="11">
        <f t="shared" ca="1" si="158"/>
        <v>-3.9378682616450625E-4</v>
      </c>
      <c r="P295" s="11">
        <f t="shared" ca="1" si="159"/>
        <v>-1.6358405771021967E-4</v>
      </c>
      <c r="Q295" s="11">
        <f t="shared" ca="1" si="160"/>
        <v>-1.614029402377854E-3</v>
      </c>
      <c r="R295" s="11">
        <f t="shared" ca="1" si="161"/>
        <v>-1.4853760121635622E-5</v>
      </c>
      <c r="S295" s="11">
        <f t="shared" ca="1" si="162"/>
        <v>-1.1458026838550334E-3</v>
      </c>
      <c r="T295" s="11">
        <f t="shared" ca="1" si="163"/>
        <v>-4.9053934342410677E-4</v>
      </c>
      <c r="U295" s="11">
        <f t="shared" ca="1" si="164"/>
        <v>-5.5074395654535931E-3</v>
      </c>
      <c r="V295" s="11"/>
      <c r="W295" s="11">
        <f t="shared" ca="1" si="144"/>
        <v>0</v>
      </c>
      <c r="X295" s="2">
        <f t="shared" ca="1" si="145"/>
        <v>-1.6358405771021967E-4</v>
      </c>
      <c r="Y295" s="2">
        <f t="shared" ca="1" si="146"/>
        <v>-1.614029402377854E-3</v>
      </c>
      <c r="Z295" s="11">
        <f t="shared" ca="1" si="147"/>
        <v>-1.4853760121635622E-5</v>
      </c>
      <c r="AA295" s="2">
        <f t="shared" ca="1" si="148"/>
        <v>-1.1458026838550334E-3</v>
      </c>
      <c r="AB295" s="11">
        <f t="shared" ca="1" si="149"/>
        <v>-4.9053934342410677E-4</v>
      </c>
      <c r="AC295" s="2">
        <f t="shared" ca="1" si="150"/>
        <v>-5.5074395654535931E-3</v>
      </c>
      <c r="AF295" s="11">
        <f t="shared" ca="1" si="151"/>
        <v>0</v>
      </c>
      <c r="AG295" s="2">
        <f t="shared" ca="1" si="152"/>
        <v>-1.6358405771021967E-4</v>
      </c>
      <c r="AH295" s="2">
        <f t="shared" ca="1" si="153"/>
        <v>-1.614029402377854E-3</v>
      </c>
      <c r="AI295" s="2">
        <f t="shared" ca="1" si="154"/>
        <v>-1.4853760121635622E-5</v>
      </c>
      <c r="AJ295" s="2">
        <f t="shared" ca="1" si="155"/>
        <v>-1.1458026838550334E-3</v>
      </c>
      <c r="AK295" s="2">
        <f t="shared" ca="1" si="156"/>
        <v>-4.9053934342410677E-4</v>
      </c>
      <c r="AL295" s="2">
        <f t="shared" ca="1" si="157"/>
        <v>-5.5074395654535931E-3</v>
      </c>
      <c r="AN295" s="2" t="e">
        <f t="shared" ca="1" si="136"/>
        <v>#N/A</v>
      </c>
      <c r="AO295" s="2" t="e">
        <f t="shared" ca="1" si="137"/>
        <v>#N/A</v>
      </c>
      <c r="AP295" s="2" t="e">
        <f t="shared" ca="1" si="138"/>
        <v>#N/A</v>
      </c>
      <c r="AQ295" s="2" t="e">
        <f t="shared" ca="1" si="139"/>
        <v>#N/A</v>
      </c>
      <c r="AR295" s="2" t="e">
        <f t="shared" ca="1" si="140"/>
        <v>#N/A</v>
      </c>
      <c r="AS295" s="2" t="e">
        <f t="shared" ca="1" si="141"/>
        <v>#N/A</v>
      </c>
      <c r="AT295" s="9" t="e">
        <f t="shared" ca="1" si="142"/>
        <v>#N/A</v>
      </c>
      <c r="AU295" s="9" t="e">
        <f t="shared" ca="1" si="143"/>
        <v>#N/A</v>
      </c>
      <c r="AW295" s="2" t="e">
        <f t="shared" ca="1" si="165"/>
        <v>#N/A</v>
      </c>
      <c r="AX295" s="2" t="e">
        <f t="shared" ca="1" si="166"/>
        <v>#N/A</v>
      </c>
      <c r="AY295" s="2" t="e">
        <f t="shared" ca="1" si="167"/>
        <v>#N/A</v>
      </c>
      <c r="AZ295" s="2" t="e">
        <f t="shared" ca="1" si="168"/>
        <v>#N/A</v>
      </c>
      <c r="BA295" s="2" t="e">
        <f t="shared" ca="1" si="169"/>
        <v>#N/A</v>
      </c>
      <c r="BB295" s="2" t="e">
        <f t="shared" ca="1" si="170"/>
        <v>#N/A</v>
      </c>
      <c r="BC295" s="9" t="e">
        <f t="shared" ca="1" si="171"/>
        <v>#N/A</v>
      </c>
      <c r="BD295" s="9" t="e">
        <f t="shared" ca="1" si="172"/>
        <v>#N/A</v>
      </c>
    </row>
    <row r="296" spans="1:56" ht="15" x14ac:dyDescent="0.25">
      <c r="A296" s="90"/>
      <c r="B296" s="90"/>
      <c r="C296" s="91"/>
      <c r="D296" s="91"/>
      <c r="E296" s="91"/>
      <c r="F296" s="91"/>
      <c r="G296" s="91"/>
      <c r="H296" s="91"/>
      <c r="I296" s="91"/>
      <c r="J296" s="64"/>
      <c r="K296" s="64"/>
      <c r="L296" s="64"/>
      <c r="M296" s="64"/>
      <c r="O296" s="11">
        <f t="shared" ca="1" si="158"/>
        <v>-3.9378682616450625E-4</v>
      </c>
      <c r="P296" s="11">
        <f t="shared" ca="1" si="159"/>
        <v>-1.6358405771021967E-4</v>
      </c>
      <c r="Q296" s="11">
        <f t="shared" ca="1" si="160"/>
        <v>-1.614029402377854E-3</v>
      </c>
      <c r="R296" s="11">
        <f t="shared" ca="1" si="161"/>
        <v>-1.4853760121635622E-5</v>
      </c>
      <c r="S296" s="11">
        <f t="shared" ca="1" si="162"/>
        <v>-1.1458026838550334E-3</v>
      </c>
      <c r="T296" s="11">
        <f t="shared" ca="1" si="163"/>
        <v>-4.9053934342410677E-4</v>
      </c>
      <c r="U296" s="11">
        <f t="shared" ca="1" si="164"/>
        <v>-5.5074395654535931E-3</v>
      </c>
      <c r="V296" s="11"/>
      <c r="W296" s="11">
        <f t="shared" ca="1" si="144"/>
        <v>0</v>
      </c>
      <c r="X296" s="2">
        <f t="shared" ca="1" si="145"/>
        <v>-1.6358405771021967E-4</v>
      </c>
      <c r="Y296" s="2">
        <f t="shared" ca="1" si="146"/>
        <v>-1.614029402377854E-3</v>
      </c>
      <c r="Z296" s="11">
        <f t="shared" ca="1" si="147"/>
        <v>-1.4853760121635622E-5</v>
      </c>
      <c r="AA296" s="2">
        <f t="shared" ca="1" si="148"/>
        <v>-1.1458026838550334E-3</v>
      </c>
      <c r="AB296" s="11">
        <f t="shared" ca="1" si="149"/>
        <v>-4.9053934342410677E-4</v>
      </c>
      <c r="AC296" s="2">
        <f t="shared" ca="1" si="150"/>
        <v>-5.5074395654535931E-3</v>
      </c>
      <c r="AF296" s="11">
        <f t="shared" ca="1" si="151"/>
        <v>0</v>
      </c>
      <c r="AG296" s="2">
        <f t="shared" ca="1" si="152"/>
        <v>-1.6358405771021967E-4</v>
      </c>
      <c r="AH296" s="2">
        <f t="shared" ca="1" si="153"/>
        <v>-1.614029402377854E-3</v>
      </c>
      <c r="AI296" s="2">
        <f t="shared" ca="1" si="154"/>
        <v>-1.4853760121635622E-5</v>
      </c>
      <c r="AJ296" s="2">
        <f t="shared" ca="1" si="155"/>
        <v>-1.1458026838550334E-3</v>
      </c>
      <c r="AK296" s="2">
        <f t="shared" ca="1" si="156"/>
        <v>-4.9053934342410677E-4</v>
      </c>
      <c r="AL296" s="2">
        <f t="shared" ca="1" si="157"/>
        <v>-5.5074395654535931E-3</v>
      </c>
      <c r="AN296" s="2" t="e">
        <f t="shared" ca="1" si="136"/>
        <v>#N/A</v>
      </c>
      <c r="AO296" s="2" t="e">
        <f t="shared" ca="1" si="137"/>
        <v>#N/A</v>
      </c>
      <c r="AP296" s="2" t="e">
        <f t="shared" ca="1" si="138"/>
        <v>#N/A</v>
      </c>
      <c r="AQ296" s="2" t="e">
        <f t="shared" ca="1" si="139"/>
        <v>#N/A</v>
      </c>
      <c r="AR296" s="2" t="e">
        <f t="shared" ca="1" si="140"/>
        <v>#N/A</v>
      </c>
      <c r="AS296" s="2" t="e">
        <f t="shared" ca="1" si="141"/>
        <v>#N/A</v>
      </c>
      <c r="AT296" s="9" t="e">
        <f t="shared" ca="1" si="142"/>
        <v>#N/A</v>
      </c>
      <c r="AU296" s="9" t="e">
        <f t="shared" ca="1" si="143"/>
        <v>#N/A</v>
      </c>
      <c r="AW296" s="2" t="e">
        <f t="shared" ca="1" si="165"/>
        <v>#N/A</v>
      </c>
      <c r="AX296" s="2" t="e">
        <f t="shared" ca="1" si="166"/>
        <v>#N/A</v>
      </c>
      <c r="AY296" s="2" t="e">
        <f t="shared" ca="1" si="167"/>
        <v>#N/A</v>
      </c>
      <c r="AZ296" s="2" t="e">
        <f t="shared" ca="1" si="168"/>
        <v>#N/A</v>
      </c>
      <c r="BA296" s="2" t="e">
        <f t="shared" ca="1" si="169"/>
        <v>#N/A</v>
      </c>
      <c r="BB296" s="2" t="e">
        <f t="shared" ca="1" si="170"/>
        <v>#N/A</v>
      </c>
      <c r="BC296" s="9" t="e">
        <f t="shared" ca="1" si="171"/>
        <v>#N/A</v>
      </c>
      <c r="BD296" s="9" t="e">
        <f t="shared" ca="1" si="172"/>
        <v>#N/A</v>
      </c>
    </row>
    <row r="297" spans="1:56" ht="15" x14ac:dyDescent="0.25">
      <c r="A297" s="90"/>
      <c r="B297" s="90"/>
      <c r="C297" s="91"/>
      <c r="D297" s="91"/>
      <c r="E297" s="91"/>
      <c r="F297" s="91"/>
      <c r="G297" s="91"/>
      <c r="H297" s="91"/>
      <c r="I297" s="91"/>
      <c r="J297" s="64"/>
      <c r="K297" s="64"/>
      <c r="L297" s="64"/>
      <c r="M297" s="64"/>
      <c r="O297" s="11">
        <f t="shared" ca="1" si="158"/>
        <v>-3.9378682616450625E-4</v>
      </c>
      <c r="P297" s="11">
        <f t="shared" ca="1" si="159"/>
        <v>-1.6358405771021967E-4</v>
      </c>
      <c r="Q297" s="11">
        <f t="shared" ca="1" si="160"/>
        <v>-1.614029402377854E-3</v>
      </c>
      <c r="R297" s="11">
        <f t="shared" ca="1" si="161"/>
        <v>-1.4853760121635622E-5</v>
      </c>
      <c r="S297" s="11">
        <f t="shared" ca="1" si="162"/>
        <v>-1.1458026838550334E-3</v>
      </c>
      <c r="T297" s="11">
        <f t="shared" ca="1" si="163"/>
        <v>-4.9053934342410677E-4</v>
      </c>
      <c r="U297" s="11">
        <f t="shared" ca="1" si="164"/>
        <v>-5.5074395654535931E-3</v>
      </c>
      <c r="V297" s="11"/>
      <c r="W297" s="11">
        <f t="shared" ca="1" si="144"/>
        <v>0</v>
      </c>
      <c r="X297" s="2">
        <f t="shared" ca="1" si="145"/>
        <v>-1.6358405771021967E-4</v>
      </c>
      <c r="Y297" s="2">
        <f t="shared" ca="1" si="146"/>
        <v>-1.614029402377854E-3</v>
      </c>
      <c r="Z297" s="11">
        <f t="shared" ca="1" si="147"/>
        <v>-1.4853760121635622E-5</v>
      </c>
      <c r="AA297" s="2">
        <f t="shared" ca="1" si="148"/>
        <v>-1.1458026838550334E-3</v>
      </c>
      <c r="AB297" s="11">
        <f t="shared" ca="1" si="149"/>
        <v>-4.9053934342410677E-4</v>
      </c>
      <c r="AC297" s="2">
        <f t="shared" ca="1" si="150"/>
        <v>-5.5074395654535931E-3</v>
      </c>
      <c r="AF297" s="11">
        <f t="shared" ca="1" si="151"/>
        <v>0</v>
      </c>
      <c r="AG297" s="2">
        <f t="shared" ca="1" si="152"/>
        <v>-1.6358405771021967E-4</v>
      </c>
      <c r="AH297" s="2">
        <f t="shared" ca="1" si="153"/>
        <v>-1.614029402377854E-3</v>
      </c>
      <c r="AI297" s="2">
        <f t="shared" ca="1" si="154"/>
        <v>-1.4853760121635622E-5</v>
      </c>
      <c r="AJ297" s="2">
        <f t="shared" ca="1" si="155"/>
        <v>-1.1458026838550334E-3</v>
      </c>
      <c r="AK297" s="2">
        <f t="shared" ca="1" si="156"/>
        <v>-4.9053934342410677E-4</v>
      </c>
      <c r="AL297" s="2">
        <f t="shared" ca="1" si="157"/>
        <v>-5.5074395654535931E-3</v>
      </c>
      <c r="AN297" s="2" t="e">
        <f t="shared" ca="1" si="136"/>
        <v>#N/A</v>
      </c>
      <c r="AO297" s="2" t="e">
        <f t="shared" ca="1" si="137"/>
        <v>#N/A</v>
      </c>
      <c r="AP297" s="2" t="e">
        <f t="shared" ca="1" si="138"/>
        <v>#N/A</v>
      </c>
      <c r="AQ297" s="2" t="e">
        <f t="shared" ca="1" si="139"/>
        <v>#N/A</v>
      </c>
      <c r="AR297" s="2" t="e">
        <f t="shared" ca="1" si="140"/>
        <v>#N/A</v>
      </c>
      <c r="AS297" s="2" t="e">
        <f t="shared" ca="1" si="141"/>
        <v>#N/A</v>
      </c>
      <c r="AT297" s="9" t="e">
        <f t="shared" ca="1" si="142"/>
        <v>#N/A</v>
      </c>
      <c r="AU297" s="9" t="e">
        <f t="shared" ca="1" si="143"/>
        <v>#N/A</v>
      </c>
      <c r="AW297" s="2" t="e">
        <f t="shared" ca="1" si="165"/>
        <v>#N/A</v>
      </c>
      <c r="AX297" s="2" t="e">
        <f t="shared" ca="1" si="166"/>
        <v>#N/A</v>
      </c>
      <c r="AY297" s="2" t="e">
        <f t="shared" ca="1" si="167"/>
        <v>#N/A</v>
      </c>
      <c r="AZ297" s="2" t="e">
        <f t="shared" ca="1" si="168"/>
        <v>#N/A</v>
      </c>
      <c r="BA297" s="2" t="e">
        <f t="shared" ca="1" si="169"/>
        <v>#N/A</v>
      </c>
      <c r="BB297" s="2" t="e">
        <f t="shared" ca="1" si="170"/>
        <v>#N/A</v>
      </c>
      <c r="BC297" s="9" t="e">
        <f t="shared" ca="1" si="171"/>
        <v>#N/A</v>
      </c>
      <c r="BD297" s="9" t="e">
        <f t="shared" ca="1" si="172"/>
        <v>#N/A</v>
      </c>
    </row>
    <row r="298" spans="1:56" ht="15" x14ac:dyDescent="0.25">
      <c r="A298" s="90"/>
      <c r="B298" s="90"/>
      <c r="C298" s="91"/>
      <c r="D298" s="91"/>
      <c r="E298" s="91"/>
      <c r="F298" s="91"/>
      <c r="G298" s="91"/>
      <c r="H298" s="91"/>
      <c r="I298" s="91"/>
      <c r="J298" s="64"/>
      <c r="K298" s="64"/>
      <c r="L298" s="64"/>
      <c r="M298" s="64"/>
      <c r="O298" s="11">
        <f t="shared" ca="1" si="158"/>
        <v>-3.9378682616450625E-4</v>
      </c>
      <c r="P298" s="11">
        <f t="shared" ca="1" si="159"/>
        <v>-1.6358405771021967E-4</v>
      </c>
      <c r="Q298" s="11">
        <f t="shared" ca="1" si="160"/>
        <v>-1.614029402377854E-3</v>
      </c>
      <c r="R298" s="11">
        <f t="shared" ca="1" si="161"/>
        <v>-1.4853760121635622E-5</v>
      </c>
      <c r="S298" s="11">
        <f t="shared" ca="1" si="162"/>
        <v>-1.1458026838550334E-3</v>
      </c>
      <c r="T298" s="11">
        <f t="shared" ca="1" si="163"/>
        <v>-4.9053934342410677E-4</v>
      </c>
      <c r="U298" s="11">
        <f t="shared" ca="1" si="164"/>
        <v>-5.5074395654535931E-3</v>
      </c>
      <c r="V298" s="11"/>
      <c r="W298" s="11">
        <f t="shared" ca="1" si="144"/>
        <v>0</v>
      </c>
      <c r="X298" s="2">
        <f t="shared" ca="1" si="145"/>
        <v>-1.6358405771021967E-4</v>
      </c>
      <c r="Y298" s="2">
        <f t="shared" ca="1" si="146"/>
        <v>-1.614029402377854E-3</v>
      </c>
      <c r="Z298" s="11">
        <f t="shared" ca="1" si="147"/>
        <v>-1.4853760121635622E-5</v>
      </c>
      <c r="AA298" s="2">
        <f t="shared" ca="1" si="148"/>
        <v>-1.1458026838550334E-3</v>
      </c>
      <c r="AB298" s="11">
        <f t="shared" ca="1" si="149"/>
        <v>-4.9053934342410677E-4</v>
      </c>
      <c r="AC298" s="2">
        <f t="shared" ca="1" si="150"/>
        <v>-5.5074395654535931E-3</v>
      </c>
      <c r="AF298" s="11">
        <f t="shared" ca="1" si="151"/>
        <v>0</v>
      </c>
      <c r="AG298" s="2">
        <f t="shared" ca="1" si="152"/>
        <v>-1.6358405771021967E-4</v>
      </c>
      <c r="AH298" s="2">
        <f t="shared" ca="1" si="153"/>
        <v>-1.614029402377854E-3</v>
      </c>
      <c r="AI298" s="2">
        <f t="shared" ca="1" si="154"/>
        <v>-1.4853760121635622E-5</v>
      </c>
      <c r="AJ298" s="2">
        <f t="shared" ca="1" si="155"/>
        <v>-1.1458026838550334E-3</v>
      </c>
      <c r="AK298" s="2">
        <f t="shared" ca="1" si="156"/>
        <v>-4.9053934342410677E-4</v>
      </c>
      <c r="AL298" s="2">
        <f t="shared" ca="1" si="157"/>
        <v>-5.5074395654535931E-3</v>
      </c>
      <c r="AN298" s="2" t="e">
        <f t="shared" ca="1" si="136"/>
        <v>#N/A</v>
      </c>
      <c r="AO298" s="2" t="e">
        <f t="shared" ca="1" si="137"/>
        <v>#N/A</v>
      </c>
      <c r="AP298" s="2" t="e">
        <f t="shared" ca="1" si="138"/>
        <v>#N/A</v>
      </c>
      <c r="AQ298" s="2" t="e">
        <f t="shared" ca="1" si="139"/>
        <v>#N/A</v>
      </c>
      <c r="AR298" s="2" t="e">
        <f t="shared" ca="1" si="140"/>
        <v>#N/A</v>
      </c>
      <c r="AS298" s="2" t="e">
        <f t="shared" ca="1" si="141"/>
        <v>#N/A</v>
      </c>
      <c r="AT298" s="9" t="e">
        <f t="shared" ca="1" si="142"/>
        <v>#N/A</v>
      </c>
      <c r="AU298" s="9" t="e">
        <f t="shared" ca="1" si="143"/>
        <v>#N/A</v>
      </c>
      <c r="AW298" s="2" t="e">
        <f t="shared" ca="1" si="165"/>
        <v>#N/A</v>
      </c>
      <c r="AX298" s="2" t="e">
        <f t="shared" ca="1" si="166"/>
        <v>#N/A</v>
      </c>
      <c r="AY298" s="2" t="e">
        <f t="shared" ca="1" si="167"/>
        <v>#N/A</v>
      </c>
      <c r="AZ298" s="2" t="e">
        <f t="shared" ca="1" si="168"/>
        <v>#N/A</v>
      </c>
      <c r="BA298" s="2" t="e">
        <f t="shared" ca="1" si="169"/>
        <v>#N/A</v>
      </c>
      <c r="BB298" s="2" t="e">
        <f t="shared" ca="1" si="170"/>
        <v>#N/A</v>
      </c>
      <c r="BC298" s="9" t="e">
        <f t="shared" ca="1" si="171"/>
        <v>#N/A</v>
      </c>
      <c r="BD298" s="9" t="e">
        <f t="shared" ca="1" si="172"/>
        <v>#N/A</v>
      </c>
    </row>
    <row r="299" spans="1:56" ht="15" x14ac:dyDescent="0.25">
      <c r="A299" s="90"/>
      <c r="B299" s="90"/>
      <c r="C299" s="91"/>
      <c r="D299" s="91"/>
      <c r="E299" s="91"/>
      <c r="F299" s="91"/>
      <c r="G299" s="91"/>
      <c r="H299" s="91"/>
      <c r="I299" s="91"/>
      <c r="J299" s="64"/>
      <c r="K299" s="64"/>
      <c r="L299" s="64"/>
      <c r="M299" s="64"/>
      <c r="O299" s="11">
        <f t="shared" ca="1" si="158"/>
        <v>-3.9378682616450625E-4</v>
      </c>
      <c r="P299" s="11">
        <f t="shared" ca="1" si="159"/>
        <v>-1.6358405771021967E-4</v>
      </c>
      <c r="Q299" s="11">
        <f t="shared" ca="1" si="160"/>
        <v>-1.614029402377854E-3</v>
      </c>
      <c r="R299" s="11">
        <f t="shared" ca="1" si="161"/>
        <v>-1.4853760121635622E-5</v>
      </c>
      <c r="S299" s="11">
        <f t="shared" ca="1" si="162"/>
        <v>-1.1458026838550334E-3</v>
      </c>
      <c r="T299" s="11">
        <f t="shared" ca="1" si="163"/>
        <v>-4.9053934342410677E-4</v>
      </c>
      <c r="U299" s="11">
        <f t="shared" ca="1" si="164"/>
        <v>-5.5074395654535931E-3</v>
      </c>
      <c r="V299" s="11"/>
      <c r="W299" s="11">
        <f t="shared" ca="1" si="144"/>
        <v>0</v>
      </c>
      <c r="X299" s="2">
        <f t="shared" ca="1" si="145"/>
        <v>-1.6358405771021967E-4</v>
      </c>
      <c r="Y299" s="2">
        <f t="shared" ca="1" si="146"/>
        <v>-1.614029402377854E-3</v>
      </c>
      <c r="Z299" s="11">
        <f t="shared" ca="1" si="147"/>
        <v>-1.4853760121635622E-5</v>
      </c>
      <c r="AA299" s="2">
        <f t="shared" ca="1" si="148"/>
        <v>-1.1458026838550334E-3</v>
      </c>
      <c r="AB299" s="11">
        <f t="shared" ca="1" si="149"/>
        <v>-4.9053934342410677E-4</v>
      </c>
      <c r="AC299" s="2">
        <f t="shared" ca="1" si="150"/>
        <v>-5.5074395654535931E-3</v>
      </c>
      <c r="AF299" s="11">
        <f t="shared" ca="1" si="151"/>
        <v>0</v>
      </c>
      <c r="AG299" s="2">
        <f t="shared" ca="1" si="152"/>
        <v>-1.6358405771021967E-4</v>
      </c>
      <c r="AH299" s="2">
        <f t="shared" ca="1" si="153"/>
        <v>-1.614029402377854E-3</v>
      </c>
      <c r="AI299" s="2">
        <f t="shared" ca="1" si="154"/>
        <v>-1.4853760121635622E-5</v>
      </c>
      <c r="AJ299" s="2">
        <f t="shared" ca="1" si="155"/>
        <v>-1.1458026838550334E-3</v>
      </c>
      <c r="AK299" s="2">
        <f t="shared" ca="1" si="156"/>
        <v>-4.9053934342410677E-4</v>
      </c>
      <c r="AL299" s="2">
        <f t="shared" ca="1" si="157"/>
        <v>-5.5074395654535931E-3</v>
      </c>
      <c r="AN299" s="2" t="e">
        <f t="shared" ca="1" si="136"/>
        <v>#N/A</v>
      </c>
      <c r="AO299" s="2" t="e">
        <f t="shared" ca="1" si="137"/>
        <v>#N/A</v>
      </c>
      <c r="AP299" s="2" t="e">
        <f t="shared" ca="1" si="138"/>
        <v>#N/A</v>
      </c>
      <c r="AQ299" s="2" t="e">
        <f t="shared" ca="1" si="139"/>
        <v>#N/A</v>
      </c>
      <c r="AR299" s="2" t="e">
        <f t="shared" ca="1" si="140"/>
        <v>#N/A</v>
      </c>
      <c r="AS299" s="2" t="e">
        <f t="shared" ca="1" si="141"/>
        <v>#N/A</v>
      </c>
      <c r="AT299" s="9" t="e">
        <f t="shared" ca="1" si="142"/>
        <v>#N/A</v>
      </c>
      <c r="AU299" s="9" t="e">
        <f t="shared" ca="1" si="143"/>
        <v>#N/A</v>
      </c>
      <c r="AW299" s="2" t="e">
        <f t="shared" ca="1" si="165"/>
        <v>#N/A</v>
      </c>
      <c r="AX299" s="2" t="e">
        <f t="shared" ca="1" si="166"/>
        <v>#N/A</v>
      </c>
      <c r="AY299" s="2" t="e">
        <f t="shared" ca="1" si="167"/>
        <v>#N/A</v>
      </c>
      <c r="AZ299" s="2" t="e">
        <f t="shared" ca="1" si="168"/>
        <v>#N/A</v>
      </c>
      <c r="BA299" s="2" t="e">
        <f t="shared" ca="1" si="169"/>
        <v>#N/A</v>
      </c>
      <c r="BB299" s="2" t="e">
        <f t="shared" ca="1" si="170"/>
        <v>#N/A</v>
      </c>
      <c r="BC299" s="9" t="e">
        <f t="shared" ca="1" si="171"/>
        <v>#N/A</v>
      </c>
      <c r="BD299" s="9" t="e">
        <f t="shared" ca="1" si="172"/>
        <v>#N/A</v>
      </c>
    </row>
    <row r="300" spans="1:56" ht="15" x14ac:dyDescent="0.25">
      <c r="A300" s="90"/>
      <c r="B300" s="90"/>
      <c r="C300" s="91"/>
      <c r="D300" s="91"/>
      <c r="E300" s="91"/>
      <c r="F300" s="91"/>
      <c r="G300" s="91"/>
      <c r="H300" s="91"/>
      <c r="I300" s="91"/>
      <c r="J300" s="64"/>
      <c r="K300" s="64"/>
      <c r="L300" s="64"/>
      <c r="M300" s="64"/>
      <c r="O300" s="11">
        <f t="shared" ca="1" si="158"/>
        <v>-3.9378682616450625E-4</v>
      </c>
      <c r="P300" s="11">
        <f t="shared" ca="1" si="159"/>
        <v>-1.6358405771021967E-4</v>
      </c>
      <c r="Q300" s="11">
        <f t="shared" ca="1" si="160"/>
        <v>-1.614029402377854E-3</v>
      </c>
      <c r="R300" s="11">
        <f t="shared" ca="1" si="161"/>
        <v>-1.4853760121635622E-5</v>
      </c>
      <c r="S300" s="11">
        <f t="shared" ca="1" si="162"/>
        <v>-1.1458026838550334E-3</v>
      </c>
      <c r="T300" s="11">
        <f t="shared" ca="1" si="163"/>
        <v>-4.9053934342410677E-4</v>
      </c>
      <c r="U300" s="11">
        <f t="shared" ca="1" si="164"/>
        <v>-5.5074395654535931E-3</v>
      </c>
      <c r="V300" s="11"/>
      <c r="W300" s="11">
        <f t="shared" ca="1" si="144"/>
        <v>0</v>
      </c>
      <c r="X300" s="2">
        <f t="shared" ca="1" si="145"/>
        <v>-1.6358405771021967E-4</v>
      </c>
      <c r="Y300" s="2">
        <f t="shared" ca="1" si="146"/>
        <v>-1.614029402377854E-3</v>
      </c>
      <c r="Z300" s="11">
        <f t="shared" ca="1" si="147"/>
        <v>-1.4853760121635622E-5</v>
      </c>
      <c r="AA300" s="2">
        <f t="shared" ca="1" si="148"/>
        <v>-1.1458026838550334E-3</v>
      </c>
      <c r="AB300" s="11">
        <f t="shared" ca="1" si="149"/>
        <v>-4.9053934342410677E-4</v>
      </c>
      <c r="AC300" s="2">
        <f t="shared" ca="1" si="150"/>
        <v>-5.5074395654535931E-3</v>
      </c>
      <c r="AF300" s="11">
        <f t="shared" ca="1" si="151"/>
        <v>0</v>
      </c>
      <c r="AG300" s="2">
        <f t="shared" ca="1" si="152"/>
        <v>-1.6358405771021967E-4</v>
      </c>
      <c r="AH300" s="2">
        <f t="shared" ca="1" si="153"/>
        <v>-1.614029402377854E-3</v>
      </c>
      <c r="AI300" s="2">
        <f t="shared" ca="1" si="154"/>
        <v>-1.4853760121635622E-5</v>
      </c>
      <c r="AJ300" s="2">
        <f t="shared" ca="1" si="155"/>
        <v>-1.1458026838550334E-3</v>
      </c>
      <c r="AK300" s="2">
        <f t="shared" ca="1" si="156"/>
        <v>-4.9053934342410677E-4</v>
      </c>
      <c r="AL300" s="2">
        <f t="shared" ca="1" si="157"/>
        <v>-5.5074395654535931E-3</v>
      </c>
      <c r="AN300" s="2" t="e">
        <f t="shared" ca="1" si="136"/>
        <v>#N/A</v>
      </c>
      <c r="AO300" s="2" t="e">
        <f t="shared" ca="1" si="137"/>
        <v>#N/A</v>
      </c>
      <c r="AP300" s="2" t="e">
        <f t="shared" ca="1" si="138"/>
        <v>#N/A</v>
      </c>
      <c r="AQ300" s="2" t="e">
        <f t="shared" ca="1" si="139"/>
        <v>#N/A</v>
      </c>
      <c r="AR300" s="2" t="e">
        <f t="shared" ca="1" si="140"/>
        <v>#N/A</v>
      </c>
      <c r="AS300" s="2" t="e">
        <f t="shared" ca="1" si="141"/>
        <v>#N/A</v>
      </c>
      <c r="AT300" s="9" t="e">
        <f t="shared" ca="1" si="142"/>
        <v>#N/A</v>
      </c>
      <c r="AU300" s="9" t="e">
        <f t="shared" ca="1" si="143"/>
        <v>#N/A</v>
      </c>
      <c r="AW300" s="2" t="e">
        <f t="shared" ca="1" si="165"/>
        <v>#N/A</v>
      </c>
      <c r="AX300" s="2" t="e">
        <f t="shared" ca="1" si="166"/>
        <v>#N/A</v>
      </c>
      <c r="AY300" s="2" t="e">
        <f t="shared" ca="1" si="167"/>
        <v>#N/A</v>
      </c>
      <c r="AZ300" s="2" t="e">
        <f t="shared" ca="1" si="168"/>
        <v>#N/A</v>
      </c>
      <c r="BA300" s="2" t="e">
        <f t="shared" ca="1" si="169"/>
        <v>#N/A</v>
      </c>
      <c r="BB300" s="2" t="e">
        <f t="shared" ca="1" si="170"/>
        <v>#N/A</v>
      </c>
      <c r="BC300" s="9" t="e">
        <f t="shared" ca="1" si="171"/>
        <v>#N/A</v>
      </c>
      <c r="BD300" s="9" t="e">
        <f t="shared" ca="1" si="172"/>
        <v>#N/A</v>
      </c>
    </row>
    <row r="301" spans="1:56" ht="15" x14ac:dyDescent="0.25">
      <c r="A301" s="90"/>
      <c r="B301" s="90"/>
      <c r="C301" s="91"/>
      <c r="D301" s="91"/>
      <c r="E301" s="91"/>
      <c r="F301" s="91"/>
      <c r="G301" s="91"/>
      <c r="H301" s="91"/>
      <c r="I301" s="91"/>
      <c r="J301" s="64"/>
      <c r="K301" s="64"/>
      <c r="L301" s="64"/>
      <c r="M301" s="64"/>
      <c r="O301" s="11">
        <f t="shared" ca="1" si="158"/>
        <v>-3.9378682616450625E-4</v>
      </c>
      <c r="P301" s="11">
        <f t="shared" ca="1" si="159"/>
        <v>-1.6358405771021967E-4</v>
      </c>
      <c r="Q301" s="11">
        <f t="shared" ca="1" si="160"/>
        <v>-1.614029402377854E-3</v>
      </c>
      <c r="R301" s="11">
        <f t="shared" ca="1" si="161"/>
        <v>-1.4853760121635622E-5</v>
      </c>
      <c r="S301" s="11">
        <f t="shared" ca="1" si="162"/>
        <v>-1.1458026838550334E-3</v>
      </c>
      <c r="T301" s="11">
        <f t="shared" ca="1" si="163"/>
        <v>-4.9053934342410677E-4</v>
      </c>
      <c r="U301" s="11">
        <f t="shared" ca="1" si="164"/>
        <v>-5.5074395654535931E-3</v>
      </c>
      <c r="V301" s="11"/>
      <c r="W301" s="11">
        <f t="shared" ca="1" si="144"/>
        <v>0</v>
      </c>
      <c r="X301" s="2">
        <f t="shared" ca="1" si="145"/>
        <v>-1.6358405771021967E-4</v>
      </c>
      <c r="Y301" s="2">
        <f t="shared" ca="1" si="146"/>
        <v>-1.614029402377854E-3</v>
      </c>
      <c r="Z301" s="11">
        <f t="shared" ca="1" si="147"/>
        <v>-1.4853760121635622E-5</v>
      </c>
      <c r="AA301" s="2">
        <f t="shared" ca="1" si="148"/>
        <v>-1.1458026838550334E-3</v>
      </c>
      <c r="AB301" s="11">
        <f t="shared" ca="1" si="149"/>
        <v>-4.9053934342410677E-4</v>
      </c>
      <c r="AC301" s="2">
        <f t="shared" ca="1" si="150"/>
        <v>-5.5074395654535931E-3</v>
      </c>
      <c r="AF301" s="11">
        <f t="shared" ca="1" si="151"/>
        <v>0</v>
      </c>
      <c r="AG301" s="2">
        <f t="shared" ca="1" si="152"/>
        <v>-1.6358405771021967E-4</v>
      </c>
      <c r="AH301" s="2">
        <f t="shared" ca="1" si="153"/>
        <v>-1.614029402377854E-3</v>
      </c>
      <c r="AI301" s="2">
        <f t="shared" ca="1" si="154"/>
        <v>-1.4853760121635622E-5</v>
      </c>
      <c r="AJ301" s="2">
        <f t="shared" ca="1" si="155"/>
        <v>-1.1458026838550334E-3</v>
      </c>
      <c r="AK301" s="2">
        <f t="shared" ca="1" si="156"/>
        <v>-4.9053934342410677E-4</v>
      </c>
      <c r="AL301" s="2">
        <f t="shared" ca="1" si="157"/>
        <v>-5.5074395654535931E-3</v>
      </c>
      <c r="AN301" s="2" t="e">
        <f t="shared" ca="1" si="136"/>
        <v>#N/A</v>
      </c>
      <c r="AO301" s="2" t="e">
        <f t="shared" ca="1" si="137"/>
        <v>#N/A</v>
      </c>
      <c r="AP301" s="2" t="e">
        <f t="shared" ca="1" si="138"/>
        <v>#N/A</v>
      </c>
      <c r="AQ301" s="2" t="e">
        <f t="shared" ca="1" si="139"/>
        <v>#N/A</v>
      </c>
      <c r="AR301" s="2" t="e">
        <f t="shared" ca="1" si="140"/>
        <v>#N/A</v>
      </c>
      <c r="AS301" s="2" t="e">
        <f t="shared" ca="1" si="141"/>
        <v>#N/A</v>
      </c>
      <c r="AT301" s="9" t="e">
        <f t="shared" ca="1" si="142"/>
        <v>#N/A</v>
      </c>
      <c r="AU301" s="9" t="e">
        <f t="shared" ca="1" si="143"/>
        <v>#N/A</v>
      </c>
      <c r="AW301" s="2" t="e">
        <f t="shared" ca="1" si="165"/>
        <v>#N/A</v>
      </c>
      <c r="AX301" s="2" t="e">
        <f t="shared" ca="1" si="166"/>
        <v>#N/A</v>
      </c>
      <c r="AY301" s="2" t="e">
        <f t="shared" ca="1" si="167"/>
        <v>#N/A</v>
      </c>
      <c r="AZ301" s="2" t="e">
        <f t="shared" ca="1" si="168"/>
        <v>#N/A</v>
      </c>
      <c r="BA301" s="2" t="e">
        <f t="shared" ca="1" si="169"/>
        <v>#N/A</v>
      </c>
      <c r="BB301" s="2" t="e">
        <f t="shared" ca="1" si="170"/>
        <v>#N/A</v>
      </c>
      <c r="BC301" s="9" t="e">
        <f t="shared" ca="1" si="171"/>
        <v>#N/A</v>
      </c>
      <c r="BD301" s="9" t="e">
        <f t="shared" ca="1" si="172"/>
        <v>#N/A</v>
      </c>
    </row>
    <row r="302" spans="1:56" ht="15" x14ac:dyDescent="0.25">
      <c r="A302" s="90"/>
      <c r="B302" s="90"/>
      <c r="C302" s="91"/>
      <c r="D302" s="91"/>
      <c r="E302" s="91"/>
      <c r="F302" s="91"/>
      <c r="G302" s="91"/>
      <c r="H302" s="91"/>
      <c r="I302" s="91"/>
      <c r="J302" s="64"/>
      <c r="K302" s="64"/>
      <c r="L302" s="64"/>
      <c r="M302" s="64"/>
      <c r="O302" s="11">
        <f t="shared" ca="1" si="158"/>
        <v>-3.9378682616450625E-4</v>
      </c>
      <c r="P302" s="11">
        <f t="shared" ca="1" si="159"/>
        <v>-1.6358405771021967E-4</v>
      </c>
      <c r="Q302" s="11">
        <f t="shared" ca="1" si="160"/>
        <v>-1.614029402377854E-3</v>
      </c>
      <c r="R302" s="11">
        <f t="shared" ca="1" si="161"/>
        <v>-1.4853760121635622E-5</v>
      </c>
      <c r="S302" s="11">
        <f t="shared" ca="1" si="162"/>
        <v>-1.1458026838550334E-3</v>
      </c>
      <c r="T302" s="11">
        <f t="shared" ca="1" si="163"/>
        <v>-4.9053934342410677E-4</v>
      </c>
      <c r="U302" s="11">
        <f t="shared" ca="1" si="164"/>
        <v>-5.5074395654535931E-3</v>
      </c>
      <c r="V302" s="11"/>
      <c r="W302" s="11">
        <f t="shared" ca="1" si="144"/>
        <v>0</v>
      </c>
      <c r="X302" s="2">
        <f t="shared" ca="1" si="145"/>
        <v>-1.6358405771021967E-4</v>
      </c>
      <c r="Y302" s="2">
        <f t="shared" ca="1" si="146"/>
        <v>-1.614029402377854E-3</v>
      </c>
      <c r="Z302" s="11">
        <f t="shared" ca="1" si="147"/>
        <v>-1.4853760121635622E-5</v>
      </c>
      <c r="AA302" s="2">
        <f t="shared" ca="1" si="148"/>
        <v>-1.1458026838550334E-3</v>
      </c>
      <c r="AB302" s="11">
        <f t="shared" ca="1" si="149"/>
        <v>-4.9053934342410677E-4</v>
      </c>
      <c r="AC302" s="2">
        <f t="shared" ca="1" si="150"/>
        <v>-5.5074395654535931E-3</v>
      </c>
      <c r="AF302" s="11">
        <f t="shared" ca="1" si="151"/>
        <v>0</v>
      </c>
      <c r="AG302" s="2">
        <f t="shared" ca="1" si="152"/>
        <v>-1.6358405771021967E-4</v>
      </c>
      <c r="AH302" s="2">
        <f t="shared" ca="1" si="153"/>
        <v>-1.614029402377854E-3</v>
      </c>
      <c r="AI302" s="2">
        <f t="shared" ca="1" si="154"/>
        <v>-1.4853760121635622E-5</v>
      </c>
      <c r="AJ302" s="2">
        <f t="shared" ca="1" si="155"/>
        <v>-1.1458026838550334E-3</v>
      </c>
      <c r="AK302" s="2">
        <f t="shared" ca="1" si="156"/>
        <v>-4.9053934342410677E-4</v>
      </c>
      <c r="AL302" s="2">
        <f t="shared" ca="1" si="157"/>
        <v>-5.5074395654535931E-3</v>
      </c>
      <c r="AN302" s="2" t="e">
        <f t="shared" ca="1" si="136"/>
        <v>#N/A</v>
      </c>
      <c r="AO302" s="2" t="e">
        <f t="shared" ca="1" si="137"/>
        <v>#N/A</v>
      </c>
      <c r="AP302" s="2" t="e">
        <f t="shared" ca="1" si="138"/>
        <v>#N/A</v>
      </c>
      <c r="AQ302" s="2" t="e">
        <f t="shared" ca="1" si="139"/>
        <v>#N/A</v>
      </c>
      <c r="AR302" s="2" t="e">
        <f t="shared" ca="1" si="140"/>
        <v>#N/A</v>
      </c>
      <c r="AS302" s="2" t="e">
        <f t="shared" ca="1" si="141"/>
        <v>#N/A</v>
      </c>
      <c r="AT302" s="9" t="e">
        <f t="shared" ca="1" si="142"/>
        <v>#N/A</v>
      </c>
      <c r="AU302" s="9" t="e">
        <f t="shared" ca="1" si="143"/>
        <v>#N/A</v>
      </c>
      <c r="AW302" s="2" t="e">
        <f t="shared" ca="1" si="165"/>
        <v>#N/A</v>
      </c>
      <c r="AX302" s="2" t="e">
        <f t="shared" ca="1" si="166"/>
        <v>#N/A</v>
      </c>
      <c r="AY302" s="2" t="e">
        <f t="shared" ca="1" si="167"/>
        <v>#N/A</v>
      </c>
      <c r="AZ302" s="2" t="e">
        <f t="shared" ca="1" si="168"/>
        <v>#N/A</v>
      </c>
      <c r="BA302" s="2" t="e">
        <f t="shared" ca="1" si="169"/>
        <v>#N/A</v>
      </c>
      <c r="BB302" s="2" t="e">
        <f t="shared" ca="1" si="170"/>
        <v>#N/A</v>
      </c>
      <c r="BC302" s="9" t="e">
        <f t="shared" ca="1" si="171"/>
        <v>#N/A</v>
      </c>
      <c r="BD302" s="9" t="e">
        <f t="shared" ca="1" si="172"/>
        <v>#N/A</v>
      </c>
    </row>
    <row r="303" spans="1:56" ht="15" x14ac:dyDescent="0.25">
      <c r="A303" s="90"/>
      <c r="B303" s="90"/>
      <c r="C303" s="91"/>
      <c r="D303" s="91"/>
      <c r="E303" s="91"/>
      <c r="F303" s="91"/>
      <c r="G303" s="91"/>
      <c r="H303" s="91"/>
      <c r="I303" s="91"/>
      <c r="J303" s="64"/>
      <c r="K303" s="64"/>
      <c r="L303" s="64"/>
      <c r="M303" s="64"/>
      <c r="O303" s="11">
        <f t="shared" ca="1" si="158"/>
        <v>-3.9378682616450625E-4</v>
      </c>
      <c r="P303" s="11">
        <f t="shared" ca="1" si="159"/>
        <v>-1.6358405771021967E-4</v>
      </c>
      <c r="Q303" s="11">
        <f t="shared" ca="1" si="160"/>
        <v>-1.614029402377854E-3</v>
      </c>
      <c r="R303" s="11">
        <f t="shared" ca="1" si="161"/>
        <v>-1.4853760121635622E-5</v>
      </c>
      <c r="S303" s="11">
        <f t="shared" ca="1" si="162"/>
        <v>-1.1458026838550334E-3</v>
      </c>
      <c r="T303" s="11">
        <f t="shared" ca="1" si="163"/>
        <v>-4.9053934342410677E-4</v>
      </c>
      <c r="U303" s="11">
        <f t="shared" ca="1" si="164"/>
        <v>-5.5074395654535931E-3</v>
      </c>
      <c r="V303" s="11"/>
      <c r="W303" s="11">
        <f t="shared" ca="1" si="144"/>
        <v>0</v>
      </c>
      <c r="X303" s="2">
        <f t="shared" ca="1" si="145"/>
        <v>-1.6358405771021967E-4</v>
      </c>
      <c r="Y303" s="2">
        <f t="shared" ca="1" si="146"/>
        <v>-1.614029402377854E-3</v>
      </c>
      <c r="Z303" s="11">
        <f t="shared" ca="1" si="147"/>
        <v>-1.4853760121635622E-5</v>
      </c>
      <c r="AA303" s="2">
        <f t="shared" ca="1" si="148"/>
        <v>-1.1458026838550334E-3</v>
      </c>
      <c r="AB303" s="11">
        <f t="shared" ca="1" si="149"/>
        <v>-4.9053934342410677E-4</v>
      </c>
      <c r="AC303" s="2">
        <f t="shared" ca="1" si="150"/>
        <v>-5.5074395654535931E-3</v>
      </c>
      <c r="AF303" s="11">
        <f t="shared" ca="1" si="151"/>
        <v>0</v>
      </c>
      <c r="AG303" s="2">
        <f t="shared" ca="1" si="152"/>
        <v>-1.6358405771021967E-4</v>
      </c>
      <c r="AH303" s="2">
        <f t="shared" ca="1" si="153"/>
        <v>-1.614029402377854E-3</v>
      </c>
      <c r="AI303" s="2">
        <f t="shared" ca="1" si="154"/>
        <v>-1.4853760121635622E-5</v>
      </c>
      <c r="AJ303" s="2">
        <f t="shared" ca="1" si="155"/>
        <v>-1.1458026838550334E-3</v>
      </c>
      <c r="AK303" s="2">
        <f t="shared" ca="1" si="156"/>
        <v>-4.9053934342410677E-4</v>
      </c>
      <c r="AL303" s="2">
        <f t="shared" ca="1" si="157"/>
        <v>-5.5074395654535931E-3</v>
      </c>
      <c r="AN303" s="2" t="e">
        <f t="shared" ca="1" si="136"/>
        <v>#N/A</v>
      </c>
      <c r="AO303" s="2" t="e">
        <f t="shared" ca="1" si="137"/>
        <v>#N/A</v>
      </c>
      <c r="AP303" s="2" t="e">
        <f t="shared" ca="1" si="138"/>
        <v>#N/A</v>
      </c>
      <c r="AQ303" s="2" t="e">
        <f t="shared" ca="1" si="139"/>
        <v>#N/A</v>
      </c>
      <c r="AR303" s="2" t="e">
        <f t="shared" ca="1" si="140"/>
        <v>#N/A</v>
      </c>
      <c r="AS303" s="2" t="e">
        <f t="shared" ca="1" si="141"/>
        <v>#N/A</v>
      </c>
      <c r="AT303" s="9" t="e">
        <f t="shared" ca="1" si="142"/>
        <v>#N/A</v>
      </c>
      <c r="AU303" s="9" t="e">
        <f t="shared" ca="1" si="143"/>
        <v>#N/A</v>
      </c>
      <c r="AW303" s="2" t="e">
        <f t="shared" ca="1" si="165"/>
        <v>#N/A</v>
      </c>
      <c r="AX303" s="2" t="e">
        <f t="shared" ca="1" si="166"/>
        <v>#N/A</v>
      </c>
      <c r="AY303" s="2" t="e">
        <f t="shared" ca="1" si="167"/>
        <v>#N/A</v>
      </c>
      <c r="AZ303" s="2" t="e">
        <f t="shared" ca="1" si="168"/>
        <v>#N/A</v>
      </c>
      <c r="BA303" s="2" t="e">
        <f t="shared" ca="1" si="169"/>
        <v>#N/A</v>
      </c>
      <c r="BB303" s="2" t="e">
        <f t="shared" ca="1" si="170"/>
        <v>#N/A</v>
      </c>
      <c r="BC303" s="9" t="e">
        <f t="shared" ca="1" si="171"/>
        <v>#N/A</v>
      </c>
      <c r="BD303" s="9" t="e">
        <f t="shared" ca="1" si="172"/>
        <v>#N/A</v>
      </c>
    </row>
    <row r="304" spans="1:56" ht="15" x14ac:dyDescent="0.25">
      <c r="A304" s="90"/>
      <c r="B304" s="90"/>
      <c r="C304" s="91"/>
      <c r="D304" s="91"/>
      <c r="E304" s="91"/>
      <c r="F304" s="91"/>
      <c r="G304" s="91"/>
      <c r="H304" s="91"/>
      <c r="I304" s="91"/>
      <c r="J304" s="64"/>
      <c r="K304" s="64"/>
      <c r="L304" s="64"/>
      <c r="M304" s="64"/>
      <c r="O304" s="11">
        <f t="shared" ca="1" si="158"/>
        <v>-3.9378682616450625E-4</v>
      </c>
      <c r="P304" s="11">
        <f t="shared" ca="1" si="159"/>
        <v>-1.6358405771021967E-4</v>
      </c>
      <c r="Q304" s="11">
        <f t="shared" ca="1" si="160"/>
        <v>-1.614029402377854E-3</v>
      </c>
      <c r="R304" s="11">
        <f t="shared" ca="1" si="161"/>
        <v>-1.4853760121635622E-5</v>
      </c>
      <c r="S304" s="11">
        <f t="shared" ca="1" si="162"/>
        <v>-1.1458026838550334E-3</v>
      </c>
      <c r="T304" s="11">
        <f t="shared" ca="1" si="163"/>
        <v>-4.9053934342410677E-4</v>
      </c>
      <c r="U304" s="11">
        <f t="shared" ca="1" si="164"/>
        <v>-5.5074395654535931E-3</v>
      </c>
      <c r="V304" s="11"/>
      <c r="W304" s="11">
        <f t="shared" ca="1" si="144"/>
        <v>0</v>
      </c>
      <c r="X304" s="2">
        <f t="shared" ca="1" si="145"/>
        <v>-1.6358405771021967E-4</v>
      </c>
      <c r="Y304" s="2">
        <f t="shared" ca="1" si="146"/>
        <v>-1.614029402377854E-3</v>
      </c>
      <c r="Z304" s="11">
        <f t="shared" ca="1" si="147"/>
        <v>-1.4853760121635622E-5</v>
      </c>
      <c r="AA304" s="2">
        <f t="shared" ca="1" si="148"/>
        <v>-1.1458026838550334E-3</v>
      </c>
      <c r="AB304" s="11">
        <f t="shared" ca="1" si="149"/>
        <v>-4.9053934342410677E-4</v>
      </c>
      <c r="AC304" s="2">
        <f t="shared" ca="1" si="150"/>
        <v>-5.5074395654535931E-3</v>
      </c>
      <c r="AF304" s="11">
        <f t="shared" ca="1" si="151"/>
        <v>0</v>
      </c>
      <c r="AG304" s="2">
        <f t="shared" ca="1" si="152"/>
        <v>-1.6358405771021967E-4</v>
      </c>
      <c r="AH304" s="2">
        <f t="shared" ca="1" si="153"/>
        <v>-1.614029402377854E-3</v>
      </c>
      <c r="AI304" s="2">
        <f t="shared" ca="1" si="154"/>
        <v>-1.4853760121635622E-5</v>
      </c>
      <c r="AJ304" s="2">
        <f t="shared" ca="1" si="155"/>
        <v>-1.1458026838550334E-3</v>
      </c>
      <c r="AK304" s="2">
        <f t="shared" ca="1" si="156"/>
        <v>-4.9053934342410677E-4</v>
      </c>
      <c r="AL304" s="2">
        <f t="shared" ca="1" si="157"/>
        <v>-5.5074395654535931E-3</v>
      </c>
      <c r="AN304" s="2" t="e">
        <f t="shared" ca="1" si="136"/>
        <v>#N/A</v>
      </c>
      <c r="AO304" s="2" t="e">
        <f t="shared" ca="1" si="137"/>
        <v>#N/A</v>
      </c>
      <c r="AP304" s="2" t="e">
        <f t="shared" ca="1" si="138"/>
        <v>#N/A</v>
      </c>
      <c r="AQ304" s="2" t="e">
        <f t="shared" ca="1" si="139"/>
        <v>#N/A</v>
      </c>
      <c r="AR304" s="2" t="e">
        <f t="shared" ca="1" si="140"/>
        <v>#N/A</v>
      </c>
      <c r="AS304" s="2" t="e">
        <f t="shared" ca="1" si="141"/>
        <v>#N/A</v>
      </c>
      <c r="AT304" s="9" t="e">
        <f t="shared" ca="1" si="142"/>
        <v>#N/A</v>
      </c>
      <c r="AU304" s="9" t="e">
        <f t="shared" ca="1" si="143"/>
        <v>#N/A</v>
      </c>
      <c r="AW304" s="2" t="e">
        <f t="shared" ca="1" si="165"/>
        <v>#N/A</v>
      </c>
      <c r="AX304" s="2" t="e">
        <f t="shared" ca="1" si="166"/>
        <v>#N/A</v>
      </c>
      <c r="AY304" s="2" t="e">
        <f t="shared" ca="1" si="167"/>
        <v>#N/A</v>
      </c>
      <c r="AZ304" s="2" t="e">
        <f t="shared" ca="1" si="168"/>
        <v>#N/A</v>
      </c>
      <c r="BA304" s="2" t="e">
        <f t="shared" ca="1" si="169"/>
        <v>#N/A</v>
      </c>
      <c r="BB304" s="2" t="e">
        <f t="shared" ca="1" si="170"/>
        <v>#N/A</v>
      </c>
      <c r="BC304" s="9" t="e">
        <f t="shared" ca="1" si="171"/>
        <v>#N/A</v>
      </c>
      <c r="BD304" s="9" t="e">
        <f t="shared" ca="1" si="172"/>
        <v>#N/A</v>
      </c>
    </row>
    <row r="305" spans="1:56" ht="15" x14ac:dyDescent="0.25">
      <c r="A305" s="90"/>
      <c r="B305" s="90"/>
      <c r="C305" s="91"/>
      <c r="D305" s="91"/>
      <c r="E305" s="91"/>
      <c r="F305" s="91"/>
      <c r="G305" s="91"/>
      <c r="H305" s="91"/>
      <c r="I305" s="91"/>
      <c r="J305" s="64"/>
      <c r="K305" s="64"/>
      <c r="L305" s="64"/>
      <c r="M305" s="64"/>
      <c r="O305" s="11">
        <f t="shared" ca="1" si="158"/>
        <v>-3.9378682616450625E-4</v>
      </c>
      <c r="P305" s="11">
        <f t="shared" ca="1" si="159"/>
        <v>-1.6358405771021967E-4</v>
      </c>
      <c r="Q305" s="11">
        <f t="shared" ca="1" si="160"/>
        <v>-1.614029402377854E-3</v>
      </c>
      <c r="R305" s="11">
        <f t="shared" ca="1" si="161"/>
        <v>-1.4853760121635622E-5</v>
      </c>
      <c r="S305" s="11">
        <f t="shared" ca="1" si="162"/>
        <v>-1.1458026838550334E-3</v>
      </c>
      <c r="T305" s="11">
        <f t="shared" ca="1" si="163"/>
        <v>-4.9053934342410677E-4</v>
      </c>
      <c r="U305" s="11">
        <f t="shared" ca="1" si="164"/>
        <v>-5.5074395654535931E-3</v>
      </c>
      <c r="V305" s="11"/>
      <c r="W305" s="11">
        <f t="shared" ca="1" si="144"/>
        <v>0</v>
      </c>
      <c r="X305" s="2">
        <f t="shared" ca="1" si="145"/>
        <v>-1.6358405771021967E-4</v>
      </c>
      <c r="Y305" s="2">
        <f t="shared" ca="1" si="146"/>
        <v>-1.614029402377854E-3</v>
      </c>
      <c r="Z305" s="11">
        <f t="shared" ca="1" si="147"/>
        <v>-1.4853760121635622E-5</v>
      </c>
      <c r="AA305" s="2">
        <f t="shared" ca="1" si="148"/>
        <v>-1.1458026838550334E-3</v>
      </c>
      <c r="AB305" s="11">
        <f t="shared" ca="1" si="149"/>
        <v>-4.9053934342410677E-4</v>
      </c>
      <c r="AC305" s="2">
        <f t="shared" ca="1" si="150"/>
        <v>-5.5074395654535931E-3</v>
      </c>
      <c r="AF305" s="11">
        <f t="shared" ca="1" si="151"/>
        <v>0</v>
      </c>
      <c r="AG305" s="2">
        <f t="shared" ca="1" si="152"/>
        <v>-1.6358405771021967E-4</v>
      </c>
      <c r="AH305" s="2">
        <f t="shared" ca="1" si="153"/>
        <v>-1.614029402377854E-3</v>
      </c>
      <c r="AI305" s="2">
        <f t="shared" ca="1" si="154"/>
        <v>-1.4853760121635622E-5</v>
      </c>
      <c r="AJ305" s="2">
        <f t="shared" ca="1" si="155"/>
        <v>-1.1458026838550334E-3</v>
      </c>
      <c r="AK305" s="2">
        <f t="shared" ca="1" si="156"/>
        <v>-4.9053934342410677E-4</v>
      </c>
      <c r="AL305" s="2">
        <f t="shared" ca="1" si="157"/>
        <v>-5.5074395654535931E-3</v>
      </c>
      <c r="AN305" s="2" t="e">
        <f t="shared" ca="1" si="136"/>
        <v>#N/A</v>
      </c>
      <c r="AO305" s="2" t="e">
        <f t="shared" ca="1" si="137"/>
        <v>#N/A</v>
      </c>
      <c r="AP305" s="2" t="e">
        <f t="shared" ca="1" si="138"/>
        <v>#N/A</v>
      </c>
      <c r="AQ305" s="2" t="e">
        <f t="shared" ca="1" si="139"/>
        <v>#N/A</v>
      </c>
      <c r="AR305" s="2" t="e">
        <f t="shared" ca="1" si="140"/>
        <v>#N/A</v>
      </c>
      <c r="AS305" s="2" t="e">
        <f t="shared" ca="1" si="141"/>
        <v>#N/A</v>
      </c>
      <c r="AT305" s="9" t="e">
        <f t="shared" ca="1" si="142"/>
        <v>#N/A</v>
      </c>
      <c r="AU305" s="9" t="e">
        <f t="shared" ca="1" si="143"/>
        <v>#N/A</v>
      </c>
      <c r="AW305" s="2" t="e">
        <f t="shared" ca="1" si="165"/>
        <v>#N/A</v>
      </c>
      <c r="AX305" s="2" t="e">
        <f t="shared" ca="1" si="166"/>
        <v>#N/A</v>
      </c>
      <c r="AY305" s="2" t="e">
        <f t="shared" ca="1" si="167"/>
        <v>#N/A</v>
      </c>
      <c r="AZ305" s="2" t="e">
        <f t="shared" ca="1" si="168"/>
        <v>#N/A</v>
      </c>
      <c r="BA305" s="2" t="e">
        <f t="shared" ca="1" si="169"/>
        <v>#N/A</v>
      </c>
      <c r="BB305" s="2" t="e">
        <f t="shared" ca="1" si="170"/>
        <v>#N/A</v>
      </c>
      <c r="BC305" s="9" t="e">
        <f t="shared" ca="1" si="171"/>
        <v>#N/A</v>
      </c>
      <c r="BD305" s="9" t="e">
        <f t="shared" ca="1" si="172"/>
        <v>#N/A</v>
      </c>
    </row>
    <row r="306" spans="1:56" ht="15" x14ac:dyDescent="0.25">
      <c r="A306" s="90"/>
      <c r="B306" s="90"/>
      <c r="C306" s="91"/>
      <c r="D306" s="91"/>
      <c r="E306" s="91"/>
      <c r="F306" s="91"/>
      <c r="G306" s="91"/>
      <c r="H306" s="91"/>
      <c r="I306" s="91"/>
      <c r="J306" s="64"/>
      <c r="K306" s="64"/>
      <c r="L306" s="64"/>
      <c r="M306" s="64"/>
      <c r="O306" s="11">
        <f t="shared" ca="1" si="158"/>
        <v>-3.9378682616450625E-4</v>
      </c>
      <c r="P306" s="11">
        <f t="shared" ca="1" si="159"/>
        <v>-1.6358405771021967E-4</v>
      </c>
      <c r="Q306" s="11">
        <f t="shared" ca="1" si="160"/>
        <v>-1.614029402377854E-3</v>
      </c>
      <c r="R306" s="11">
        <f t="shared" ca="1" si="161"/>
        <v>-1.4853760121635622E-5</v>
      </c>
      <c r="S306" s="11">
        <f t="shared" ca="1" si="162"/>
        <v>-1.1458026838550334E-3</v>
      </c>
      <c r="T306" s="11">
        <f t="shared" ca="1" si="163"/>
        <v>-4.9053934342410677E-4</v>
      </c>
      <c r="U306" s="11">
        <f t="shared" ca="1" si="164"/>
        <v>-5.5074395654535931E-3</v>
      </c>
      <c r="V306" s="11"/>
      <c r="W306" s="11">
        <f t="shared" ca="1" si="144"/>
        <v>0</v>
      </c>
      <c r="X306" s="2">
        <f t="shared" ca="1" si="145"/>
        <v>-1.6358405771021967E-4</v>
      </c>
      <c r="Y306" s="2">
        <f t="shared" ca="1" si="146"/>
        <v>-1.614029402377854E-3</v>
      </c>
      <c r="Z306" s="11">
        <f t="shared" ca="1" si="147"/>
        <v>-1.4853760121635622E-5</v>
      </c>
      <c r="AA306" s="2">
        <f t="shared" ca="1" si="148"/>
        <v>-1.1458026838550334E-3</v>
      </c>
      <c r="AB306" s="11">
        <f t="shared" ca="1" si="149"/>
        <v>-4.9053934342410677E-4</v>
      </c>
      <c r="AC306" s="2">
        <f t="shared" ca="1" si="150"/>
        <v>-5.5074395654535931E-3</v>
      </c>
      <c r="AF306" s="11">
        <f t="shared" ca="1" si="151"/>
        <v>0</v>
      </c>
      <c r="AG306" s="2">
        <f t="shared" ca="1" si="152"/>
        <v>-1.6358405771021967E-4</v>
      </c>
      <c r="AH306" s="2">
        <f t="shared" ca="1" si="153"/>
        <v>-1.614029402377854E-3</v>
      </c>
      <c r="AI306" s="2">
        <f t="shared" ca="1" si="154"/>
        <v>-1.4853760121635622E-5</v>
      </c>
      <c r="AJ306" s="2">
        <f t="shared" ca="1" si="155"/>
        <v>-1.1458026838550334E-3</v>
      </c>
      <c r="AK306" s="2">
        <f t="shared" ca="1" si="156"/>
        <v>-4.9053934342410677E-4</v>
      </c>
      <c r="AL306" s="2">
        <f t="shared" ca="1" si="157"/>
        <v>-5.5074395654535931E-3</v>
      </c>
      <c r="AN306" s="2" t="e">
        <f t="shared" ca="1" si="136"/>
        <v>#N/A</v>
      </c>
      <c r="AO306" s="2" t="e">
        <f t="shared" ca="1" si="137"/>
        <v>#N/A</v>
      </c>
      <c r="AP306" s="2" t="e">
        <f t="shared" ca="1" si="138"/>
        <v>#N/A</v>
      </c>
      <c r="AQ306" s="2" t="e">
        <f t="shared" ca="1" si="139"/>
        <v>#N/A</v>
      </c>
      <c r="AR306" s="2" t="e">
        <f t="shared" ca="1" si="140"/>
        <v>#N/A</v>
      </c>
      <c r="AS306" s="2" t="e">
        <f t="shared" ca="1" si="141"/>
        <v>#N/A</v>
      </c>
      <c r="AT306" s="9" t="e">
        <f t="shared" ca="1" si="142"/>
        <v>#N/A</v>
      </c>
      <c r="AU306" s="9" t="e">
        <f t="shared" ca="1" si="143"/>
        <v>#N/A</v>
      </c>
      <c r="AW306" s="2" t="e">
        <f t="shared" ca="1" si="165"/>
        <v>#N/A</v>
      </c>
      <c r="AX306" s="2" t="e">
        <f t="shared" ca="1" si="166"/>
        <v>#N/A</v>
      </c>
      <c r="AY306" s="2" t="e">
        <f t="shared" ca="1" si="167"/>
        <v>#N/A</v>
      </c>
      <c r="AZ306" s="2" t="e">
        <f t="shared" ca="1" si="168"/>
        <v>#N/A</v>
      </c>
      <c r="BA306" s="2" t="e">
        <f t="shared" ca="1" si="169"/>
        <v>#N/A</v>
      </c>
      <c r="BB306" s="2" t="e">
        <f t="shared" ca="1" si="170"/>
        <v>#N/A</v>
      </c>
      <c r="BC306" s="9" t="e">
        <f t="shared" ca="1" si="171"/>
        <v>#N/A</v>
      </c>
      <c r="BD306" s="9" t="e">
        <f t="shared" ca="1" si="172"/>
        <v>#N/A</v>
      </c>
    </row>
    <row r="307" spans="1:56" ht="15" x14ac:dyDescent="0.25">
      <c r="A307" s="90"/>
      <c r="B307" s="90"/>
      <c r="C307" s="91"/>
      <c r="D307" s="91"/>
      <c r="E307" s="91"/>
      <c r="F307" s="91"/>
      <c r="G307" s="91"/>
      <c r="H307" s="91"/>
      <c r="I307" s="91"/>
      <c r="J307" s="64"/>
      <c r="K307" s="64"/>
      <c r="L307" s="64"/>
      <c r="M307" s="64"/>
      <c r="O307" s="11">
        <f t="shared" ca="1" si="158"/>
        <v>-3.9378682616450625E-4</v>
      </c>
      <c r="P307" s="11">
        <f t="shared" ca="1" si="159"/>
        <v>-1.6358405771021967E-4</v>
      </c>
      <c r="Q307" s="11">
        <f t="shared" ca="1" si="160"/>
        <v>-1.614029402377854E-3</v>
      </c>
      <c r="R307" s="11">
        <f t="shared" ca="1" si="161"/>
        <v>-1.4853760121635622E-5</v>
      </c>
      <c r="S307" s="11">
        <f t="shared" ca="1" si="162"/>
        <v>-1.1458026838550334E-3</v>
      </c>
      <c r="T307" s="11">
        <f t="shared" ca="1" si="163"/>
        <v>-4.9053934342410677E-4</v>
      </c>
      <c r="U307" s="11">
        <f t="shared" ca="1" si="164"/>
        <v>-5.5074395654535931E-3</v>
      </c>
      <c r="V307" s="11"/>
      <c r="W307" s="11">
        <f t="shared" ca="1" si="144"/>
        <v>0</v>
      </c>
      <c r="X307" s="2">
        <f t="shared" ca="1" si="145"/>
        <v>-1.6358405771021967E-4</v>
      </c>
      <c r="Y307" s="2">
        <f t="shared" ca="1" si="146"/>
        <v>-1.614029402377854E-3</v>
      </c>
      <c r="Z307" s="11">
        <f t="shared" ca="1" si="147"/>
        <v>-1.4853760121635622E-5</v>
      </c>
      <c r="AA307" s="2">
        <f t="shared" ca="1" si="148"/>
        <v>-1.1458026838550334E-3</v>
      </c>
      <c r="AB307" s="11">
        <f t="shared" ca="1" si="149"/>
        <v>-4.9053934342410677E-4</v>
      </c>
      <c r="AC307" s="2">
        <f t="shared" ca="1" si="150"/>
        <v>-5.5074395654535931E-3</v>
      </c>
      <c r="AF307" s="11">
        <f t="shared" ca="1" si="151"/>
        <v>0</v>
      </c>
      <c r="AG307" s="2">
        <f t="shared" ca="1" si="152"/>
        <v>-1.6358405771021967E-4</v>
      </c>
      <c r="AH307" s="2">
        <f t="shared" ca="1" si="153"/>
        <v>-1.614029402377854E-3</v>
      </c>
      <c r="AI307" s="2">
        <f t="shared" ca="1" si="154"/>
        <v>-1.4853760121635622E-5</v>
      </c>
      <c r="AJ307" s="2">
        <f t="shared" ca="1" si="155"/>
        <v>-1.1458026838550334E-3</v>
      </c>
      <c r="AK307" s="2">
        <f t="shared" ca="1" si="156"/>
        <v>-4.9053934342410677E-4</v>
      </c>
      <c r="AL307" s="2">
        <f t="shared" ca="1" si="157"/>
        <v>-5.5074395654535931E-3</v>
      </c>
      <c r="AN307" s="2" t="e">
        <f t="shared" ca="1" si="136"/>
        <v>#N/A</v>
      </c>
      <c r="AO307" s="2" t="e">
        <f t="shared" ca="1" si="137"/>
        <v>#N/A</v>
      </c>
      <c r="AP307" s="2" t="e">
        <f t="shared" ca="1" si="138"/>
        <v>#N/A</v>
      </c>
      <c r="AQ307" s="2" t="e">
        <f t="shared" ca="1" si="139"/>
        <v>#N/A</v>
      </c>
      <c r="AR307" s="2" t="e">
        <f t="shared" ca="1" si="140"/>
        <v>#N/A</v>
      </c>
      <c r="AS307" s="2" t="e">
        <f t="shared" ca="1" si="141"/>
        <v>#N/A</v>
      </c>
      <c r="AT307" s="9" t="e">
        <f t="shared" ca="1" si="142"/>
        <v>#N/A</v>
      </c>
      <c r="AU307" s="9" t="e">
        <f t="shared" ca="1" si="143"/>
        <v>#N/A</v>
      </c>
      <c r="AW307" s="2" t="e">
        <f t="shared" ca="1" si="165"/>
        <v>#N/A</v>
      </c>
      <c r="AX307" s="2" t="e">
        <f t="shared" ca="1" si="166"/>
        <v>#N/A</v>
      </c>
      <c r="AY307" s="2" t="e">
        <f t="shared" ca="1" si="167"/>
        <v>#N/A</v>
      </c>
      <c r="AZ307" s="2" t="e">
        <f t="shared" ca="1" si="168"/>
        <v>#N/A</v>
      </c>
      <c r="BA307" s="2" t="e">
        <f t="shared" ca="1" si="169"/>
        <v>#N/A</v>
      </c>
      <c r="BB307" s="2" t="e">
        <f t="shared" ca="1" si="170"/>
        <v>#N/A</v>
      </c>
      <c r="BC307" s="9" t="e">
        <f t="shared" ca="1" si="171"/>
        <v>#N/A</v>
      </c>
      <c r="BD307" s="9" t="e">
        <f t="shared" ca="1" si="172"/>
        <v>#N/A</v>
      </c>
    </row>
    <row r="308" spans="1:56" ht="15" x14ac:dyDescent="0.25">
      <c r="A308" s="90"/>
      <c r="B308" s="90"/>
      <c r="C308" s="91"/>
      <c r="D308" s="91"/>
      <c r="E308" s="91"/>
      <c r="F308" s="91"/>
      <c r="G308" s="91"/>
      <c r="H308" s="91"/>
      <c r="I308" s="91"/>
      <c r="J308" s="64"/>
      <c r="K308" s="64"/>
      <c r="L308" s="64"/>
      <c r="M308" s="64"/>
      <c r="O308" s="11">
        <f t="shared" ca="1" si="158"/>
        <v>-3.9378682616450625E-4</v>
      </c>
      <c r="P308" s="11">
        <f t="shared" ca="1" si="159"/>
        <v>-1.6358405771021967E-4</v>
      </c>
      <c r="Q308" s="11">
        <f t="shared" ca="1" si="160"/>
        <v>-1.614029402377854E-3</v>
      </c>
      <c r="R308" s="11">
        <f t="shared" ca="1" si="161"/>
        <v>-1.4853760121635622E-5</v>
      </c>
      <c r="S308" s="11">
        <f t="shared" ca="1" si="162"/>
        <v>-1.1458026838550334E-3</v>
      </c>
      <c r="T308" s="11">
        <f t="shared" ca="1" si="163"/>
        <v>-4.9053934342410677E-4</v>
      </c>
      <c r="U308" s="11">
        <f t="shared" ca="1" si="164"/>
        <v>-5.5074395654535931E-3</v>
      </c>
      <c r="V308" s="11"/>
      <c r="W308" s="11">
        <f t="shared" ca="1" si="144"/>
        <v>0</v>
      </c>
      <c r="X308" s="2">
        <f t="shared" ca="1" si="145"/>
        <v>-1.6358405771021967E-4</v>
      </c>
      <c r="Y308" s="2">
        <f t="shared" ca="1" si="146"/>
        <v>-1.614029402377854E-3</v>
      </c>
      <c r="Z308" s="11">
        <f t="shared" ca="1" si="147"/>
        <v>-1.4853760121635622E-5</v>
      </c>
      <c r="AA308" s="2">
        <f t="shared" ca="1" si="148"/>
        <v>-1.1458026838550334E-3</v>
      </c>
      <c r="AB308" s="11">
        <f t="shared" ca="1" si="149"/>
        <v>-4.9053934342410677E-4</v>
      </c>
      <c r="AC308" s="2">
        <f t="shared" ca="1" si="150"/>
        <v>-5.5074395654535931E-3</v>
      </c>
      <c r="AF308" s="11">
        <f t="shared" ca="1" si="151"/>
        <v>0</v>
      </c>
      <c r="AG308" s="2">
        <f t="shared" ca="1" si="152"/>
        <v>-1.6358405771021967E-4</v>
      </c>
      <c r="AH308" s="2">
        <f t="shared" ca="1" si="153"/>
        <v>-1.614029402377854E-3</v>
      </c>
      <c r="AI308" s="2">
        <f t="shared" ca="1" si="154"/>
        <v>-1.4853760121635622E-5</v>
      </c>
      <c r="AJ308" s="2">
        <f t="shared" ca="1" si="155"/>
        <v>-1.1458026838550334E-3</v>
      </c>
      <c r="AK308" s="2">
        <f t="shared" ca="1" si="156"/>
        <v>-4.9053934342410677E-4</v>
      </c>
      <c r="AL308" s="2">
        <f t="shared" ca="1" si="157"/>
        <v>-5.5074395654535931E-3</v>
      </c>
      <c r="AN308" s="2" t="e">
        <f t="shared" ca="1" si="136"/>
        <v>#N/A</v>
      </c>
      <c r="AO308" s="2" t="e">
        <f t="shared" ca="1" si="137"/>
        <v>#N/A</v>
      </c>
      <c r="AP308" s="2" t="e">
        <f t="shared" ca="1" si="138"/>
        <v>#N/A</v>
      </c>
      <c r="AQ308" s="2" t="e">
        <f t="shared" ca="1" si="139"/>
        <v>#N/A</v>
      </c>
      <c r="AR308" s="2" t="e">
        <f t="shared" ca="1" si="140"/>
        <v>#N/A</v>
      </c>
      <c r="AS308" s="2" t="e">
        <f t="shared" ca="1" si="141"/>
        <v>#N/A</v>
      </c>
      <c r="AT308" s="9" t="e">
        <f t="shared" ca="1" si="142"/>
        <v>#N/A</v>
      </c>
      <c r="AU308" s="9" t="e">
        <f t="shared" ca="1" si="143"/>
        <v>#N/A</v>
      </c>
      <c r="AW308" s="2" t="e">
        <f t="shared" ca="1" si="165"/>
        <v>#N/A</v>
      </c>
      <c r="AX308" s="2" t="e">
        <f t="shared" ca="1" si="166"/>
        <v>#N/A</v>
      </c>
      <c r="AY308" s="2" t="e">
        <f t="shared" ca="1" si="167"/>
        <v>#N/A</v>
      </c>
      <c r="AZ308" s="2" t="e">
        <f t="shared" ca="1" si="168"/>
        <v>#N/A</v>
      </c>
      <c r="BA308" s="2" t="e">
        <f t="shared" ca="1" si="169"/>
        <v>#N/A</v>
      </c>
      <c r="BB308" s="2" t="e">
        <f t="shared" ca="1" si="170"/>
        <v>#N/A</v>
      </c>
      <c r="BC308" s="9" t="e">
        <f t="shared" ca="1" si="171"/>
        <v>#N/A</v>
      </c>
      <c r="BD308" s="9" t="e">
        <f t="shared" ca="1" si="172"/>
        <v>#N/A</v>
      </c>
    </row>
    <row r="309" spans="1:56" ht="15" x14ac:dyDescent="0.25">
      <c r="A309" s="90"/>
      <c r="B309" s="90"/>
      <c r="C309" s="91"/>
      <c r="D309" s="91"/>
      <c r="E309" s="91"/>
      <c r="F309" s="91"/>
      <c r="G309" s="91"/>
      <c r="H309" s="91"/>
      <c r="I309" s="91"/>
      <c r="J309" s="64"/>
      <c r="K309" s="64"/>
      <c r="L309" s="64"/>
      <c r="M309" s="64"/>
      <c r="O309" s="11">
        <f t="shared" ca="1" si="158"/>
        <v>-3.9378682616450625E-4</v>
      </c>
      <c r="P309" s="11">
        <f t="shared" ca="1" si="159"/>
        <v>-1.6358405771021967E-4</v>
      </c>
      <c r="Q309" s="11">
        <f t="shared" ca="1" si="160"/>
        <v>-1.614029402377854E-3</v>
      </c>
      <c r="R309" s="11">
        <f t="shared" ca="1" si="161"/>
        <v>-1.4853760121635622E-5</v>
      </c>
      <c r="S309" s="11">
        <f t="shared" ca="1" si="162"/>
        <v>-1.1458026838550334E-3</v>
      </c>
      <c r="T309" s="11">
        <f t="shared" ca="1" si="163"/>
        <v>-4.9053934342410677E-4</v>
      </c>
      <c r="U309" s="11">
        <f t="shared" ca="1" si="164"/>
        <v>-5.5074395654535931E-3</v>
      </c>
      <c r="V309" s="11"/>
      <c r="W309" s="11">
        <f t="shared" ca="1" si="144"/>
        <v>0</v>
      </c>
      <c r="X309" s="2">
        <f t="shared" ca="1" si="145"/>
        <v>-1.6358405771021967E-4</v>
      </c>
      <c r="Y309" s="2">
        <f t="shared" ca="1" si="146"/>
        <v>-1.614029402377854E-3</v>
      </c>
      <c r="Z309" s="11">
        <f t="shared" ca="1" si="147"/>
        <v>-1.4853760121635622E-5</v>
      </c>
      <c r="AA309" s="2">
        <f t="shared" ca="1" si="148"/>
        <v>-1.1458026838550334E-3</v>
      </c>
      <c r="AB309" s="11">
        <f t="shared" ca="1" si="149"/>
        <v>-4.9053934342410677E-4</v>
      </c>
      <c r="AC309" s="2">
        <f t="shared" ca="1" si="150"/>
        <v>-5.5074395654535931E-3</v>
      </c>
      <c r="AF309" s="11">
        <f t="shared" ca="1" si="151"/>
        <v>0</v>
      </c>
      <c r="AG309" s="2">
        <f t="shared" ca="1" si="152"/>
        <v>-1.6358405771021967E-4</v>
      </c>
      <c r="AH309" s="2">
        <f t="shared" ca="1" si="153"/>
        <v>-1.614029402377854E-3</v>
      </c>
      <c r="AI309" s="2">
        <f t="shared" ca="1" si="154"/>
        <v>-1.4853760121635622E-5</v>
      </c>
      <c r="AJ309" s="2">
        <f t="shared" ca="1" si="155"/>
        <v>-1.1458026838550334E-3</v>
      </c>
      <c r="AK309" s="2">
        <f t="shared" ca="1" si="156"/>
        <v>-4.9053934342410677E-4</v>
      </c>
      <c r="AL309" s="2">
        <f t="shared" ca="1" si="157"/>
        <v>-5.5074395654535931E-3</v>
      </c>
      <c r="AN309" s="2" t="e">
        <f t="shared" ca="1" si="136"/>
        <v>#N/A</v>
      </c>
      <c r="AO309" s="2" t="e">
        <f t="shared" ca="1" si="137"/>
        <v>#N/A</v>
      </c>
      <c r="AP309" s="2" t="e">
        <f t="shared" ca="1" si="138"/>
        <v>#N/A</v>
      </c>
      <c r="AQ309" s="2" t="e">
        <f t="shared" ca="1" si="139"/>
        <v>#N/A</v>
      </c>
      <c r="AR309" s="2" t="e">
        <f t="shared" ca="1" si="140"/>
        <v>#N/A</v>
      </c>
      <c r="AS309" s="2" t="e">
        <f t="shared" ca="1" si="141"/>
        <v>#N/A</v>
      </c>
      <c r="AT309" s="9" t="e">
        <f t="shared" ca="1" si="142"/>
        <v>#N/A</v>
      </c>
      <c r="AU309" s="9" t="e">
        <f t="shared" ca="1" si="143"/>
        <v>#N/A</v>
      </c>
      <c r="AW309" s="2" t="e">
        <f t="shared" ca="1" si="165"/>
        <v>#N/A</v>
      </c>
      <c r="AX309" s="2" t="e">
        <f t="shared" ca="1" si="166"/>
        <v>#N/A</v>
      </c>
      <c r="AY309" s="2" t="e">
        <f t="shared" ca="1" si="167"/>
        <v>#N/A</v>
      </c>
      <c r="AZ309" s="2" t="e">
        <f t="shared" ca="1" si="168"/>
        <v>#N/A</v>
      </c>
      <c r="BA309" s="2" t="e">
        <f t="shared" ca="1" si="169"/>
        <v>#N/A</v>
      </c>
      <c r="BB309" s="2" t="e">
        <f t="shared" ca="1" si="170"/>
        <v>#N/A</v>
      </c>
      <c r="BC309" s="9" t="e">
        <f t="shared" ca="1" si="171"/>
        <v>#N/A</v>
      </c>
      <c r="BD309" s="9" t="e">
        <f t="shared" ca="1" si="172"/>
        <v>#N/A</v>
      </c>
    </row>
    <row r="310" spans="1:56" ht="15" x14ac:dyDescent="0.25">
      <c r="A310" s="90"/>
      <c r="B310" s="90"/>
      <c r="C310" s="91"/>
      <c r="D310" s="91"/>
      <c r="E310" s="91"/>
      <c r="F310" s="91"/>
      <c r="G310" s="91"/>
      <c r="H310" s="91"/>
      <c r="I310" s="91"/>
      <c r="J310" s="64"/>
      <c r="K310" s="64"/>
      <c r="L310" s="64"/>
      <c r="M310" s="64"/>
      <c r="O310" s="11">
        <f t="shared" ca="1" si="158"/>
        <v>-3.9378682616450625E-4</v>
      </c>
      <c r="P310" s="11">
        <f t="shared" ca="1" si="159"/>
        <v>-1.6358405771021967E-4</v>
      </c>
      <c r="Q310" s="11">
        <f t="shared" ca="1" si="160"/>
        <v>-1.614029402377854E-3</v>
      </c>
      <c r="R310" s="11">
        <f t="shared" ca="1" si="161"/>
        <v>-1.4853760121635622E-5</v>
      </c>
      <c r="S310" s="11">
        <f t="shared" ca="1" si="162"/>
        <v>-1.1458026838550334E-3</v>
      </c>
      <c r="T310" s="11">
        <f t="shared" ca="1" si="163"/>
        <v>-4.9053934342410677E-4</v>
      </c>
      <c r="U310" s="11">
        <f t="shared" ca="1" si="164"/>
        <v>-5.5074395654535931E-3</v>
      </c>
      <c r="V310" s="11"/>
      <c r="W310" s="11">
        <f t="shared" ca="1" si="144"/>
        <v>0</v>
      </c>
      <c r="X310" s="2">
        <f t="shared" ca="1" si="145"/>
        <v>-1.6358405771021967E-4</v>
      </c>
      <c r="Y310" s="2">
        <f t="shared" ca="1" si="146"/>
        <v>-1.614029402377854E-3</v>
      </c>
      <c r="Z310" s="11">
        <f t="shared" ca="1" si="147"/>
        <v>-1.4853760121635622E-5</v>
      </c>
      <c r="AA310" s="2">
        <f t="shared" ca="1" si="148"/>
        <v>-1.1458026838550334E-3</v>
      </c>
      <c r="AB310" s="11">
        <f t="shared" ca="1" si="149"/>
        <v>-4.9053934342410677E-4</v>
      </c>
      <c r="AC310" s="2">
        <f t="shared" ca="1" si="150"/>
        <v>-5.5074395654535931E-3</v>
      </c>
      <c r="AF310" s="11">
        <f t="shared" ca="1" si="151"/>
        <v>0</v>
      </c>
      <c r="AG310" s="2">
        <f t="shared" ca="1" si="152"/>
        <v>-1.6358405771021967E-4</v>
      </c>
      <c r="AH310" s="2">
        <f t="shared" ca="1" si="153"/>
        <v>-1.614029402377854E-3</v>
      </c>
      <c r="AI310" s="2">
        <f t="shared" ca="1" si="154"/>
        <v>-1.4853760121635622E-5</v>
      </c>
      <c r="AJ310" s="2">
        <f t="shared" ca="1" si="155"/>
        <v>-1.1458026838550334E-3</v>
      </c>
      <c r="AK310" s="2">
        <f t="shared" ca="1" si="156"/>
        <v>-4.9053934342410677E-4</v>
      </c>
      <c r="AL310" s="2">
        <f t="shared" ca="1" si="157"/>
        <v>-5.5074395654535931E-3</v>
      </c>
      <c r="AN310" s="2" t="e">
        <f t="shared" ca="1" si="136"/>
        <v>#N/A</v>
      </c>
      <c r="AO310" s="2" t="e">
        <f t="shared" ca="1" si="137"/>
        <v>#N/A</v>
      </c>
      <c r="AP310" s="2" t="e">
        <f t="shared" ca="1" si="138"/>
        <v>#N/A</v>
      </c>
      <c r="AQ310" s="2" t="e">
        <f t="shared" ca="1" si="139"/>
        <v>#N/A</v>
      </c>
      <c r="AR310" s="2" t="e">
        <f t="shared" ca="1" si="140"/>
        <v>#N/A</v>
      </c>
      <c r="AS310" s="2" t="e">
        <f t="shared" ca="1" si="141"/>
        <v>#N/A</v>
      </c>
      <c r="AT310" s="9" t="e">
        <f t="shared" ca="1" si="142"/>
        <v>#N/A</v>
      </c>
      <c r="AU310" s="9" t="e">
        <f t="shared" ca="1" si="143"/>
        <v>#N/A</v>
      </c>
      <c r="AW310" s="2" t="e">
        <f t="shared" ca="1" si="165"/>
        <v>#N/A</v>
      </c>
      <c r="AX310" s="2" t="e">
        <f t="shared" ca="1" si="166"/>
        <v>#N/A</v>
      </c>
      <c r="AY310" s="2" t="e">
        <f t="shared" ca="1" si="167"/>
        <v>#N/A</v>
      </c>
      <c r="AZ310" s="2" t="e">
        <f t="shared" ca="1" si="168"/>
        <v>#N/A</v>
      </c>
      <c r="BA310" s="2" t="e">
        <f t="shared" ca="1" si="169"/>
        <v>#N/A</v>
      </c>
      <c r="BB310" s="2" t="e">
        <f t="shared" ca="1" si="170"/>
        <v>#N/A</v>
      </c>
      <c r="BC310" s="9" t="e">
        <f t="shared" ca="1" si="171"/>
        <v>#N/A</v>
      </c>
      <c r="BD310" s="9" t="e">
        <f t="shared" ca="1" si="172"/>
        <v>#N/A</v>
      </c>
    </row>
    <row r="311" spans="1:56" ht="15" x14ac:dyDescent="0.25">
      <c r="A311" s="90"/>
      <c r="B311" s="90"/>
      <c r="C311" s="91"/>
      <c r="D311" s="91"/>
      <c r="E311" s="91"/>
      <c r="F311" s="91"/>
      <c r="G311" s="91"/>
      <c r="H311" s="91"/>
      <c r="I311" s="91"/>
      <c r="J311" s="64"/>
      <c r="K311" s="64"/>
      <c r="L311" s="64"/>
      <c r="M311" s="64"/>
      <c r="O311" s="11">
        <f t="shared" ca="1" si="158"/>
        <v>-3.9378682616450625E-4</v>
      </c>
      <c r="P311" s="11">
        <f t="shared" ca="1" si="159"/>
        <v>-1.6358405771021967E-4</v>
      </c>
      <c r="Q311" s="11">
        <f t="shared" ca="1" si="160"/>
        <v>-1.614029402377854E-3</v>
      </c>
      <c r="R311" s="11">
        <f t="shared" ca="1" si="161"/>
        <v>-1.4853760121635622E-5</v>
      </c>
      <c r="S311" s="11">
        <f t="shared" ca="1" si="162"/>
        <v>-1.1458026838550334E-3</v>
      </c>
      <c r="T311" s="11">
        <f t="shared" ca="1" si="163"/>
        <v>-4.9053934342410677E-4</v>
      </c>
      <c r="U311" s="11">
        <f t="shared" ca="1" si="164"/>
        <v>-5.5074395654535931E-3</v>
      </c>
      <c r="V311" s="11"/>
      <c r="W311" s="11">
        <f t="shared" ca="1" si="144"/>
        <v>0</v>
      </c>
      <c r="X311" s="2">
        <f t="shared" ca="1" si="145"/>
        <v>-1.6358405771021967E-4</v>
      </c>
      <c r="Y311" s="2">
        <f t="shared" ca="1" si="146"/>
        <v>-1.614029402377854E-3</v>
      </c>
      <c r="Z311" s="11">
        <f t="shared" ca="1" si="147"/>
        <v>-1.4853760121635622E-5</v>
      </c>
      <c r="AA311" s="2">
        <f t="shared" ca="1" si="148"/>
        <v>-1.1458026838550334E-3</v>
      </c>
      <c r="AB311" s="11">
        <f t="shared" ca="1" si="149"/>
        <v>-4.9053934342410677E-4</v>
      </c>
      <c r="AC311" s="2">
        <f t="shared" ca="1" si="150"/>
        <v>-5.5074395654535931E-3</v>
      </c>
      <c r="AF311" s="11">
        <f t="shared" ca="1" si="151"/>
        <v>0</v>
      </c>
      <c r="AG311" s="2">
        <f t="shared" ca="1" si="152"/>
        <v>-1.6358405771021967E-4</v>
      </c>
      <c r="AH311" s="2">
        <f t="shared" ca="1" si="153"/>
        <v>-1.614029402377854E-3</v>
      </c>
      <c r="AI311" s="2">
        <f t="shared" ca="1" si="154"/>
        <v>-1.4853760121635622E-5</v>
      </c>
      <c r="AJ311" s="2">
        <f t="shared" ca="1" si="155"/>
        <v>-1.1458026838550334E-3</v>
      </c>
      <c r="AK311" s="2">
        <f t="shared" ca="1" si="156"/>
        <v>-4.9053934342410677E-4</v>
      </c>
      <c r="AL311" s="2">
        <f t="shared" ca="1" si="157"/>
        <v>-5.5074395654535931E-3</v>
      </c>
      <c r="AN311" s="2" t="e">
        <f t="shared" ca="1" si="136"/>
        <v>#N/A</v>
      </c>
      <c r="AO311" s="2" t="e">
        <f t="shared" ca="1" si="137"/>
        <v>#N/A</v>
      </c>
      <c r="AP311" s="2" t="e">
        <f t="shared" ca="1" si="138"/>
        <v>#N/A</v>
      </c>
      <c r="AQ311" s="2" t="e">
        <f t="shared" ca="1" si="139"/>
        <v>#N/A</v>
      </c>
      <c r="AR311" s="2" t="e">
        <f t="shared" ca="1" si="140"/>
        <v>#N/A</v>
      </c>
      <c r="AS311" s="2" t="e">
        <f t="shared" ca="1" si="141"/>
        <v>#N/A</v>
      </c>
      <c r="AT311" s="9" t="e">
        <f t="shared" ca="1" si="142"/>
        <v>#N/A</v>
      </c>
      <c r="AU311" s="9" t="e">
        <f t="shared" ca="1" si="143"/>
        <v>#N/A</v>
      </c>
      <c r="AW311" s="2" t="e">
        <f t="shared" ca="1" si="165"/>
        <v>#N/A</v>
      </c>
      <c r="AX311" s="2" t="e">
        <f t="shared" ca="1" si="166"/>
        <v>#N/A</v>
      </c>
      <c r="AY311" s="2" t="e">
        <f t="shared" ca="1" si="167"/>
        <v>#N/A</v>
      </c>
      <c r="AZ311" s="2" t="e">
        <f t="shared" ca="1" si="168"/>
        <v>#N/A</v>
      </c>
      <c r="BA311" s="2" t="e">
        <f t="shared" ca="1" si="169"/>
        <v>#N/A</v>
      </c>
      <c r="BB311" s="2" t="e">
        <f t="shared" ca="1" si="170"/>
        <v>#N/A</v>
      </c>
      <c r="BC311" s="9" t="e">
        <f t="shared" ca="1" si="171"/>
        <v>#N/A</v>
      </c>
      <c r="BD311" s="9" t="e">
        <f t="shared" ca="1" si="172"/>
        <v>#N/A</v>
      </c>
    </row>
    <row r="312" spans="1:56" ht="15" x14ac:dyDescent="0.25">
      <c r="A312" s="90"/>
      <c r="B312" s="90"/>
      <c r="C312" s="91"/>
      <c r="D312" s="91"/>
      <c r="E312" s="91"/>
      <c r="F312" s="91"/>
      <c r="G312" s="91"/>
      <c r="H312" s="91"/>
      <c r="I312" s="91"/>
      <c r="J312" s="64"/>
      <c r="K312" s="64"/>
      <c r="L312" s="64"/>
      <c r="M312" s="64"/>
      <c r="O312" s="11">
        <f t="shared" ca="1" si="158"/>
        <v>-3.9378682616450625E-4</v>
      </c>
      <c r="P312" s="11">
        <f t="shared" ca="1" si="159"/>
        <v>-1.6358405771021967E-4</v>
      </c>
      <c r="Q312" s="11">
        <f t="shared" ca="1" si="160"/>
        <v>-1.614029402377854E-3</v>
      </c>
      <c r="R312" s="11">
        <f t="shared" ca="1" si="161"/>
        <v>-1.4853760121635622E-5</v>
      </c>
      <c r="S312" s="11">
        <f t="shared" ca="1" si="162"/>
        <v>-1.1458026838550334E-3</v>
      </c>
      <c r="T312" s="11">
        <f t="shared" ca="1" si="163"/>
        <v>-4.9053934342410677E-4</v>
      </c>
      <c r="U312" s="11">
        <f t="shared" ca="1" si="164"/>
        <v>-5.5074395654535931E-3</v>
      </c>
      <c r="V312" s="11"/>
      <c r="W312" s="11">
        <f t="shared" ca="1" si="144"/>
        <v>0</v>
      </c>
      <c r="X312" s="2">
        <f t="shared" ca="1" si="145"/>
        <v>-1.6358405771021967E-4</v>
      </c>
      <c r="Y312" s="2">
        <f t="shared" ca="1" si="146"/>
        <v>-1.614029402377854E-3</v>
      </c>
      <c r="Z312" s="11">
        <f t="shared" ca="1" si="147"/>
        <v>-1.4853760121635622E-5</v>
      </c>
      <c r="AA312" s="2">
        <f t="shared" ca="1" si="148"/>
        <v>-1.1458026838550334E-3</v>
      </c>
      <c r="AB312" s="11">
        <f t="shared" ca="1" si="149"/>
        <v>-4.9053934342410677E-4</v>
      </c>
      <c r="AC312" s="2">
        <f t="shared" ca="1" si="150"/>
        <v>-5.5074395654535931E-3</v>
      </c>
      <c r="AF312" s="11">
        <f t="shared" ca="1" si="151"/>
        <v>0</v>
      </c>
      <c r="AG312" s="2">
        <f t="shared" ca="1" si="152"/>
        <v>-1.6358405771021967E-4</v>
      </c>
      <c r="AH312" s="2">
        <f t="shared" ca="1" si="153"/>
        <v>-1.614029402377854E-3</v>
      </c>
      <c r="AI312" s="2">
        <f t="shared" ca="1" si="154"/>
        <v>-1.4853760121635622E-5</v>
      </c>
      <c r="AJ312" s="2">
        <f t="shared" ca="1" si="155"/>
        <v>-1.1458026838550334E-3</v>
      </c>
      <c r="AK312" s="2">
        <f t="shared" ca="1" si="156"/>
        <v>-4.9053934342410677E-4</v>
      </c>
      <c r="AL312" s="2">
        <f t="shared" ca="1" si="157"/>
        <v>-5.5074395654535931E-3</v>
      </c>
      <c r="AN312" s="2" t="e">
        <f t="shared" ca="1" si="136"/>
        <v>#N/A</v>
      </c>
      <c r="AO312" s="2" t="e">
        <f t="shared" ca="1" si="137"/>
        <v>#N/A</v>
      </c>
      <c r="AP312" s="2" t="e">
        <f t="shared" ca="1" si="138"/>
        <v>#N/A</v>
      </c>
      <c r="AQ312" s="2" t="e">
        <f t="shared" ca="1" si="139"/>
        <v>#N/A</v>
      </c>
      <c r="AR312" s="2" t="e">
        <f t="shared" ca="1" si="140"/>
        <v>#N/A</v>
      </c>
      <c r="AS312" s="2" t="e">
        <f t="shared" ca="1" si="141"/>
        <v>#N/A</v>
      </c>
      <c r="AT312" s="9" t="e">
        <f t="shared" ca="1" si="142"/>
        <v>#N/A</v>
      </c>
      <c r="AU312" s="9" t="e">
        <f t="shared" ca="1" si="143"/>
        <v>#N/A</v>
      </c>
      <c r="AW312" s="2" t="e">
        <f t="shared" ca="1" si="165"/>
        <v>#N/A</v>
      </c>
      <c r="AX312" s="2" t="e">
        <f t="shared" ca="1" si="166"/>
        <v>#N/A</v>
      </c>
      <c r="AY312" s="2" t="e">
        <f t="shared" ca="1" si="167"/>
        <v>#N/A</v>
      </c>
      <c r="AZ312" s="2" t="e">
        <f t="shared" ca="1" si="168"/>
        <v>#N/A</v>
      </c>
      <c r="BA312" s="2" t="e">
        <f t="shared" ca="1" si="169"/>
        <v>#N/A</v>
      </c>
      <c r="BB312" s="2" t="e">
        <f t="shared" ca="1" si="170"/>
        <v>#N/A</v>
      </c>
      <c r="BC312" s="9" t="e">
        <f t="shared" ca="1" si="171"/>
        <v>#N/A</v>
      </c>
      <c r="BD312" s="9" t="e">
        <f t="shared" ca="1" si="172"/>
        <v>#N/A</v>
      </c>
    </row>
    <row r="313" spans="1:56" ht="15" x14ac:dyDescent="0.25">
      <c r="A313" s="90"/>
      <c r="B313" s="90"/>
      <c r="C313" s="91"/>
      <c r="D313" s="91"/>
      <c r="E313" s="91"/>
      <c r="F313" s="91"/>
      <c r="G313" s="91"/>
      <c r="H313" s="91"/>
      <c r="I313" s="91"/>
      <c r="J313" s="64"/>
      <c r="K313" s="64"/>
      <c r="L313" s="64"/>
      <c r="M313" s="64"/>
      <c r="O313" s="11">
        <f t="shared" ca="1" si="158"/>
        <v>-3.9378682616450625E-4</v>
      </c>
      <c r="P313" s="11">
        <f t="shared" ca="1" si="159"/>
        <v>-1.6358405771021967E-4</v>
      </c>
      <c r="Q313" s="11">
        <f t="shared" ca="1" si="160"/>
        <v>-1.614029402377854E-3</v>
      </c>
      <c r="R313" s="11">
        <f t="shared" ca="1" si="161"/>
        <v>-1.4853760121635622E-5</v>
      </c>
      <c r="S313" s="11">
        <f t="shared" ca="1" si="162"/>
        <v>-1.1458026838550334E-3</v>
      </c>
      <c r="T313" s="11">
        <f t="shared" ca="1" si="163"/>
        <v>-4.9053934342410677E-4</v>
      </c>
      <c r="U313" s="11">
        <f t="shared" ca="1" si="164"/>
        <v>-5.5074395654535931E-3</v>
      </c>
      <c r="V313" s="11"/>
      <c r="W313" s="11">
        <f t="shared" ca="1" si="144"/>
        <v>0</v>
      </c>
      <c r="X313" s="2">
        <f t="shared" ca="1" si="145"/>
        <v>-1.6358405771021967E-4</v>
      </c>
      <c r="Y313" s="2">
        <f t="shared" ca="1" si="146"/>
        <v>-1.614029402377854E-3</v>
      </c>
      <c r="Z313" s="11">
        <f t="shared" ca="1" si="147"/>
        <v>-1.4853760121635622E-5</v>
      </c>
      <c r="AA313" s="2">
        <f t="shared" ca="1" si="148"/>
        <v>-1.1458026838550334E-3</v>
      </c>
      <c r="AB313" s="11">
        <f t="shared" ca="1" si="149"/>
        <v>-4.9053934342410677E-4</v>
      </c>
      <c r="AC313" s="2">
        <f t="shared" ca="1" si="150"/>
        <v>-5.5074395654535931E-3</v>
      </c>
      <c r="AF313" s="11">
        <f t="shared" ca="1" si="151"/>
        <v>0</v>
      </c>
      <c r="AG313" s="2">
        <f t="shared" ca="1" si="152"/>
        <v>-1.6358405771021967E-4</v>
      </c>
      <c r="AH313" s="2">
        <f t="shared" ca="1" si="153"/>
        <v>-1.614029402377854E-3</v>
      </c>
      <c r="AI313" s="2">
        <f t="shared" ca="1" si="154"/>
        <v>-1.4853760121635622E-5</v>
      </c>
      <c r="AJ313" s="2">
        <f t="shared" ca="1" si="155"/>
        <v>-1.1458026838550334E-3</v>
      </c>
      <c r="AK313" s="2">
        <f t="shared" ca="1" si="156"/>
        <v>-4.9053934342410677E-4</v>
      </c>
      <c r="AL313" s="2">
        <f t="shared" ca="1" si="157"/>
        <v>-5.5074395654535931E-3</v>
      </c>
      <c r="AN313" s="2" t="e">
        <f t="shared" ca="1" si="136"/>
        <v>#N/A</v>
      </c>
      <c r="AO313" s="2" t="e">
        <f t="shared" ca="1" si="137"/>
        <v>#N/A</v>
      </c>
      <c r="AP313" s="2" t="e">
        <f t="shared" ca="1" si="138"/>
        <v>#N/A</v>
      </c>
      <c r="AQ313" s="2" t="e">
        <f t="shared" ca="1" si="139"/>
        <v>#N/A</v>
      </c>
      <c r="AR313" s="2" t="e">
        <f t="shared" ca="1" si="140"/>
        <v>#N/A</v>
      </c>
      <c r="AS313" s="2" t="e">
        <f t="shared" ca="1" si="141"/>
        <v>#N/A</v>
      </c>
      <c r="AT313" s="9" t="e">
        <f t="shared" ca="1" si="142"/>
        <v>#N/A</v>
      </c>
      <c r="AU313" s="9" t="e">
        <f t="shared" ca="1" si="143"/>
        <v>#N/A</v>
      </c>
      <c r="AW313" s="2" t="e">
        <f t="shared" ca="1" si="165"/>
        <v>#N/A</v>
      </c>
      <c r="AX313" s="2" t="e">
        <f t="shared" ca="1" si="166"/>
        <v>#N/A</v>
      </c>
      <c r="AY313" s="2" t="e">
        <f t="shared" ca="1" si="167"/>
        <v>#N/A</v>
      </c>
      <c r="AZ313" s="2" t="e">
        <f t="shared" ca="1" si="168"/>
        <v>#N/A</v>
      </c>
      <c r="BA313" s="2" t="e">
        <f t="shared" ca="1" si="169"/>
        <v>#N/A</v>
      </c>
      <c r="BB313" s="2" t="e">
        <f t="shared" ca="1" si="170"/>
        <v>#N/A</v>
      </c>
      <c r="BC313" s="9" t="e">
        <f t="shared" ca="1" si="171"/>
        <v>#N/A</v>
      </c>
      <c r="BD313" s="9" t="e">
        <f t="shared" ca="1" si="172"/>
        <v>#N/A</v>
      </c>
    </row>
    <row r="314" spans="1:56" ht="15" x14ac:dyDescent="0.25">
      <c r="A314" s="90"/>
      <c r="B314" s="90"/>
      <c r="C314" s="91"/>
      <c r="D314" s="91"/>
      <c r="E314" s="91"/>
      <c r="F314" s="91"/>
      <c r="G314" s="91"/>
      <c r="H314" s="91"/>
      <c r="I314" s="91"/>
      <c r="J314" s="64"/>
      <c r="K314" s="64"/>
      <c r="L314" s="64"/>
      <c r="M314" s="64"/>
      <c r="O314" s="11">
        <f t="shared" ca="1" si="158"/>
        <v>-3.9378682616450625E-4</v>
      </c>
      <c r="P314" s="11">
        <f t="shared" ca="1" si="159"/>
        <v>-1.6358405771021967E-4</v>
      </c>
      <c r="Q314" s="11">
        <f t="shared" ca="1" si="160"/>
        <v>-1.614029402377854E-3</v>
      </c>
      <c r="R314" s="11">
        <f t="shared" ca="1" si="161"/>
        <v>-1.4853760121635622E-5</v>
      </c>
      <c r="S314" s="11">
        <f t="shared" ca="1" si="162"/>
        <v>-1.1458026838550334E-3</v>
      </c>
      <c r="T314" s="11">
        <f t="shared" ca="1" si="163"/>
        <v>-4.9053934342410677E-4</v>
      </c>
      <c r="U314" s="11">
        <f t="shared" ca="1" si="164"/>
        <v>-5.5074395654535931E-3</v>
      </c>
      <c r="V314" s="11"/>
      <c r="W314" s="11">
        <f t="shared" ca="1" si="144"/>
        <v>0</v>
      </c>
      <c r="X314" s="2">
        <f t="shared" ca="1" si="145"/>
        <v>-1.6358405771021967E-4</v>
      </c>
      <c r="Y314" s="2">
        <f t="shared" ca="1" si="146"/>
        <v>-1.614029402377854E-3</v>
      </c>
      <c r="Z314" s="11">
        <f t="shared" ca="1" si="147"/>
        <v>-1.4853760121635622E-5</v>
      </c>
      <c r="AA314" s="2">
        <f t="shared" ca="1" si="148"/>
        <v>-1.1458026838550334E-3</v>
      </c>
      <c r="AB314" s="11">
        <f t="shared" ca="1" si="149"/>
        <v>-4.9053934342410677E-4</v>
      </c>
      <c r="AC314" s="2">
        <f t="shared" ca="1" si="150"/>
        <v>-5.5074395654535931E-3</v>
      </c>
      <c r="AF314" s="11">
        <f t="shared" ca="1" si="151"/>
        <v>0</v>
      </c>
      <c r="AG314" s="2">
        <f t="shared" ca="1" si="152"/>
        <v>-1.6358405771021967E-4</v>
      </c>
      <c r="AH314" s="2">
        <f t="shared" ca="1" si="153"/>
        <v>-1.614029402377854E-3</v>
      </c>
      <c r="AI314" s="2">
        <f t="shared" ca="1" si="154"/>
        <v>-1.4853760121635622E-5</v>
      </c>
      <c r="AJ314" s="2">
        <f t="shared" ca="1" si="155"/>
        <v>-1.1458026838550334E-3</v>
      </c>
      <c r="AK314" s="2">
        <f t="shared" ca="1" si="156"/>
        <v>-4.9053934342410677E-4</v>
      </c>
      <c r="AL314" s="2">
        <f t="shared" ca="1" si="157"/>
        <v>-5.5074395654535931E-3</v>
      </c>
      <c r="AN314" s="2" t="e">
        <f t="shared" ca="1" si="136"/>
        <v>#N/A</v>
      </c>
      <c r="AO314" s="2" t="e">
        <f t="shared" ca="1" si="137"/>
        <v>#N/A</v>
      </c>
      <c r="AP314" s="2" t="e">
        <f t="shared" ca="1" si="138"/>
        <v>#N/A</v>
      </c>
      <c r="AQ314" s="2" t="e">
        <f t="shared" ca="1" si="139"/>
        <v>#N/A</v>
      </c>
      <c r="AR314" s="2" t="e">
        <f t="shared" ca="1" si="140"/>
        <v>#N/A</v>
      </c>
      <c r="AS314" s="2" t="e">
        <f t="shared" ca="1" si="141"/>
        <v>#N/A</v>
      </c>
      <c r="AT314" s="9" t="e">
        <f t="shared" ca="1" si="142"/>
        <v>#N/A</v>
      </c>
      <c r="AU314" s="9" t="e">
        <f t="shared" ca="1" si="143"/>
        <v>#N/A</v>
      </c>
      <c r="AW314" s="2" t="e">
        <f t="shared" ca="1" si="165"/>
        <v>#N/A</v>
      </c>
      <c r="AX314" s="2" t="e">
        <f t="shared" ca="1" si="166"/>
        <v>#N/A</v>
      </c>
      <c r="AY314" s="2" t="e">
        <f t="shared" ca="1" si="167"/>
        <v>#N/A</v>
      </c>
      <c r="AZ314" s="2" t="e">
        <f t="shared" ca="1" si="168"/>
        <v>#N/A</v>
      </c>
      <c r="BA314" s="2" t="e">
        <f t="shared" ca="1" si="169"/>
        <v>#N/A</v>
      </c>
      <c r="BB314" s="2" t="e">
        <f t="shared" ca="1" si="170"/>
        <v>#N/A</v>
      </c>
      <c r="BC314" s="9" t="e">
        <f t="shared" ca="1" si="171"/>
        <v>#N/A</v>
      </c>
      <c r="BD314" s="9" t="e">
        <f t="shared" ca="1" si="172"/>
        <v>#N/A</v>
      </c>
    </row>
    <row r="315" spans="1:56" ht="15" x14ac:dyDescent="0.25">
      <c r="A315" s="90"/>
      <c r="B315" s="90"/>
      <c r="C315" s="91"/>
      <c r="D315" s="91"/>
      <c r="E315" s="91"/>
      <c r="F315" s="91"/>
      <c r="G315" s="91"/>
      <c r="H315" s="91"/>
      <c r="I315" s="91"/>
      <c r="J315" s="64"/>
      <c r="K315" s="64"/>
      <c r="L315" s="64"/>
      <c r="M315" s="64"/>
      <c r="O315" s="11">
        <f t="shared" ca="1" si="158"/>
        <v>-3.9378682616450625E-4</v>
      </c>
      <c r="P315" s="11">
        <f t="shared" ca="1" si="159"/>
        <v>-1.6358405771021967E-4</v>
      </c>
      <c r="Q315" s="11">
        <f t="shared" ca="1" si="160"/>
        <v>-1.614029402377854E-3</v>
      </c>
      <c r="R315" s="11">
        <f t="shared" ca="1" si="161"/>
        <v>-1.4853760121635622E-5</v>
      </c>
      <c r="S315" s="11">
        <f t="shared" ca="1" si="162"/>
        <v>-1.1458026838550334E-3</v>
      </c>
      <c r="T315" s="11">
        <f t="shared" ca="1" si="163"/>
        <v>-4.9053934342410677E-4</v>
      </c>
      <c r="U315" s="11">
        <f t="shared" ca="1" si="164"/>
        <v>-5.5074395654535931E-3</v>
      </c>
      <c r="V315" s="11"/>
      <c r="W315" s="11">
        <f t="shared" ca="1" si="144"/>
        <v>0</v>
      </c>
      <c r="X315" s="2">
        <f t="shared" ca="1" si="145"/>
        <v>-1.6358405771021967E-4</v>
      </c>
      <c r="Y315" s="2">
        <f t="shared" ca="1" si="146"/>
        <v>-1.614029402377854E-3</v>
      </c>
      <c r="Z315" s="11">
        <f t="shared" ca="1" si="147"/>
        <v>-1.4853760121635622E-5</v>
      </c>
      <c r="AA315" s="2">
        <f t="shared" ca="1" si="148"/>
        <v>-1.1458026838550334E-3</v>
      </c>
      <c r="AB315" s="11">
        <f t="shared" ca="1" si="149"/>
        <v>-4.9053934342410677E-4</v>
      </c>
      <c r="AC315" s="2">
        <f t="shared" ca="1" si="150"/>
        <v>-5.5074395654535931E-3</v>
      </c>
      <c r="AF315" s="11">
        <f t="shared" ca="1" si="151"/>
        <v>0</v>
      </c>
      <c r="AG315" s="2">
        <f t="shared" ca="1" si="152"/>
        <v>-1.6358405771021967E-4</v>
      </c>
      <c r="AH315" s="2">
        <f t="shared" ca="1" si="153"/>
        <v>-1.614029402377854E-3</v>
      </c>
      <c r="AI315" s="2">
        <f t="shared" ca="1" si="154"/>
        <v>-1.4853760121635622E-5</v>
      </c>
      <c r="AJ315" s="2">
        <f t="shared" ca="1" si="155"/>
        <v>-1.1458026838550334E-3</v>
      </c>
      <c r="AK315" s="2">
        <f t="shared" ca="1" si="156"/>
        <v>-4.9053934342410677E-4</v>
      </c>
      <c r="AL315" s="2">
        <f t="shared" ca="1" si="157"/>
        <v>-5.5074395654535931E-3</v>
      </c>
      <c r="AN315" s="2" t="e">
        <f t="shared" ca="1" si="136"/>
        <v>#N/A</v>
      </c>
      <c r="AO315" s="2" t="e">
        <f t="shared" ca="1" si="137"/>
        <v>#N/A</v>
      </c>
      <c r="AP315" s="2" t="e">
        <f t="shared" ca="1" si="138"/>
        <v>#N/A</v>
      </c>
      <c r="AQ315" s="2" t="e">
        <f t="shared" ca="1" si="139"/>
        <v>#N/A</v>
      </c>
      <c r="AR315" s="2" t="e">
        <f t="shared" ca="1" si="140"/>
        <v>#N/A</v>
      </c>
      <c r="AS315" s="2" t="e">
        <f t="shared" ca="1" si="141"/>
        <v>#N/A</v>
      </c>
      <c r="AT315" s="9" t="e">
        <f t="shared" ca="1" si="142"/>
        <v>#N/A</v>
      </c>
      <c r="AU315" s="9" t="e">
        <f t="shared" ca="1" si="143"/>
        <v>#N/A</v>
      </c>
      <c r="AW315" s="2" t="e">
        <f t="shared" ca="1" si="165"/>
        <v>#N/A</v>
      </c>
      <c r="AX315" s="2" t="e">
        <f t="shared" ca="1" si="166"/>
        <v>#N/A</v>
      </c>
      <c r="AY315" s="2" t="e">
        <f t="shared" ca="1" si="167"/>
        <v>#N/A</v>
      </c>
      <c r="AZ315" s="2" t="e">
        <f t="shared" ca="1" si="168"/>
        <v>#N/A</v>
      </c>
      <c r="BA315" s="2" t="e">
        <f t="shared" ca="1" si="169"/>
        <v>#N/A</v>
      </c>
      <c r="BB315" s="2" t="e">
        <f t="shared" ca="1" si="170"/>
        <v>#N/A</v>
      </c>
      <c r="BC315" s="9" t="e">
        <f t="shared" ca="1" si="171"/>
        <v>#N/A</v>
      </c>
      <c r="BD315" s="9" t="e">
        <f t="shared" ca="1" si="172"/>
        <v>#N/A</v>
      </c>
    </row>
    <row r="316" spans="1:56" ht="15" x14ac:dyDescent="0.25">
      <c r="A316" s="90"/>
      <c r="B316" s="90"/>
      <c r="C316" s="91"/>
      <c r="D316" s="91"/>
      <c r="E316" s="91"/>
      <c r="F316" s="91"/>
      <c r="G316" s="91"/>
      <c r="H316" s="91"/>
      <c r="I316" s="91"/>
      <c r="J316" s="64"/>
      <c r="K316" s="64"/>
      <c r="L316" s="64"/>
      <c r="M316" s="64"/>
      <c r="O316" s="11">
        <f t="shared" ca="1" si="158"/>
        <v>-3.9378682616450625E-4</v>
      </c>
      <c r="P316" s="11">
        <f t="shared" ca="1" si="159"/>
        <v>-1.6358405771021967E-4</v>
      </c>
      <c r="Q316" s="11">
        <f t="shared" ca="1" si="160"/>
        <v>-1.614029402377854E-3</v>
      </c>
      <c r="R316" s="11">
        <f t="shared" ca="1" si="161"/>
        <v>-1.4853760121635622E-5</v>
      </c>
      <c r="S316" s="11">
        <f t="shared" ca="1" si="162"/>
        <v>-1.1458026838550334E-3</v>
      </c>
      <c r="T316" s="11">
        <f t="shared" ca="1" si="163"/>
        <v>-4.9053934342410677E-4</v>
      </c>
      <c r="U316" s="11">
        <f t="shared" ca="1" si="164"/>
        <v>-5.5074395654535931E-3</v>
      </c>
      <c r="V316" s="11"/>
      <c r="W316" s="11">
        <f t="shared" ca="1" si="144"/>
        <v>0</v>
      </c>
      <c r="X316" s="2">
        <f t="shared" ca="1" si="145"/>
        <v>-1.6358405771021967E-4</v>
      </c>
      <c r="Y316" s="2">
        <f t="shared" ca="1" si="146"/>
        <v>-1.614029402377854E-3</v>
      </c>
      <c r="Z316" s="11">
        <f t="shared" ca="1" si="147"/>
        <v>-1.4853760121635622E-5</v>
      </c>
      <c r="AA316" s="2">
        <f t="shared" ca="1" si="148"/>
        <v>-1.1458026838550334E-3</v>
      </c>
      <c r="AB316" s="11">
        <f t="shared" ca="1" si="149"/>
        <v>-4.9053934342410677E-4</v>
      </c>
      <c r="AC316" s="2">
        <f t="shared" ca="1" si="150"/>
        <v>-5.5074395654535931E-3</v>
      </c>
      <c r="AF316" s="11">
        <f t="shared" ca="1" si="151"/>
        <v>0</v>
      </c>
      <c r="AG316" s="2">
        <f t="shared" ca="1" si="152"/>
        <v>-1.6358405771021967E-4</v>
      </c>
      <c r="AH316" s="2">
        <f t="shared" ca="1" si="153"/>
        <v>-1.614029402377854E-3</v>
      </c>
      <c r="AI316" s="2">
        <f t="shared" ca="1" si="154"/>
        <v>-1.4853760121635622E-5</v>
      </c>
      <c r="AJ316" s="2">
        <f t="shared" ca="1" si="155"/>
        <v>-1.1458026838550334E-3</v>
      </c>
      <c r="AK316" s="2">
        <f t="shared" ca="1" si="156"/>
        <v>-4.9053934342410677E-4</v>
      </c>
      <c r="AL316" s="2">
        <f t="shared" ca="1" si="157"/>
        <v>-5.5074395654535931E-3</v>
      </c>
      <c r="AN316" s="2" t="e">
        <f t="shared" ca="1" si="136"/>
        <v>#N/A</v>
      </c>
      <c r="AO316" s="2" t="e">
        <f t="shared" ca="1" si="137"/>
        <v>#N/A</v>
      </c>
      <c r="AP316" s="2" t="e">
        <f t="shared" ca="1" si="138"/>
        <v>#N/A</v>
      </c>
      <c r="AQ316" s="2" t="e">
        <f t="shared" ca="1" si="139"/>
        <v>#N/A</v>
      </c>
      <c r="AR316" s="2" t="e">
        <f t="shared" ca="1" si="140"/>
        <v>#N/A</v>
      </c>
      <c r="AS316" s="2" t="e">
        <f t="shared" ca="1" si="141"/>
        <v>#N/A</v>
      </c>
      <c r="AT316" s="9" t="e">
        <f t="shared" ca="1" si="142"/>
        <v>#N/A</v>
      </c>
      <c r="AU316" s="9" t="e">
        <f t="shared" ca="1" si="143"/>
        <v>#N/A</v>
      </c>
      <c r="AW316" s="2" t="e">
        <f t="shared" ca="1" si="165"/>
        <v>#N/A</v>
      </c>
      <c r="AX316" s="2" t="e">
        <f t="shared" ca="1" si="166"/>
        <v>#N/A</v>
      </c>
      <c r="AY316" s="2" t="e">
        <f t="shared" ca="1" si="167"/>
        <v>#N/A</v>
      </c>
      <c r="AZ316" s="2" t="e">
        <f t="shared" ca="1" si="168"/>
        <v>#N/A</v>
      </c>
      <c r="BA316" s="2" t="e">
        <f t="shared" ca="1" si="169"/>
        <v>#N/A</v>
      </c>
      <c r="BB316" s="2" t="e">
        <f t="shared" ca="1" si="170"/>
        <v>#N/A</v>
      </c>
      <c r="BC316" s="9" t="e">
        <f t="shared" ca="1" si="171"/>
        <v>#N/A</v>
      </c>
      <c r="BD316" s="9" t="e">
        <f t="shared" ca="1" si="172"/>
        <v>#N/A</v>
      </c>
    </row>
    <row r="317" spans="1:56" ht="15" x14ac:dyDescent="0.25">
      <c r="A317" s="90"/>
      <c r="B317" s="90"/>
      <c r="C317" s="91"/>
      <c r="D317" s="91"/>
      <c r="E317" s="91"/>
      <c r="F317" s="91"/>
      <c r="G317" s="91"/>
      <c r="H317" s="91"/>
      <c r="I317" s="91"/>
      <c r="J317" s="64"/>
      <c r="K317" s="64"/>
      <c r="L317" s="64"/>
      <c r="M317" s="64"/>
      <c r="O317" s="11">
        <f t="shared" ca="1" si="158"/>
        <v>-3.9378682616450625E-4</v>
      </c>
      <c r="P317" s="11">
        <f t="shared" ca="1" si="159"/>
        <v>-1.6358405771021967E-4</v>
      </c>
      <c r="Q317" s="11">
        <f t="shared" ca="1" si="160"/>
        <v>-1.614029402377854E-3</v>
      </c>
      <c r="R317" s="11">
        <f t="shared" ca="1" si="161"/>
        <v>-1.4853760121635622E-5</v>
      </c>
      <c r="S317" s="11">
        <f t="shared" ca="1" si="162"/>
        <v>-1.1458026838550334E-3</v>
      </c>
      <c r="T317" s="11">
        <f t="shared" ca="1" si="163"/>
        <v>-4.9053934342410677E-4</v>
      </c>
      <c r="U317" s="11">
        <f t="shared" ca="1" si="164"/>
        <v>-5.5074395654535931E-3</v>
      </c>
      <c r="V317" s="11"/>
      <c r="W317" s="11">
        <f t="shared" ca="1" si="144"/>
        <v>0</v>
      </c>
      <c r="X317" s="2">
        <f t="shared" ca="1" si="145"/>
        <v>-1.6358405771021967E-4</v>
      </c>
      <c r="Y317" s="2">
        <f t="shared" ca="1" si="146"/>
        <v>-1.614029402377854E-3</v>
      </c>
      <c r="Z317" s="11">
        <f t="shared" ca="1" si="147"/>
        <v>-1.4853760121635622E-5</v>
      </c>
      <c r="AA317" s="2">
        <f t="shared" ca="1" si="148"/>
        <v>-1.1458026838550334E-3</v>
      </c>
      <c r="AB317" s="11">
        <f t="shared" ca="1" si="149"/>
        <v>-4.9053934342410677E-4</v>
      </c>
      <c r="AC317" s="2">
        <f t="shared" ca="1" si="150"/>
        <v>-5.5074395654535931E-3</v>
      </c>
      <c r="AF317" s="11">
        <f t="shared" ca="1" si="151"/>
        <v>0</v>
      </c>
      <c r="AG317" s="2">
        <f t="shared" ca="1" si="152"/>
        <v>-1.6358405771021967E-4</v>
      </c>
      <c r="AH317" s="2">
        <f t="shared" ca="1" si="153"/>
        <v>-1.614029402377854E-3</v>
      </c>
      <c r="AI317" s="2">
        <f t="shared" ca="1" si="154"/>
        <v>-1.4853760121635622E-5</v>
      </c>
      <c r="AJ317" s="2">
        <f t="shared" ca="1" si="155"/>
        <v>-1.1458026838550334E-3</v>
      </c>
      <c r="AK317" s="2">
        <f t="shared" ca="1" si="156"/>
        <v>-4.9053934342410677E-4</v>
      </c>
      <c r="AL317" s="2">
        <f t="shared" ca="1" si="157"/>
        <v>-5.5074395654535931E-3</v>
      </c>
      <c r="AN317" s="2" t="e">
        <f t="shared" ca="1" si="136"/>
        <v>#N/A</v>
      </c>
      <c r="AO317" s="2" t="e">
        <f t="shared" ca="1" si="137"/>
        <v>#N/A</v>
      </c>
      <c r="AP317" s="2" t="e">
        <f t="shared" ca="1" si="138"/>
        <v>#N/A</v>
      </c>
      <c r="AQ317" s="2" t="e">
        <f t="shared" ca="1" si="139"/>
        <v>#N/A</v>
      </c>
      <c r="AR317" s="2" t="e">
        <f t="shared" ca="1" si="140"/>
        <v>#N/A</v>
      </c>
      <c r="AS317" s="2" t="e">
        <f t="shared" ca="1" si="141"/>
        <v>#N/A</v>
      </c>
      <c r="AT317" s="9" t="e">
        <f t="shared" ca="1" si="142"/>
        <v>#N/A</v>
      </c>
      <c r="AU317" s="9" t="e">
        <f t="shared" ca="1" si="143"/>
        <v>#N/A</v>
      </c>
      <c r="AW317" s="2" t="e">
        <f t="shared" ca="1" si="165"/>
        <v>#N/A</v>
      </c>
      <c r="AX317" s="2" t="e">
        <f t="shared" ca="1" si="166"/>
        <v>#N/A</v>
      </c>
      <c r="AY317" s="2" t="e">
        <f t="shared" ca="1" si="167"/>
        <v>#N/A</v>
      </c>
      <c r="AZ317" s="2" t="e">
        <f t="shared" ca="1" si="168"/>
        <v>#N/A</v>
      </c>
      <c r="BA317" s="2" t="e">
        <f t="shared" ca="1" si="169"/>
        <v>#N/A</v>
      </c>
      <c r="BB317" s="2" t="e">
        <f t="shared" ca="1" si="170"/>
        <v>#N/A</v>
      </c>
      <c r="BC317" s="9" t="e">
        <f t="shared" ca="1" si="171"/>
        <v>#N/A</v>
      </c>
      <c r="BD317" s="9" t="e">
        <f t="shared" ca="1" si="172"/>
        <v>#N/A</v>
      </c>
    </row>
    <row r="318" spans="1:56" ht="15" x14ac:dyDescent="0.25">
      <c r="A318" s="90"/>
      <c r="B318" s="90"/>
      <c r="C318" s="91"/>
      <c r="D318" s="91"/>
      <c r="E318" s="91"/>
      <c r="F318" s="91"/>
      <c r="G318" s="91"/>
      <c r="H318" s="91"/>
      <c r="I318" s="91"/>
      <c r="J318" s="64"/>
      <c r="K318" s="64"/>
      <c r="L318" s="64"/>
      <c r="M318" s="64"/>
      <c r="O318" s="11">
        <f t="shared" ca="1" si="158"/>
        <v>-3.9378682616450625E-4</v>
      </c>
      <c r="P318" s="11">
        <f t="shared" ca="1" si="159"/>
        <v>-1.6358405771021967E-4</v>
      </c>
      <c r="Q318" s="11">
        <f t="shared" ca="1" si="160"/>
        <v>-1.614029402377854E-3</v>
      </c>
      <c r="R318" s="11">
        <f t="shared" ca="1" si="161"/>
        <v>-1.4853760121635622E-5</v>
      </c>
      <c r="S318" s="11">
        <f t="shared" ca="1" si="162"/>
        <v>-1.1458026838550334E-3</v>
      </c>
      <c r="T318" s="11">
        <f t="shared" ca="1" si="163"/>
        <v>-4.9053934342410677E-4</v>
      </c>
      <c r="U318" s="11">
        <f t="shared" ca="1" si="164"/>
        <v>-5.5074395654535931E-3</v>
      </c>
      <c r="V318" s="11"/>
      <c r="W318" s="11">
        <f t="shared" ca="1" si="144"/>
        <v>0</v>
      </c>
      <c r="X318" s="2">
        <f t="shared" ca="1" si="145"/>
        <v>-1.6358405771021967E-4</v>
      </c>
      <c r="Y318" s="2">
        <f t="shared" ca="1" si="146"/>
        <v>-1.614029402377854E-3</v>
      </c>
      <c r="Z318" s="11">
        <f t="shared" ca="1" si="147"/>
        <v>-1.4853760121635622E-5</v>
      </c>
      <c r="AA318" s="2">
        <f t="shared" ca="1" si="148"/>
        <v>-1.1458026838550334E-3</v>
      </c>
      <c r="AB318" s="11">
        <f t="shared" ca="1" si="149"/>
        <v>-4.9053934342410677E-4</v>
      </c>
      <c r="AC318" s="2">
        <f t="shared" ca="1" si="150"/>
        <v>-5.5074395654535931E-3</v>
      </c>
      <c r="AF318" s="11">
        <f t="shared" ca="1" si="151"/>
        <v>0</v>
      </c>
      <c r="AG318" s="2">
        <f t="shared" ca="1" si="152"/>
        <v>-1.6358405771021967E-4</v>
      </c>
      <c r="AH318" s="2">
        <f t="shared" ca="1" si="153"/>
        <v>-1.614029402377854E-3</v>
      </c>
      <c r="AI318" s="2">
        <f t="shared" ca="1" si="154"/>
        <v>-1.4853760121635622E-5</v>
      </c>
      <c r="AJ318" s="2">
        <f t="shared" ca="1" si="155"/>
        <v>-1.1458026838550334E-3</v>
      </c>
      <c r="AK318" s="2">
        <f t="shared" ca="1" si="156"/>
        <v>-4.9053934342410677E-4</v>
      </c>
      <c r="AL318" s="2">
        <f t="shared" ca="1" si="157"/>
        <v>-5.5074395654535931E-3</v>
      </c>
      <c r="AN318" s="2" t="e">
        <f t="shared" ca="1" si="136"/>
        <v>#N/A</v>
      </c>
      <c r="AO318" s="2" t="e">
        <f t="shared" ca="1" si="137"/>
        <v>#N/A</v>
      </c>
      <c r="AP318" s="2" t="e">
        <f t="shared" ca="1" si="138"/>
        <v>#N/A</v>
      </c>
      <c r="AQ318" s="2" t="e">
        <f t="shared" ca="1" si="139"/>
        <v>#N/A</v>
      </c>
      <c r="AR318" s="2" t="e">
        <f t="shared" ca="1" si="140"/>
        <v>#N/A</v>
      </c>
      <c r="AS318" s="2" t="e">
        <f t="shared" ca="1" si="141"/>
        <v>#N/A</v>
      </c>
      <c r="AT318" s="9" t="e">
        <f t="shared" ca="1" si="142"/>
        <v>#N/A</v>
      </c>
      <c r="AU318" s="9" t="e">
        <f t="shared" ca="1" si="143"/>
        <v>#N/A</v>
      </c>
      <c r="AW318" s="2" t="e">
        <f t="shared" ca="1" si="165"/>
        <v>#N/A</v>
      </c>
      <c r="AX318" s="2" t="e">
        <f t="shared" ca="1" si="166"/>
        <v>#N/A</v>
      </c>
      <c r="AY318" s="2" t="e">
        <f t="shared" ca="1" si="167"/>
        <v>#N/A</v>
      </c>
      <c r="AZ318" s="2" t="e">
        <f t="shared" ca="1" si="168"/>
        <v>#N/A</v>
      </c>
      <c r="BA318" s="2" t="e">
        <f t="shared" ca="1" si="169"/>
        <v>#N/A</v>
      </c>
      <c r="BB318" s="2" t="e">
        <f t="shared" ca="1" si="170"/>
        <v>#N/A</v>
      </c>
      <c r="BC318" s="9" t="e">
        <f t="shared" ca="1" si="171"/>
        <v>#N/A</v>
      </c>
      <c r="BD318" s="9" t="e">
        <f t="shared" ca="1" si="172"/>
        <v>#N/A</v>
      </c>
    </row>
    <row r="319" spans="1:56" ht="15" x14ac:dyDescent="0.25">
      <c r="A319" s="90"/>
      <c r="B319" s="90"/>
      <c r="C319" s="91"/>
      <c r="D319" s="91"/>
      <c r="E319" s="91"/>
      <c r="F319" s="91"/>
      <c r="G319" s="91"/>
      <c r="H319" s="91"/>
      <c r="I319" s="91"/>
      <c r="J319" s="64"/>
      <c r="K319" s="64"/>
      <c r="L319" s="64"/>
      <c r="M319" s="64"/>
      <c r="O319" s="11">
        <f t="shared" ca="1" si="158"/>
        <v>-3.9378682616450625E-4</v>
      </c>
      <c r="P319" s="11">
        <f t="shared" ca="1" si="159"/>
        <v>-1.6358405771021967E-4</v>
      </c>
      <c r="Q319" s="11">
        <f t="shared" ca="1" si="160"/>
        <v>-1.614029402377854E-3</v>
      </c>
      <c r="R319" s="11">
        <f t="shared" ca="1" si="161"/>
        <v>-1.4853760121635622E-5</v>
      </c>
      <c r="S319" s="11">
        <f t="shared" ca="1" si="162"/>
        <v>-1.1458026838550334E-3</v>
      </c>
      <c r="T319" s="11">
        <f t="shared" ca="1" si="163"/>
        <v>-4.9053934342410677E-4</v>
      </c>
      <c r="U319" s="11">
        <f t="shared" ca="1" si="164"/>
        <v>-5.5074395654535931E-3</v>
      </c>
      <c r="V319" s="11"/>
      <c r="W319" s="11">
        <f t="shared" ca="1" si="144"/>
        <v>0</v>
      </c>
      <c r="X319" s="2">
        <f t="shared" ca="1" si="145"/>
        <v>-1.6358405771021967E-4</v>
      </c>
      <c r="Y319" s="2">
        <f t="shared" ca="1" si="146"/>
        <v>-1.614029402377854E-3</v>
      </c>
      <c r="Z319" s="11">
        <f t="shared" ca="1" si="147"/>
        <v>-1.4853760121635622E-5</v>
      </c>
      <c r="AA319" s="2">
        <f t="shared" ca="1" si="148"/>
        <v>-1.1458026838550334E-3</v>
      </c>
      <c r="AB319" s="11">
        <f t="shared" ca="1" si="149"/>
        <v>-4.9053934342410677E-4</v>
      </c>
      <c r="AC319" s="2">
        <f t="shared" ca="1" si="150"/>
        <v>-5.5074395654535931E-3</v>
      </c>
      <c r="AF319" s="11">
        <f t="shared" ca="1" si="151"/>
        <v>0</v>
      </c>
      <c r="AG319" s="2">
        <f t="shared" ca="1" si="152"/>
        <v>-1.6358405771021967E-4</v>
      </c>
      <c r="AH319" s="2">
        <f t="shared" ca="1" si="153"/>
        <v>-1.614029402377854E-3</v>
      </c>
      <c r="AI319" s="2">
        <f t="shared" ca="1" si="154"/>
        <v>-1.4853760121635622E-5</v>
      </c>
      <c r="AJ319" s="2">
        <f t="shared" ca="1" si="155"/>
        <v>-1.1458026838550334E-3</v>
      </c>
      <c r="AK319" s="2">
        <f t="shared" ca="1" si="156"/>
        <v>-4.9053934342410677E-4</v>
      </c>
      <c r="AL319" s="2">
        <f t="shared" ca="1" si="157"/>
        <v>-5.5074395654535931E-3</v>
      </c>
      <c r="AN319" s="2" t="e">
        <f t="shared" ca="1" si="136"/>
        <v>#N/A</v>
      </c>
      <c r="AO319" s="2" t="e">
        <f t="shared" ca="1" si="137"/>
        <v>#N/A</v>
      </c>
      <c r="AP319" s="2" t="e">
        <f t="shared" ca="1" si="138"/>
        <v>#N/A</v>
      </c>
      <c r="AQ319" s="2" t="e">
        <f t="shared" ca="1" si="139"/>
        <v>#N/A</v>
      </c>
      <c r="AR319" s="2" t="e">
        <f t="shared" ca="1" si="140"/>
        <v>#N/A</v>
      </c>
      <c r="AS319" s="2" t="e">
        <f t="shared" ca="1" si="141"/>
        <v>#N/A</v>
      </c>
      <c r="AT319" s="9" t="e">
        <f t="shared" ca="1" si="142"/>
        <v>#N/A</v>
      </c>
      <c r="AU319" s="9" t="e">
        <f t="shared" ca="1" si="143"/>
        <v>#N/A</v>
      </c>
      <c r="AW319" s="2" t="e">
        <f t="shared" ca="1" si="165"/>
        <v>#N/A</v>
      </c>
      <c r="AX319" s="2" t="e">
        <f t="shared" ca="1" si="166"/>
        <v>#N/A</v>
      </c>
      <c r="AY319" s="2" t="e">
        <f t="shared" ca="1" si="167"/>
        <v>#N/A</v>
      </c>
      <c r="AZ319" s="2" t="e">
        <f t="shared" ca="1" si="168"/>
        <v>#N/A</v>
      </c>
      <c r="BA319" s="2" t="e">
        <f t="shared" ca="1" si="169"/>
        <v>#N/A</v>
      </c>
      <c r="BB319" s="2" t="e">
        <f t="shared" ca="1" si="170"/>
        <v>#N/A</v>
      </c>
      <c r="BC319" s="9" t="e">
        <f t="shared" ca="1" si="171"/>
        <v>#N/A</v>
      </c>
      <c r="BD319" s="9" t="e">
        <f t="shared" ca="1" si="172"/>
        <v>#N/A</v>
      </c>
    </row>
    <row r="320" spans="1:56" ht="15" x14ac:dyDescent="0.25">
      <c r="A320" s="90"/>
      <c r="B320" s="90"/>
      <c r="C320" s="91"/>
      <c r="D320" s="91"/>
      <c r="E320" s="91"/>
      <c r="F320" s="91"/>
      <c r="G320" s="91"/>
      <c r="H320" s="91"/>
      <c r="I320" s="91"/>
      <c r="J320" s="64"/>
      <c r="K320" s="64"/>
      <c r="L320" s="64"/>
      <c r="M320" s="64"/>
      <c r="O320" s="11">
        <f t="shared" ca="1" si="158"/>
        <v>-3.9378682616450625E-4</v>
      </c>
      <c r="P320" s="11">
        <f t="shared" ca="1" si="159"/>
        <v>-1.6358405771021967E-4</v>
      </c>
      <c r="Q320" s="11">
        <f t="shared" ca="1" si="160"/>
        <v>-1.614029402377854E-3</v>
      </c>
      <c r="R320" s="11">
        <f t="shared" ca="1" si="161"/>
        <v>-1.4853760121635622E-5</v>
      </c>
      <c r="S320" s="11">
        <f t="shared" ca="1" si="162"/>
        <v>-1.1458026838550334E-3</v>
      </c>
      <c r="T320" s="11">
        <f t="shared" ca="1" si="163"/>
        <v>-4.9053934342410677E-4</v>
      </c>
      <c r="U320" s="11">
        <f t="shared" ca="1" si="164"/>
        <v>-5.5074395654535931E-3</v>
      </c>
      <c r="V320" s="11"/>
      <c r="W320" s="11">
        <f t="shared" ca="1" si="144"/>
        <v>0</v>
      </c>
      <c r="X320" s="2">
        <f t="shared" ca="1" si="145"/>
        <v>-1.6358405771021967E-4</v>
      </c>
      <c r="Y320" s="2">
        <f t="shared" ca="1" si="146"/>
        <v>-1.614029402377854E-3</v>
      </c>
      <c r="Z320" s="11">
        <f t="shared" ca="1" si="147"/>
        <v>-1.4853760121635622E-5</v>
      </c>
      <c r="AA320" s="2">
        <f t="shared" ca="1" si="148"/>
        <v>-1.1458026838550334E-3</v>
      </c>
      <c r="AB320" s="11">
        <f t="shared" ca="1" si="149"/>
        <v>-4.9053934342410677E-4</v>
      </c>
      <c r="AC320" s="2">
        <f t="shared" ca="1" si="150"/>
        <v>-5.5074395654535931E-3</v>
      </c>
      <c r="AF320" s="11">
        <f t="shared" ca="1" si="151"/>
        <v>0</v>
      </c>
      <c r="AG320" s="2">
        <f t="shared" ca="1" si="152"/>
        <v>-1.6358405771021967E-4</v>
      </c>
      <c r="AH320" s="2">
        <f t="shared" ca="1" si="153"/>
        <v>-1.614029402377854E-3</v>
      </c>
      <c r="AI320" s="2">
        <f t="shared" ca="1" si="154"/>
        <v>-1.4853760121635622E-5</v>
      </c>
      <c r="AJ320" s="2">
        <f t="shared" ca="1" si="155"/>
        <v>-1.1458026838550334E-3</v>
      </c>
      <c r="AK320" s="2">
        <f t="shared" ca="1" si="156"/>
        <v>-4.9053934342410677E-4</v>
      </c>
      <c r="AL320" s="2">
        <f t="shared" ca="1" si="157"/>
        <v>-5.5074395654535931E-3</v>
      </c>
      <c r="AN320" s="2" t="e">
        <f t="shared" ca="1" si="136"/>
        <v>#N/A</v>
      </c>
      <c r="AO320" s="2" t="e">
        <f t="shared" ca="1" si="137"/>
        <v>#N/A</v>
      </c>
      <c r="AP320" s="2" t="e">
        <f t="shared" ca="1" si="138"/>
        <v>#N/A</v>
      </c>
      <c r="AQ320" s="2" t="e">
        <f t="shared" ca="1" si="139"/>
        <v>#N/A</v>
      </c>
      <c r="AR320" s="2" t="e">
        <f t="shared" ca="1" si="140"/>
        <v>#N/A</v>
      </c>
      <c r="AS320" s="2" t="e">
        <f t="shared" ca="1" si="141"/>
        <v>#N/A</v>
      </c>
      <c r="AT320" s="9" t="e">
        <f t="shared" ca="1" si="142"/>
        <v>#N/A</v>
      </c>
      <c r="AU320" s="9" t="e">
        <f t="shared" ca="1" si="143"/>
        <v>#N/A</v>
      </c>
      <c r="AW320" s="2" t="e">
        <f t="shared" ca="1" si="165"/>
        <v>#N/A</v>
      </c>
      <c r="AX320" s="2" t="e">
        <f t="shared" ca="1" si="166"/>
        <v>#N/A</v>
      </c>
      <c r="AY320" s="2" t="e">
        <f t="shared" ca="1" si="167"/>
        <v>#N/A</v>
      </c>
      <c r="AZ320" s="2" t="e">
        <f t="shared" ca="1" si="168"/>
        <v>#N/A</v>
      </c>
      <c r="BA320" s="2" t="e">
        <f t="shared" ca="1" si="169"/>
        <v>#N/A</v>
      </c>
      <c r="BB320" s="2" t="e">
        <f t="shared" ca="1" si="170"/>
        <v>#N/A</v>
      </c>
      <c r="BC320" s="9" t="e">
        <f t="shared" ca="1" si="171"/>
        <v>#N/A</v>
      </c>
      <c r="BD320" s="9" t="e">
        <f t="shared" ca="1" si="172"/>
        <v>#N/A</v>
      </c>
    </row>
    <row r="321" spans="1:56" ht="15" x14ac:dyDescent="0.25">
      <c r="A321" s="90"/>
      <c r="B321" s="90"/>
      <c r="C321" s="91"/>
      <c r="D321" s="91"/>
      <c r="E321" s="91"/>
      <c r="F321" s="91"/>
      <c r="G321" s="91"/>
      <c r="H321" s="91"/>
      <c r="I321" s="91"/>
      <c r="J321" s="64"/>
      <c r="K321" s="64"/>
      <c r="L321" s="64"/>
      <c r="M321" s="64"/>
      <c r="O321" s="11">
        <f t="shared" ca="1" si="158"/>
        <v>-3.9378682616450625E-4</v>
      </c>
      <c r="P321" s="11">
        <f t="shared" ca="1" si="159"/>
        <v>-1.6358405771021967E-4</v>
      </c>
      <c r="Q321" s="11">
        <f t="shared" ca="1" si="160"/>
        <v>-1.614029402377854E-3</v>
      </c>
      <c r="R321" s="11">
        <f t="shared" ca="1" si="161"/>
        <v>-1.4853760121635622E-5</v>
      </c>
      <c r="S321" s="11">
        <f t="shared" ca="1" si="162"/>
        <v>-1.1458026838550334E-3</v>
      </c>
      <c r="T321" s="11">
        <f t="shared" ca="1" si="163"/>
        <v>-4.9053934342410677E-4</v>
      </c>
      <c r="U321" s="11">
        <f t="shared" ca="1" si="164"/>
        <v>-5.5074395654535931E-3</v>
      </c>
      <c r="V321" s="11"/>
      <c r="W321" s="11">
        <f t="shared" ca="1" si="144"/>
        <v>0</v>
      </c>
      <c r="X321" s="2">
        <f t="shared" ca="1" si="145"/>
        <v>-1.6358405771021967E-4</v>
      </c>
      <c r="Y321" s="2">
        <f t="shared" ca="1" si="146"/>
        <v>-1.614029402377854E-3</v>
      </c>
      <c r="Z321" s="11">
        <f t="shared" ca="1" si="147"/>
        <v>-1.4853760121635622E-5</v>
      </c>
      <c r="AA321" s="2">
        <f t="shared" ca="1" si="148"/>
        <v>-1.1458026838550334E-3</v>
      </c>
      <c r="AB321" s="11">
        <f t="shared" ca="1" si="149"/>
        <v>-4.9053934342410677E-4</v>
      </c>
      <c r="AC321" s="2">
        <f t="shared" ca="1" si="150"/>
        <v>-5.5074395654535931E-3</v>
      </c>
      <c r="AF321" s="11">
        <f t="shared" ca="1" si="151"/>
        <v>0</v>
      </c>
      <c r="AG321" s="2">
        <f t="shared" ca="1" si="152"/>
        <v>-1.6358405771021967E-4</v>
      </c>
      <c r="AH321" s="2">
        <f t="shared" ca="1" si="153"/>
        <v>-1.614029402377854E-3</v>
      </c>
      <c r="AI321" s="2">
        <f t="shared" ca="1" si="154"/>
        <v>-1.4853760121635622E-5</v>
      </c>
      <c r="AJ321" s="2">
        <f t="shared" ca="1" si="155"/>
        <v>-1.1458026838550334E-3</v>
      </c>
      <c r="AK321" s="2">
        <f t="shared" ca="1" si="156"/>
        <v>-4.9053934342410677E-4</v>
      </c>
      <c r="AL321" s="2">
        <f t="shared" ca="1" si="157"/>
        <v>-5.5074395654535931E-3</v>
      </c>
      <c r="AN321" s="2" t="e">
        <f t="shared" ca="1" si="136"/>
        <v>#N/A</v>
      </c>
      <c r="AO321" s="2" t="e">
        <f t="shared" ca="1" si="137"/>
        <v>#N/A</v>
      </c>
      <c r="AP321" s="2" t="e">
        <f t="shared" ca="1" si="138"/>
        <v>#N/A</v>
      </c>
      <c r="AQ321" s="2" t="e">
        <f t="shared" ca="1" si="139"/>
        <v>#N/A</v>
      </c>
      <c r="AR321" s="2" t="e">
        <f t="shared" ca="1" si="140"/>
        <v>#N/A</v>
      </c>
      <c r="AS321" s="2" t="e">
        <f t="shared" ca="1" si="141"/>
        <v>#N/A</v>
      </c>
      <c r="AT321" s="9" t="e">
        <f t="shared" ca="1" si="142"/>
        <v>#N/A</v>
      </c>
      <c r="AU321" s="9" t="e">
        <f t="shared" ca="1" si="143"/>
        <v>#N/A</v>
      </c>
      <c r="AW321" s="2" t="e">
        <f t="shared" ca="1" si="165"/>
        <v>#N/A</v>
      </c>
      <c r="AX321" s="2" t="e">
        <f t="shared" ca="1" si="166"/>
        <v>#N/A</v>
      </c>
      <c r="AY321" s="2" t="e">
        <f t="shared" ca="1" si="167"/>
        <v>#N/A</v>
      </c>
      <c r="AZ321" s="2" t="e">
        <f t="shared" ca="1" si="168"/>
        <v>#N/A</v>
      </c>
      <c r="BA321" s="2" t="e">
        <f t="shared" ca="1" si="169"/>
        <v>#N/A</v>
      </c>
      <c r="BB321" s="2" t="e">
        <f t="shared" ca="1" si="170"/>
        <v>#N/A</v>
      </c>
      <c r="BC321" s="9" t="e">
        <f t="shared" ca="1" si="171"/>
        <v>#N/A</v>
      </c>
      <c r="BD321" s="9" t="e">
        <f t="shared" ca="1" si="172"/>
        <v>#N/A</v>
      </c>
    </row>
    <row r="322" spans="1:56" ht="15" x14ac:dyDescent="0.25">
      <c r="A322" s="90"/>
      <c r="B322" s="90"/>
      <c r="C322" s="91"/>
      <c r="D322" s="91"/>
      <c r="E322" s="91"/>
      <c r="F322" s="91"/>
      <c r="G322" s="91"/>
      <c r="H322" s="91"/>
      <c r="I322" s="91"/>
      <c r="J322" s="64"/>
      <c r="K322" s="64"/>
      <c r="L322" s="64"/>
      <c r="M322" s="64"/>
      <c r="O322" s="11">
        <f t="shared" ca="1" si="158"/>
        <v>-3.9378682616450625E-4</v>
      </c>
      <c r="P322" s="11">
        <f t="shared" ca="1" si="159"/>
        <v>-1.6358405771021967E-4</v>
      </c>
      <c r="Q322" s="11">
        <f t="shared" ca="1" si="160"/>
        <v>-1.614029402377854E-3</v>
      </c>
      <c r="R322" s="11">
        <f t="shared" ca="1" si="161"/>
        <v>-1.4853760121635622E-5</v>
      </c>
      <c r="S322" s="11">
        <f t="shared" ca="1" si="162"/>
        <v>-1.1458026838550334E-3</v>
      </c>
      <c r="T322" s="11">
        <f t="shared" ca="1" si="163"/>
        <v>-4.9053934342410677E-4</v>
      </c>
      <c r="U322" s="11">
        <f t="shared" ca="1" si="164"/>
        <v>-5.5074395654535931E-3</v>
      </c>
      <c r="V322" s="11"/>
      <c r="W322" s="11">
        <f t="shared" ca="1" si="144"/>
        <v>0</v>
      </c>
      <c r="X322" s="2">
        <f t="shared" ca="1" si="145"/>
        <v>-1.6358405771021967E-4</v>
      </c>
      <c r="Y322" s="2">
        <f t="shared" ca="1" si="146"/>
        <v>-1.614029402377854E-3</v>
      </c>
      <c r="Z322" s="11">
        <f t="shared" ca="1" si="147"/>
        <v>-1.4853760121635622E-5</v>
      </c>
      <c r="AA322" s="2">
        <f t="shared" ca="1" si="148"/>
        <v>-1.1458026838550334E-3</v>
      </c>
      <c r="AB322" s="11">
        <f t="shared" ca="1" si="149"/>
        <v>-4.9053934342410677E-4</v>
      </c>
      <c r="AC322" s="2">
        <f t="shared" ca="1" si="150"/>
        <v>-5.5074395654535931E-3</v>
      </c>
      <c r="AF322" s="11">
        <f t="shared" ca="1" si="151"/>
        <v>0</v>
      </c>
      <c r="AG322" s="2">
        <f t="shared" ca="1" si="152"/>
        <v>-1.6358405771021967E-4</v>
      </c>
      <c r="AH322" s="2">
        <f t="shared" ca="1" si="153"/>
        <v>-1.614029402377854E-3</v>
      </c>
      <c r="AI322" s="2">
        <f t="shared" ca="1" si="154"/>
        <v>-1.4853760121635622E-5</v>
      </c>
      <c r="AJ322" s="2">
        <f t="shared" ca="1" si="155"/>
        <v>-1.1458026838550334E-3</v>
      </c>
      <c r="AK322" s="2">
        <f t="shared" ca="1" si="156"/>
        <v>-4.9053934342410677E-4</v>
      </c>
      <c r="AL322" s="2">
        <f t="shared" ca="1" si="157"/>
        <v>-5.5074395654535931E-3</v>
      </c>
      <c r="AN322" s="2" t="e">
        <f t="shared" ca="1" si="136"/>
        <v>#N/A</v>
      </c>
      <c r="AO322" s="2" t="e">
        <f t="shared" ca="1" si="137"/>
        <v>#N/A</v>
      </c>
      <c r="AP322" s="2" t="e">
        <f t="shared" ca="1" si="138"/>
        <v>#N/A</v>
      </c>
      <c r="AQ322" s="2" t="e">
        <f t="shared" ca="1" si="139"/>
        <v>#N/A</v>
      </c>
      <c r="AR322" s="2" t="e">
        <f t="shared" ca="1" si="140"/>
        <v>#N/A</v>
      </c>
      <c r="AS322" s="2" t="e">
        <f t="shared" ca="1" si="141"/>
        <v>#N/A</v>
      </c>
      <c r="AT322" s="9" t="e">
        <f t="shared" ca="1" si="142"/>
        <v>#N/A</v>
      </c>
      <c r="AU322" s="9" t="e">
        <f t="shared" ca="1" si="143"/>
        <v>#N/A</v>
      </c>
      <c r="AW322" s="2" t="e">
        <f t="shared" ca="1" si="165"/>
        <v>#N/A</v>
      </c>
      <c r="AX322" s="2" t="e">
        <f t="shared" ca="1" si="166"/>
        <v>#N/A</v>
      </c>
      <c r="AY322" s="2" t="e">
        <f t="shared" ca="1" si="167"/>
        <v>#N/A</v>
      </c>
      <c r="AZ322" s="2" t="e">
        <f t="shared" ca="1" si="168"/>
        <v>#N/A</v>
      </c>
      <c r="BA322" s="2" t="e">
        <f t="shared" ca="1" si="169"/>
        <v>#N/A</v>
      </c>
      <c r="BB322" s="2" t="e">
        <f t="shared" ca="1" si="170"/>
        <v>#N/A</v>
      </c>
      <c r="BC322" s="9" t="e">
        <f t="shared" ca="1" si="171"/>
        <v>#N/A</v>
      </c>
      <c r="BD322" s="9" t="e">
        <f t="shared" ca="1" si="172"/>
        <v>#N/A</v>
      </c>
    </row>
    <row r="323" spans="1:56" ht="15" x14ac:dyDescent="0.25">
      <c r="A323" s="90"/>
      <c r="B323" s="90"/>
      <c r="C323" s="91"/>
      <c r="D323" s="91"/>
      <c r="E323" s="91"/>
      <c r="F323" s="91"/>
      <c r="G323" s="91"/>
      <c r="H323" s="91"/>
      <c r="I323" s="91"/>
      <c r="J323" s="64"/>
      <c r="K323" s="64"/>
      <c r="L323" s="64"/>
      <c r="M323" s="64"/>
      <c r="O323" s="11">
        <f t="shared" ca="1" si="158"/>
        <v>-3.9378682616450625E-4</v>
      </c>
      <c r="P323" s="11">
        <f t="shared" ca="1" si="159"/>
        <v>-1.6358405771021967E-4</v>
      </c>
      <c r="Q323" s="11">
        <f t="shared" ca="1" si="160"/>
        <v>-1.614029402377854E-3</v>
      </c>
      <c r="R323" s="11">
        <f t="shared" ca="1" si="161"/>
        <v>-1.4853760121635622E-5</v>
      </c>
      <c r="S323" s="11">
        <f t="shared" ca="1" si="162"/>
        <v>-1.1458026838550334E-3</v>
      </c>
      <c r="T323" s="11">
        <f t="shared" ca="1" si="163"/>
        <v>-4.9053934342410677E-4</v>
      </c>
      <c r="U323" s="11">
        <f t="shared" ca="1" si="164"/>
        <v>-5.5074395654535931E-3</v>
      </c>
      <c r="V323" s="11"/>
      <c r="W323" s="11">
        <f t="shared" ca="1" si="144"/>
        <v>0</v>
      </c>
      <c r="X323" s="2">
        <f t="shared" ca="1" si="145"/>
        <v>-1.6358405771021967E-4</v>
      </c>
      <c r="Y323" s="2">
        <f t="shared" ca="1" si="146"/>
        <v>-1.614029402377854E-3</v>
      </c>
      <c r="Z323" s="11">
        <f t="shared" ca="1" si="147"/>
        <v>-1.4853760121635622E-5</v>
      </c>
      <c r="AA323" s="2">
        <f t="shared" ca="1" si="148"/>
        <v>-1.1458026838550334E-3</v>
      </c>
      <c r="AB323" s="11">
        <f t="shared" ca="1" si="149"/>
        <v>-4.9053934342410677E-4</v>
      </c>
      <c r="AC323" s="2">
        <f t="shared" ca="1" si="150"/>
        <v>-5.5074395654535931E-3</v>
      </c>
      <c r="AF323" s="11">
        <f t="shared" ca="1" si="151"/>
        <v>0</v>
      </c>
      <c r="AG323" s="2">
        <f t="shared" ca="1" si="152"/>
        <v>-1.6358405771021967E-4</v>
      </c>
      <c r="AH323" s="2">
        <f t="shared" ca="1" si="153"/>
        <v>-1.614029402377854E-3</v>
      </c>
      <c r="AI323" s="2">
        <f t="shared" ca="1" si="154"/>
        <v>-1.4853760121635622E-5</v>
      </c>
      <c r="AJ323" s="2">
        <f t="shared" ca="1" si="155"/>
        <v>-1.1458026838550334E-3</v>
      </c>
      <c r="AK323" s="2">
        <f t="shared" ca="1" si="156"/>
        <v>-4.9053934342410677E-4</v>
      </c>
      <c r="AL323" s="2">
        <f t="shared" ca="1" si="157"/>
        <v>-5.5074395654535931E-3</v>
      </c>
      <c r="AN323" s="2" t="e">
        <f t="shared" ref="AN323:AN386" ca="1" si="173">IF(AND(S323&gt;0,U323&gt;0),U323/S323, #N/A)</f>
        <v>#N/A</v>
      </c>
      <c r="AO323" s="2" t="e">
        <f t="shared" ref="AO323:AO386" ca="1" si="174">$B$8*((AN323/$B$10)^$B$11)</f>
        <v>#N/A</v>
      </c>
      <c r="AP323" s="2" t="e">
        <f t="shared" ref="AP323:AP386" ca="1" si="175">AO323*R323</f>
        <v>#N/A</v>
      </c>
      <c r="AQ323" s="2" t="e">
        <f t="shared" ref="AQ323:AQ386" ca="1" si="176">T323-AP323</f>
        <v>#N/A</v>
      </c>
      <c r="AR323" s="2" t="e">
        <f t="shared" ref="AR323:AR386" ca="1" si="177">(AQ323/S323)/((AN323/$B$10)^$B$12)</f>
        <v>#N/A</v>
      </c>
      <c r="AS323" s="2" t="e">
        <f t="shared" ref="AS323:AS386" ca="1" si="178">(Q323/S323)/((AN323/$B$10)^$B$13)</f>
        <v>#N/A</v>
      </c>
      <c r="AT323" s="9" t="e">
        <f t="shared" ref="AT323:AT386" ca="1" si="179">IF(AND(AR323&lt;$M$3,AR323&gt;$M$4),AR323,"rejected")</f>
        <v>#N/A</v>
      </c>
      <c r="AU323" s="9" t="e">
        <f t="shared" ref="AU323:AU386" ca="1" si="180">IF(AND(AR323&lt;$M$3,AR323&gt;$M$4),AR323,#N/A)</f>
        <v>#N/A</v>
      </c>
      <c r="AW323" s="2" t="e">
        <f t="shared" ca="1" si="165"/>
        <v>#N/A</v>
      </c>
      <c r="AX323" s="2" t="e">
        <f t="shared" ca="1" si="166"/>
        <v>#N/A</v>
      </c>
      <c r="AY323" s="2" t="e">
        <f t="shared" ca="1" si="167"/>
        <v>#N/A</v>
      </c>
      <c r="AZ323" s="2" t="e">
        <f t="shared" ca="1" si="168"/>
        <v>#N/A</v>
      </c>
      <c r="BA323" s="2" t="e">
        <f t="shared" ca="1" si="169"/>
        <v>#N/A</v>
      </c>
      <c r="BB323" s="2" t="e">
        <f t="shared" ca="1" si="170"/>
        <v>#N/A</v>
      </c>
      <c r="BC323" s="9" t="e">
        <f t="shared" ca="1" si="171"/>
        <v>#N/A</v>
      </c>
      <c r="BD323" s="9" t="e">
        <f t="shared" ca="1" si="172"/>
        <v>#N/A</v>
      </c>
    </row>
    <row r="324" spans="1:56" ht="15" x14ac:dyDescent="0.25">
      <c r="A324" s="90"/>
      <c r="B324" s="90"/>
      <c r="C324" s="91"/>
      <c r="D324" s="91"/>
      <c r="E324" s="91"/>
      <c r="F324" s="91"/>
      <c r="G324" s="91"/>
      <c r="H324" s="91"/>
      <c r="I324" s="91"/>
      <c r="J324" s="64"/>
      <c r="K324" s="64"/>
      <c r="L324" s="64"/>
      <c r="M324" s="64"/>
      <c r="O324" s="11">
        <f t="shared" ca="1" si="158"/>
        <v>-3.9378682616450625E-4</v>
      </c>
      <c r="P324" s="11">
        <f t="shared" ca="1" si="159"/>
        <v>-1.6358405771021967E-4</v>
      </c>
      <c r="Q324" s="11">
        <f t="shared" ca="1" si="160"/>
        <v>-1.614029402377854E-3</v>
      </c>
      <c r="R324" s="11">
        <f t="shared" ca="1" si="161"/>
        <v>-1.4853760121635622E-5</v>
      </c>
      <c r="S324" s="11">
        <f t="shared" ca="1" si="162"/>
        <v>-1.1458026838550334E-3</v>
      </c>
      <c r="T324" s="11">
        <f t="shared" ca="1" si="163"/>
        <v>-4.9053934342410677E-4</v>
      </c>
      <c r="U324" s="11">
        <f t="shared" ca="1" si="164"/>
        <v>-5.5074395654535931E-3</v>
      </c>
      <c r="V324" s="11"/>
      <c r="W324" s="11">
        <f t="shared" ref="W324:W387" ca="1" si="181">O324-O324</f>
        <v>0</v>
      </c>
      <c r="X324" s="2">
        <f t="shared" ref="X324:X387" ca="1" si="182">IF(O324&gt;0,P324-(O324*$X$63/$W$63), P324)</f>
        <v>-1.6358405771021967E-4</v>
      </c>
      <c r="Y324" s="2">
        <f t="shared" ref="Y324:Y387" ca="1" si="183">IF(O324&gt;0,Q324-(O324*$Y$63/$W$63),Q324)</f>
        <v>-1.614029402377854E-3</v>
      </c>
      <c r="Z324" s="11">
        <f t="shared" ref="Z324:Z387" ca="1" si="184">R324</f>
        <v>-1.4853760121635622E-5</v>
      </c>
      <c r="AA324" s="2">
        <f t="shared" ref="AA324:AA387" ca="1" si="185">IF(O324&gt;0,S324-(O324*$AA$63/$W$63),S324)</f>
        <v>-1.1458026838550334E-3</v>
      </c>
      <c r="AB324" s="11">
        <f t="shared" ref="AB324:AB387" ca="1" si="186">T324</f>
        <v>-4.9053934342410677E-4</v>
      </c>
      <c r="AC324" s="2">
        <f t="shared" ref="AC324:AC387" ca="1" si="187">IF(O324&gt;0,U324-(O324*$AC$63/$W$63),U324)</f>
        <v>-5.5074395654535931E-3</v>
      </c>
      <c r="AF324" s="11">
        <f t="shared" ref="AF324:AF387" ca="1" si="188">W324</f>
        <v>0</v>
      </c>
      <c r="AG324" s="2">
        <f t="shared" ref="AG324:AG387" ca="1" si="189">IF(O324&gt;0, X324-(O324*$AG$63/$AF$63), X324)</f>
        <v>-1.6358405771021967E-4</v>
      </c>
      <c r="AH324" s="2">
        <f t="shared" ref="AH324:AH387" ca="1" si="190">IF(O324&gt;0, Y324-(O324*$AH$63/$AF$63), Y324)</f>
        <v>-1.614029402377854E-3</v>
      </c>
      <c r="AI324" s="2">
        <f t="shared" ref="AI324:AI387" ca="1" si="191">IF(O324&gt;0, Z324-(O324*$AI$63/$AF$63), Z324)</f>
        <v>-1.4853760121635622E-5</v>
      </c>
      <c r="AJ324" s="2">
        <f t="shared" ref="AJ324:AJ387" ca="1" si="192">IF(O324&gt;0, AA324-(O324*$AJ$63/$AF$63), AA324)</f>
        <v>-1.1458026838550334E-3</v>
      </c>
      <c r="AK324" s="2">
        <f t="shared" ref="AK324:AK387" ca="1" si="193">IF(P324&gt;0, AB324-(P324*$AK$63/$AG$63), AB324)</f>
        <v>-4.9053934342410677E-4</v>
      </c>
      <c r="AL324" s="2">
        <f t="shared" ref="AL324:AL387" ca="1" si="194">IF(O324&gt;0, AC324-(O324*$AL$63/$AF$63), AC324)</f>
        <v>-5.5074395654535931E-3</v>
      </c>
      <c r="AN324" s="2" t="e">
        <f t="shared" ca="1" si="173"/>
        <v>#N/A</v>
      </c>
      <c r="AO324" s="2" t="e">
        <f t="shared" ca="1" si="174"/>
        <v>#N/A</v>
      </c>
      <c r="AP324" s="2" t="e">
        <f t="shared" ca="1" si="175"/>
        <v>#N/A</v>
      </c>
      <c r="AQ324" s="2" t="e">
        <f t="shared" ca="1" si="176"/>
        <v>#N/A</v>
      </c>
      <c r="AR324" s="2" t="e">
        <f t="shared" ca="1" si="177"/>
        <v>#N/A</v>
      </c>
      <c r="AS324" s="2" t="e">
        <f t="shared" ca="1" si="178"/>
        <v>#N/A</v>
      </c>
      <c r="AT324" s="9" t="e">
        <f t="shared" ca="1" si="179"/>
        <v>#N/A</v>
      </c>
      <c r="AU324" s="9" t="e">
        <f t="shared" ca="1" si="180"/>
        <v>#N/A</v>
      </c>
      <c r="AW324" s="2" t="e">
        <f t="shared" ca="1" si="165"/>
        <v>#N/A</v>
      </c>
      <c r="AX324" s="2" t="e">
        <f t="shared" ca="1" si="166"/>
        <v>#N/A</v>
      </c>
      <c r="AY324" s="2" t="e">
        <f t="shared" ca="1" si="167"/>
        <v>#N/A</v>
      </c>
      <c r="AZ324" s="2" t="e">
        <f t="shared" ca="1" si="168"/>
        <v>#N/A</v>
      </c>
      <c r="BA324" s="2" t="e">
        <f t="shared" ca="1" si="169"/>
        <v>#N/A</v>
      </c>
      <c r="BB324" s="2" t="e">
        <f t="shared" ca="1" si="170"/>
        <v>#N/A</v>
      </c>
      <c r="BC324" s="9" t="e">
        <f t="shared" ca="1" si="171"/>
        <v>#N/A</v>
      </c>
      <c r="BD324" s="9" t="e">
        <f t="shared" ca="1" si="172"/>
        <v>#N/A</v>
      </c>
    </row>
    <row r="325" spans="1:56" ht="15" x14ac:dyDescent="0.25">
      <c r="A325" s="90"/>
      <c r="B325" s="90"/>
      <c r="C325" s="91"/>
      <c r="D325" s="91"/>
      <c r="E325" s="91"/>
      <c r="F325" s="91"/>
      <c r="G325" s="91"/>
      <c r="H325" s="91"/>
      <c r="I325" s="91"/>
      <c r="J325" s="64"/>
      <c r="K325" s="64"/>
      <c r="L325" s="64"/>
      <c r="M325" s="64"/>
      <c r="O325" s="11">
        <f t="shared" ca="1" si="158"/>
        <v>-3.9378682616450625E-4</v>
      </c>
      <c r="P325" s="11">
        <f t="shared" ca="1" si="159"/>
        <v>-1.6358405771021967E-4</v>
      </c>
      <c r="Q325" s="11">
        <f t="shared" ca="1" si="160"/>
        <v>-1.614029402377854E-3</v>
      </c>
      <c r="R325" s="11">
        <f t="shared" ca="1" si="161"/>
        <v>-1.4853760121635622E-5</v>
      </c>
      <c r="S325" s="11">
        <f t="shared" ca="1" si="162"/>
        <v>-1.1458026838550334E-3</v>
      </c>
      <c r="T325" s="11">
        <f t="shared" ca="1" si="163"/>
        <v>-4.9053934342410677E-4</v>
      </c>
      <c r="U325" s="11">
        <f t="shared" ca="1" si="164"/>
        <v>-5.5074395654535931E-3</v>
      </c>
      <c r="V325" s="11"/>
      <c r="W325" s="11">
        <f t="shared" ca="1" si="181"/>
        <v>0</v>
      </c>
      <c r="X325" s="2">
        <f t="shared" ca="1" si="182"/>
        <v>-1.6358405771021967E-4</v>
      </c>
      <c r="Y325" s="2">
        <f t="shared" ca="1" si="183"/>
        <v>-1.614029402377854E-3</v>
      </c>
      <c r="Z325" s="11">
        <f t="shared" ca="1" si="184"/>
        <v>-1.4853760121635622E-5</v>
      </c>
      <c r="AA325" s="2">
        <f t="shared" ca="1" si="185"/>
        <v>-1.1458026838550334E-3</v>
      </c>
      <c r="AB325" s="11">
        <f t="shared" ca="1" si="186"/>
        <v>-4.9053934342410677E-4</v>
      </c>
      <c r="AC325" s="2">
        <f t="shared" ca="1" si="187"/>
        <v>-5.5074395654535931E-3</v>
      </c>
      <c r="AF325" s="11">
        <f t="shared" ca="1" si="188"/>
        <v>0</v>
      </c>
      <c r="AG325" s="2">
        <f t="shared" ca="1" si="189"/>
        <v>-1.6358405771021967E-4</v>
      </c>
      <c r="AH325" s="2">
        <f t="shared" ca="1" si="190"/>
        <v>-1.614029402377854E-3</v>
      </c>
      <c r="AI325" s="2">
        <f t="shared" ca="1" si="191"/>
        <v>-1.4853760121635622E-5</v>
      </c>
      <c r="AJ325" s="2">
        <f t="shared" ca="1" si="192"/>
        <v>-1.1458026838550334E-3</v>
      </c>
      <c r="AK325" s="2">
        <f t="shared" ca="1" si="193"/>
        <v>-4.9053934342410677E-4</v>
      </c>
      <c r="AL325" s="2">
        <f t="shared" ca="1" si="194"/>
        <v>-5.5074395654535931E-3</v>
      </c>
      <c r="AN325" s="2" t="e">
        <f t="shared" ca="1" si="173"/>
        <v>#N/A</v>
      </c>
      <c r="AO325" s="2" t="e">
        <f t="shared" ca="1" si="174"/>
        <v>#N/A</v>
      </c>
      <c r="AP325" s="2" t="e">
        <f t="shared" ca="1" si="175"/>
        <v>#N/A</v>
      </c>
      <c r="AQ325" s="2" t="e">
        <f t="shared" ca="1" si="176"/>
        <v>#N/A</v>
      </c>
      <c r="AR325" s="2" t="e">
        <f t="shared" ca="1" si="177"/>
        <v>#N/A</v>
      </c>
      <c r="AS325" s="2" t="e">
        <f t="shared" ca="1" si="178"/>
        <v>#N/A</v>
      </c>
      <c r="AT325" s="9" t="e">
        <f t="shared" ca="1" si="179"/>
        <v>#N/A</v>
      </c>
      <c r="AU325" s="9" t="e">
        <f t="shared" ca="1" si="180"/>
        <v>#N/A</v>
      </c>
      <c r="AW325" s="2" t="e">
        <f t="shared" ca="1" si="165"/>
        <v>#N/A</v>
      </c>
      <c r="AX325" s="2" t="e">
        <f t="shared" ca="1" si="166"/>
        <v>#N/A</v>
      </c>
      <c r="AY325" s="2" t="e">
        <f t="shared" ca="1" si="167"/>
        <v>#N/A</v>
      </c>
      <c r="AZ325" s="2" t="e">
        <f t="shared" ca="1" si="168"/>
        <v>#N/A</v>
      </c>
      <c r="BA325" s="2" t="e">
        <f t="shared" ca="1" si="169"/>
        <v>#N/A</v>
      </c>
      <c r="BB325" s="2" t="e">
        <f t="shared" ca="1" si="170"/>
        <v>#N/A</v>
      </c>
      <c r="BC325" s="9" t="e">
        <f t="shared" ca="1" si="171"/>
        <v>#N/A</v>
      </c>
      <c r="BD325" s="9" t="e">
        <f t="shared" ca="1" si="172"/>
        <v>#N/A</v>
      </c>
    </row>
    <row r="326" spans="1:56" ht="15" x14ac:dyDescent="0.25">
      <c r="A326" s="90"/>
      <c r="B326" s="90"/>
      <c r="C326" s="91"/>
      <c r="D326" s="91"/>
      <c r="E326" s="91"/>
      <c r="F326" s="91"/>
      <c r="G326" s="91"/>
      <c r="H326" s="91"/>
      <c r="I326" s="91"/>
      <c r="J326" s="64"/>
      <c r="K326" s="64"/>
      <c r="L326" s="64"/>
      <c r="M326" s="64"/>
      <c r="O326" s="11">
        <f t="shared" ca="1" si="158"/>
        <v>-3.9378682616450625E-4</v>
      </c>
      <c r="P326" s="11">
        <f t="shared" ca="1" si="159"/>
        <v>-1.6358405771021967E-4</v>
      </c>
      <c r="Q326" s="11">
        <f t="shared" ca="1" si="160"/>
        <v>-1.614029402377854E-3</v>
      </c>
      <c r="R326" s="11">
        <f t="shared" ca="1" si="161"/>
        <v>-1.4853760121635622E-5</v>
      </c>
      <c r="S326" s="11">
        <f t="shared" ca="1" si="162"/>
        <v>-1.1458026838550334E-3</v>
      </c>
      <c r="T326" s="11">
        <f t="shared" ca="1" si="163"/>
        <v>-4.9053934342410677E-4</v>
      </c>
      <c r="U326" s="11">
        <f t="shared" ca="1" si="164"/>
        <v>-5.5074395654535931E-3</v>
      </c>
      <c r="V326" s="11"/>
      <c r="W326" s="11">
        <f t="shared" ca="1" si="181"/>
        <v>0</v>
      </c>
      <c r="X326" s="2">
        <f t="shared" ca="1" si="182"/>
        <v>-1.6358405771021967E-4</v>
      </c>
      <c r="Y326" s="2">
        <f t="shared" ca="1" si="183"/>
        <v>-1.614029402377854E-3</v>
      </c>
      <c r="Z326" s="11">
        <f t="shared" ca="1" si="184"/>
        <v>-1.4853760121635622E-5</v>
      </c>
      <c r="AA326" s="2">
        <f t="shared" ca="1" si="185"/>
        <v>-1.1458026838550334E-3</v>
      </c>
      <c r="AB326" s="11">
        <f t="shared" ca="1" si="186"/>
        <v>-4.9053934342410677E-4</v>
      </c>
      <c r="AC326" s="2">
        <f t="shared" ca="1" si="187"/>
        <v>-5.5074395654535931E-3</v>
      </c>
      <c r="AF326" s="11">
        <f t="shared" ca="1" si="188"/>
        <v>0</v>
      </c>
      <c r="AG326" s="2">
        <f t="shared" ca="1" si="189"/>
        <v>-1.6358405771021967E-4</v>
      </c>
      <c r="AH326" s="2">
        <f t="shared" ca="1" si="190"/>
        <v>-1.614029402377854E-3</v>
      </c>
      <c r="AI326" s="2">
        <f t="shared" ca="1" si="191"/>
        <v>-1.4853760121635622E-5</v>
      </c>
      <c r="AJ326" s="2">
        <f t="shared" ca="1" si="192"/>
        <v>-1.1458026838550334E-3</v>
      </c>
      <c r="AK326" s="2">
        <f t="shared" ca="1" si="193"/>
        <v>-4.9053934342410677E-4</v>
      </c>
      <c r="AL326" s="2">
        <f t="shared" ca="1" si="194"/>
        <v>-5.5074395654535931E-3</v>
      </c>
      <c r="AN326" s="2" t="e">
        <f t="shared" ca="1" si="173"/>
        <v>#N/A</v>
      </c>
      <c r="AO326" s="2" t="e">
        <f t="shared" ca="1" si="174"/>
        <v>#N/A</v>
      </c>
      <c r="AP326" s="2" t="e">
        <f t="shared" ca="1" si="175"/>
        <v>#N/A</v>
      </c>
      <c r="AQ326" s="2" t="e">
        <f t="shared" ca="1" si="176"/>
        <v>#N/A</v>
      </c>
      <c r="AR326" s="2" t="e">
        <f t="shared" ca="1" si="177"/>
        <v>#N/A</v>
      </c>
      <c r="AS326" s="2" t="e">
        <f t="shared" ca="1" si="178"/>
        <v>#N/A</v>
      </c>
      <c r="AT326" s="9" t="e">
        <f t="shared" ca="1" si="179"/>
        <v>#N/A</v>
      </c>
      <c r="AU326" s="9" t="e">
        <f t="shared" ca="1" si="180"/>
        <v>#N/A</v>
      </c>
      <c r="AW326" s="2" t="e">
        <f t="shared" ca="1" si="165"/>
        <v>#N/A</v>
      </c>
      <c r="AX326" s="2" t="e">
        <f t="shared" ca="1" si="166"/>
        <v>#N/A</v>
      </c>
      <c r="AY326" s="2" t="e">
        <f t="shared" ca="1" si="167"/>
        <v>#N/A</v>
      </c>
      <c r="AZ326" s="2" t="e">
        <f t="shared" ca="1" si="168"/>
        <v>#N/A</v>
      </c>
      <c r="BA326" s="2" t="e">
        <f t="shared" ca="1" si="169"/>
        <v>#N/A</v>
      </c>
      <c r="BB326" s="2" t="e">
        <f t="shared" ca="1" si="170"/>
        <v>#N/A</v>
      </c>
      <c r="BC326" s="9" t="e">
        <f t="shared" ca="1" si="171"/>
        <v>#N/A</v>
      </c>
      <c r="BD326" s="9" t="e">
        <f t="shared" ca="1" si="172"/>
        <v>#N/A</v>
      </c>
    </row>
    <row r="327" spans="1:56" ht="15" x14ac:dyDescent="0.25">
      <c r="A327" s="90"/>
      <c r="B327" s="90"/>
      <c r="C327" s="91"/>
      <c r="D327" s="91"/>
      <c r="E327" s="91"/>
      <c r="F327" s="91"/>
      <c r="G327" s="91"/>
      <c r="H327" s="91"/>
      <c r="I327" s="91"/>
      <c r="J327" s="64"/>
      <c r="K327" s="64"/>
      <c r="L327" s="64"/>
      <c r="M327" s="64"/>
      <c r="O327" s="11">
        <f t="shared" ca="1" si="158"/>
        <v>-3.9378682616450625E-4</v>
      </c>
      <c r="P327" s="11">
        <f t="shared" ca="1" si="159"/>
        <v>-1.6358405771021967E-4</v>
      </c>
      <c r="Q327" s="11">
        <f t="shared" ca="1" si="160"/>
        <v>-1.614029402377854E-3</v>
      </c>
      <c r="R327" s="11">
        <f t="shared" ca="1" si="161"/>
        <v>-1.4853760121635622E-5</v>
      </c>
      <c r="S327" s="11">
        <f t="shared" ca="1" si="162"/>
        <v>-1.1458026838550334E-3</v>
      </c>
      <c r="T327" s="11">
        <f t="shared" ca="1" si="163"/>
        <v>-4.9053934342410677E-4</v>
      </c>
      <c r="U327" s="11">
        <f t="shared" ca="1" si="164"/>
        <v>-5.5074395654535931E-3</v>
      </c>
      <c r="V327" s="11"/>
      <c r="W327" s="11">
        <f t="shared" ca="1" si="181"/>
        <v>0</v>
      </c>
      <c r="X327" s="2">
        <f t="shared" ca="1" si="182"/>
        <v>-1.6358405771021967E-4</v>
      </c>
      <c r="Y327" s="2">
        <f t="shared" ca="1" si="183"/>
        <v>-1.614029402377854E-3</v>
      </c>
      <c r="Z327" s="11">
        <f t="shared" ca="1" si="184"/>
        <v>-1.4853760121635622E-5</v>
      </c>
      <c r="AA327" s="2">
        <f t="shared" ca="1" si="185"/>
        <v>-1.1458026838550334E-3</v>
      </c>
      <c r="AB327" s="11">
        <f t="shared" ca="1" si="186"/>
        <v>-4.9053934342410677E-4</v>
      </c>
      <c r="AC327" s="2">
        <f t="shared" ca="1" si="187"/>
        <v>-5.5074395654535931E-3</v>
      </c>
      <c r="AF327" s="11">
        <f t="shared" ca="1" si="188"/>
        <v>0</v>
      </c>
      <c r="AG327" s="2">
        <f t="shared" ca="1" si="189"/>
        <v>-1.6358405771021967E-4</v>
      </c>
      <c r="AH327" s="2">
        <f t="shared" ca="1" si="190"/>
        <v>-1.614029402377854E-3</v>
      </c>
      <c r="AI327" s="2">
        <f t="shared" ca="1" si="191"/>
        <v>-1.4853760121635622E-5</v>
      </c>
      <c r="AJ327" s="2">
        <f t="shared" ca="1" si="192"/>
        <v>-1.1458026838550334E-3</v>
      </c>
      <c r="AK327" s="2">
        <f t="shared" ca="1" si="193"/>
        <v>-4.9053934342410677E-4</v>
      </c>
      <c r="AL327" s="2">
        <f t="shared" ca="1" si="194"/>
        <v>-5.5074395654535931E-3</v>
      </c>
      <c r="AN327" s="2" t="e">
        <f t="shared" ca="1" si="173"/>
        <v>#N/A</v>
      </c>
      <c r="AO327" s="2" t="e">
        <f t="shared" ca="1" si="174"/>
        <v>#N/A</v>
      </c>
      <c r="AP327" s="2" t="e">
        <f t="shared" ca="1" si="175"/>
        <v>#N/A</v>
      </c>
      <c r="AQ327" s="2" t="e">
        <f t="shared" ca="1" si="176"/>
        <v>#N/A</v>
      </c>
      <c r="AR327" s="2" t="e">
        <f t="shared" ca="1" si="177"/>
        <v>#N/A</v>
      </c>
      <c r="AS327" s="2" t="e">
        <f t="shared" ca="1" si="178"/>
        <v>#N/A</v>
      </c>
      <c r="AT327" s="9" t="e">
        <f t="shared" ca="1" si="179"/>
        <v>#N/A</v>
      </c>
      <c r="AU327" s="9" t="e">
        <f t="shared" ca="1" si="180"/>
        <v>#N/A</v>
      </c>
      <c r="AW327" s="2" t="e">
        <f t="shared" ca="1" si="165"/>
        <v>#N/A</v>
      </c>
      <c r="AX327" s="2" t="e">
        <f t="shared" ca="1" si="166"/>
        <v>#N/A</v>
      </c>
      <c r="AY327" s="2" t="e">
        <f t="shared" ca="1" si="167"/>
        <v>#N/A</v>
      </c>
      <c r="AZ327" s="2" t="e">
        <f t="shared" ca="1" si="168"/>
        <v>#N/A</v>
      </c>
      <c r="BA327" s="2" t="e">
        <f t="shared" ca="1" si="169"/>
        <v>#N/A</v>
      </c>
      <c r="BB327" s="2" t="e">
        <f t="shared" ca="1" si="170"/>
        <v>#N/A</v>
      </c>
      <c r="BC327" s="9" t="e">
        <f t="shared" ca="1" si="171"/>
        <v>#N/A</v>
      </c>
      <c r="BD327" s="9" t="e">
        <f t="shared" ca="1" si="172"/>
        <v>#N/A</v>
      </c>
    </row>
    <row r="328" spans="1:56" ht="15" x14ac:dyDescent="0.25">
      <c r="A328" s="90"/>
      <c r="B328" s="90"/>
      <c r="C328" s="91"/>
      <c r="D328" s="91"/>
      <c r="E328" s="91"/>
      <c r="F328" s="91"/>
      <c r="G328" s="91"/>
      <c r="H328" s="91"/>
      <c r="I328" s="91"/>
      <c r="J328" s="64"/>
      <c r="K328" s="64"/>
      <c r="L328" s="64"/>
      <c r="M328" s="64"/>
      <c r="O328" s="11">
        <f t="shared" ca="1" si="158"/>
        <v>-3.9378682616450625E-4</v>
      </c>
      <c r="P328" s="11">
        <f t="shared" ca="1" si="159"/>
        <v>-1.6358405771021967E-4</v>
      </c>
      <c r="Q328" s="11">
        <f t="shared" ca="1" si="160"/>
        <v>-1.614029402377854E-3</v>
      </c>
      <c r="R328" s="11">
        <f t="shared" ca="1" si="161"/>
        <v>-1.4853760121635622E-5</v>
      </c>
      <c r="S328" s="11">
        <f t="shared" ca="1" si="162"/>
        <v>-1.1458026838550334E-3</v>
      </c>
      <c r="T328" s="11">
        <f t="shared" ca="1" si="163"/>
        <v>-4.9053934342410677E-4</v>
      </c>
      <c r="U328" s="11">
        <f t="shared" ca="1" si="164"/>
        <v>-5.5074395654535931E-3</v>
      </c>
      <c r="V328" s="11"/>
      <c r="W328" s="11">
        <f t="shared" ca="1" si="181"/>
        <v>0</v>
      </c>
      <c r="X328" s="2">
        <f t="shared" ca="1" si="182"/>
        <v>-1.6358405771021967E-4</v>
      </c>
      <c r="Y328" s="2">
        <f t="shared" ca="1" si="183"/>
        <v>-1.614029402377854E-3</v>
      </c>
      <c r="Z328" s="11">
        <f t="shared" ca="1" si="184"/>
        <v>-1.4853760121635622E-5</v>
      </c>
      <c r="AA328" s="2">
        <f t="shared" ca="1" si="185"/>
        <v>-1.1458026838550334E-3</v>
      </c>
      <c r="AB328" s="11">
        <f t="shared" ca="1" si="186"/>
        <v>-4.9053934342410677E-4</v>
      </c>
      <c r="AC328" s="2">
        <f t="shared" ca="1" si="187"/>
        <v>-5.5074395654535931E-3</v>
      </c>
      <c r="AF328" s="11">
        <f t="shared" ca="1" si="188"/>
        <v>0</v>
      </c>
      <c r="AG328" s="2">
        <f t="shared" ca="1" si="189"/>
        <v>-1.6358405771021967E-4</v>
      </c>
      <c r="AH328" s="2">
        <f t="shared" ca="1" si="190"/>
        <v>-1.614029402377854E-3</v>
      </c>
      <c r="AI328" s="2">
        <f t="shared" ca="1" si="191"/>
        <v>-1.4853760121635622E-5</v>
      </c>
      <c r="AJ328" s="2">
        <f t="shared" ca="1" si="192"/>
        <v>-1.1458026838550334E-3</v>
      </c>
      <c r="AK328" s="2">
        <f t="shared" ca="1" si="193"/>
        <v>-4.9053934342410677E-4</v>
      </c>
      <c r="AL328" s="2">
        <f t="shared" ca="1" si="194"/>
        <v>-5.5074395654535931E-3</v>
      </c>
      <c r="AN328" s="2" t="e">
        <f t="shared" ca="1" si="173"/>
        <v>#N/A</v>
      </c>
      <c r="AO328" s="2" t="e">
        <f t="shared" ca="1" si="174"/>
        <v>#N/A</v>
      </c>
      <c r="AP328" s="2" t="e">
        <f t="shared" ca="1" si="175"/>
        <v>#N/A</v>
      </c>
      <c r="AQ328" s="2" t="e">
        <f t="shared" ca="1" si="176"/>
        <v>#N/A</v>
      </c>
      <c r="AR328" s="2" t="e">
        <f t="shared" ca="1" si="177"/>
        <v>#N/A</v>
      </c>
      <c r="AS328" s="2" t="e">
        <f t="shared" ca="1" si="178"/>
        <v>#N/A</v>
      </c>
      <c r="AT328" s="9" t="e">
        <f t="shared" ca="1" si="179"/>
        <v>#N/A</v>
      </c>
      <c r="AU328" s="9" t="e">
        <f t="shared" ca="1" si="180"/>
        <v>#N/A</v>
      </c>
      <c r="AW328" s="2" t="e">
        <f t="shared" ca="1" si="165"/>
        <v>#N/A</v>
      </c>
      <c r="AX328" s="2" t="e">
        <f t="shared" ca="1" si="166"/>
        <v>#N/A</v>
      </c>
      <c r="AY328" s="2" t="e">
        <f t="shared" ca="1" si="167"/>
        <v>#N/A</v>
      </c>
      <c r="AZ328" s="2" t="e">
        <f t="shared" ca="1" si="168"/>
        <v>#N/A</v>
      </c>
      <c r="BA328" s="2" t="e">
        <f t="shared" ca="1" si="169"/>
        <v>#N/A</v>
      </c>
      <c r="BB328" s="2" t="e">
        <f t="shared" ca="1" si="170"/>
        <v>#N/A</v>
      </c>
      <c r="BC328" s="9" t="e">
        <f t="shared" ca="1" si="171"/>
        <v>#N/A</v>
      </c>
      <c r="BD328" s="9" t="e">
        <f t="shared" ca="1" si="172"/>
        <v>#N/A</v>
      </c>
    </row>
    <row r="329" spans="1:56" ht="15" x14ac:dyDescent="0.25">
      <c r="A329" s="90"/>
      <c r="B329" s="90"/>
      <c r="C329" s="91"/>
      <c r="D329" s="91"/>
      <c r="E329" s="91"/>
      <c r="F329" s="91"/>
      <c r="G329" s="91"/>
      <c r="H329" s="91"/>
      <c r="I329" s="91"/>
      <c r="J329" s="64"/>
      <c r="K329" s="64"/>
      <c r="L329" s="64"/>
      <c r="M329" s="64"/>
      <c r="O329" s="11">
        <f t="shared" ca="1" si="158"/>
        <v>-3.9378682616450625E-4</v>
      </c>
      <c r="P329" s="11">
        <f t="shared" ca="1" si="159"/>
        <v>-1.6358405771021967E-4</v>
      </c>
      <c r="Q329" s="11">
        <f t="shared" ca="1" si="160"/>
        <v>-1.614029402377854E-3</v>
      </c>
      <c r="R329" s="11">
        <f t="shared" ca="1" si="161"/>
        <v>-1.4853760121635622E-5</v>
      </c>
      <c r="S329" s="11">
        <f t="shared" ca="1" si="162"/>
        <v>-1.1458026838550334E-3</v>
      </c>
      <c r="T329" s="11">
        <f t="shared" ca="1" si="163"/>
        <v>-4.9053934342410677E-4</v>
      </c>
      <c r="U329" s="11">
        <f t="shared" ca="1" si="164"/>
        <v>-5.5074395654535931E-3</v>
      </c>
      <c r="V329" s="11"/>
      <c r="W329" s="11">
        <f t="shared" ca="1" si="181"/>
        <v>0</v>
      </c>
      <c r="X329" s="2">
        <f t="shared" ca="1" si="182"/>
        <v>-1.6358405771021967E-4</v>
      </c>
      <c r="Y329" s="2">
        <f t="shared" ca="1" si="183"/>
        <v>-1.614029402377854E-3</v>
      </c>
      <c r="Z329" s="11">
        <f t="shared" ca="1" si="184"/>
        <v>-1.4853760121635622E-5</v>
      </c>
      <c r="AA329" s="2">
        <f t="shared" ca="1" si="185"/>
        <v>-1.1458026838550334E-3</v>
      </c>
      <c r="AB329" s="11">
        <f t="shared" ca="1" si="186"/>
        <v>-4.9053934342410677E-4</v>
      </c>
      <c r="AC329" s="2">
        <f t="shared" ca="1" si="187"/>
        <v>-5.5074395654535931E-3</v>
      </c>
      <c r="AF329" s="11">
        <f t="shared" ca="1" si="188"/>
        <v>0</v>
      </c>
      <c r="AG329" s="2">
        <f t="shared" ca="1" si="189"/>
        <v>-1.6358405771021967E-4</v>
      </c>
      <c r="AH329" s="2">
        <f t="shared" ca="1" si="190"/>
        <v>-1.614029402377854E-3</v>
      </c>
      <c r="AI329" s="2">
        <f t="shared" ca="1" si="191"/>
        <v>-1.4853760121635622E-5</v>
      </c>
      <c r="AJ329" s="2">
        <f t="shared" ca="1" si="192"/>
        <v>-1.1458026838550334E-3</v>
      </c>
      <c r="AK329" s="2">
        <f t="shared" ca="1" si="193"/>
        <v>-4.9053934342410677E-4</v>
      </c>
      <c r="AL329" s="2">
        <f t="shared" ca="1" si="194"/>
        <v>-5.5074395654535931E-3</v>
      </c>
      <c r="AN329" s="2" t="e">
        <f t="shared" ca="1" si="173"/>
        <v>#N/A</v>
      </c>
      <c r="AO329" s="2" t="e">
        <f t="shared" ca="1" si="174"/>
        <v>#N/A</v>
      </c>
      <c r="AP329" s="2" t="e">
        <f t="shared" ca="1" si="175"/>
        <v>#N/A</v>
      </c>
      <c r="AQ329" s="2" t="e">
        <f t="shared" ca="1" si="176"/>
        <v>#N/A</v>
      </c>
      <c r="AR329" s="2" t="e">
        <f t="shared" ca="1" si="177"/>
        <v>#N/A</v>
      </c>
      <c r="AS329" s="2" t="e">
        <f t="shared" ca="1" si="178"/>
        <v>#N/A</v>
      </c>
      <c r="AT329" s="9" t="e">
        <f t="shared" ca="1" si="179"/>
        <v>#N/A</v>
      </c>
      <c r="AU329" s="9" t="e">
        <f t="shared" ca="1" si="180"/>
        <v>#N/A</v>
      </c>
      <c r="AW329" s="2" t="e">
        <f t="shared" ca="1" si="165"/>
        <v>#N/A</v>
      </c>
      <c r="AX329" s="2" t="e">
        <f t="shared" ca="1" si="166"/>
        <v>#N/A</v>
      </c>
      <c r="AY329" s="2" t="e">
        <f t="shared" ca="1" si="167"/>
        <v>#N/A</v>
      </c>
      <c r="AZ329" s="2" t="e">
        <f t="shared" ca="1" si="168"/>
        <v>#N/A</v>
      </c>
      <c r="BA329" s="2" t="e">
        <f t="shared" ca="1" si="169"/>
        <v>#N/A</v>
      </c>
      <c r="BB329" s="2" t="e">
        <f t="shared" ca="1" si="170"/>
        <v>#N/A</v>
      </c>
      <c r="BC329" s="9" t="e">
        <f t="shared" ca="1" si="171"/>
        <v>#N/A</v>
      </c>
      <c r="BD329" s="9" t="e">
        <f t="shared" ca="1" si="172"/>
        <v>#N/A</v>
      </c>
    </row>
    <row r="330" spans="1:56" ht="15" x14ac:dyDescent="0.25">
      <c r="A330" s="90"/>
      <c r="B330" s="90"/>
      <c r="C330" s="91"/>
      <c r="D330" s="91"/>
      <c r="E330" s="91"/>
      <c r="F330" s="91"/>
      <c r="G330" s="91"/>
      <c r="H330" s="91"/>
      <c r="I330" s="91"/>
      <c r="J330" s="64"/>
      <c r="K330" s="64"/>
      <c r="L330" s="64"/>
      <c r="M330" s="64"/>
      <c r="O330" s="11">
        <f t="shared" ca="1" si="158"/>
        <v>-3.9378682616450625E-4</v>
      </c>
      <c r="P330" s="11">
        <f t="shared" ca="1" si="159"/>
        <v>-1.6358405771021967E-4</v>
      </c>
      <c r="Q330" s="11">
        <f t="shared" ca="1" si="160"/>
        <v>-1.614029402377854E-3</v>
      </c>
      <c r="R330" s="11">
        <f t="shared" ca="1" si="161"/>
        <v>-1.4853760121635622E-5</v>
      </c>
      <c r="S330" s="11">
        <f t="shared" ca="1" si="162"/>
        <v>-1.1458026838550334E-3</v>
      </c>
      <c r="T330" s="11">
        <f t="shared" ca="1" si="163"/>
        <v>-4.9053934342410677E-4</v>
      </c>
      <c r="U330" s="11">
        <f t="shared" ca="1" si="164"/>
        <v>-5.5074395654535931E-3</v>
      </c>
      <c r="V330" s="11"/>
      <c r="W330" s="11">
        <f t="shared" ca="1" si="181"/>
        <v>0</v>
      </c>
      <c r="X330" s="2">
        <f t="shared" ca="1" si="182"/>
        <v>-1.6358405771021967E-4</v>
      </c>
      <c r="Y330" s="2">
        <f t="shared" ca="1" si="183"/>
        <v>-1.614029402377854E-3</v>
      </c>
      <c r="Z330" s="11">
        <f t="shared" ca="1" si="184"/>
        <v>-1.4853760121635622E-5</v>
      </c>
      <c r="AA330" s="2">
        <f t="shared" ca="1" si="185"/>
        <v>-1.1458026838550334E-3</v>
      </c>
      <c r="AB330" s="11">
        <f t="shared" ca="1" si="186"/>
        <v>-4.9053934342410677E-4</v>
      </c>
      <c r="AC330" s="2">
        <f t="shared" ca="1" si="187"/>
        <v>-5.5074395654535931E-3</v>
      </c>
      <c r="AF330" s="11">
        <f t="shared" ca="1" si="188"/>
        <v>0</v>
      </c>
      <c r="AG330" s="2">
        <f t="shared" ca="1" si="189"/>
        <v>-1.6358405771021967E-4</v>
      </c>
      <c r="AH330" s="2">
        <f t="shared" ca="1" si="190"/>
        <v>-1.614029402377854E-3</v>
      </c>
      <c r="AI330" s="2">
        <f t="shared" ca="1" si="191"/>
        <v>-1.4853760121635622E-5</v>
      </c>
      <c r="AJ330" s="2">
        <f t="shared" ca="1" si="192"/>
        <v>-1.1458026838550334E-3</v>
      </c>
      <c r="AK330" s="2">
        <f t="shared" ca="1" si="193"/>
        <v>-4.9053934342410677E-4</v>
      </c>
      <c r="AL330" s="2">
        <f t="shared" ca="1" si="194"/>
        <v>-5.5074395654535931E-3</v>
      </c>
      <c r="AN330" s="2" t="e">
        <f t="shared" ca="1" si="173"/>
        <v>#N/A</v>
      </c>
      <c r="AO330" s="2" t="e">
        <f t="shared" ca="1" si="174"/>
        <v>#N/A</v>
      </c>
      <c r="AP330" s="2" t="e">
        <f t="shared" ca="1" si="175"/>
        <v>#N/A</v>
      </c>
      <c r="AQ330" s="2" t="e">
        <f t="shared" ca="1" si="176"/>
        <v>#N/A</v>
      </c>
      <c r="AR330" s="2" t="e">
        <f t="shared" ca="1" si="177"/>
        <v>#N/A</v>
      </c>
      <c r="AS330" s="2" t="e">
        <f t="shared" ca="1" si="178"/>
        <v>#N/A</v>
      </c>
      <c r="AT330" s="9" t="e">
        <f t="shared" ca="1" si="179"/>
        <v>#N/A</v>
      </c>
      <c r="AU330" s="9" t="e">
        <f t="shared" ca="1" si="180"/>
        <v>#N/A</v>
      </c>
      <c r="AW330" s="2" t="e">
        <f t="shared" ca="1" si="165"/>
        <v>#N/A</v>
      </c>
      <c r="AX330" s="2" t="e">
        <f t="shared" ca="1" si="166"/>
        <v>#N/A</v>
      </c>
      <c r="AY330" s="2" t="e">
        <f t="shared" ca="1" si="167"/>
        <v>#N/A</v>
      </c>
      <c r="AZ330" s="2" t="e">
        <f t="shared" ca="1" si="168"/>
        <v>#N/A</v>
      </c>
      <c r="BA330" s="2" t="e">
        <f t="shared" ca="1" si="169"/>
        <v>#N/A</v>
      </c>
      <c r="BB330" s="2" t="e">
        <f t="shared" ca="1" si="170"/>
        <v>#N/A</v>
      </c>
      <c r="BC330" s="9" t="e">
        <f t="shared" ca="1" si="171"/>
        <v>#N/A</v>
      </c>
      <c r="BD330" s="9" t="e">
        <f t="shared" ca="1" si="172"/>
        <v>#N/A</v>
      </c>
    </row>
    <row r="331" spans="1:56" ht="15" x14ac:dyDescent="0.25">
      <c r="A331" s="90"/>
      <c r="B331" s="90"/>
      <c r="C331" s="91"/>
      <c r="D331" s="91"/>
      <c r="E331" s="91"/>
      <c r="F331" s="91"/>
      <c r="G331" s="91"/>
      <c r="H331" s="91"/>
      <c r="I331" s="91"/>
      <c r="J331" s="64"/>
      <c r="K331" s="64"/>
      <c r="L331" s="64"/>
      <c r="M331" s="64"/>
      <c r="O331" s="11">
        <f t="shared" ca="1" si="158"/>
        <v>-3.9378682616450625E-4</v>
      </c>
      <c r="P331" s="11">
        <f t="shared" ca="1" si="159"/>
        <v>-1.6358405771021967E-4</v>
      </c>
      <c r="Q331" s="11">
        <f t="shared" ca="1" si="160"/>
        <v>-1.614029402377854E-3</v>
      </c>
      <c r="R331" s="11">
        <f t="shared" ca="1" si="161"/>
        <v>-1.4853760121635622E-5</v>
      </c>
      <c r="S331" s="11">
        <f t="shared" ca="1" si="162"/>
        <v>-1.1458026838550334E-3</v>
      </c>
      <c r="T331" s="11">
        <f t="shared" ca="1" si="163"/>
        <v>-4.9053934342410677E-4</v>
      </c>
      <c r="U331" s="11">
        <f t="shared" ca="1" si="164"/>
        <v>-5.5074395654535931E-3</v>
      </c>
      <c r="V331" s="11"/>
      <c r="W331" s="11">
        <f t="shared" ca="1" si="181"/>
        <v>0</v>
      </c>
      <c r="X331" s="2">
        <f t="shared" ca="1" si="182"/>
        <v>-1.6358405771021967E-4</v>
      </c>
      <c r="Y331" s="2">
        <f t="shared" ca="1" si="183"/>
        <v>-1.614029402377854E-3</v>
      </c>
      <c r="Z331" s="11">
        <f t="shared" ca="1" si="184"/>
        <v>-1.4853760121635622E-5</v>
      </c>
      <c r="AA331" s="2">
        <f t="shared" ca="1" si="185"/>
        <v>-1.1458026838550334E-3</v>
      </c>
      <c r="AB331" s="11">
        <f t="shared" ca="1" si="186"/>
        <v>-4.9053934342410677E-4</v>
      </c>
      <c r="AC331" s="2">
        <f t="shared" ca="1" si="187"/>
        <v>-5.5074395654535931E-3</v>
      </c>
      <c r="AF331" s="11">
        <f t="shared" ca="1" si="188"/>
        <v>0</v>
      </c>
      <c r="AG331" s="2">
        <f t="shared" ca="1" si="189"/>
        <v>-1.6358405771021967E-4</v>
      </c>
      <c r="AH331" s="2">
        <f t="shared" ca="1" si="190"/>
        <v>-1.614029402377854E-3</v>
      </c>
      <c r="AI331" s="2">
        <f t="shared" ca="1" si="191"/>
        <v>-1.4853760121635622E-5</v>
      </c>
      <c r="AJ331" s="2">
        <f t="shared" ca="1" si="192"/>
        <v>-1.1458026838550334E-3</v>
      </c>
      <c r="AK331" s="2">
        <f t="shared" ca="1" si="193"/>
        <v>-4.9053934342410677E-4</v>
      </c>
      <c r="AL331" s="2">
        <f t="shared" ca="1" si="194"/>
        <v>-5.5074395654535931E-3</v>
      </c>
      <c r="AN331" s="2" t="e">
        <f t="shared" ca="1" si="173"/>
        <v>#N/A</v>
      </c>
      <c r="AO331" s="2" t="e">
        <f t="shared" ca="1" si="174"/>
        <v>#N/A</v>
      </c>
      <c r="AP331" s="2" t="e">
        <f t="shared" ca="1" si="175"/>
        <v>#N/A</v>
      </c>
      <c r="AQ331" s="2" t="e">
        <f t="shared" ca="1" si="176"/>
        <v>#N/A</v>
      </c>
      <c r="AR331" s="2" t="e">
        <f t="shared" ca="1" si="177"/>
        <v>#N/A</v>
      </c>
      <c r="AS331" s="2" t="e">
        <f t="shared" ca="1" si="178"/>
        <v>#N/A</v>
      </c>
      <c r="AT331" s="9" t="e">
        <f t="shared" ca="1" si="179"/>
        <v>#N/A</v>
      </c>
      <c r="AU331" s="9" t="e">
        <f t="shared" ca="1" si="180"/>
        <v>#N/A</v>
      </c>
      <c r="AW331" s="2" t="e">
        <f t="shared" ca="1" si="165"/>
        <v>#N/A</v>
      </c>
      <c r="AX331" s="2" t="e">
        <f t="shared" ca="1" si="166"/>
        <v>#N/A</v>
      </c>
      <c r="AY331" s="2" t="e">
        <f t="shared" ca="1" si="167"/>
        <v>#N/A</v>
      </c>
      <c r="AZ331" s="2" t="e">
        <f t="shared" ca="1" si="168"/>
        <v>#N/A</v>
      </c>
      <c r="BA331" s="2" t="e">
        <f t="shared" ca="1" si="169"/>
        <v>#N/A</v>
      </c>
      <c r="BB331" s="2" t="e">
        <f t="shared" ca="1" si="170"/>
        <v>#N/A</v>
      </c>
      <c r="BC331" s="9" t="e">
        <f t="shared" ca="1" si="171"/>
        <v>#N/A</v>
      </c>
      <c r="BD331" s="9" t="e">
        <f t="shared" ca="1" si="172"/>
        <v>#N/A</v>
      </c>
    </row>
    <row r="332" spans="1:56" ht="15" x14ac:dyDescent="0.25">
      <c r="A332" s="90"/>
      <c r="B332" s="90"/>
      <c r="C332" s="91"/>
      <c r="D332" s="91"/>
      <c r="E332" s="91"/>
      <c r="F332" s="91"/>
      <c r="G332" s="91"/>
      <c r="H332" s="91"/>
      <c r="I332" s="91"/>
      <c r="J332" s="64"/>
      <c r="K332" s="64"/>
      <c r="L332" s="64"/>
      <c r="M332" s="64"/>
      <c r="O332" s="11">
        <f t="shared" ca="1" si="158"/>
        <v>-3.9378682616450625E-4</v>
      </c>
      <c r="P332" s="11">
        <f t="shared" ca="1" si="159"/>
        <v>-1.6358405771021967E-4</v>
      </c>
      <c r="Q332" s="11">
        <f t="shared" ca="1" si="160"/>
        <v>-1.614029402377854E-3</v>
      </c>
      <c r="R332" s="11">
        <f t="shared" ca="1" si="161"/>
        <v>-1.4853760121635622E-5</v>
      </c>
      <c r="S332" s="11">
        <f t="shared" ca="1" si="162"/>
        <v>-1.1458026838550334E-3</v>
      </c>
      <c r="T332" s="11">
        <f t="shared" ca="1" si="163"/>
        <v>-4.9053934342410677E-4</v>
      </c>
      <c r="U332" s="11">
        <f t="shared" ca="1" si="164"/>
        <v>-5.5074395654535931E-3</v>
      </c>
      <c r="V332" s="11"/>
      <c r="W332" s="11">
        <f t="shared" ca="1" si="181"/>
        <v>0</v>
      </c>
      <c r="X332" s="2">
        <f t="shared" ca="1" si="182"/>
        <v>-1.6358405771021967E-4</v>
      </c>
      <c r="Y332" s="2">
        <f t="shared" ca="1" si="183"/>
        <v>-1.614029402377854E-3</v>
      </c>
      <c r="Z332" s="11">
        <f t="shared" ca="1" si="184"/>
        <v>-1.4853760121635622E-5</v>
      </c>
      <c r="AA332" s="2">
        <f t="shared" ca="1" si="185"/>
        <v>-1.1458026838550334E-3</v>
      </c>
      <c r="AB332" s="11">
        <f t="shared" ca="1" si="186"/>
        <v>-4.9053934342410677E-4</v>
      </c>
      <c r="AC332" s="2">
        <f t="shared" ca="1" si="187"/>
        <v>-5.5074395654535931E-3</v>
      </c>
      <c r="AF332" s="11">
        <f t="shared" ca="1" si="188"/>
        <v>0</v>
      </c>
      <c r="AG332" s="2">
        <f t="shared" ca="1" si="189"/>
        <v>-1.6358405771021967E-4</v>
      </c>
      <c r="AH332" s="2">
        <f t="shared" ca="1" si="190"/>
        <v>-1.614029402377854E-3</v>
      </c>
      <c r="AI332" s="2">
        <f t="shared" ca="1" si="191"/>
        <v>-1.4853760121635622E-5</v>
      </c>
      <c r="AJ332" s="2">
        <f t="shared" ca="1" si="192"/>
        <v>-1.1458026838550334E-3</v>
      </c>
      <c r="AK332" s="2">
        <f t="shared" ca="1" si="193"/>
        <v>-4.9053934342410677E-4</v>
      </c>
      <c r="AL332" s="2">
        <f t="shared" ca="1" si="194"/>
        <v>-5.5074395654535931E-3</v>
      </c>
      <c r="AN332" s="2" t="e">
        <f t="shared" ca="1" si="173"/>
        <v>#N/A</v>
      </c>
      <c r="AO332" s="2" t="e">
        <f t="shared" ca="1" si="174"/>
        <v>#N/A</v>
      </c>
      <c r="AP332" s="2" t="e">
        <f t="shared" ca="1" si="175"/>
        <v>#N/A</v>
      </c>
      <c r="AQ332" s="2" t="e">
        <f t="shared" ca="1" si="176"/>
        <v>#N/A</v>
      </c>
      <c r="AR332" s="2" t="e">
        <f t="shared" ca="1" si="177"/>
        <v>#N/A</v>
      </c>
      <c r="AS332" s="2" t="e">
        <f t="shared" ca="1" si="178"/>
        <v>#N/A</v>
      </c>
      <c r="AT332" s="9" t="e">
        <f t="shared" ca="1" si="179"/>
        <v>#N/A</v>
      </c>
      <c r="AU332" s="9" t="e">
        <f t="shared" ca="1" si="180"/>
        <v>#N/A</v>
      </c>
      <c r="AW332" s="2" t="e">
        <f t="shared" ca="1" si="165"/>
        <v>#N/A</v>
      </c>
      <c r="AX332" s="2" t="e">
        <f t="shared" ca="1" si="166"/>
        <v>#N/A</v>
      </c>
      <c r="AY332" s="2" t="e">
        <f t="shared" ca="1" si="167"/>
        <v>#N/A</v>
      </c>
      <c r="AZ332" s="2" t="e">
        <f t="shared" ca="1" si="168"/>
        <v>#N/A</v>
      </c>
      <c r="BA332" s="2" t="e">
        <f t="shared" ca="1" si="169"/>
        <v>#N/A</v>
      </c>
      <c r="BB332" s="2" t="e">
        <f t="shared" ca="1" si="170"/>
        <v>#N/A</v>
      </c>
      <c r="BC332" s="9" t="e">
        <f t="shared" ca="1" si="171"/>
        <v>#N/A</v>
      </c>
      <c r="BD332" s="9" t="e">
        <f t="shared" ca="1" si="172"/>
        <v>#N/A</v>
      </c>
    </row>
    <row r="333" spans="1:56" ht="15" x14ac:dyDescent="0.25">
      <c r="A333" s="90"/>
      <c r="B333" s="90"/>
      <c r="C333" s="91"/>
      <c r="D333" s="91"/>
      <c r="E333" s="91"/>
      <c r="F333" s="91"/>
      <c r="G333" s="91"/>
      <c r="H333" s="91"/>
      <c r="I333" s="91"/>
      <c r="J333" s="64"/>
      <c r="K333" s="64"/>
      <c r="L333" s="64"/>
      <c r="M333" s="64"/>
      <c r="O333" s="11">
        <f t="shared" ca="1" si="158"/>
        <v>-3.9378682616450625E-4</v>
      </c>
      <c r="P333" s="11">
        <f t="shared" ca="1" si="159"/>
        <v>-1.6358405771021967E-4</v>
      </c>
      <c r="Q333" s="11">
        <f t="shared" ca="1" si="160"/>
        <v>-1.614029402377854E-3</v>
      </c>
      <c r="R333" s="11">
        <f t="shared" ca="1" si="161"/>
        <v>-1.4853760121635622E-5</v>
      </c>
      <c r="S333" s="11">
        <f t="shared" ca="1" si="162"/>
        <v>-1.1458026838550334E-3</v>
      </c>
      <c r="T333" s="11">
        <f t="shared" ca="1" si="163"/>
        <v>-4.9053934342410677E-4</v>
      </c>
      <c r="U333" s="11">
        <f t="shared" ca="1" si="164"/>
        <v>-5.5074395654535931E-3</v>
      </c>
      <c r="V333" s="11"/>
      <c r="W333" s="11">
        <f t="shared" ca="1" si="181"/>
        <v>0</v>
      </c>
      <c r="X333" s="2">
        <f t="shared" ca="1" si="182"/>
        <v>-1.6358405771021967E-4</v>
      </c>
      <c r="Y333" s="2">
        <f t="shared" ca="1" si="183"/>
        <v>-1.614029402377854E-3</v>
      </c>
      <c r="Z333" s="11">
        <f t="shared" ca="1" si="184"/>
        <v>-1.4853760121635622E-5</v>
      </c>
      <c r="AA333" s="2">
        <f t="shared" ca="1" si="185"/>
        <v>-1.1458026838550334E-3</v>
      </c>
      <c r="AB333" s="11">
        <f t="shared" ca="1" si="186"/>
        <v>-4.9053934342410677E-4</v>
      </c>
      <c r="AC333" s="2">
        <f t="shared" ca="1" si="187"/>
        <v>-5.5074395654535931E-3</v>
      </c>
      <c r="AF333" s="11">
        <f t="shared" ca="1" si="188"/>
        <v>0</v>
      </c>
      <c r="AG333" s="2">
        <f t="shared" ca="1" si="189"/>
        <v>-1.6358405771021967E-4</v>
      </c>
      <c r="AH333" s="2">
        <f t="shared" ca="1" si="190"/>
        <v>-1.614029402377854E-3</v>
      </c>
      <c r="AI333" s="2">
        <f t="shared" ca="1" si="191"/>
        <v>-1.4853760121635622E-5</v>
      </c>
      <c r="AJ333" s="2">
        <f t="shared" ca="1" si="192"/>
        <v>-1.1458026838550334E-3</v>
      </c>
      <c r="AK333" s="2">
        <f t="shared" ca="1" si="193"/>
        <v>-4.9053934342410677E-4</v>
      </c>
      <c r="AL333" s="2">
        <f t="shared" ca="1" si="194"/>
        <v>-5.5074395654535931E-3</v>
      </c>
      <c r="AN333" s="2" t="e">
        <f t="shared" ca="1" si="173"/>
        <v>#N/A</v>
      </c>
      <c r="AO333" s="2" t="e">
        <f t="shared" ca="1" si="174"/>
        <v>#N/A</v>
      </c>
      <c r="AP333" s="2" t="e">
        <f t="shared" ca="1" si="175"/>
        <v>#N/A</v>
      </c>
      <c r="AQ333" s="2" t="e">
        <f t="shared" ca="1" si="176"/>
        <v>#N/A</v>
      </c>
      <c r="AR333" s="2" t="e">
        <f t="shared" ca="1" si="177"/>
        <v>#N/A</v>
      </c>
      <c r="AS333" s="2" t="e">
        <f t="shared" ca="1" si="178"/>
        <v>#N/A</v>
      </c>
      <c r="AT333" s="9" t="e">
        <f t="shared" ca="1" si="179"/>
        <v>#N/A</v>
      </c>
      <c r="AU333" s="9" t="e">
        <f t="shared" ca="1" si="180"/>
        <v>#N/A</v>
      </c>
      <c r="AW333" s="2" t="e">
        <f t="shared" ca="1" si="165"/>
        <v>#N/A</v>
      </c>
      <c r="AX333" s="2" t="e">
        <f t="shared" ca="1" si="166"/>
        <v>#N/A</v>
      </c>
      <c r="AY333" s="2" t="e">
        <f t="shared" ca="1" si="167"/>
        <v>#N/A</v>
      </c>
      <c r="AZ333" s="2" t="e">
        <f t="shared" ca="1" si="168"/>
        <v>#N/A</v>
      </c>
      <c r="BA333" s="2" t="e">
        <f t="shared" ca="1" si="169"/>
        <v>#N/A</v>
      </c>
      <c r="BB333" s="2" t="e">
        <f t="shared" ca="1" si="170"/>
        <v>#N/A</v>
      </c>
      <c r="BC333" s="9" t="e">
        <f t="shared" ca="1" si="171"/>
        <v>#N/A</v>
      </c>
      <c r="BD333" s="9" t="e">
        <f t="shared" ca="1" si="172"/>
        <v>#N/A</v>
      </c>
    </row>
    <row r="334" spans="1:56" ht="15" x14ac:dyDescent="0.25">
      <c r="A334" s="90"/>
      <c r="B334" s="90"/>
      <c r="C334" s="91"/>
      <c r="D334" s="91"/>
      <c r="E334" s="91"/>
      <c r="F334" s="91"/>
      <c r="G334" s="91"/>
      <c r="H334" s="91"/>
      <c r="I334" s="91"/>
      <c r="J334" s="64"/>
      <c r="K334" s="64"/>
      <c r="L334" s="64"/>
      <c r="M334" s="64"/>
      <c r="O334" s="11">
        <f t="shared" ca="1" si="158"/>
        <v>-3.9378682616450625E-4</v>
      </c>
      <c r="P334" s="11">
        <f t="shared" ca="1" si="159"/>
        <v>-1.6358405771021967E-4</v>
      </c>
      <c r="Q334" s="11">
        <f t="shared" ca="1" si="160"/>
        <v>-1.614029402377854E-3</v>
      </c>
      <c r="R334" s="11">
        <f t="shared" ca="1" si="161"/>
        <v>-1.4853760121635622E-5</v>
      </c>
      <c r="S334" s="11">
        <f t="shared" ca="1" si="162"/>
        <v>-1.1458026838550334E-3</v>
      </c>
      <c r="T334" s="11">
        <f t="shared" ca="1" si="163"/>
        <v>-4.9053934342410677E-4</v>
      </c>
      <c r="U334" s="11">
        <f t="shared" ca="1" si="164"/>
        <v>-5.5074395654535931E-3</v>
      </c>
      <c r="V334" s="11"/>
      <c r="W334" s="11">
        <f t="shared" ca="1" si="181"/>
        <v>0</v>
      </c>
      <c r="X334" s="2">
        <f t="shared" ca="1" si="182"/>
        <v>-1.6358405771021967E-4</v>
      </c>
      <c r="Y334" s="2">
        <f t="shared" ca="1" si="183"/>
        <v>-1.614029402377854E-3</v>
      </c>
      <c r="Z334" s="11">
        <f t="shared" ca="1" si="184"/>
        <v>-1.4853760121635622E-5</v>
      </c>
      <c r="AA334" s="2">
        <f t="shared" ca="1" si="185"/>
        <v>-1.1458026838550334E-3</v>
      </c>
      <c r="AB334" s="11">
        <f t="shared" ca="1" si="186"/>
        <v>-4.9053934342410677E-4</v>
      </c>
      <c r="AC334" s="2">
        <f t="shared" ca="1" si="187"/>
        <v>-5.5074395654535931E-3</v>
      </c>
      <c r="AF334" s="11">
        <f t="shared" ca="1" si="188"/>
        <v>0</v>
      </c>
      <c r="AG334" s="2">
        <f t="shared" ca="1" si="189"/>
        <v>-1.6358405771021967E-4</v>
      </c>
      <c r="AH334" s="2">
        <f t="shared" ca="1" si="190"/>
        <v>-1.614029402377854E-3</v>
      </c>
      <c r="AI334" s="2">
        <f t="shared" ca="1" si="191"/>
        <v>-1.4853760121635622E-5</v>
      </c>
      <c r="AJ334" s="2">
        <f t="shared" ca="1" si="192"/>
        <v>-1.1458026838550334E-3</v>
      </c>
      <c r="AK334" s="2">
        <f t="shared" ca="1" si="193"/>
        <v>-4.9053934342410677E-4</v>
      </c>
      <c r="AL334" s="2">
        <f t="shared" ca="1" si="194"/>
        <v>-5.5074395654535931E-3</v>
      </c>
      <c r="AN334" s="2" t="e">
        <f t="shared" ca="1" si="173"/>
        <v>#N/A</v>
      </c>
      <c r="AO334" s="2" t="e">
        <f t="shared" ca="1" si="174"/>
        <v>#N/A</v>
      </c>
      <c r="AP334" s="2" t="e">
        <f t="shared" ca="1" si="175"/>
        <v>#N/A</v>
      </c>
      <c r="AQ334" s="2" t="e">
        <f t="shared" ca="1" si="176"/>
        <v>#N/A</v>
      </c>
      <c r="AR334" s="2" t="e">
        <f t="shared" ca="1" si="177"/>
        <v>#N/A</v>
      </c>
      <c r="AS334" s="2" t="e">
        <f t="shared" ca="1" si="178"/>
        <v>#N/A</v>
      </c>
      <c r="AT334" s="9" t="e">
        <f t="shared" ca="1" si="179"/>
        <v>#N/A</v>
      </c>
      <c r="AU334" s="9" t="e">
        <f t="shared" ca="1" si="180"/>
        <v>#N/A</v>
      </c>
      <c r="AW334" s="2" t="e">
        <f t="shared" ca="1" si="165"/>
        <v>#N/A</v>
      </c>
      <c r="AX334" s="2" t="e">
        <f t="shared" ca="1" si="166"/>
        <v>#N/A</v>
      </c>
      <c r="AY334" s="2" t="e">
        <f t="shared" ca="1" si="167"/>
        <v>#N/A</v>
      </c>
      <c r="AZ334" s="2" t="e">
        <f t="shared" ca="1" si="168"/>
        <v>#N/A</v>
      </c>
      <c r="BA334" s="2" t="e">
        <f t="shared" ca="1" si="169"/>
        <v>#N/A</v>
      </c>
      <c r="BB334" s="2" t="e">
        <f t="shared" ca="1" si="170"/>
        <v>#N/A</v>
      </c>
      <c r="BC334" s="9" t="e">
        <f t="shared" ca="1" si="171"/>
        <v>#N/A</v>
      </c>
      <c r="BD334" s="9" t="e">
        <f t="shared" ca="1" si="172"/>
        <v>#N/A</v>
      </c>
    </row>
    <row r="335" spans="1:56" ht="15" x14ac:dyDescent="0.25">
      <c r="A335" s="90"/>
      <c r="B335" s="90"/>
      <c r="C335" s="91"/>
      <c r="D335" s="91"/>
      <c r="E335" s="91"/>
      <c r="F335" s="91"/>
      <c r="G335" s="91"/>
      <c r="H335" s="91"/>
      <c r="I335" s="91"/>
      <c r="J335" s="64"/>
      <c r="K335" s="64"/>
      <c r="L335" s="64"/>
      <c r="M335" s="64"/>
      <c r="O335" s="11">
        <f t="shared" ca="1" si="158"/>
        <v>-3.9378682616450625E-4</v>
      </c>
      <c r="P335" s="11">
        <f t="shared" ca="1" si="159"/>
        <v>-1.6358405771021967E-4</v>
      </c>
      <c r="Q335" s="11">
        <f t="shared" ca="1" si="160"/>
        <v>-1.614029402377854E-3</v>
      </c>
      <c r="R335" s="11">
        <f t="shared" ca="1" si="161"/>
        <v>-1.4853760121635622E-5</v>
      </c>
      <c r="S335" s="11">
        <f t="shared" ca="1" si="162"/>
        <v>-1.1458026838550334E-3</v>
      </c>
      <c r="T335" s="11">
        <f t="shared" ca="1" si="163"/>
        <v>-4.9053934342410677E-4</v>
      </c>
      <c r="U335" s="11">
        <f t="shared" ca="1" si="164"/>
        <v>-5.5074395654535931E-3</v>
      </c>
      <c r="V335" s="11"/>
      <c r="W335" s="11">
        <f t="shared" ca="1" si="181"/>
        <v>0</v>
      </c>
      <c r="X335" s="2">
        <f t="shared" ca="1" si="182"/>
        <v>-1.6358405771021967E-4</v>
      </c>
      <c r="Y335" s="2">
        <f t="shared" ca="1" si="183"/>
        <v>-1.614029402377854E-3</v>
      </c>
      <c r="Z335" s="11">
        <f t="shared" ca="1" si="184"/>
        <v>-1.4853760121635622E-5</v>
      </c>
      <c r="AA335" s="2">
        <f t="shared" ca="1" si="185"/>
        <v>-1.1458026838550334E-3</v>
      </c>
      <c r="AB335" s="11">
        <f t="shared" ca="1" si="186"/>
        <v>-4.9053934342410677E-4</v>
      </c>
      <c r="AC335" s="2">
        <f t="shared" ca="1" si="187"/>
        <v>-5.5074395654535931E-3</v>
      </c>
      <c r="AF335" s="11">
        <f t="shared" ca="1" si="188"/>
        <v>0</v>
      </c>
      <c r="AG335" s="2">
        <f t="shared" ca="1" si="189"/>
        <v>-1.6358405771021967E-4</v>
      </c>
      <c r="AH335" s="2">
        <f t="shared" ca="1" si="190"/>
        <v>-1.614029402377854E-3</v>
      </c>
      <c r="AI335" s="2">
        <f t="shared" ca="1" si="191"/>
        <v>-1.4853760121635622E-5</v>
      </c>
      <c r="AJ335" s="2">
        <f t="shared" ca="1" si="192"/>
        <v>-1.1458026838550334E-3</v>
      </c>
      <c r="AK335" s="2">
        <f t="shared" ca="1" si="193"/>
        <v>-4.9053934342410677E-4</v>
      </c>
      <c r="AL335" s="2">
        <f t="shared" ca="1" si="194"/>
        <v>-5.5074395654535931E-3</v>
      </c>
      <c r="AN335" s="2" t="e">
        <f t="shared" ca="1" si="173"/>
        <v>#N/A</v>
      </c>
      <c r="AO335" s="2" t="e">
        <f t="shared" ca="1" si="174"/>
        <v>#N/A</v>
      </c>
      <c r="AP335" s="2" t="e">
        <f t="shared" ca="1" si="175"/>
        <v>#N/A</v>
      </c>
      <c r="AQ335" s="2" t="e">
        <f t="shared" ca="1" si="176"/>
        <v>#N/A</v>
      </c>
      <c r="AR335" s="2" t="e">
        <f t="shared" ca="1" si="177"/>
        <v>#N/A</v>
      </c>
      <c r="AS335" s="2" t="e">
        <f t="shared" ca="1" si="178"/>
        <v>#N/A</v>
      </c>
      <c r="AT335" s="9" t="e">
        <f t="shared" ca="1" si="179"/>
        <v>#N/A</v>
      </c>
      <c r="AU335" s="9" t="e">
        <f t="shared" ca="1" si="180"/>
        <v>#N/A</v>
      </c>
      <c r="AW335" s="2" t="e">
        <f t="shared" ca="1" si="165"/>
        <v>#N/A</v>
      </c>
      <c r="AX335" s="2" t="e">
        <f t="shared" ca="1" si="166"/>
        <v>#N/A</v>
      </c>
      <c r="AY335" s="2" t="e">
        <f t="shared" ca="1" si="167"/>
        <v>#N/A</v>
      </c>
      <c r="AZ335" s="2" t="e">
        <f t="shared" ca="1" si="168"/>
        <v>#N/A</v>
      </c>
      <c r="BA335" s="2" t="e">
        <f t="shared" ca="1" si="169"/>
        <v>#N/A</v>
      </c>
      <c r="BB335" s="2" t="e">
        <f t="shared" ca="1" si="170"/>
        <v>#N/A</v>
      </c>
      <c r="BC335" s="9" t="e">
        <f t="shared" ca="1" si="171"/>
        <v>#N/A</v>
      </c>
      <c r="BD335" s="9" t="e">
        <f t="shared" ca="1" si="172"/>
        <v>#N/A</v>
      </c>
    </row>
    <row r="336" spans="1:56" ht="15" x14ac:dyDescent="0.25">
      <c r="A336" s="90"/>
      <c r="B336" s="90"/>
      <c r="C336" s="91"/>
      <c r="D336" s="91"/>
      <c r="E336" s="91"/>
      <c r="F336" s="91"/>
      <c r="G336" s="91"/>
      <c r="H336" s="91"/>
      <c r="I336" s="91"/>
      <c r="J336" s="64"/>
      <c r="K336" s="64"/>
      <c r="L336" s="64"/>
      <c r="M336" s="64"/>
      <c r="O336" s="11">
        <f t="shared" ca="1" si="158"/>
        <v>-3.9378682616450625E-4</v>
      </c>
      <c r="P336" s="11">
        <f t="shared" ca="1" si="159"/>
        <v>-1.6358405771021967E-4</v>
      </c>
      <c r="Q336" s="11">
        <f t="shared" ca="1" si="160"/>
        <v>-1.614029402377854E-3</v>
      </c>
      <c r="R336" s="11">
        <f t="shared" ca="1" si="161"/>
        <v>-1.4853760121635622E-5</v>
      </c>
      <c r="S336" s="11">
        <f t="shared" ca="1" si="162"/>
        <v>-1.1458026838550334E-3</v>
      </c>
      <c r="T336" s="11">
        <f t="shared" ca="1" si="163"/>
        <v>-4.9053934342410677E-4</v>
      </c>
      <c r="U336" s="11">
        <f t="shared" ca="1" si="164"/>
        <v>-5.5074395654535931E-3</v>
      </c>
      <c r="V336" s="11"/>
      <c r="W336" s="11">
        <f t="shared" ca="1" si="181"/>
        <v>0</v>
      </c>
      <c r="X336" s="2">
        <f t="shared" ca="1" si="182"/>
        <v>-1.6358405771021967E-4</v>
      </c>
      <c r="Y336" s="2">
        <f t="shared" ca="1" si="183"/>
        <v>-1.614029402377854E-3</v>
      </c>
      <c r="Z336" s="11">
        <f t="shared" ca="1" si="184"/>
        <v>-1.4853760121635622E-5</v>
      </c>
      <c r="AA336" s="2">
        <f t="shared" ca="1" si="185"/>
        <v>-1.1458026838550334E-3</v>
      </c>
      <c r="AB336" s="11">
        <f t="shared" ca="1" si="186"/>
        <v>-4.9053934342410677E-4</v>
      </c>
      <c r="AC336" s="2">
        <f t="shared" ca="1" si="187"/>
        <v>-5.5074395654535931E-3</v>
      </c>
      <c r="AF336" s="11">
        <f t="shared" ca="1" si="188"/>
        <v>0</v>
      </c>
      <c r="AG336" s="2">
        <f t="shared" ca="1" si="189"/>
        <v>-1.6358405771021967E-4</v>
      </c>
      <c r="AH336" s="2">
        <f t="shared" ca="1" si="190"/>
        <v>-1.614029402377854E-3</v>
      </c>
      <c r="AI336" s="2">
        <f t="shared" ca="1" si="191"/>
        <v>-1.4853760121635622E-5</v>
      </c>
      <c r="AJ336" s="2">
        <f t="shared" ca="1" si="192"/>
        <v>-1.1458026838550334E-3</v>
      </c>
      <c r="AK336" s="2">
        <f t="shared" ca="1" si="193"/>
        <v>-4.9053934342410677E-4</v>
      </c>
      <c r="AL336" s="2">
        <f t="shared" ca="1" si="194"/>
        <v>-5.5074395654535931E-3</v>
      </c>
      <c r="AN336" s="2" t="e">
        <f t="shared" ca="1" si="173"/>
        <v>#N/A</v>
      </c>
      <c r="AO336" s="2" t="e">
        <f t="shared" ca="1" si="174"/>
        <v>#N/A</v>
      </c>
      <c r="AP336" s="2" t="e">
        <f t="shared" ca="1" si="175"/>
        <v>#N/A</v>
      </c>
      <c r="AQ336" s="2" t="e">
        <f t="shared" ca="1" si="176"/>
        <v>#N/A</v>
      </c>
      <c r="AR336" s="2" t="e">
        <f t="shared" ca="1" si="177"/>
        <v>#N/A</v>
      </c>
      <c r="AS336" s="2" t="e">
        <f t="shared" ca="1" si="178"/>
        <v>#N/A</v>
      </c>
      <c r="AT336" s="9" t="e">
        <f t="shared" ca="1" si="179"/>
        <v>#N/A</v>
      </c>
      <c r="AU336" s="9" t="e">
        <f t="shared" ca="1" si="180"/>
        <v>#N/A</v>
      </c>
      <c r="AW336" s="2" t="e">
        <f t="shared" ca="1" si="165"/>
        <v>#N/A</v>
      </c>
      <c r="AX336" s="2" t="e">
        <f t="shared" ca="1" si="166"/>
        <v>#N/A</v>
      </c>
      <c r="AY336" s="2" t="e">
        <f t="shared" ca="1" si="167"/>
        <v>#N/A</v>
      </c>
      <c r="AZ336" s="2" t="e">
        <f t="shared" ca="1" si="168"/>
        <v>#N/A</v>
      </c>
      <c r="BA336" s="2" t="e">
        <f t="shared" ca="1" si="169"/>
        <v>#N/A</v>
      </c>
      <c r="BB336" s="2" t="e">
        <f t="shared" ca="1" si="170"/>
        <v>#N/A</v>
      </c>
      <c r="BC336" s="9" t="e">
        <f t="shared" ca="1" si="171"/>
        <v>#N/A</v>
      </c>
      <c r="BD336" s="9" t="e">
        <f t="shared" ca="1" si="172"/>
        <v>#N/A</v>
      </c>
    </row>
    <row r="337" spans="1:56" ht="15" x14ac:dyDescent="0.25">
      <c r="A337" s="90"/>
      <c r="B337" s="90"/>
      <c r="C337" s="91"/>
      <c r="D337" s="91"/>
      <c r="E337" s="91"/>
      <c r="F337" s="91"/>
      <c r="G337" s="91"/>
      <c r="H337" s="91"/>
      <c r="I337" s="91"/>
      <c r="J337" s="64"/>
      <c r="K337" s="64"/>
      <c r="L337" s="64"/>
      <c r="M337" s="64"/>
      <c r="O337" s="11">
        <f t="shared" ca="1" si="158"/>
        <v>-3.9378682616450625E-4</v>
      </c>
      <c r="P337" s="11">
        <f t="shared" ca="1" si="159"/>
        <v>-1.6358405771021967E-4</v>
      </c>
      <c r="Q337" s="11">
        <f t="shared" ca="1" si="160"/>
        <v>-1.614029402377854E-3</v>
      </c>
      <c r="R337" s="11">
        <f t="shared" ca="1" si="161"/>
        <v>-1.4853760121635622E-5</v>
      </c>
      <c r="S337" s="11">
        <f t="shared" ca="1" si="162"/>
        <v>-1.1458026838550334E-3</v>
      </c>
      <c r="T337" s="11">
        <f t="shared" ca="1" si="163"/>
        <v>-4.9053934342410677E-4</v>
      </c>
      <c r="U337" s="11">
        <f t="shared" ca="1" si="164"/>
        <v>-5.5074395654535931E-3</v>
      </c>
      <c r="V337" s="11"/>
      <c r="W337" s="11">
        <f t="shared" ca="1" si="181"/>
        <v>0</v>
      </c>
      <c r="X337" s="2">
        <f t="shared" ca="1" si="182"/>
        <v>-1.6358405771021967E-4</v>
      </c>
      <c r="Y337" s="2">
        <f t="shared" ca="1" si="183"/>
        <v>-1.614029402377854E-3</v>
      </c>
      <c r="Z337" s="11">
        <f t="shared" ca="1" si="184"/>
        <v>-1.4853760121635622E-5</v>
      </c>
      <c r="AA337" s="2">
        <f t="shared" ca="1" si="185"/>
        <v>-1.1458026838550334E-3</v>
      </c>
      <c r="AB337" s="11">
        <f t="shared" ca="1" si="186"/>
        <v>-4.9053934342410677E-4</v>
      </c>
      <c r="AC337" s="2">
        <f t="shared" ca="1" si="187"/>
        <v>-5.5074395654535931E-3</v>
      </c>
      <c r="AF337" s="11">
        <f t="shared" ca="1" si="188"/>
        <v>0</v>
      </c>
      <c r="AG337" s="2">
        <f t="shared" ca="1" si="189"/>
        <v>-1.6358405771021967E-4</v>
      </c>
      <c r="AH337" s="2">
        <f t="shared" ca="1" si="190"/>
        <v>-1.614029402377854E-3</v>
      </c>
      <c r="AI337" s="2">
        <f t="shared" ca="1" si="191"/>
        <v>-1.4853760121635622E-5</v>
      </c>
      <c r="AJ337" s="2">
        <f t="shared" ca="1" si="192"/>
        <v>-1.1458026838550334E-3</v>
      </c>
      <c r="AK337" s="2">
        <f t="shared" ca="1" si="193"/>
        <v>-4.9053934342410677E-4</v>
      </c>
      <c r="AL337" s="2">
        <f t="shared" ca="1" si="194"/>
        <v>-5.5074395654535931E-3</v>
      </c>
      <c r="AN337" s="2" t="e">
        <f t="shared" ca="1" si="173"/>
        <v>#N/A</v>
      </c>
      <c r="AO337" s="2" t="e">
        <f t="shared" ca="1" si="174"/>
        <v>#N/A</v>
      </c>
      <c r="AP337" s="2" t="e">
        <f t="shared" ca="1" si="175"/>
        <v>#N/A</v>
      </c>
      <c r="AQ337" s="2" t="e">
        <f t="shared" ca="1" si="176"/>
        <v>#N/A</v>
      </c>
      <c r="AR337" s="2" t="e">
        <f t="shared" ca="1" si="177"/>
        <v>#N/A</v>
      </c>
      <c r="AS337" s="2" t="e">
        <f t="shared" ca="1" si="178"/>
        <v>#N/A</v>
      </c>
      <c r="AT337" s="9" t="e">
        <f t="shared" ca="1" si="179"/>
        <v>#N/A</v>
      </c>
      <c r="AU337" s="9" t="e">
        <f t="shared" ca="1" si="180"/>
        <v>#N/A</v>
      </c>
      <c r="AW337" s="2" t="e">
        <f t="shared" ca="1" si="165"/>
        <v>#N/A</v>
      </c>
      <c r="AX337" s="2" t="e">
        <f t="shared" ca="1" si="166"/>
        <v>#N/A</v>
      </c>
      <c r="AY337" s="2" t="e">
        <f t="shared" ca="1" si="167"/>
        <v>#N/A</v>
      </c>
      <c r="AZ337" s="2" t="e">
        <f t="shared" ca="1" si="168"/>
        <v>#N/A</v>
      </c>
      <c r="BA337" s="2" t="e">
        <f t="shared" ca="1" si="169"/>
        <v>#N/A</v>
      </c>
      <c r="BB337" s="2" t="e">
        <f t="shared" ca="1" si="170"/>
        <v>#N/A</v>
      </c>
      <c r="BC337" s="9" t="e">
        <f t="shared" ca="1" si="171"/>
        <v>#N/A</v>
      </c>
      <c r="BD337" s="9" t="e">
        <f t="shared" ca="1" si="172"/>
        <v>#N/A</v>
      </c>
    </row>
    <row r="338" spans="1:56" ht="15" x14ac:dyDescent="0.25">
      <c r="A338" s="90"/>
      <c r="B338" s="90"/>
      <c r="C338" s="91"/>
      <c r="D338" s="91"/>
      <c r="E338" s="91"/>
      <c r="F338" s="91"/>
      <c r="G338" s="91"/>
      <c r="H338" s="91"/>
      <c r="I338" s="91"/>
      <c r="J338" s="64"/>
      <c r="K338" s="64"/>
      <c r="L338" s="64"/>
      <c r="M338" s="64"/>
      <c r="O338" s="11">
        <f t="shared" ref="O338:O401" ca="1" si="195">C338-AVERAGE(OFFSET(C$67,$J$2,0,$J$3))</f>
        <v>-3.9378682616450625E-4</v>
      </c>
      <c r="P338" s="11">
        <f t="shared" ref="P338:P401" ca="1" si="196">D338-AVERAGE(OFFSET(D$67,$J$2,0,$J$3))</f>
        <v>-1.6358405771021967E-4</v>
      </c>
      <c r="Q338" s="11">
        <f t="shared" ref="Q338:Q401" ca="1" si="197">E338-AVERAGE(OFFSET(E$67,$J$2,0,$J$3))</f>
        <v>-1.614029402377854E-3</v>
      </c>
      <c r="R338" s="11">
        <f t="shared" ref="R338:R401" ca="1" si="198">F338-AVERAGE(OFFSET(F$67,$J$2,0,$J$3))</f>
        <v>-1.4853760121635622E-5</v>
      </c>
      <c r="S338" s="11">
        <f t="shared" ref="S338:S401" ca="1" si="199">G338-AVERAGE(OFFSET(G$67,$J$2,0,$J$3))</f>
        <v>-1.1458026838550334E-3</v>
      </c>
      <c r="T338" s="11">
        <f t="shared" ref="T338:T401" ca="1" si="200">H338-AVERAGE(OFFSET(H$67,$J$2,0,$J$3))</f>
        <v>-4.9053934342410677E-4</v>
      </c>
      <c r="U338" s="11">
        <f t="shared" ref="U338:U401" ca="1" si="201">I338-AVERAGE(OFFSET(I$67,$J$2,0,$J$3))</f>
        <v>-5.5074395654535931E-3</v>
      </c>
      <c r="V338" s="11"/>
      <c r="W338" s="11">
        <f t="shared" ca="1" si="181"/>
        <v>0</v>
      </c>
      <c r="X338" s="2">
        <f t="shared" ca="1" si="182"/>
        <v>-1.6358405771021967E-4</v>
      </c>
      <c r="Y338" s="2">
        <f t="shared" ca="1" si="183"/>
        <v>-1.614029402377854E-3</v>
      </c>
      <c r="Z338" s="11">
        <f t="shared" ca="1" si="184"/>
        <v>-1.4853760121635622E-5</v>
      </c>
      <c r="AA338" s="2">
        <f t="shared" ca="1" si="185"/>
        <v>-1.1458026838550334E-3</v>
      </c>
      <c r="AB338" s="11">
        <f t="shared" ca="1" si="186"/>
        <v>-4.9053934342410677E-4</v>
      </c>
      <c r="AC338" s="2">
        <f t="shared" ca="1" si="187"/>
        <v>-5.5074395654535931E-3</v>
      </c>
      <c r="AF338" s="11">
        <f t="shared" ca="1" si="188"/>
        <v>0</v>
      </c>
      <c r="AG338" s="2">
        <f t="shared" ca="1" si="189"/>
        <v>-1.6358405771021967E-4</v>
      </c>
      <c r="AH338" s="2">
        <f t="shared" ca="1" si="190"/>
        <v>-1.614029402377854E-3</v>
      </c>
      <c r="AI338" s="2">
        <f t="shared" ca="1" si="191"/>
        <v>-1.4853760121635622E-5</v>
      </c>
      <c r="AJ338" s="2">
        <f t="shared" ca="1" si="192"/>
        <v>-1.1458026838550334E-3</v>
      </c>
      <c r="AK338" s="2">
        <f t="shared" ca="1" si="193"/>
        <v>-4.9053934342410677E-4</v>
      </c>
      <c r="AL338" s="2">
        <f t="shared" ca="1" si="194"/>
        <v>-5.5074395654535931E-3</v>
      </c>
      <c r="AN338" s="2" t="e">
        <f t="shared" ca="1" si="173"/>
        <v>#N/A</v>
      </c>
      <c r="AO338" s="2" t="e">
        <f t="shared" ca="1" si="174"/>
        <v>#N/A</v>
      </c>
      <c r="AP338" s="2" t="e">
        <f t="shared" ca="1" si="175"/>
        <v>#N/A</v>
      </c>
      <c r="AQ338" s="2" t="e">
        <f t="shared" ca="1" si="176"/>
        <v>#N/A</v>
      </c>
      <c r="AR338" s="2" t="e">
        <f t="shared" ca="1" si="177"/>
        <v>#N/A</v>
      </c>
      <c r="AS338" s="2" t="e">
        <f t="shared" ca="1" si="178"/>
        <v>#N/A</v>
      </c>
      <c r="AT338" s="9" t="e">
        <f t="shared" ca="1" si="179"/>
        <v>#N/A</v>
      </c>
      <c r="AU338" s="9" t="e">
        <f t="shared" ca="1" si="180"/>
        <v>#N/A</v>
      </c>
      <c r="AW338" s="2" t="e">
        <f t="shared" ca="1" si="165"/>
        <v>#N/A</v>
      </c>
      <c r="AX338" s="2" t="e">
        <f t="shared" ca="1" si="166"/>
        <v>#N/A</v>
      </c>
      <c r="AY338" s="2" t="e">
        <f t="shared" ca="1" si="167"/>
        <v>#N/A</v>
      </c>
      <c r="AZ338" s="2" t="e">
        <f t="shared" ca="1" si="168"/>
        <v>#N/A</v>
      </c>
      <c r="BA338" s="2" t="e">
        <f t="shared" ca="1" si="169"/>
        <v>#N/A</v>
      </c>
      <c r="BB338" s="2" t="e">
        <f t="shared" ca="1" si="170"/>
        <v>#N/A</v>
      </c>
      <c r="BC338" s="9" t="e">
        <f t="shared" ca="1" si="171"/>
        <v>#N/A</v>
      </c>
      <c r="BD338" s="9" t="e">
        <f t="shared" ca="1" si="172"/>
        <v>#N/A</v>
      </c>
    </row>
    <row r="339" spans="1:56" ht="15" x14ac:dyDescent="0.25">
      <c r="A339" s="90"/>
      <c r="B339" s="90"/>
      <c r="C339" s="91"/>
      <c r="D339" s="91"/>
      <c r="E339" s="91"/>
      <c r="F339" s="91"/>
      <c r="G339" s="91"/>
      <c r="H339" s="91"/>
      <c r="I339" s="91"/>
      <c r="J339" s="64"/>
      <c r="K339" s="64"/>
      <c r="L339" s="64"/>
      <c r="M339" s="64"/>
      <c r="O339" s="11">
        <f t="shared" ca="1" si="195"/>
        <v>-3.9378682616450625E-4</v>
      </c>
      <c r="P339" s="11">
        <f t="shared" ca="1" si="196"/>
        <v>-1.6358405771021967E-4</v>
      </c>
      <c r="Q339" s="11">
        <f t="shared" ca="1" si="197"/>
        <v>-1.614029402377854E-3</v>
      </c>
      <c r="R339" s="11">
        <f t="shared" ca="1" si="198"/>
        <v>-1.4853760121635622E-5</v>
      </c>
      <c r="S339" s="11">
        <f t="shared" ca="1" si="199"/>
        <v>-1.1458026838550334E-3</v>
      </c>
      <c r="T339" s="11">
        <f t="shared" ca="1" si="200"/>
        <v>-4.9053934342410677E-4</v>
      </c>
      <c r="U339" s="11">
        <f t="shared" ca="1" si="201"/>
        <v>-5.5074395654535931E-3</v>
      </c>
      <c r="V339" s="11"/>
      <c r="W339" s="11">
        <f t="shared" ca="1" si="181"/>
        <v>0</v>
      </c>
      <c r="X339" s="2">
        <f t="shared" ca="1" si="182"/>
        <v>-1.6358405771021967E-4</v>
      </c>
      <c r="Y339" s="2">
        <f t="shared" ca="1" si="183"/>
        <v>-1.614029402377854E-3</v>
      </c>
      <c r="Z339" s="11">
        <f t="shared" ca="1" si="184"/>
        <v>-1.4853760121635622E-5</v>
      </c>
      <c r="AA339" s="2">
        <f t="shared" ca="1" si="185"/>
        <v>-1.1458026838550334E-3</v>
      </c>
      <c r="AB339" s="11">
        <f t="shared" ca="1" si="186"/>
        <v>-4.9053934342410677E-4</v>
      </c>
      <c r="AC339" s="2">
        <f t="shared" ca="1" si="187"/>
        <v>-5.5074395654535931E-3</v>
      </c>
      <c r="AF339" s="11">
        <f t="shared" ca="1" si="188"/>
        <v>0</v>
      </c>
      <c r="AG339" s="2">
        <f t="shared" ca="1" si="189"/>
        <v>-1.6358405771021967E-4</v>
      </c>
      <c r="AH339" s="2">
        <f t="shared" ca="1" si="190"/>
        <v>-1.614029402377854E-3</v>
      </c>
      <c r="AI339" s="2">
        <f t="shared" ca="1" si="191"/>
        <v>-1.4853760121635622E-5</v>
      </c>
      <c r="AJ339" s="2">
        <f t="shared" ca="1" si="192"/>
        <v>-1.1458026838550334E-3</v>
      </c>
      <c r="AK339" s="2">
        <f t="shared" ca="1" si="193"/>
        <v>-4.9053934342410677E-4</v>
      </c>
      <c r="AL339" s="2">
        <f t="shared" ca="1" si="194"/>
        <v>-5.5074395654535931E-3</v>
      </c>
      <c r="AN339" s="2" t="e">
        <f t="shared" ca="1" si="173"/>
        <v>#N/A</v>
      </c>
      <c r="AO339" s="2" t="e">
        <f t="shared" ca="1" si="174"/>
        <v>#N/A</v>
      </c>
      <c r="AP339" s="2" t="e">
        <f t="shared" ca="1" si="175"/>
        <v>#N/A</v>
      </c>
      <c r="AQ339" s="2" t="e">
        <f t="shared" ca="1" si="176"/>
        <v>#N/A</v>
      </c>
      <c r="AR339" s="2" t="e">
        <f t="shared" ca="1" si="177"/>
        <v>#N/A</v>
      </c>
      <c r="AS339" s="2" t="e">
        <f t="shared" ca="1" si="178"/>
        <v>#N/A</v>
      </c>
      <c r="AT339" s="9" t="e">
        <f t="shared" ca="1" si="179"/>
        <v>#N/A</v>
      </c>
      <c r="AU339" s="9" t="e">
        <f t="shared" ca="1" si="180"/>
        <v>#N/A</v>
      </c>
      <c r="AW339" s="2" t="e">
        <f t="shared" ca="1" si="165"/>
        <v>#N/A</v>
      </c>
      <c r="AX339" s="2" t="e">
        <f t="shared" ca="1" si="166"/>
        <v>#N/A</v>
      </c>
      <c r="AY339" s="2" t="e">
        <f t="shared" ca="1" si="167"/>
        <v>#N/A</v>
      </c>
      <c r="AZ339" s="2" t="e">
        <f t="shared" ca="1" si="168"/>
        <v>#N/A</v>
      </c>
      <c r="BA339" s="2" t="e">
        <f t="shared" ca="1" si="169"/>
        <v>#N/A</v>
      </c>
      <c r="BB339" s="2" t="e">
        <f t="shared" ca="1" si="170"/>
        <v>#N/A</v>
      </c>
      <c r="BC339" s="9" t="e">
        <f t="shared" ca="1" si="171"/>
        <v>#N/A</v>
      </c>
      <c r="BD339" s="9" t="e">
        <f t="shared" ca="1" si="172"/>
        <v>#N/A</v>
      </c>
    </row>
    <row r="340" spans="1:56" ht="15" x14ac:dyDescent="0.25">
      <c r="A340" s="90"/>
      <c r="B340" s="90"/>
      <c r="C340" s="91"/>
      <c r="D340" s="91"/>
      <c r="E340" s="91"/>
      <c r="F340" s="91"/>
      <c r="G340" s="91"/>
      <c r="H340" s="91"/>
      <c r="I340" s="91"/>
      <c r="J340" s="64"/>
      <c r="K340" s="64"/>
      <c r="L340" s="64"/>
      <c r="M340" s="64"/>
      <c r="O340" s="11">
        <f t="shared" ca="1" si="195"/>
        <v>-3.9378682616450625E-4</v>
      </c>
      <c r="P340" s="11">
        <f t="shared" ca="1" si="196"/>
        <v>-1.6358405771021967E-4</v>
      </c>
      <c r="Q340" s="11">
        <f t="shared" ca="1" si="197"/>
        <v>-1.614029402377854E-3</v>
      </c>
      <c r="R340" s="11">
        <f t="shared" ca="1" si="198"/>
        <v>-1.4853760121635622E-5</v>
      </c>
      <c r="S340" s="11">
        <f t="shared" ca="1" si="199"/>
        <v>-1.1458026838550334E-3</v>
      </c>
      <c r="T340" s="11">
        <f t="shared" ca="1" si="200"/>
        <v>-4.9053934342410677E-4</v>
      </c>
      <c r="U340" s="11">
        <f t="shared" ca="1" si="201"/>
        <v>-5.5074395654535931E-3</v>
      </c>
      <c r="V340" s="11"/>
      <c r="W340" s="11">
        <f t="shared" ca="1" si="181"/>
        <v>0</v>
      </c>
      <c r="X340" s="2">
        <f t="shared" ca="1" si="182"/>
        <v>-1.6358405771021967E-4</v>
      </c>
      <c r="Y340" s="2">
        <f t="shared" ca="1" si="183"/>
        <v>-1.614029402377854E-3</v>
      </c>
      <c r="Z340" s="11">
        <f t="shared" ca="1" si="184"/>
        <v>-1.4853760121635622E-5</v>
      </c>
      <c r="AA340" s="2">
        <f t="shared" ca="1" si="185"/>
        <v>-1.1458026838550334E-3</v>
      </c>
      <c r="AB340" s="11">
        <f t="shared" ca="1" si="186"/>
        <v>-4.9053934342410677E-4</v>
      </c>
      <c r="AC340" s="2">
        <f t="shared" ca="1" si="187"/>
        <v>-5.5074395654535931E-3</v>
      </c>
      <c r="AF340" s="11">
        <f t="shared" ca="1" si="188"/>
        <v>0</v>
      </c>
      <c r="AG340" s="2">
        <f t="shared" ca="1" si="189"/>
        <v>-1.6358405771021967E-4</v>
      </c>
      <c r="AH340" s="2">
        <f t="shared" ca="1" si="190"/>
        <v>-1.614029402377854E-3</v>
      </c>
      <c r="AI340" s="2">
        <f t="shared" ca="1" si="191"/>
        <v>-1.4853760121635622E-5</v>
      </c>
      <c r="AJ340" s="2">
        <f t="shared" ca="1" si="192"/>
        <v>-1.1458026838550334E-3</v>
      </c>
      <c r="AK340" s="2">
        <f t="shared" ca="1" si="193"/>
        <v>-4.9053934342410677E-4</v>
      </c>
      <c r="AL340" s="2">
        <f t="shared" ca="1" si="194"/>
        <v>-5.5074395654535931E-3</v>
      </c>
      <c r="AN340" s="2" t="e">
        <f t="shared" ca="1" si="173"/>
        <v>#N/A</v>
      </c>
      <c r="AO340" s="2" t="e">
        <f t="shared" ca="1" si="174"/>
        <v>#N/A</v>
      </c>
      <c r="AP340" s="2" t="e">
        <f t="shared" ca="1" si="175"/>
        <v>#N/A</v>
      </c>
      <c r="AQ340" s="2" t="e">
        <f t="shared" ca="1" si="176"/>
        <v>#N/A</v>
      </c>
      <c r="AR340" s="2" t="e">
        <f t="shared" ca="1" si="177"/>
        <v>#N/A</v>
      </c>
      <c r="AS340" s="2" t="e">
        <f t="shared" ca="1" si="178"/>
        <v>#N/A</v>
      </c>
      <c r="AT340" s="9" t="e">
        <f t="shared" ca="1" si="179"/>
        <v>#N/A</v>
      </c>
      <c r="AU340" s="9" t="e">
        <f t="shared" ca="1" si="180"/>
        <v>#N/A</v>
      </c>
      <c r="AW340" s="2" t="e">
        <f t="shared" ca="1" si="165"/>
        <v>#N/A</v>
      </c>
      <c r="AX340" s="2" t="e">
        <f t="shared" ca="1" si="166"/>
        <v>#N/A</v>
      </c>
      <c r="AY340" s="2" t="e">
        <f t="shared" ca="1" si="167"/>
        <v>#N/A</v>
      </c>
      <c r="AZ340" s="2" t="e">
        <f t="shared" ca="1" si="168"/>
        <v>#N/A</v>
      </c>
      <c r="BA340" s="2" t="e">
        <f t="shared" ca="1" si="169"/>
        <v>#N/A</v>
      </c>
      <c r="BB340" s="2" t="e">
        <f t="shared" ca="1" si="170"/>
        <v>#N/A</v>
      </c>
      <c r="BC340" s="9" t="e">
        <f t="shared" ca="1" si="171"/>
        <v>#N/A</v>
      </c>
      <c r="BD340" s="9" t="e">
        <f t="shared" ca="1" si="172"/>
        <v>#N/A</v>
      </c>
    </row>
    <row r="341" spans="1:56" ht="15" x14ac:dyDescent="0.25">
      <c r="A341" s="90"/>
      <c r="B341" s="90"/>
      <c r="C341" s="91"/>
      <c r="D341" s="91"/>
      <c r="E341" s="91"/>
      <c r="F341" s="91"/>
      <c r="G341" s="91"/>
      <c r="H341" s="91"/>
      <c r="I341" s="91"/>
      <c r="J341" s="64"/>
      <c r="K341" s="64"/>
      <c r="L341" s="64"/>
      <c r="M341" s="64"/>
      <c r="O341" s="11">
        <f t="shared" ca="1" si="195"/>
        <v>-3.9378682616450625E-4</v>
      </c>
      <c r="P341" s="11">
        <f t="shared" ca="1" si="196"/>
        <v>-1.6358405771021967E-4</v>
      </c>
      <c r="Q341" s="11">
        <f t="shared" ca="1" si="197"/>
        <v>-1.614029402377854E-3</v>
      </c>
      <c r="R341" s="11">
        <f t="shared" ca="1" si="198"/>
        <v>-1.4853760121635622E-5</v>
      </c>
      <c r="S341" s="11">
        <f t="shared" ca="1" si="199"/>
        <v>-1.1458026838550334E-3</v>
      </c>
      <c r="T341" s="11">
        <f t="shared" ca="1" si="200"/>
        <v>-4.9053934342410677E-4</v>
      </c>
      <c r="U341" s="11">
        <f t="shared" ca="1" si="201"/>
        <v>-5.5074395654535931E-3</v>
      </c>
      <c r="V341" s="11"/>
      <c r="W341" s="11">
        <f t="shared" ca="1" si="181"/>
        <v>0</v>
      </c>
      <c r="X341" s="2">
        <f t="shared" ca="1" si="182"/>
        <v>-1.6358405771021967E-4</v>
      </c>
      <c r="Y341" s="2">
        <f t="shared" ca="1" si="183"/>
        <v>-1.614029402377854E-3</v>
      </c>
      <c r="Z341" s="11">
        <f t="shared" ca="1" si="184"/>
        <v>-1.4853760121635622E-5</v>
      </c>
      <c r="AA341" s="2">
        <f t="shared" ca="1" si="185"/>
        <v>-1.1458026838550334E-3</v>
      </c>
      <c r="AB341" s="11">
        <f t="shared" ca="1" si="186"/>
        <v>-4.9053934342410677E-4</v>
      </c>
      <c r="AC341" s="2">
        <f t="shared" ca="1" si="187"/>
        <v>-5.5074395654535931E-3</v>
      </c>
      <c r="AF341" s="11">
        <f t="shared" ca="1" si="188"/>
        <v>0</v>
      </c>
      <c r="AG341" s="2">
        <f t="shared" ca="1" si="189"/>
        <v>-1.6358405771021967E-4</v>
      </c>
      <c r="AH341" s="2">
        <f t="shared" ca="1" si="190"/>
        <v>-1.614029402377854E-3</v>
      </c>
      <c r="AI341" s="2">
        <f t="shared" ca="1" si="191"/>
        <v>-1.4853760121635622E-5</v>
      </c>
      <c r="AJ341" s="2">
        <f t="shared" ca="1" si="192"/>
        <v>-1.1458026838550334E-3</v>
      </c>
      <c r="AK341" s="2">
        <f t="shared" ca="1" si="193"/>
        <v>-4.9053934342410677E-4</v>
      </c>
      <c r="AL341" s="2">
        <f t="shared" ca="1" si="194"/>
        <v>-5.5074395654535931E-3</v>
      </c>
      <c r="AN341" s="2" t="e">
        <f t="shared" ca="1" si="173"/>
        <v>#N/A</v>
      </c>
      <c r="AO341" s="2" t="e">
        <f t="shared" ca="1" si="174"/>
        <v>#N/A</v>
      </c>
      <c r="AP341" s="2" t="e">
        <f t="shared" ca="1" si="175"/>
        <v>#N/A</v>
      </c>
      <c r="AQ341" s="2" t="e">
        <f t="shared" ca="1" si="176"/>
        <v>#N/A</v>
      </c>
      <c r="AR341" s="2" t="e">
        <f t="shared" ca="1" si="177"/>
        <v>#N/A</v>
      </c>
      <c r="AS341" s="2" t="e">
        <f t="shared" ca="1" si="178"/>
        <v>#N/A</v>
      </c>
      <c r="AT341" s="9" t="e">
        <f t="shared" ca="1" si="179"/>
        <v>#N/A</v>
      </c>
      <c r="AU341" s="9" t="e">
        <f t="shared" ca="1" si="180"/>
        <v>#N/A</v>
      </c>
      <c r="AW341" s="2" t="e">
        <f t="shared" ca="1" si="165"/>
        <v>#N/A</v>
      </c>
      <c r="AX341" s="2" t="e">
        <f t="shared" ca="1" si="166"/>
        <v>#N/A</v>
      </c>
      <c r="AY341" s="2" t="e">
        <f t="shared" ca="1" si="167"/>
        <v>#N/A</v>
      </c>
      <c r="AZ341" s="2" t="e">
        <f t="shared" ca="1" si="168"/>
        <v>#N/A</v>
      </c>
      <c r="BA341" s="2" t="e">
        <f t="shared" ca="1" si="169"/>
        <v>#N/A</v>
      </c>
      <c r="BB341" s="2" t="e">
        <f t="shared" ca="1" si="170"/>
        <v>#N/A</v>
      </c>
      <c r="BC341" s="9" t="e">
        <f t="shared" ca="1" si="171"/>
        <v>#N/A</v>
      </c>
      <c r="BD341" s="9" t="e">
        <f t="shared" ca="1" si="172"/>
        <v>#N/A</v>
      </c>
    </row>
    <row r="342" spans="1:56" ht="15" x14ac:dyDescent="0.25">
      <c r="A342" s="63"/>
      <c r="B342" s="63"/>
      <c r="C342" s="64"/>
      <c r="D342" s="64"/>
      <c r="E342" s="64"/>
      <c r="F342" s="64"/>
      <c r="G342" s="64"/>
      <c r="H342" s="64"/>
      <c r="I342" s="64"/>
      <c r="J342" s="64"/>
      <c r="K342" s="64"/>
      <c r="L342" s="64"/>
      <c r="M342" s="64"/>
      <c r="O342" s="11">
        <f t="shared" ca="1" si="195"/>
        <v>-3.9378682616450625E-4</v>
      </c>
      <c r="P342" s="11">
        <f t="shared" ca="1" si="196"/>
        <v>-1.6358405771021967E-4</v>
      </c>
      <c r="Q342" s="11">
        <f t="shared" ca="1" si="197"/>
        <v>-1.614029402377854E-3</v>
      </c>
      <c r="R342" s="11">
        <f t="shared" ca="1" si="198"/>
        <v>-1.4853760121635622E-5</v>
      </c>
      <c r="S342" s="11">
        <f t="shared" ca="1" si="199"/>
        <v>-1.1458026838550334E-3</v>
      </c>
      <c r="T342" s="11">
        <f t="shared" ca="1" si="200"/>
        <v>-4.9053934342410677E-4</v>
      </c>
      <c r="U342" s="11">
        <f t="shared" ca="1" si="201"/>
        <v>-5.5074395654535931E-3</v>
      </c>
      <c r="V342" s="11"/>
      <c r="W342" s="11">
        <f t="shared" ca="1" si="181"/>
        <v>0</v>
      </c>
      <c r="X342" s="2">
        <f t="shared" ca="1" si="182"/>
        <v>-1.6358405771021967E-4</v>
      </c>
      <c r="Y342" s="2">
        <f t="shared" ca="1" si="183"/>
        <v>-1.614029402377854E-3</v>
      </c>
      <c r="Z342" s="11">
        <f t="shared" ca="1" si="184"/>
        <v>-1.4853760121635622E-5</v>
      </c>
      <c r="AA342" s="2">
        <f t="shared" ca="1" si="185"/>
        <v>-1.1458026838550334E-3</v>
      </c>
      <c r="AB342" s="11">
        <f t="shared" ca="1" si="186"/>
        <v>-4.9053934342410677E-4</v>
      </c>
      <c r="AC342" s="2">
        <f t="shared" ca="1" si="187"/>
        <v>-5.5074395654535931E-3</v>
      </c>
      <c r="AF342" s="11">
        <f t="shared" ca="1" si="188"/>
        <v>0</v>
      </c>
      <c r="AG342" s="2">
        <f t="shared" ca="1" si="189"/>
        <v>-1.6358405771021967E-4</v>
      </c>
      <c r="AH342" s="2">
        <f t="shared" ca="1" si="190"/>
        <v>-1.614029402377854E-3</v>
      </c>
      <c r="AI342" s="2">
        <f t="shared" ca="1" si="191"/>
        <v>-1.4853760121635622E-5</v>
      </c>
      <c r="AJ342" s="2">
        <f t="shared" ca="1" si="192"/>
        <v>-1.1458026838550334E-3</v>
      </c>
      <c r="AK342" s="2">
        <f t="shared" ca="1" si="193"/>
        <v>-4.9053934342410677E-4</v>
      </c>
      <c r="AL342" s="2">
        <f t="shared" ca="1" si="194"/>
        <v>-5.5074395654535931E-3</v>
      </c>
      <c r="AN342" s="2" t="e">
        <f t="shared" ca="1" si="173"/>
        <v>#N/A</v>
      </c>
      <c r="AO342" s="2" t="e">
        <f t="shared" ca="1" si="174"/>
        <v>#N/A</v>
      </c>
      <c r="AP342" s="2" t="e">
        <f t="shared" ca="1" si="175"/>
        <v>#N/A</v>
      </c>
      <c r="AQ342" s="2" t="e">
        <f t="shared" ca="1" si="176"/>
        <v>#N/A</v>
      </c>
      <c r="AR342" s="2" t="e">
        <f t="shared" ca="1" si="177"/>
        <v>#N/A</v>
      </c>
      <c r="AS342" s="2" t="e">
        <f t="shared" ca="1" si="178"/>
        <v>#N/A</v>
      </c>
      <c r="AT342" s="9" t="e">
        <f t="shared" ca="1" si="179"/>
        <v>#N/A</v>
      </c>
      <c r="AU342" s="9" t="e">
        <f t="shared" ca="1" si="180"/>
        <v>#N/A</v>
      </c>
      <c r="AW342" s="2" t="e">
        <f t="shared" ca="1" si="165"/>
        <v>#N/A</v>
      </c>
      <c r="AX342" s="2" t="e">
        <f t="shared" ca="1" si="166"/>
        <v>#N/A</v>
      </c>
      <c r="AY342" s="2" t="e">
        <f t="shared" ca="1" si="167"/>
        <v>#N/A</v>
      </c>
      <c r="AZ342" s="2" t="e">
        <f t="shared" ca="1" si="168"/>
        <v>#N/A</v>
      </c>
      <c r="BA342" s="2" t="e">
        <f t="shared" ca="1" si="169"/>
        <v>#N/A</v>
      </c>
      <c r="BB342" s="2" t="e">
        <f t="shared" ca="1" si="170"/>
        <v>#N/A</v>
      </c>
      <c r="BC342" s="9" t="e">
        <f t="shared" ca="1" si="171"/>
        <v>#N/A</v>
      </c>
      <c r="BD342" s="9" t="e">
        <f t="shared" ca="1" si="172"/>
        <v>#N/A</v>
      </c>
    </row>
    <row r="343" spans="1:56" ht="15" x14ac:dyDescent="0.25">
      <c r="A343" s="63"/>
      <c r="B343" s="63"/>
      <c r="C343" s="64"/>
      <c r="D343" s="64"/>
      <c r="E343" s="64"/>
      <c r="F343" s="64"/>
      <c r="G343" s="64"/>
      <c r="H343" s="64"/>
      <c r="I343" s="64"/>
      <c r="J343" s="64"/>
      <c r="K343" s="64"/>
      <c r="L343" s="64"/>
      <c r="M343" s="64"/>
      <c r="O343" s="11">
        <f t="shared" ca="1" si="195"/>
        <v>-3.9378682616450625E-4</v>
      </c>
      <c r="P343" s="11">
        <f t="shared" ca="1" si="196"/>
        <v>-1.6358405771021967E-4</v>
      </c>
      <c r="Q343" s="11">
        <f t="shared" ca="1" si="197"/>
        <v>-1.614029402377854E-3</v>
      </c>
      <c r="R343" s="11">
        <f t="shared" ca="1" si="198"/>
        <v>-1.4853760121635622E-5</v>
      </c>
      <c r="S343" s="11">
        <f t="shared" ca="1" si="199"/>
        <v>-1.1458026838550334E-3</v>
      </c>
      <c r="T343" s="11">
        <f t="shared" ca="1" si="200"/>
        <v>-4.9053934342410677E-4</v>
      </c>
      <c r="U343" s="11">
        <f t="shared" ca="1" si="201"/>
        <v>-5.5074395654535931E-3</v>
      </c>
      <c r="V343" s="11"/>
      <c r="W343" s="11">
        <f t="shared" ca="1" si="181"/>
        <v>0</v>
      </c>
      <c r="X343" s="2">
        <f t="shared" ca="1" si="182"/>
        <v>-1.6358405771021967E-4</v>
      </c>
      <c r="Y343" s="2">
        <f t="shared" ca="1" si="183"/>
        <v>-1.614029402377854E-3</v>
      </c>
      <c r="Z343" s="11">
        <f t="shared" ca="1" si="184"/>
        <v>-1.4853760121635622E-5</v>
      </c>
      <c r="AA343" s="2">
        <f t="shared" ca="1" si="185"/>
        <v>-1.1458026838550334E-3</v>
      </c>
      <c r="AB343" s="11">
        <f t="shared" ca="1" si="186"/>
        <v>-4.9053934342410677E-4</v>
      </c>
      <c r="AC343" s="2">
        <f t="shared" ca="1" si="187"/>
        <v>-5.5074395654535931E-3</v>
      </c>
      <c r="AF343" s="11">
        <f t="shared" ca="1" si="188"/>
        <v>0</v>
      </c>
      <c r="AG343" s="2">
        <f t="shared" ca="1" si="189"/>
        <v>-1.6358405771021967E-4</v>
      </c>
      <c r="AH343" s="2">
        <f t="shared" ca="1" si="190"/>
        <v>-1.614029402377854E-3</v>
      </c>
      <c r="AI343" s="2">
        <f t="shared" ca="1" si="191"/>
        <v>-1.4853760121635622E-5</v>
      </c>
      <c r="AJ343" s="2">
        <f t="shared" ca="1" si="192"/>
        <v>-1.1458026838550334E-3</v>
      </c>
      <c r="AK343" s="2">
        <f t="shared" ca="1" si="193"/>
        <v>-4.9053934342410677E-4</v>
      </c>
      <c r="AL343" s="2">
        <f t="shared" ca="1" si="194"/>
        <v>-5.5074395654535931E-3</v>
      </c>
      <c r="AN343" s="2" t="e">
        <f t="shared" ca="1" si="173"/>
        <v>#N/A</v>
      </c>
      <c r="AO343" s="2" t="e">
        <f t="shared" ca="1" si="174"/>
        <v>#N/A</v>
      </c>
      <c r="AP343" s="2" t="e">
        <f t="shared" ca="1" si="175"/>
        <v>#N/A</v>
      </c>
      <c r="AQ343" s="2" t="e">
        <f t="shared" ca="1" si="176"/>
        <v>#N/A</v>
      </c>
      <c r="AR343" s="2" t="e">
        <f t="shared" ca="1" si="177"/>
        <v>#N/A</v>
      </c>
      <c r="AS343" s="2" t="e">
        <f t="shared" ca="1" si="178"/>
        <v>#N/A</v>
      </c>
      <c r="AT343" s="9" t="e">
        <f t="shared" ca="1" si="179"/>
        <v>#N/A</v>
      </c>
      <c r="AU343" s="9" t="e">
        <f t="shared" ca="1" si="180"/>
        <v>#N/A</v>
      </c>
      <c r="AW343" s="2" t="e">
        <f t="shared" ref="AW343:AW406" ca="1" si="202">IF(AND(AL343&gt;0, AJ343&gt;0), AL343/AJ343, #N/A)</f>
        <v>#N/A</v>
      </c>
      <c r="AX343" s="2" t="e">
        <f t="shared" ref="AX343:AX406" ca="1" si="203">$B$8*((AW343/$B$10)^$B$11)</f>
        <v>#N/A</v>
      </c>
      <c r="AY343" s="2" t="e">
        <f t="shared" ref="AY343:AY406" ca="1" si="204">AX343*AI343</f>
        <v>#N/A</v>
      </c>
      <c r="AZ343" s="2" t="e">
        <f t="shared" ref="AZ343:AZ406" ca="1" si="205">AK343-AY343</f>
        <v>#N/A</v>
      </c>
      <c r="BA343" s="2" t="e">
        <f t="shared" ref="BA343:BA406" ca="1" si="206">(AZ343/AJ343)/((AW343/$B$10)^$B$12)</f>
        <v>#N/A</v>
      </c>
      <c r="BB343" s="2" t="e">
        <f t="shared" ref="BB343:BB406" ca="1" si="207">(AH343/AJ343)/((AW343/$B$10)^$B$13)</f>
        <v>#N/A</v>
      </c>
      <c r="BC343" s="9" t="e">
        <f t="shared" ref="BC343:BC406" ca="1" si="208">IF(AND(BA343&lt;$P$3,BA343&gt;$P$4),BA343,"rejected")</f>
        <v>#N/A</v>
      </c>
      <c r="BD343" s="9" t="e">
        <f t="shared" ref="BD343:BD406" ca="1" si="209">IF(AND(BA343&lt;$P$3,BA343&gt;$P$4),BA343,#N/A)</f>
        <v>#N/A</v>
      </c>
    </row>
    <row r="344" spans="1:56" ht="15" x14ac:dyDescent="0.25">
      <c r="A344" s="63"/>
      <c r="B344" s="63"/>
      <c r="C344" s="64"/>
      <c r="D344" s="64"/>
      <c r="E344" s="64"/>
      <c r="F344" s="64"/>
      <c r="G344" s="64"/>
      <c r="H344" s="64"/>
      <c r="I344" s="64"/>
      <c r="J344" s="64"/>
      <c r="K344" s="64"/>
      <c r="L344" s="64"/>
      <c r="M344" s="64"/>
      <c r="O344" s="11">
        <f t="shared" ca="1" si="195"/>
        <v>-3.9378682616450625E-4</v>
      </c>
      <c r="P344" s="11">
        <f t="shared" ca="1" si="196"/>
        <v>-1.6358405771021967E-4</v>
      </c>
      <c r="Q344" s="11">
        <f t="shared" ca="1" si="197"/>
        <v>-1.614029402377854E-3</v>
      </c>
      <c r="R344" s="11">
        <f t="shared" ca="1" si="198"/>
        <v>-1.4853760121635622E-5</v>
      </c>
      <c r="S344" s="11">
        <f t="shared" ca="1" si="199"/>
        <v>-1.1458026838550334E-3</v>
      </c>
      <c r="T344" s="11">
        <f t="shared" ca="1" si="200"/>
        <v>-4.9053934342410677E-4</v>
      </c>
      <c r="U344" s="11">
        <f t="shared" ca="1" si="201"/>
        <v>-5.5074395654535931E-3</v>
      </c>
      <c r="V344" s="11"/>
      <c r="W344" s="11">
        <f t="shared" ca="1" si="181"/>
        <v>0</v>
      </c>
      <c r="X344" s="2">
        <f t="shared" ca="1" si="182"/>
        <v>-1.6358405771021967E-4</v>
      </c>
      <c r="Y344" s="2">
        <f t="shared" ca="1" si="183"/>
        <v>-1.614029402377854E-3</v>
      </c>
      <c r="Z344" s="11">
        <f t="shared" ca="1" si="184"/>
        <v>-1.4853760121635622E-5</v>
      </c>
      <c r="AA344" s="2">
        <f t="shared" ca="1" si="185"/>
        <v>-1.1458026838550334E-3</v>
      </c>
      <c r="AB344" s="11">
        <f t="shared" ca="1" si="186"/>
        <v>-4.9053934342410677E-4</v>
      </c>
      <c r="AC344" s="2">
        <f t="shared" ca="1" si="187"/>
        <v>-5.5074395654535931E-3</v>
      </c>
      <c r="AF344" s="11">
        <f t="shared" ca="1" si="188"/>
        <v>0</v>
      </c>
      <c r="AG344" s="2">
        <f t="shared" ca="1" si="189"/>
        <v>-1.6358405771021967E-4</v>
      </c>
      <c r="AH344" s="2">
        <f t="shared" ca="1" si="190"/>
        <v>-1.614029402377854E-3</v>
      </c>
      <c r="AI344" s="2">
        <f t="shared" ca="1" si="191"/>
        <v>-1.4853760121635622E-5</v>
      </c>
      <c r="AJ344" s="2">
        <f t="shared" ca="1" si="192"/>
        <v>-1.1458026838550334E-3</v>
      </c>
      <c r="AK344" s="2">
        <f t="shared" ca="1" si="193"/>
        <v>-4.9053934342410677E-4</v>
      </c>
      <c r="AL344" s="2">
        <f t="shared" ca="1" si="194"/>
        <v>-5.5074395654535931E-3</v>
      </c>
      <c r="AN344" s="2" t="e">
        <f t="shared" ca="1" si="173"/>
        <v>#N/A</v>
      </c>
      <c r="AO344" s="2" t="e">
        <f t="shared" ca="1" si="174"/>
        <v>#N/A</v>
      </c>
      <c r="AP344" s="2" t="e">
        <f t="shared" ca="1" si="175"/>
        <v>#N/A</v>
      </c>
      <c r="AQ344" s="2" t="e">
        <f t="shared" ca="1" si="176"/>
        <v>#N/A</v>
      </c>
      <c r="AR344" s="2" t="e">
        <f t="shared" ca="1" si="177"/>
        <v>#N/A</v>
      </c>
      <c r="AS344" s="2" t="e">
        <f t="shared" ca="1" si="178"/>
        <v>#N/A</v>
      </c>
      <c r="AT344" s="9" t="e">
        <f t="shared" ca="1" si="179"/>
        <v>#N/A</v>
      </c>
      <c r="AU344" s="9" t="e">
        <f t="shared" ca="1" si="180"/>
        <v>#N/A</v>
      </c>
      <c r="AW344" s="2" t="e">
        <f t="shared" ca="1" si="202"/>
        <v>#N/A</v>
      </c>
      <c r="AX344" s="2" t="e">
        <f t="shared" ca="1" si="203"/>
        <v>#N/A</v>
      </c>
      <c r="AY344" s="2" t="e">
        <f t="shared" ca="1" si="204"/>
        <v>#N/A</v>
      </c>
      <c r="AZ344" s="2" t="e">
        <f t="shared" ca="1" si="205"/>
        <v>#N/A</v>
      </c>
      <c r="BA344" s="2" t="e">
        <f t="shared" ca="1" si="206"/>
        <v>#N/A</v>
      </c>
      <c r="BB344" s="2" t="e">
        <f t="shared" ca="1" si="207"/>
        <v>#N/A</v>
      </c>
      <c r="BC344" s="9" t="e">
        <f t="shared" ca="1" si="208"/>
        <v>#N/A</v>
      </c>
      <c r="BD344" s="9" t="e">
        <f t="shared" ca="1" si="209"/>
        <v>#N/A</v>
      </c>
    </row>
    <row r="345" spans="1:56" ht="15" x14ac:dyDescent="0.25">
      <c r="A345" s="63"/>
      <c r="B345" s="63"/>
      <c r="C345" s="64"/>
      <c r="D345" s="64"/>
      <c r="E345" s="64"/>
      <c r="F345" s="64"/>
      <c r="G345" s="64"/>
      <c r="H345" s="64"/>
      <c r="I345" s="64"/>
      <c r="J345" s="64"/>
      <c r="K345" s="64"/>
      <c r="L345" s="64"/>
      <c r="M345" s="64"/>
      <c r="O345" s="11">
        <f t="shared" ca="1" si="195"/>
        <v>-3.9378682616450625E-4</v>
      </c>
      <c r="P345" s="11">
        <f t="shared" ca="1" si="196"/>
        <v>-1.6358405771021967E-4</v>
      </c>
      <c r="Q345" s="11">
        <f t="shared" ca="1" si="197"/>
        <v>-1.614029402377854E-3</v>
      </c>
      <c r="R345" s="11">
        <f t="shared" ca="1" si="198"/>
        <v>-1.4853760121635622E-5</v>
      </c>
      <c r="S345" s="11">
        <f t="shared" ca="1" si="199"/>
        <v>-1.1458026838550334E-3</v>
      </c>
      <c r="T345" s="11">
        <f t="shared" ca="1" si="200"/>
        <v>-4.9053934342410677E-4</v>
      </c>
      <c r="U345" s="11">
        <f t="shared" ca="1" si="201"/>
        <v>-5.5074395654535931E-3</v>
      </c>
      <c r="V345" s="11"/>
      <c r="W345" s="11">
        <f t="shared" ca="1" si="181"/>
        <v>0</v>
      </c>
      <c r="X345" s="2">
        <f t="shared" ca="1" si="182"/>
        <v>-1.6358405771021967E-4</v>
      </c>
      <c r="Y345" s="2">
        <f t="shared" ca="1" si="183"/>
        <v>-1.614029402377854E-3</v>
      </c>
      <c r="Z345" s="11">
        <f t="shared" ca="1" si="184"/>
        <v>-1.4853760121635622E-5</v>
      </c>
      <c r="AA345" s="2">
        <f t="shared" ca="1" si="185"/>
        <v>-1.1458026838550334E-3</v>
      </c>
      <c r="AB345" s="11">
        <f t="shared" ca="1" si="186"/>
        <v>-4.9053934342410677E-4</v>
      </c>
      <c r="AC345" s="2">
        <f t="shared" ca="1" si="187"/>
        <v>-5.5074395654535931E-3</v>
      </c>
      <c r="AF345" s="11">
        <f t="shared" ca="1" si="188"/>
        <v>0</v>
      </c>
      <c r="AG345" s="2">
        <f t="shared" ca="1" si="189"/>
        <v>-1.6358405771021967E-4</v>
      </c>
      <c r="AH345" s="2">
        <f t="shared" ca="1" si="190"/>
        <v>-1.614029402377854E-3</v>
      </c>
      <c r="AI345" s="2">
        <f t="shared" ca="1" si="191"/>
        <v>-1.4853760121635622E-5</v>
      </c>
      <c r="AJ345" s="2">
        <f t="shared" ca="1" si="192"/>
        <v>-1.1458026838550334E-3</v>
      </c>
      <c r="AK345" s="2">
        <f t="shared" ca="1" si="193"/>
        <v>-4.9053934342410677E-4</v>
      </c>
      <c r="AL345" s="2">
        <f t="shared" ca="1" si="194"/>
        <v>-5.5074395654535931E-3</v>
      </c>
      <c r="AN345" s="2" t="e">
        <f t="shared" ca="1" si="173"/>
        <v>#N/A</v>
      </c>
      <c r="AO345" s="2" t="e">
        <f t="shared" ca="1" si="174"/>
        <v>#N/A</v>
      </c>
      <c r="AP345" s="2" t="e">
        <f t="shared" ca="1" si="175"/>
        <v>#N/A</v>
      </c>
      <c r="AQ345" s="2" t="e">
        <f t="shared" ca="1" si="176"/>
        <v>#N/A</v>
      </c>
      <c r="AR345" s="2" t="e">
        <f t="shared" ca="1" si="177"/>
        <v>#N/A</v>
      </c>
      <c r="AS345" s="2" t="e">
        <f t="shared" ca="1" si="178"/>
        <v>#N/A</v>
      </c>
      <c r="AT345" s="9" t="e">
        <f t="shared" ca="1" si="179"/>
        <v>#N/A</v>
      </c>
      <c r="AU345" s="9" t="e">
        <f t="shared" ca="1" si="180"/>
        <v>#N/A</v>
      </c>
      <c r="AW345" s="2" t="e">
        <f t="shared" ca="1" si="202"/>
        <v>#N/A</v>
      </c>
      <c r="AX345" s="2" t="e">
        <f t="shared" ca="1" si="203"/>
        <v>#N/A</v>
      </c>
      <c r="AY345" s="2" t="e">
        <f t="shared" ca="1" si="204"/>
        <v>#N/A</v>
      </c>
      <c r="AZ345" s="2" t="e">
        <f t="shared" ca="1" si="205"/>
        <v>#N/A</v>
      </c>
      <c r="BA345" s="2" t="e">
        <f t="shared" ca="1" si="206"/>
        <v>#N/A</v>
      </c>
      <c r="BB345" s="2" t="e">
        <f t="shared" ca="1" si="207"/>
        <v>#N/A</v>
      </c>
      <c r="BC345" s="9" t="e">
        <f t="shared" ca="1" si="208"/>
        <v>#N/A</v>
      </c>
      <c r="BD345" s="9" t="e">
        <f t="shared" ca="1" si="209"/>
        <v>#N/A</v>
      </c>
    </row>
    <row r="346" spans="1:56" ht="15" x14ac:dyDescent="0.25">
      <c r="A346" s="63"/>
      <c r="B346" s="63"/>
      <c r="C346" s="64"/>
      <c r="D346" s="64"/>
      <c r="E346" s="64"/>
      <c r="F346" s="64"/>
      <c r="G346" s="64"/>
      <c r="H346" s="64"/>
      <c r="I346" s="64"/>
      <c r="J346" s="64"/>
      <c r="K346" s="64"/>
      <c r="L346" s="64"/>
      <c r="M346" s="64"/>
      <c r="O346" s="11">
        <f t="shared" ca="1" si="195"/>
        <v>-3.9378682616450625E-4</v>
      </c>
      <c r="P346" s="11">
        <f t="shared" ca="1" si="196"/>
        <v>-1.6358405771021967E-4</v>
      </c>
      <c r="Q346" s="11">
        <f t="shared" ca="1" si="197"/>
        <v>-1.614029402377854E-3</v>
      </c>
      <c r="R346" s="11">
        <f t="shared" ca="1" si="198"/>
        <v>-1.4853760121635622E-5</v>
      </c>
      <c r="S346" s="11">
        <f t="shared" ca="1" si="199"/>
        <v>-1.1458026838550334E-3</v>
      </c>
      <c r="T346" s="11">
        <f t="shared" ca="1" si="200"/>
        <v>-4.9053934342410677E-4</v>
      </c>
      <c r="U346" s="11">
        <f t="shared" ca="1" si="201"/>
        <v>-5.5074395654535931E-3</v>
      </c>
      <c r="V346" s="11"/>
      <c r="W346" s="11">
        <f t="shared" ca="1" si="181"/>
        <v>0</v>
      </c>
      <c r="X346" s="2">
        <f t="shared" ca="1" si="182"/>
        <v>-1.6358405771021967E-4</v>
      </c>
      <c r="Y346" s="2">
        <f t="shared" ca="1" si="183"/>
        <v>-1.614029402377854E-3</v>
      </c>
      <c r="Z346" s="11">
        <f t="shared" ca="1" si="184"/>
        <v>-1.4853760121635622E-5</v>
      </c>
      <c r="AA346" s="2">
        <f t="shared" ca="1" si="185"/>
        <v>-1.1458026838550334E-3</v>
      </c>
      <c r="AB346" s="11">
        <f t="shared" ca="1" si="186"/>
        <v>-4.9053934342410677E-4</v>
      </c>
      <c r="AC346" s="2">
        <f t="shared" ca="1" si="187"/>
        <v>-5.5074395654535931E-3</v>
      </c>
      <c r="AF346" s="11">
        <f t="shared" ca="1" si="188"/>
        <v>0</v>
      </c>
      <c r="AG346" s="2">
        <f t="shared" ca="1" si="189"/>
        <v>-1.6358405771021967E-4</v>
      </c>
      <c r="AH346" s="2">
        <f t="shared" ca="1" si="190"/>
        <v>-1.614029402377854E-3</v>
      </c>
      <c r="AI346" s="2">
        <f t="shared" ca="1" si="191"/>
        <v>-1.4853760121635622E-5</v>
      </c>
      <c r="AJ346" s="2">
        <f t="shared" ca="1" si="192"/>
        <v>-1.1458026838550334E-3</v>
      </c>
      <c r="AK346" s="2">
        <f t="shared" ca="1" si="193"/>
        <v>-4.9053934342410677E-4</v>
      </c>
      <c r="AL346" s="2">
        <f t="shared" ca="1" si="194"/>
        <v>-5.5074395654535931E-3</v>
      </c>
      <c r="AN346" s="2" t="e">
        <f t="shared" ca="1" si="173"/>
        <v>#N/A</v>
      </c>
      <c r="AO346" s="2" t="e">
        <f t="shared" ca="1" si="174"/>
        <v>#N/A</v>
      </c>
      <c r="AP346" s="2" t="e">
        <f t="shared" ca="1" si="175"/>
        <v>#N/A</v>
      </c>
      <c r="AQ346" s="2" t="e">
        <f t="shared" ca="1" si="176"/>
        <v>#N/A</v>
      </c>
      <c r="AR346" s="2" t="e">
        <f t="shared" ca="1" si="177"/>
        <v>#N/A</v>
      </c>
      <c r="AS346" s="2" t="e">
        <f t="shared" ca="1" si="178"/>
        <v>#N/A</v>
      </c>
      <c r="AT346" s="9" t="e">
        <f t="shared" ca="1" si="179"/>
        <v>#N/A</v>
      </c>
      <c r="AU346" s="9" t="e">
        <f t="shared" ca="1" si="180"/>
        <v>#N/A</v>
      </c>
      <c r="AW346" s="2" t="e">
        <f t="shared" ca="1" si="202"/>
        <v>#N/A</v>
      </c>
      <c r="AX346" s="2" t="e">
        <f t="shared" ca="1" si="203"/>
        <v>#N/A</v>
      </c>
      <c r="AY346" s="2" t="e">
        <f t="shared" ca="1" si="204"/>
        <v>#N/A</v>
      </c>
      <c r="AZ346" s="2" t="e">
        <f t="shared" ca="1" si="205"/>
        <v>#N/A</v>
      </c>
      <c r="BA346" s="2" t="e">
        <f t="shared" ca="1" si="206"/>
        <v>#N/A</v>
      </c>
      <c r="BB346" s="2" t="e">
        <f t="shared" ca="1" si="207"/>
        <v>#N/A</v>
      </c>
      <c r="BC346" s="9" t="e">
        <f t="shared" ca="1" si="208"/>
        <v>#N/A</v>
      </c>
      <c r="BD346" s="9" t="e">
        <f t="shared" ca="1" si="209"/>
        <v>#N/A</v>
      </c>
    </row>
    <row r="347" spans="1:56" ht="15" x14ac:dyDescent="0.25">
      <c r="A347" s="63"/>
      <c r="B347" s="63"/>
      <c r="C347" s="64"/>
      <c r="D347" s="64"/>
      <c r="E347" s="64"/>
      <c r="F347" s="64"/>
      <c r="G347" s="64"/>
      <c r="H347" s="64"/>
      <c r="I347" s="64"/>
      <c r="J347" s="64"/>
      <c r="K347" s="64"/>
      <c r="L347" s="64"/>
      <c r="M347" s="64"/>
      <c r="O347" s="11">
        <f t="shared" ca="1" si="195"/>
        <v>-3.9378682616450625E-4</v>
      </c>
      <c r="P347" s="11">
        <f t="shared" ca="1" si="196"/>
        <v>-1.6358405771021967E-4</v>
      </c>
      <c r="Q347" s="11">
        <f t="shared" ca="1" si="197"/>
        <v>-1.614029402377854E-3</v>
      </c>
      <c r="R347" s="11">
        <f t="shared" ca="1" si="198"/>
        <v>-1.4853760121635622E-5</v>
      </c>
      <c r="S347" s="11">
        <f t="shared" ca="1" si="199"/>
        <v>-1.1458026838550334E-3</v>
      </c>
      <c r="T347" s="11">
        <f t="shared" ca="1" si="200"/>
        <v>-4.9053934342410677E-4</v>
      </c>
      <c r="U347" s="11">
        <f t="shared" ca="1" si="201"/>
        <v>-5.5074395654535931E-3</v>
      </c>
      <c r="V347" s="11"/>
      <c r="W347" s="11">
        <f t="shared" ca="1" si="181"/>
        <v>0</v>
      </c>
      <c r="X347" s="2">
        <f t="shared" ca="1" si="182"/>
        <v>-1.6358405771021967E-4</v>
      </c>
      <c r="Y347" s="2">
        <f t="shared" ca="1" si="183"/>
        <v>-1.614029402377854E-3</v>
      </c>
      <c r="Z347" s="11">
        <f t="shared" ca="1" si="184"/>
        <v>-1.4853760121635622E-5</v>
      </c>
      <c r="AA347" s="2">
        <f t="shared" ca="1" si="185"/>
        <v>-1.1458026838550334E-3</v>
      </c>
      <c r="AB347" s="11">
        <f t="shared" ca="1" si="186"/>
        <v>-4.9053934342410677E-4</v>
      </c>
      <c r="AC347" s="2">
        <f t="shared" ca="1" si="187"/>
        <v>-5.5074395654535931E-3</v>
      </c>
      <c r="AF347" s="11">
        <f t="shared" ca="1" si="188"/>
        <v>0</v>
      </c>
      <c r="AG347" s="2">
        <f t="shared" ca="1" si="189"/>
        <v>-1.6358405771021967E-4</v>
      </c>
      <c r="AH347" s="2">
        <f t="shared" ca="1" si="190"/>
        <v>-1.614029402377854E-3</v>
      </c>
      <c r="AI347" s="2">
        <f t="shared" ca="1" si="191"/>
        <v>-1.4853760121635622E-5</v>
      </c>
      <c r="AJ347" s="2">
        <f t="shared" ca="1" si="192"/>
        <v>-1.1458026838550334E-3</v>
      </c>
      <c r="AK347" s="2">
        <f t="shared" ca="1" si="193"/>
        <v>-4.9053934342410677E-4</v>
      </c>
      <c r="AL347" s="2">
        <f t="shared" ca="1" si="194"/>
        <v>-5.5074395654535931E-3</v>
      </c>
      <c r="AN347" s="2" t="e">
        <f t="shared" ca="1" si="173"/>
        <v>#N/A</v>
      </c>
      <c r="AO347" s="2" t="e">
        <f t="shared" ca="1" si="174"/>
        <v>#N/A</v>
      </c>
      <c r="AP347" s="2" t="e">
        <f t="shared" ca="1" si="175"/>
        <v>#N/A</v>
      </c>
      <c r="AQ347" s="2" t="e">
        <f t="shared" ca="1" si="176"/>
        <v>#N/A</v>
      </c>
      <c r="AR347" s="2" t="e">
        <f t="shared" ca="1" si="177"/>
        <v>#N/A</v>
      </c>
      <c r="AS347" s="2" t="e">
        <f t="shared" ca="1" si="178"/>
        <v>#N/A</v>
      </c>
      <c r="AT347" s="9" t="e">
        <f t="shared" ca="1" si="179"/>
        <v>#N/A</v>
      </c>
      <c r="AU347" s="9" t="e">
        <f t="shared" ca="1" si="180"/>
        <v>#N/A</v>
      </c>
      <c r="AW347" s="2" t="e">
        <f t="shared" ca="1" si="202"/>
        <v>#N/A</v>
      </c>
      <c r="AX347" s="2" t="e">
        <f t="shared" ca="1" si="203"/>
        <v>#N/A</v>
      </c>
      <c r="AY347" s="2" t="e">
        <f t="shared" ca="1" si="204"/>
        <v>#N/A</v>
      </c>
      <c r="AZ347" s="2" t="e">
        <f t="shared" ca="1" si="205"/>
        <v>#N/A</v>
      </c>
      <c r="BA347" s="2" t="e">
        <f t="shared" ca="1" si="206"/>
        <v>#N/A</v>
      </c>
      <c r="BB347" s="2" t="e">
        <f t="shared" ca="1" si="207"/>
        <v>#N/A</v>
      </c>
      <c r="BC347" s="9" t="e">
        <f t="shared" ca="1" si="208"/>
        <v>#N/A</v>
      </c>
      <c r="BD347" s="9" t="e">
        <f t="shared" ca="1" si="209"/>
        <v>#N/A</v>
      </c>
    </row>
    <row r="348" spans="1:56" ht="15" x14ac:dyDescent="0.25">
      <c r="A348" s="63"/>
      <c r="B348" s="63"/>
      <c r="C348" s="64"/>
      <c r="D348" s="64"/>
      <c r="E348" s="64"/>
      <c r="F348" s="64"/>
      <c r="G348" s="64"/>
      <c r="H348" s="64"/>
      <c r="I348" s="64"/>
      <c r="J348" s="64"/>
      <c r="K348" s="64"/>
      <c r="L348" s="64"/>
      <c r="M348" s="64"/>
      <c r="O348" s="11">
        <f t="shared" ca="1" si="195"/>
        <v>-3.9378682616450625E-4</v>
      </c>
      <c r="P348" s="11">
        <f t="shared" ca="1" si="196"/>
        <v>-1.6358405771021967E-4</v>
      </c>
      <c r="Q348" s="11">
        <f t="shared" ca="1" si="197"/>
        <v>-1.614029402377854E-3</v>
      </c>
      <c r="R348" s="11">
        <f t="shared" ca="1" si="198"/>
        <v>-1.4853760121635622E-5</v>
      </c>
      <c r="S348" s="11">
        <f t="shared" ca="1" si="199"/>
        <v>-1.1458026838550334E-3</v>
      </c>
      <c r="T348" s="11">
        <f t="shared" ca="1" si="200"/>
        <v>-4.9053934342410677E-4</v>
      </c>
      <c r="U348" s="11">
        <f t="shared" ca="1" si="201"/>
        <v>-5.5074395654535931E-3</v>
      </c>
      <c r="V348" s="11"/>
      <c r="W348" s="11">
        <f t="shared" ca="1" si="181"/>
        <v>0</v>
      </c>
      <c r="X348" s="2">
        <f t="shared" ca="1" si="182"/>
        <v>-1.6358405771021967E-4</v>
      </c>
      <c r="Y348" s="2">
        <f t="shared" ca="1" si="183"/>
        <v>-1.614029402377854E-3</v>
      </c>
      <c r="Z348" s="11">
        <f t="shared" ca="1" si="184"/>
        <v>-1.4853760121635622E-5</v>
      </c>
      <c r="AA348" s="2">
        <f t="shared" ca="1" si="185"/>
        <v>-1.1458026838550334E-3</v>
      </c>
      <c r="AB348" s="11">
        <f t="shared" ca="1" si="186"/>
        <v>-4.9053934342410677E-4</v>
      </c>
      <c r="AC348" s="2">
        <f t="shared" ca="1" si="187"/>
        <v>-5.5074395654535931E-3</v>
      </c>
      <c r="AF348" s="11">
        <f t="shared" ca="1" si="188"/>
        <v>0</v>
      </c>
      <c r="AG348" s="2">
        <f t="shared" ca="1" si="189"/>
        <v>-1.6358405771021967E-4</v>
      </c>
      <c r="AH348" s="2">
        <f t="shared" ca="1" si="190"/>
        <v>-1.614029402377854E-3</v>
      </c>
      <c r="AI348" s="2">
        <f t="shared" ca="1" si="191"/>
        <v>-1.4853760121635622E-5</v>
      </c>
      <c r="AJ348" s="2">
        <f t="shared" ca="1" si="192"/>
        <v>-1.1458026838550334E-3</v>
      </c>
      <c r="AK348" s="2">
        <f t="shared" ca="1" si="193"/>
        <v>-4.9053934342410677E-4</v>
      </c>
      <c r="AL348" s="2">
        <f t="shared" ca="1" si="194"/>
        <v>-5.5074395654535931E-3</v>
      </c>
      <c r="AN348" s="2" t="e">
        <f t="shared" ca="1" si="173"/>
        <v>#N/A</v>
      </c>
      <c r="AO348" s="2" t="e">
        <f t="shared" ca="1" si="174"/>
        <v>#N/A</v>
      </c>
      <c r="AP348" s="2" t="e">
        <f t="shared" ca="1" si="175"/>
        <v>#N/A</v>
      </c>
      <c r="AQ348" s="2" t="e">
        <f t="shared" ca="1" si="176"/>
        <v>#N/A</v>
      </c>
      <c r="AR348" s="2" t="e">
        <f t="shared" ca="1" si="177"/>
        <v>#N/A</v>
      </c>
      <c r="AS348" s="2" t="e">
        <f t="shared" ca="1" si="178"/>
        <v>#N/A</v>
      </c>
      <c r="AT348" s="9" t="e">
        <f t="shared" ca="1" si="179"/>
        <v>#N/A</v>
      </c>
      <c r="AU348" s="9" t="e">
        <f t="shared" ca="1" si="180"/>
        <v>#N/A</v>
      </c>
      <c r="AW348" s="2" t="e">
        <f t="shared" ca="1" si="202"/>
        <v>#N/A</v>
      </c>
      <c r="AX348" s="2" t="e">
        <f t="shared" ca="1" si="203"/>
        <v>#N/A</v>
      </c>
      <c r="AY348" s="2" t="e">
        <f t="shared" ca="1" si="204"/>
        <v>#N/A</v>
      </c>
      <c r="AZ348" s="2" t="e">
        <f t="shared" ca="1" si="205"/>
        <v>#N/A</v>
      </c>
      <c r="BA348" s="2" t="e">
        <f t="shared" ca="1" si="206"/>
        <v>#N/A</v>
      </c>
      <c r="BB348" s="2" t="e">
        <f t="shared" ca="1" si="207"/>
        <v>#N/A</v>
      </c>
      <c r="BC348" s="9" t="e">
        <f t="shared" ca="1" si="208"/>
        <v>#N/A</v>
      </c>
      <c r="BD348" s="9" t="e">
        <f t="shared" ca="1" si="209"/>
        <v>#N/A</v>
      </c>
    </row>
    <row r="349" spans="1:56" ht="15" x14ac:dyDescent="0.25">
      <c r="A349" s="63"/>
      <c r="B349" s="63"/>
      <c r="C349" s="64"/>
      <c r="D349" s="64"/>
      <c r="E349" s="64"/>
      <c r="F349" s="64"/>
      <c r="G349" s="64"/>
      <c r="H349" s="64"/>
      <c r="I349" s="64"/>
      <c r="J349" s="64"/>
      <c r="K349" s="64"/>
      <c r="L349" s="64"/>
      <c r="M349" s="64"/>
      <c r="O349" s="11">
        <f t="shared" ca="1" si="195"/>
        <v>-3.9378682616450625E-4</v>
      </c>
      <c r="P349" s="11">
        <f t="shared" ca="1" si="196"/>
        <v>-1.6358405771021967E-4</v>
      </c>
      <c r="Q349" s="11">
        <f t="shared" ca="1" si="197"/>
        <v>-1.614029402377854E-3</v>
      </c>
      <c r="R349" s="11">
        <f t="shared" ca="1" si="198"/>
        <v>-1.4853760121635622E-5</v>
      </c>
      <c r="S349" s="11">
        <f t="shared" ca="1" si="199"/>
        <v>-1.1458026838550334E-3</v>
      </c>
      <c r="T349" s="11">
        <f t="shared" ca="1" si="200"/>
        <v>-4.9053934342410677E-4</v>
      </c>
      <c r="U349" s="11">
        <f t="shared" ca="1" si="201"/>
        <v>-5.5074395654535931E-3</v>
      </c>
      <c r="V349" s="11"/>
      <c r="W349" s="11">
        <f t="shared" ca="1" si="181"/>
        <v>0</v>
      </c>
      <c r="X349" s="2">
        <f t="shared" ca="1" si="182"/>
        <v>-1.6358405771021967E-4</v>
      </c>
      <c r="Y349" s="2">
        <f t="shared" ca="1" si="183"/>
        <v>-1.614029402377854E-3</v>
      </c>
      <c r="Z349" s="11">
        <f t="shared" ca="1" si="184"/>
        <v>-1.4853760121635622E-5</v>
      </c>
      <c r="AA349" s="2">
        <f t="shared" ca="1" si="185"/>
        <v>-1.1458026838550334E-3</v>
      </c>
      <c r="AB349" s="11">
        <f t="shared" ca="1" si="186"/>
        <v>-4.9053934342410677E-4</v>
      </c>
      <c r="AC349" s="2">
        <f t="shared" ca="1" si="187"/>
        <v>-5.5074395654535931E-3</v>
      </c>
      <c r="AF349" s="11">
        <f t="shared" ca="1" si="188"/>
        <v>0</v>
      </c>
      <c r="AG349" s="2">
        <f t="shared" ca="1" si="189"/>
        <v>-1.6358405771021967E-4</v>
      </c>
      <c r="AH349" s="2">
        <f t="shared" ca="1" si="190"/>
        <v>-1.614029402377854E-3</v>
      </c>
      <c r="AI349" s="2">
        <f t="shared" ca="1" si="191"/>
        <v>-1.4853760121635622E-5</v>
      </c>
      <c r="AJ349" s="2">
        <f t="shared" ca="1" si="192"/>
        <v>-1.1458026838550334E-3</v>
      </c>
      <c r="AK349" s="2">
        <f t="shared" ca="1" si="193"/>
        <v>-4.9053934342410677E-4</v>
      </c>
      <c r="AL349" s="2">
        <f t="shared" ca="1" si="194"/>
        <v>-5.5074395654535931E-3</v>
      </c>
      <c r="AN349" s="2" t="e">
        <f t="shared" ca="1" si="173"/>
        <v>#N/A</v>
      </c>
      <c r="AO349" s="2" t="e">
        <f t="shared" ca="1" si="174"/>
        <v>#N/A</v>
      </c>
      <c r="AP349" s="2" t="e">
        <f t="shared" ca="1" si="175"/>
        <v>#N/A</v>
      </c>
      <c r="AQ349" s="2" t="e">
        <f t="shared" ca="1" si="176"/>
        <v>#N/A</v>
      </c>
      <c r="AR349" s="2" t="e">
        <f t="shared" ca="1" si="177"/>
        <v>#N/A</v>
      </c>
      <c r="AS349" s="2" t="e">
        <f t="shared" ca="1" si="178"/>
        <v>#N/A</v>
      </c>
      <c r="AT349" s="9" t="e">
        <f t="shared" ca="1" si="179"/>
        <v>#N/A</v>
      </c>
      <c r="AU349" s="9" t="e">
        <f t="shared" ca="1" si="180"/>
        <v>#N/A</v>
      </c>
      <c r="AW349" s="2" t="e">
        <f t="shared" ca="1" si="202"/>
        <v>#N/A</v>
      </c>
      <c r="AX349" s="2" t="e">
        <f t="shared" ca="1" si="203"/>
        <v>#N/A</v>
      </c>
      <c r="AY349" s="2" t="e">
        <f t="shared" ca="1" si="204"/>
        <v>#N/A</v>
      </c>
      <c r="AZ349" s="2" t="e">
        <f t="shared" ca="1" si="205"/>
        <v>#N/A</v>
      </c>
      <c r="BA349" s="2" t="e">
        <f t="shared" ca="1" si="206"/>
        <v>#N/A</v>
      </c>
      <c r="BB349" s="2" t="e">
        <f t="shared" ca="1" si="207"/>
        <v>#N/A</v>
      </c>
      <c r="BC349" s="9" t="e">
        <f t="shared" ca="1" si="208"/>
        <v>#N/A</v>
      </c>
      <c r="BD349" s="9" t="e">
        <f t="shared" ca="1" si="209"/>
        <v>#N/A</v>
      </c>
    </row>
    <row r="350" spans="1:56" ht="15" x14ac:dyDescent="0.25">
      <c r="A350" s="63"/>
      <c r="B350" s="63"/>
      <c r="C350" s="64"/>
      <c r="D350" s="64"/>
      <c r="E350" s="64"/>
      <c r="F350" s="64"/>
      <c r="G350" s="64"/>
      <c r="H350" s="64"/>
      <c r="I350" s="64"/>
      <c r="J350" s="64"/>
      <c r="K350" s="64"/>
      <c r="L350" s="64"/>
      <c r="M350" s="64"/>
      <c r="O350" s="11">
        <f t="shared" ca="1" si="195"/>
        <v>-3.9378682616450625E-4</v>
      </c>
      <c r="P350" s="11">
        <f t="shared" ca="1" si="196"/>
        <v>-1.6358405771021967E-4</v>
      </c>
      <c r="Q350" s="11">
        <f t="shared" ca="1" si="197"/>
        <v>-1.614029402377854E-3</v>
      </c>
      <c r="R350" s="11">
        <f t="shared" ca="1" si="198"/>
        <v>-1.4853760121635622E-5</v>
      </c>
      <c r="S350" s="11">
        <f t="shared" ca="1" si="199"/>
        <v>-1.1458026838550334E-3</v>
      </c>
      <c r="T350" s="11">
        <f t="shared" ca="1" si="200"/>
        <v>-4.9053934342410677E-4</v>
      </c>
      <c r="U350" s="11">
        <f t="shared" ca="1" si="201"/>
        <v>-5.5074395654535931E-3</v>
      </c>
      <c r="V350" s="11"/>
      <c r="W350" s="11">
        <f t="shared" ca="1" si="181"/>
        <v>0</v>
      </c>
      <c r="X350" s="2">
        <f t="shared" ca="1" si="182"/>
        <v>-1.6358405771021967E-4</v>
      </c>
      <c r="Y350" s="2">
        <f t="shared" ca="1" si="183"/>
        <v>-1.614029402377854E-3</v>
      </c>
      <c r="Z350" s="11">
        <f t="shared" ca="1" si="184"/>
        <v>-1.4853760121635622E-5</v>
      </c>
      <c r="AA350" s="2">
        <f t="shared" ca="1" si="185"/>
        <v>-1.1458026838550334E-3</v>
      </c>
      <c r="AB350" s="11">
        <f t="shared" ca="1" si="186"/>
        <v>-4.9053934342410677E-4</v>
      </c>
      <c r="AC350" s="2">
        <f t="shared" ca="1" si="187"/>
        <v>-5.5074395654535931E-3</v>
      </c>
      <c r="AF350" s="11">
        <f t="shared" ca="1" si="188"/>
        <v>0</v>
      </c>
      <c r="AG350" s="2">
        <f t="shared" ca="1" si="189"/>
        <v>-1.6358405771021967E-4</v>
      </c>
      <c r="AH350" s="2">
        <f t="shared" ca="1" si="190"/>
        <v>-1.614029402377854E-3</v>
      </c>
      <c r="AI350" s="2">
        <f t="shared" ca="1" si="191"/>
        <v>-1.4853760121635622E-5</v>
      </c>
      <c r="AJ350" s="2">
        <f t="shared" ca="1" si="192"/>
        <v>-1.1458026838550334E-3</v>
      </c>
      <c r="AK350" s="2">
        <f t="shared" ca="1" si="193"/>
        <v>-4.9053934342410677E-4</v>
      </c>
      <c r="AL350" s="2">
        <f t="shared" ca="1" si="194"/>
        <v>-5.5074395654535931E-3</v>
      </c>
      <c r="AN350" s="2" t="e">
        <f t="shared" ca="1" si="173"/>
        <v>#N/A</v>
      </c>
      <c r="AO350" s="2" t="e">
        <f t="shared" ca="1" si="174"/>
        <v>#N/A</v>
      </c>
      <c r="AP350" s="2" t="e">
        <f t="shared" ca="1" si="175"/>
        <v>#N/A</v>
      </c>
      <c r="AQ350" s="2" t="e">
        <f t="shared" ca="1" si="176"/>
        <v>#N/A</v>
      </c>
      <c r="AR350" s="2" t="e">
        <f t="shared" ca="1" si="177"/>
        <v>#N/A</v>
      </c>
      <c r="AS350" s="2" t="e">
        <f t="shared" ca="1" si="178"/>
        <v>#N/A</v>
      </c>
      <c r="AT350" s="9" t="e">
        <f t="shared" ca="1" si="179"/>
        <v>#N/A</v>
      </c>
      <c r="AU350" s="9" t="e">
        <f t="shared" ca="1" si="180"/>
        <v>#N/A</v>
      </c>
      <c r="AW350" s="2" t="e">
        <f t="shared" ca="1" si="202"/>
        <v>#N/A</v>
      </c>
      <c r="AX350" s="2" t="e">
        <f t="shared" ca="1" si="203"/>
        <v>#N/A</v>
      </c>
      <c r="AY350" s="2" t="e">
        <f t="shared" ca="1" si="204"/>
        <v>#N/A</v>
      </c>
      <c r="AZ350" s="2" t="e">
        <f t="shared" ca="1" si="205"/>
        <v>#N/A</v>
      </c>
      <c r="BA350" s="2" t="e">
        <f t="shared" ca="1" si="206"/>
        <v>#N/A</v>
      </c>
      <c r="BB350" s="2" t="e">
        <f t="shared" ca="1" si="207"/>
        <v>#N/A</v>
      </c>
      <c r="BC350" s="9" t="e">
        <f t="shared" ca="1" si="208"/>
        <v>#N/A</v>
      </c>
      <c r="BD350" s="9" t="e">
        <f t="shared" ca="1" si="209"/>
        <v>#N/A</v>
      </c>
    </row>
    <row r="351" spans="1:56" ht="15" x14ac:dyDescent="0.25">
      <c r="A351" s="63"/>
      <c r="B351" s="63"/>
      <c r="C351" s="64"/>
      <c r="D351" s="64"/>
      <c r="E351" s="64"/>
      <c r="F351" s="64"/>
      <c r="G351" s="64"/>
      <c r="H351" s="64"/>
      <c r="I351" s="64"/>
      <c r="J351" s="64"/>
      <c r="K351" s="64"/>
      <c r="L351" s="64"/>
      <c r="M351" s="64"/>
      <c r="O351" s="11">
        <f t="shared" ca="1" si="195"/>
        <v>-3.9378682616450625E-4</v>
      </c>
      <c r="P351" s="11">
        <f t="shared" ca="1" si="196"/>
        <v>-1.6358405771021967E-4</v>
      </c>
      <c r="Q351" s="11">
        <f t="shared" ca="1" si="197"/>
        <v>-1.614029402377854E-3</v>
      </c>
      <c r="R351" s="11">
        <f t="shared" ca="1" si="198"/>
        <v>-1.4853760121635622E-5</v>
      </c>
      <c r="S351" s="11">
        <f t="shared" ca="1" si="199"/>
        <v>-1.1458026838550334E-3</v>
      </c>
      <c r="T351" s="11">
        <f t="shared" ca="1" si="200"/>
        <v>-4.9053934342410677E-4</v>
      </c>
      <c r="U351" s="11">
        <f t="shared" ca="1" si="201"/>
        <v>-5.5074395654535931E-3</v>
      </c>
      <c r="V351" s="11"/>
      <c r="W351" s="11">
        <f t="shared" ca="1" si="181"/>
        <v>0</v>
      </c>
      <c r="X351" s="2">
        <f t="shared" ca="1" si="182"/>
        <v>-1.6358405771021967E-4</v>
      </c>
      <c r="Y351" s="2">
        <f t="shared" ca="1" si="183"/>
        <v>-1.614029402377854E-3</v>
      </c>
      <c r="Z351" s="11">
        <f t="shared" ca="1" si="184"/>
        <v>-1.4853760121635622E-5</v>
      </c>
      <c r="AA351" s="2">
        <f t="shared" ca="1" si="185"/>
        <v>-1.1458026838550334E-3</v>
      </c>
      <c r="AB351" s="11">
        <f t="shared" ca="1" si="186"/>
        <v>-4.9053934342410677E-4</v>
      </c>
      <c r="AC351" s="2">
        <f t="shared" ca="1" si="187"/>
        <v>-5.5074395654535931E-3</v>
      </c>
      <c r="AF351" s="11">
        <f t="shared" ca="1" si="188"/>
        <v>0</v>
      </c>
      <c r="AG351" s="2">
        <f t="shared" ca="1" si="189"/>
        <v>-1.6358405771021967E-4</v>
      </c>
      <c r="AH351" s="2">
        <f t="shared" ca="1" si="190"/>
        <v>-1.614029402377854E-3</v>
      </c>
      <c r="AI351" s="2">
        <f t="shared" ca="1" si="191"/>
        <v>-1.4853760121635622E-5</v>
      </c>
      <c r="AJ351" s="2">
        <f t="shared" ca="1" si="192"/>
        <v>-1.1458026838550334E-3</v>
      </c>
      <c r="AK351" s="2">
        <f t="shared" ca="1" si="193"/>
        <v>-4.9053934342410677E-4</v>
      </c>
      <c r="AL351" s="2">
        <f t="shared" ca="1" si="194"/>
        <v>-5.5074395654535931E-3</v>
      </c>
      <c r="AN351" s="2" t="e">
        <f t="shared" ca="1" si="173"/>
        <v>#N/A</v>
      </c>
      <c r="AO351" s="2" t="e">
        <f t="shared" ca="1" si="174"/>
        <v>#N/A</v>
      </c>
      <c r="AP351" s="2" t="e">
        <f t="shared" ca="1" si="175"/>
        <v>#N/A</v>
      </c>
      <c r="AQ351" s="2" t="e">
        <f t="shared" ca="1" si="176"/>
        <v>#N/A</v>
      </c>
      <c r="AR351" s="2" t="e">
        <f t="shared" ca="1" si="177"/>
        <v>#N/A</v>
      </c>
      <c r="AS351" s="2" t="e">
        <f t="shared" ca="1" si="178"/>
        <v>#N/A</v>
      </c>
      <c r="AT351" s="9" t="e">
        <f t="shared" ca="1" si="179"/>
        <v>#N/A</v>
      </c>
      <c r="AU351" s="9" t="e">
        <f t="shared" ca="1" si="180"/>
        <v>#N/A</v>
      </c>
      <c r="AW351" s="2" t="e">
        <f t="shared" ca="1" si="202"/>
        <v>#N/A</v>
      </c>
      <c r="AX351" s="2" t="e">
        <f t="shared" ca="1" si="203"/>
        <v>#N/A</v>
      </c>
      <c r="AY351" s="2" t="e">
        <f t="shared" ca="1" si="204"/>
        <v>#N/A</v>
      </c>
      <c r="AZ351" s="2" t="e">
        <f t="shared" ca="1" si="205"/>
        <v>#N/A</v>
      </c>
      <c r="BA351" s="2" t="e">
        <f t="shared" ca="1" si="206"/>
        <v>#N/A</v>
      </c>
      <c r="BB351" s="2" t="e">
        <f t="shared" ca="1" si="207"/>
        <v>#N/A</v>
      </c>
      <c r="BC351" s="9" t="e">
        <f t="shared" ca="1" si="208"/>
        <v>#N/A</v>
      </c>
      <c r="BD351" s="9" t="e">
        <f t="shared" ca="1" si="209"/>
        <v>#N/A</v>
      </c>
    </row>
    <row r="352" spans="1:56" ht="15" x14ac:dyDescent="0.25">
      <c r="A352" s="63"/>
      <c r="B352" s="63"/>
      <c r="C352" s="64"/>
      <c r="D352" s="64"/>
      <c r="E352" s="64"/>
      <c r="F352" s="64"/>
      <c r="G352" s="64"/>
      <c r="H352" s="64"/>
      <c r="I352" s="64"/>
      <c r="J352" s="64"/>
      <c r="K352" s="64"/>
      <c r="L352" s="64"/>
      <c r="M352" s="64"/>
      <c r="O352" s="11">
        <f t="shared" ca="1" si="195"/>
        <v>-3.9378682616450625E-4</v>
      </c>
      <c r="P352" s="11">
        <f t="shared" ca="1" si="196"/>
        <v>-1.6358405771021967E-4</v>
      </c>
      <c r="Q352" s="11">
        <f t="shared" ca="1" si="197"/>
        <v>-1.614029402377854E-3</v>
      </c>
      <c r="R352" s="11">
        <f t="shared" ca="1" si="198"/>
        <v>-1.4853760121635622E-5</v>
      </c>
      <c r="S352" s="11">
        <f t="shared" ca="1" si="199"/>
        <v>-1.1458026838550334E-3</v>
      </c>
      <c r="T352" s="11">
        <f t="shared" ca="1" si="200"/>
        <v>-4.9053934342410677E-4</v>
      </c>
      <c r="U352" s="11">
        <f t="shared" ca="1" si="201"/>
        <v>-5.5074395654535931E-3</v>
      </c>
      <c r="V352" s="11"/>
      <c r="W352" s="11">
        <f t="shared" ca="1" si="181"/>
        <v>0</v>
      </c>
      <c r="X352" s="2">
        <f t="shared" ca="1" si="182"/>
        <v>-1.6358405771021967E-4</v>
      </c>
      <c r="Y352" s="2">
        <f t="shared" ca="1" si="183"/>
        <v>-1.614029402377854E-3</v>
      </c>
      <c r="Z352" s="11">
        <f t="shared" ca="1" si="184"/>
        <v>-1.4853760121635622E-5</v>
      </c>
      <c r="AA352" s="2">
        <f t="shared" ca="1" si="185"/>
        <v>-1.1458026838550334E-3</v>
      </c>
      <c r="AB352" s="11">
        <f t="shared" ca="1" si="186"/>
        <v>-4.9053934342410677E-4</v>
      </c>
      <c r="AC352" s="2">
        <f t="shared" ca="1" si="187"/>
        <v>-5.5074395654535931E-3</v>
      </c>
      <c r="AF352" s="11">
        <f t="shared" ca="1" si="188"/>
        <v>0</v>
      </c>
      <c r="AG352" s="2">
        <f t="shared" ca="1" si="189"/>
        <v>-1.6358405771021967E-4</v>
      </c>
      <c r="AH352" s="2">
        <f t="shared" ca="1" si="190"/>
        <v>-1.614029402377854E-3</v>
      </c>
      <c r="AI352" s="2">
        <f t="shared" ca="1" si="191"/>
        <v>-1.4853760121635622E-5</v>
      </c>
      <c r="AJ352" s="2">
        <f t="shared" ca="1" si="192"/>
        <v>-1.1458026838550334E-3</v>
      </c>
      <c r="AK352" s="2">
        <f t="shared" ca="1" si="193"/>
        <v>-4.9053934342410677E-4</v>
      </c>
      <c r="AL352" s="2">
        <f t="shared" ca="1" si="194"/>
        <v>-5.5074395654535931E-3</v>
      </c>
      <c r="AN352" s="2" t="e">
        <f t="shared" ca="1" si="173"/>
        <v>#N/A</v>
      </c>
      <c r="AO352" s="2" t="e">
        <f t="shared" ca="1" si="174"/>
        <v>#N/A</v>
      </c>
      <c r="AP352" s="2" t="e">
        <f t="shared" ca="1" si="175"/>
        <v>#N/A</v>
      </c>
      <c r="AQ352" s="2" t="e">
        <f t="shared" ca="1" si="176"/>
        <v>#N/A</v>
      </c>
      <c r="AR352" s="2" t="e">
        <f t="shared" ca="1" si="177"/>
        <v>#N/A</v>
      </c>
      <c r="AS352" s="2" t="e">
        <f t="shared" ca="1" si="178"/>
        <v>#N/A</v>
      </c>
      <c r="AT352" s="9" t="e">
        <f t="shared" ca="1" si="179"/>
        <v>#N/A</v>
      </c>
      <c r="AU352" s="9" t="e">
        <f t="shared" ca="1" si="180"/>
        <v>#N/A</v>
      </c>
      <c r="AW352" s="2" t="e">
        <f t="shared" ca="1" si="202"/>
        <v>#N/A</v>
      </c>
      <c r="AX352" s="2" t="e">
        <f t="shared" ca="1" si="203"/>
        <v>#N/A</v>
      </c>
      <c r="AY352" s="2" t="e">
        <f t="shared" ca="1" si="204"/>
        <v>#N/A</v>
      </c>
      <c r="AZ352" s="2" t="e">
        <f t="shared" ca="1" si="205"/>
        <v>#N/A</v>
      </c>
      <c r="BA352" s="2" t="e">
        <f t="shared" ca="1" si="206"/>
        <v>#N/A</v>
      </c>
      <c r="BB352" s="2" t="e">
        <f t="shared" ca="1" si="207"/>
        <v>#N/A</v>
      </c>
      <c r="BC352" s="9" t="e">
        <f t="shared" ca="1" si="208"/>
        <v>#N/A</v>
      </c>
      <c r="BD352" s="9" t="e">
        <f t="shared" ca="1" si="209"/>
        <v>#N/A</v>
      </c>
    </row>
    <row r="353" spans="1:56" ht="15" x14ac:dyDescent="0.25">
      <c r="A353" s="63"/>
      <c r="B353" s="63"/>
      <c r="C353" s="64"/>
      <c r="D353" s="64"/>
      <c r="E353" s="64"/>
      <c r="F353" s="64"/>
      <c r="G353" s="64"/>
      <c r="H353" s="64"/>
      <c r="I353" s="64"/>
      <c r="J353" s="64"/>
      <c r="K353" s="64"/>
      <c r="L353" s="64"/>
      <c r="M353" s="64"/>
      <c r="O353" s="11">
        <f t="shared" ca="1" si="195"/>
        <v>-3.9378682616450625E-4</v>
      </c>
      <c r="P353" s="11">
        <f t="shared" ca="1" si="196"/>
        <v>-1.6358405771021967E-4</v>
      </c>
      <c r="Q353" s="11">
        <f t="shared" ca="1" si="197"/>
        <v>-1.614029402377854E-3</v>
      </c>
      <c r="R353" s="11">
        <f t="shared" ca="1" si="198"/>
        <v>-1.4853760121635622E-5</v>
      </c>
      <c r="S353" s="11">
        <f t="shared" ca="1" si="199"/>
        <v>-1.1458026838550334E-3</v>
      </c>
      <c r="T353" s="11">
        <f t="shared" ca="1" si="200"/>
        <v>-4.9053934342410677E-4</v>
      </c>
      <c r="U353" s="11">
        <f t="shared" ca="1" si="201"/>
        <v>-5.5074395654535931E-3</v>
      </c>
      <c r="V353" s="11"/>
      <c r="W353" s="11">
        <f t="shared" ca="1" si="181"/>
        <v>0</v>
      </c>
      <c r="X353" s="2">
        <f t="shared" ca="1" si="182"/>
        <v>-1.6358405771021967E-4</v>
      </c>
      <c r="Y353" s="2">
        <f t="shared" ca="1" si="183"/>
        <v>-1.614029402377854E-3</v>
      </c>
      <c r="Z353" s="11">
        <f t="shared" ca="1" si="184"/>
        <v>-1.4853760121635622E-5</v>
      </c>
      <c r="AA353" s="2">
        <f t="shared" ca="1" si="185"/>
        <v>-1.1458026838550334E-3</v>
      </c>
      <c r="AB353" s="11">
        <f t="shared" ca="1" si="186"/>
        <v>-4.9053934342410677E-4</v>
      </c>
      <c r="AC353" s="2">
        <f t="shared" ca="1" si="187"/>
        <v>-5.5074395654535931E-3</v>
      </c>
      <c r="AF353" s="11">
        <f t="shared" ca="1" si="188"/>
        <v>0</v>
      </c>
      <c r="AG353" s="2">
        <f t="shared" ca="1" si="189"/>
        <v>-1.6358405771021967E-4</v>
      </c>
      <c r="AH353" s="2">
        <f t="shared" ca="1" si="190"/>
        <v>-1.614029402377854E-3</v>
      </c>
      <c r="AI353" s="2">
        <f t="shared" ca="1" si="191"/>
        <v>-1.4853760121635622E-5</v>
      </c>
      <c r="AJ353" s="2">
        <f t="shared" ca="1" si="192"/>
        <v>-1.1458026838550334E-3</v>
      </c>
      <c r="AK353" s="2">
        <f t="shared" ca="1" si="193"/>
        <v>-4.9053934342410677E-4</v>
      </c>
      <c r="AL353" s="2">
        <f t="shared" ca="1" si="194"/>
        <v>-5.5074395654535931E-3</v>
      </c>
      <c r="AN353" s="2" t="e">
        <f t="shared" ca="1" si="173"/>
        <v>#N/A</v>
      </c>
      <c r="AO353" s="2" t="e">
        <f t="shared" ca="1" si="174"/>
        <v>#N/A</v>
      </c>
      <c r="AP353" s="2" t="e">
        <f t="shared" ca="1" si="175"/>
        <v>#N/A</v>
      </c>
      <c r="AQ353" s="2" t="e">
        <f t="shared" ca="1" si="176"/>
        <v>#N/A</v>
      </c>
      <c r="AR353" s="2" t="e">
        <f t="shared" ca="1" si="177"/>
        <v>#N/A</v>
      </c>
      <c r="AS353" s="2" t="e">
        <f t="shared" ca="1" si="178"/>
        <v>#N/A</v>
      </c>
      <c r="AT353" s="9" t="e">
        <f t="shared" ca="1" si="179"/>
        <v>#N/A</v>
      </c>
      <c r="AU353" s="9" t="e">
        <f t="shared" ca="1" si="180"/>
        <v>#N/A</v>
      </c>
      <c r="AW353" s="2" t="e">
        <f t="shared" ca="1" si="202"/>
        <v>#N/A</v>
      </c>
      <c r="AX353" s="2" t="e">
        <f t="shared" ca="1" si="203"/>
        <v>#N/A</v>
      </c>
      <c r="AY353" s="2" t="e">
        <f t="shared" ca="1" si="204"/>
        <v>#N/A</v>
      </c>
      <c r="AZ353" s="2" t="e">
        <f t="shared" ca="1" si="205"/>
        <v>#N/A</v>
      </c>
      <c r="BA353" s="2" t="e">
        <f t="shared" ca="1" si="206"/>
        <v>#N/A</v>
      </c>
      <c r="BB353" s="2" t="e">
        <f t="shared" ca="1" si="207"/>
        <v>#N/A</v>
      </c>
      <c r="BC353" s="9" t="e">
        <f t="shared" ca="1" si="208"/>
        <v>#N/A</v>
      </c>
      <c r="BD353" s="9" t="e">
        <f t="shared" ca="1" si="209"/>
        <v>#N/A</v>
      </c>
    </row>
    <row r="354" spans="1:56" ht="15" x14ac:dyDescent="0.25">
      <c r="A354" s="63"/>
      <c r="B354" s="63"/>
      <c r="C354" s="64"/>
      <c r="D354" s="64"/>
      <c r="E354" s="64"/>
      <c r="F354" s="64"/>
      <c r="G354" s="64"/>
      <c r="H354" s="64"/>
      <c r="I354" s="64"/>
      <c r="J354" s="64"/>
      <c r="K354" s="64"/>
      <c r="L354" s="64"/>
      <c r="M354" s="64"/>
      <c r="O354" s="11">
        <f t="shared" ca="1" si="195"/>
        <v>-3.9378682616450625E-4</v>
      </c>
      <c r="P354" s="11">
        <f t="shared" ca="1" si="196"/>
        <v>-1.6358405771021967E-4</v>
      </c>
      <c r="Q354" s="11">
        <f t="shared" ca="1" si="197"/>
        <v>-1.614029402377854E-3</v>
      </c>
      <c r="R354" s="11">
        <f t="shared" ca="1" si="198"/>
        <v>-1.4853760121635622E-5</v>
      </c>
      <c r="S354" s="11">
        <f t="shared" ca="1" si="199"/>
        <v>-1.1458026838550334E-3</v>
      </c>
      <c r="T354" s="11">
        <f t="shared" ca="1" si="200"/>
        <v>-4.9053934342410677E-4</v>
      </c>
      <c r="U354" s="11">
        <f t="shared" ca="1" si="201"/>
        <v>-5.5074395654535931E-3</v>
      </c>
      <c r="V354" s="11"/>
      <c r="W354" s="11">
        <f t="shared" ca="1" si="181"/>
        <v>0</v>
      </c>
      <c r="X354" s="2">
        <f t="shared" ca="1" si="182"/>
        <v>-1.6358405771021967E-4</v>
      </c>
      <c r="Y354" s="2">
        <f t="shared" ca="1" si="183"/>
        <v>-1.614029402377854E-3</v>
      </c>
      <c r="Z354" s="11">
        <f t="shared" ca="1" si="184"/>
        <v>-1.4853760121635622E-5</v>
      </c>
      <c r="AA354" s="2">
        <f t="shared" ca="1" si="185"/>
        <v>-1.1458026838550334E-3</v>
      </c>
      <c r="AB354" s="11">
        <f t="shared" ca="1" si="186"/>
        <v>-4.9053934342410677E-4</v>
      </c>
      <c r="AC354" s="2">
        <f t="shared" ca="1" si="187"/>
        <v>-5.5074395654535931E-3</v>
      </c>
      <c r="AF354" s="11">
        <f t="shared" ca="1" si="188"/>
        <v>0</v>
      </c>
      <c r="AG354" s="2">
        <f t="shared" ca="1" si="189"/>
        <v>-1.6358405771021967E-4</v>
      </c>
      <c r="AH354" s="2">
        <f t="shared" ca="1" si="190"/>
        <v>-1.614029402377854E-3</v>
      </c>
      <c r="AI354" s="2">
        <f t="shared" ca="1" si="191"/>
        <v>-1.4853760121635622E-5</v>
      </c>
      <c r="AJ354" s="2">
        <f t="shared" ca="1" si="192"/>
        <v>-1.1458026838550334E-3</v>
      </c>
      <c r="AK354" s="2">
        <f t="shared" ca="1" si="193"/>
        <v>-4.9053934342410677E-4</v>
      </c>
      <c r="AL354" s="2">
        <f t="shared" ca="1" si="194"/>
        <v>-5.5074395654535931E-3</v>
      </c>
      <c r="AN354" s="2" t="e">
        <f t="shared" ca="1" si="173"/>
        <v>#N/A</v>
      </c>
      <c r="AO354" s="2" t="e">
        <f t="shared" ca="1" si="174"/>
        <v>#N/A</v>
      </c>
      <c r="AP354" s="2" t="e">
        <f t="shared" ca="1" si="175"/>
        <v>#N/A</v>
      </c>
      <c r="AQ354" s="2" t="e">
        <f t="shared" ca="1" si="176"/>
        <v>#N/A</v>
      </c>
      <c r="AR354" s="2" t="e">
        <f t="shared" ca="1" si="177"/>
        <v>#N/A</v>
      </c>
      <c r="AS354" s="2" t="e">
        <f t="shared" ca="1" si="178"/>
        <v>#N/A</v>
      </c>
      <c r="AT354" s="9" t="e">
        <f t="shared" ca="1" si="179"/>
        <v>#N/A</v>
      </c>
      <c r="AU354" s="9" t="e">
        <f t="shared" ca="1" si="180"/>
        <v>#N/A</v>
      </c>
      <c r="AW354" s="2" t="e">
        <f t="shared" ca="1" si="202"/>
        <v>#N/A</v>
      </c>
      <c r="AX354" s="2" t="e">
        <f t="shared" ca="1" si="203"/>
        <v>#N/A</v>
      </c>
      <c r="AY354" s="2" t="e">
        <f t="shared" ca="1" si="204"/>
        <v>#N/A</v>
      </c>
      <c r="AZ354" s="2" t="e">
        <f t="shared" ca="1" si="205"/>
        <v>#N/A</v>
      </c>
      <c r="BA354" s="2" t="e">
        <f t="shared" ca="1" si="206"/>
        <v>#N/A</v>
      </c>
      <c r="BB354" s="2" t="e">
        <f t="shared" ca="1" si="207"/>
        <v>#N/A</v>
      </c>
      <c r="BC354" s="9" t="e">
        <f t="shared" ca="1" si="208"/>
        <v>#N/A</v>
      </c>
      <c r="BD354" s="9" t="e">
        <f t="shared" ca="1" si="209"/>
        <v>#N/A</v>
      </c>
    </row>
    <row r="355" spans="1:56" ht="15" x14ac:dyDescent="0.25">
      <c r="A355" s="63"/>
      <c r="B355" s="63"/>
      <c r="C355" s="64"/>
      <c r="D355" s="64"/>
      <c r="E355" s="64"/>
      <c r="F355" s="64"/>
      <c r="G355" s="64"/>
      <c r="H355" s="64"/>
      <c r="I355" s="64"/>
      <c r="J355" s="64"/>
      <c r="K355" s="64"/>
      <c r="L355" s="64"/>
      <c r="M355" s="64"/>
      <c r="O355" s="11">
        <f t="shared" ca="1" si="195"/>
        <v>-3.9378682616450625E-4</v>
      </c>
      <c r="P355" s="11">
        <f t="shared" ca="1" si="196"/>
        <v>-1.6358405771021967E-4</v>
      </c>
      <c r="Q355" s="11">
        <f t="shared" ca="1" si="197"/>
        <v>-1.614029402377854E-3</v>
      </c>
      <c r="R355" s="11">
        <f t="shared" ca="1" si="198"/>
        <v>-1.4853760121635622E-5</v>
      </c>
      <c r="S355" s="11">
        <f t="shared" ca="1" si="199"/>
        <v>-1.1458026838550334E-3</v>
      </c>
      <c r="T355" s="11">
        <f t="shared" ca="1" si="200"/>
        <v>-4.9053934342410677E-4</v>
      </c>
      <c r="U355" s="11">
        <f t="shared" ca="1" si="201"/>
        <v>-5.5074395654535931E-3</v>
      </c>
      <c r="V355" s="11"/>
      <c r="W355" s="11">
        <f t="shared" ca="1" si="181"/>
        <v>0</v>
      </c>
      <c r="X355" s="2">
        <f t="shared" ca="1" si="182"/>
        <v>-1.6358405771021967E-4</v>
      </c>
      <c r="Y355" s="2">
        <f t="shared" ca="1" si="183"/>
        <v>-1.614029402377854E-3</v>
      </c>
      <c r="Z355" s="11">
        <f t="shared" ca="1" si="184"/>
        <v>-1.4853760121635622E-5</v>
      </c>
      <c r="AA355" s="2">
        <f t="shared" ca="1" si="185"/>
        <v>-1.1458026838550334E-3</v>
      </c>
      <c r="AB355" s="11">
        <f t="shared" ca="1" si="186"/>
        <v>-4.9053934342410677E-4</v>
      </c>
      <c r="AC355" s="2">
        <f t="shared" ca="1" si="187"/>
        <v>-5.5074395654535931E-3</v>
      </c>
      <c r="AF355" s="11">
        <f t="shared" ca="1" si="188"/>
        <v>0</v>
      </c>
      <c r="AG355" s="2">
        <f t="shared" ca="1" si="189"/>
        <v>-1.6358405771021967E-4</v>
      </c>
      <c r="AH355" s="2">
        <f t="shared" ca="1" si="190"/>
        <v>-1.614029402377854E-3</v>
      </c>
      <c r="AI355" s="2">
        <f t="shared" ca="1" si="191"/>
        <v>-1.4853760121635622E-5</v>
      </c>
      <c r="AJ355" s="2">
        <f t="shared" ca="1" si="192"/>
        <v>-1.1458026838550334E-3</v>
      </c>
      <c r="AK355" s="2">
        <f t="shared" ca="1" si="193"/>
        <v>-4.9053934342410677E-4</v>
      </c>
      <c r="AL355" s="2">
        <f t="shared" ca="1" si="194"/>
        <v>-5.5074395654535931E-3</v>
      </c>
      <c r="AN355" s="2" t="e">
        <f t="shared" ca="1" si="173"/>
        <v>#N/A</v>
      </c>
      <c r="AO355" s="2" t="e">
        <f t="shared" ca="1" si="174"/>
        <v>#N/A</v>
      </c>
      <c r="AP355" s="2" t="e">
        <f t="shared" ca="1" si="175"/>
        <v>#N/A</v>
      </c>
      <c r="AQ355" s="2" t="e">
        <f t="shared" ca="1" si="176"/>
        <v>#N/A</v>
      </c>
      <c r="AR355" s="2" t="e">
        <f t="shared" ca="1" si="177"/>
        <v>#N/A</v>
      </c>
      <c r="AS355" s="2" t="e">
        <f t="shared" ca="1" si="178"/>
        <v>#N/A</v>
      </c>
      <c r="AT355" s="9" t="e">
        <f t="shared" ca="1" si="179"/>
        <v>#N/A</v>
      </c>
      <c r="AU355" s="9" t="e">
        <f t="shared" ca="1" si="180"/>
        <v>#N/A</v>
      </c>
      <c r="AW355" s="2" t="e">
        <f t="shared" ca="1" si="202"/>
        <v>#N/A</v>
      </c>
      <c r="AX355" s="2" t="e">
        <f t="shared" ca="1" si="203"/>
        <v>#N/A</v>
      </c>
      <c r="AY355" s="2" t="e">
        <f t="shared" ca="1" si="204"/>
        <v>#N/A</v>
      </c>
      <c r="AZ355" s="2" t="e">
        <f t="shared" ca="1" si="205"/>
        <v>#N/A</v>
      </c>
      <c r="BA355" s="2" t="e">
        <f t="shared" ca="1" si="206"/>
        <v>#N/A</v>
      </c>
      <c r="BB355" s="2" t="e">
        <f t="shared" ca="1" si="207"/>
        <v>#N/A</v>
      </c>
      <c r="BC355" s="9" t="e">
        <f t="shared" ca="1" si="208"/>
        <v>#N/A</v>
      </c>
      <c r="BD355" s="9" t="e">
        <f t="shared" ca="1" si="209"/>
        <v>#N/A</v>
      </c>
    </row>
    <row r="356" spans="1:56" ht="15" x14ac:dyDescent="0.25">
      <c r="A356" s="63"/>
      <c r="B356" s="63"/>
      <c r="C356" s="64"/>
      <c r="D356" s="64"/>
      <c r="E356" s="64"/>
      <c r="F356" s="64"/>
      <c r="G356" s="64"/>
      <c r="H356" s="64"/>
      <c r="I356" s="64"/>
      <c r="J356" s="64"/>
      <c r="K356" s="64"/>
      <c r="L356" s="64"/>
      <c r="M356" s="64"/>
      <c r="O356" s="11">
        <f t="shared" ca="1" si="195"/>
        <v>-3.9378682616450625E-4</v>
      </c>
      <c r="P356" s="11">
        <f t="shared" ca="1" si="196"/>
        <v>-1.6358405771021967E-4</v>
      </c>
      <c r="Q356" s="11">
        <f t="shared" ca="1" si="197"/>
        <v>-1.614029402377854E-3</v>
      </c>
      <c r="R356" s="11">
        <f t="shared" ca="1" si="198"/>
        <v>-1.4853760121635622E-5</v>
      </c>
      <c r="S356" s="11">
        <f t="shared" ca="1" si="199"/>
        <v>-1.1458026838550334E-3</v>
      </c>
      <c r="T356" s="11">
        <f t="shared" ca="1" si="200"/>
        <v>-4.9053934342410677E-4</v>
      </c>
      <c r="U356" s="11">
        <f t="shared" ca="1" si="201"/>
        <v>-5.5074395654535931E-3</v>
      </c>
      <c r="V356" s="11"/>
      <c r="W356" s="11">
        <f t="shared" ca="1" si="181"/>
        <v>0</v>
      </c>
      <c r="X356" s="2">
        <f t="shared" ca="1" si="182"/>
        <v>-1.6358405771021967E-4</v>
      </c>
      <c r="Y356" s="2">
        <f t="shared" ca="1" si="183"/>
        <v>-1.614029402377854E-3</v>
      </c>
      <c r="Z356" s="11">
        <f t="shared" ca="1" si="184"/>
        <v>-1.4853760121635622E-5</v>
      </c>
      <c r="AA356" s="2">
        <f t="shared" ca="1" si="185"/>
        <v>-1.1458026838550334E-3</v>
      </c>
      <c r="AB356" s="11">
        <f t="shared" ca="1" si="186"/>
        <v>-4.9053934342410677E-4</v>
      </c>
      <c r="AC356" s="2">
        <f t="shared" ca="1" si="187"/>
        <v>-5.5074395654535931E-3</v>
      </c>
      <c r="AF356" s="11">
        <f t="shared" ca="1" si="188"/>
        <v>0</v>
      </c>
      <c r="AG356" s="2">
        <f t="shared" ca="1" si="189"/>
        <v>-1.6358405771021967E-4</v>
      </c>
      <c r="AH356" s="2">
        <f t="shared" ca="1" si="190"/>
        <v>-1.614029402377854E-3</v>
      </c>
      <c r="AI356" s="2">
        <f t="shared" ca="1" si="191"/>
        <v>-1.4853760121635622E-5</v>
      </c>
      <c r="AJ356" s="2">
        <f t="shared" ca="1" si="192"/>
        <v>-1.1458026838550334E-3</v>
      </c>
      <c r="AK356" s="2">
        <f t="shared" ca="1" si="193"/>
        <v>-4.9053934342410677E-4</v>
      </c>
      <c r="AL356" s="2">
        <f t="shared" ca="1" si="194"/>
        <v>-5.5074395654535931E-3</v>
      </c>
      <c r="AN356" s="2" t="e">
        <f t="shared" ca="1" si="173"/>
        <v>#N/A</v>
      </c>
      <c r="AO356" s="2" t="e">
        <f t="shared" ca="1" si="174"/>
        <v>#N/A</v>
      </c>
      <c r="AP356" s="2" t="e">
        <f t="shared" ca="1" si="175"/>
        <v>#N/A</v>
      </c>
      <c r="AQ356" s="2" t="e">
        <f t="shared" ca="1" si="176"/>
        <v>#N/A</v>
      </c>
      <c r="AR356" s="2" t="e">
        <f t="shared" ca="1" si="177"/>
        <v>#N/A</v>
      </c>
      <c r="AS356" s="2" t="e">
        <f t="shared" ca="1" si="178"/>
        <v>#N/A</v>
      </c>
      <c r="AT356" s="9" t="e">
        <f t="shared" ca="1" si="179"/>
        <v>#N/A</v>
      </c>
      <c r="AU356" s="9" t="e">
        <f t="shared" ca="1" si="180"/>
        <v>#N/A</v>
      </c>
      <c r="AW356" s="2" t="e">
        <f t="shared" ca="1" si="202"/>
        <v>#N/A</v>
      </c>
      <c r="AX356" s="2" t="e">
        <f t="shared" ca="1" si="203"/>
        <v>#N/A</v>
      </c>
      <c r="AY356" s="2" t="e">
        <f t="shared" ca="1" si="204"/>
        <v>#N/A</v>
      </c>
      <c r="AZ356" s="2" t="e">
        <f t="shared" ca="1" si="205"/>
        <v>#N/A</v>
      </c>
      <c r="BA356" s="2" t="e">
        <f t="shared" ca="1" si="206"/>
        <v>#N/A</v>
      </c>
      <c r="BB356" s="2" t="e">
        <f t="shared" ca="1" si="207"/>
        <v>#N/A</v>
      </c>
      <c r="BC356" s="9" t="e">
        <f t="shared" ca="1" si="208"/>
        <v>#N/A</v>
      </c>
      <c r="BD356" s="9" t="e">
        <f t="shared" ca="1" si="209"/>
        <v>#N/A</v>
      </c>
    </row>
    <row r="357" spans="1:56" ht="15" x14ac:dyDescent="0.25">
      <c r="A357" s="63"/>
      <c r="B357" s="63"/>
      <c r="C357" s="64"/>
      <c r="D357" s="64"/>
      <c r="E357" s="64"/>
      <c r="F357" s="64"/>
      <c r="G357" s="64"/>
      <c r="H357" s="64"/>
      <c r="I357" s="64"/>
      <c r="J357" s="64"/>
      <c r="K357" s="64"/>
      <c r="L357" s="64"/>
      <c r="M357" s="64"/>
      <c r="O357" s="11">
        <f t="shared" ca="1" si="195"/>
        <v>-3.9378682616450625E-4</v>
      </c>
      <c r="P357" s="11">
        <f t="shared" ca="1" si="196"/>
        <v>-1.6358405771021967E-4</v>
      </c>
      <c r="Q357" s="11">
        <f t="shared" ca="1" si="197"/>
        <v>-1.614029402377854E-3</v>
      </c>
      <c r="R357" s="11">
        <f t="shared" ca="1" si="198"/>
        <v>-1.4853760121635622E-5</v>
      </c>
      <c r="S357" s="11">
        <f t="shared" ca="1" si="199"/>
        <v>-1.1458026838550334E-3</v>
      </c>
      <c r="T357" s="11">
        <f t="shared" ca="1" si="200"/>
        <v>-4.9053934342410677E-4</v>
      </c>
      <c r="U357" s="11">
        <f t="shared" ca="1" si="201"/>
        <v>-5.5074395654535931E-3</v>
      </c>
      <c r="V357" s="11"/>
      <c r="W357" s="11">
        <f t="shared" ca="1" si="181"/>
        <v>0</v>
      </c>
      <c r="X357" s="2">
        <f t="shared" ca="1" si="182"/>
        <v>-1.6358405771021967E-4</v>
      </c>
      <c r="Y357" s="2">
        <f t="shared" ca="1" si="183"/>
        <v>-1.614029402377854E-3</v>
      </c>
      <c r="Z357" s="11">
        <f t="shared" ca="1" si="184"/>
        <v>-1.4853760121635622E-5</v>
      </c>
      <c r="AA357" s="2">
        <f t="shared" ca="1" si="185"/>
        <v>-1.1458026838550334E-3</v>
      </c>
      <c r="AB357" s="11">
        <f t="shared" ca="1" si="186"/>
        <v>-4.9053934342410677E-4</v>
      </c>
      <c r="AC357" s="2">
        <f t="shared" ca="1" si="187"/>
        <v>-5.5074395654535931E-3</v>
      </c>
      <c r="AF357" s="11">
        <f t="shared" ca="1" si="188"/>
        <v>0</v>
      </c>
      <c r="AG357" s="2">
        <f t="shared" ca="1" si="189"/>
        <v>-1.6358405771021967E-4</v>
      </c>
      <c r="AH357" s="2">
        <f t="shared" ca="1" si="190"/>
        <v>-1.614029402377854E-3</v>
      </c>
      <c r="AI357" s="2">
        <f t="shared" ca="1" si="191"/>
        <v>-1.4853760121635622E-5</v>
      </c>
      <c r="AJ357" s="2">
        <f t="shared" ca="1" si="192"/>
        <v>-1.1458026838550334E-3</v>
      </c>
      <c r="AK357" s="2">
        <f t="shared" ca="1" si="193"/>
        <v>-4.9053934342410677E-4</v>
      </c>
      <c r="AL357" s="2">
        <f t="shared" ca="1" si="194"/>
        <v>-5.5074395654535931E-3</v>
      </c>
      <c r="AN357" s="2" t="e">
        <f t="shared" ca="1" si="173"/>
        <v>#N/A</v>
      </c>
      <c r="AO357" s="2" t="e">
        <f t="shared" ca="1" si="174"/>
        <v>#N/A</v>
      </c>
      <c r="AP357" s="2" t="e">
        <f t="shared" ca="1" si="175"/>
        <v>#N/A</v>
      </c>
      <c r="AQ357" s="2" t="e">
        <f t="shared" ca="1" si="176"/>
        <v>#N/A</v>
      </c>
      <c r="AR357" s="2" t="e">
        <f t="shared" ca="1" si="177"/>
        <v>#N/A</v>
      </c>
      <c r="AS357" s="2" t="e">
        <f t="shared" ca="1" si="178"/>
        <v>#N/A</v>
      </c>
      <c r="AT357" s="9" t="e">
        <f t="shared" ca="1" si="179"/>
        <v>#N/A</v>
      </c>
      <c r="AU357" s="9" t="e">
        <f t="shared" ca="1" si="180"/>
        <v>#N/A</v>
      </c>
      <c r="AW357" s="2" t="e">
        <f t="shared" ca="1" si="202"/>
        <v>#N/A</v>
      </c>
      <c r="AX357" s="2" t="e">
        <f t="shared" ca="1" si="203"/>
        <v>#N/A</v>
      </c>
      <c r="AY357" s="2" t="e">
        <f t="shared" ca="1" si="204"/>
        <v>#N/A</v>
      </c>
      <c r="AZ357" s="2" t="e">
        <f t="shared" ca="1" si="205"/>
        <v>#N/A</v>
      </c>
      <c r="BA357" s="2" t="e">
        <f t="shared" ca="1" si="206"/>
        <v>#N/A</v>
      </c>
      <c r="BB357" s="2" t="e">
        <f t="shared" ca="1" si="207"/>
        <v>#N/A</v>
      </c>
      <c r="BC357" s="9" t="e">
        <f t="shared" ca="1" si="208"/>
        <v>#N/A</v>
      </c>
      <c r="BD357" s="9" t="e">
        <f t="shared" ca="1" si="209"/>
        <v>#N/A</v>
      </c>
    </row>
    <row r="358" spans="1:56" ht="15" x14ac:dyDescent="0.25">
      <c r="A358" s="63"/>
      <c r="B358" s="63"/>
      <c r="C358" s="64"/>
      <c r="D358" s="64"/>
      <c r="E358" s="64"/>
      <c r="F358" s="64"/>
      <c r="G358" s="64"/>
      <c r="H358" s="64"/>
      <c r="I358" s="64"/>
      <c r="J358" s="64"/>
      <c r="K358" s="64"/>
      <c r="L358" s="64"/>
      <c r="M358" s="64"/>
      <c r="O358" s="11">
        <f t="shared" ca="1" si="195"/>
        <v>-3.9378682616450625E-4</v>
      </c>
      <c r="P358" s="11">
        <f t="shared" ca="1" si="196"/>
        <v>-1.6358405771021967E-4</v>
      </c>
      <c r="Q358" s="11">
        <f t="shared" ca="1" si="197"/>
        <v>-1.614029402377854E-3</v>
      </c>
      <c r="R358" s="11">
        <f t="shared" ca="1" si="198"/>
        <v>-1.4853760121635622E-5</v>
      </c>
      <c r="S358" s="11">
        <f t="shared" ca="1" si="199"/>
        <v>-1.1458026838550334E-3</v>
      </c>
      <c r="T358" s="11">
        <f t="shared" ca="1" si="200"/>
        <v>-4.9053934342410677E-4</v>
      </c>
      <c r="U358" s="11">
        <f t="shared" ca="1" si="201"/>
        <v>-5.5074395654535931E-3</v>
      </c>
      <c r="V358" s="11"/>
      <c r="W358" s="11">
        <f t="shared" ca="1" si="181"/>
        <v>0</v>
      </c>
      <c r="X358" s="2">
        <f t="shared" ca="1" si="182"/>
        <v>-1.6358405771021967E-4</v>
      </c>
      <c r="Y358" s="2">
        <f t="shared" ca="1" si="183"/>
        <v>-1.614029402377854E-3</v>
      </c>
      <c r="Z358" s="11">
        <f t="shared" ca="1" si="184"/>
        <v>-1.4853760121635622E-5</v>
      </c>
      <c r="AA358" s="2">
        <f t="shared" ca="1" si="185"/>
        <v>-1.1458026838550334E-3</v>
      </c>
      <c r="AB358" s="11">
        <f t="shared" ca="1" si="186"/>
        <v>-4.9053934342410677E-4</v>
      </c>
      <c r="AC358" s="2">
        <f t="shared" ca="1" si="187"/>
        <v>-5.5074395654535931E-3</v>
      </c>
      <c r="AF358" s="11">
        <f t="shared" ca="1" si="188"/>
        <v>0</v>
      </c>
      <c r="AG358" s="2">
        <f t="shared" ca="1" si="189"/>
        <v>-1.6358405771021967E-4</v>
      </c>
      <c r="AH358" s="2">
        <f t="shared" ca="1" si="190"/>
        <v>-1.614029402377854E-3</v>
      </c>
      <c r="AI358" s="2">
        <f t="shared" ca="1" si="191"/>
        <v>-1.4853760121635622E-5</v>
      </c>
      <c r="AJ358" s="2">
        <f t="shared" ca="1" si="192"/>
        <v>-1.1458026838550334E-3</v>
      </c>
      <c r="AK358" s="2">
        <f t="shared" ca="1" si="193"/>
        <v>-4.9053934342410677E-4</v>
      </c>
      <c r="AL358" s="2">
        <f t="shared" ca="1" si="194"/>
        <v>-5.5074395654535931E-3</v>
      </c>
      <c r="AN358" s="2" t="e">
        <f t="shared" ca="1" si="173"/>
        <v>#N/A</v>
      </c>
      <c r="AO358" s="2" t="e">
        <f t="shared" ca="1" si="174"/>
        <v>#N/A</v>
      </c>
      <c r="AP358" s="2" t="e">
        <f t="shared" ca="1" si="175"/>
        <v>#N/A</v>
      </c>
      <c r="AQ358" s="2" t="e">
        <f t="shared" ca="1" si="176"/>
        <v>#N/A</v>
      </c>
      <c r="AR358" s="2" t="e">
        <f t="shared" ca="1" si="177"/>
        <v>#N/A</v>
      </c>
      <c r="AS358" s="2" t="e">
        <f t="shared" ca="1" si="178"/>
        <v>#N/A</v>
      </c>
      <c r="AT358" s="9" t="e">
        <f t="shared" ca="1" si="179"/>
        <v>#N/A</v>
      </c>
      <c r="AU358" s="9" t="e">
        <f t="shared" ca="1" si="180"/>
        <v>#N/A</v>
      </c>
      <c r="AW358" s="2" t="e">
        <f t="shared" ca="1" si="202"/>
        <v>#N/A</v>
      </c>
      <c r="AX358" s="2" t="e">
        <f t="shared" ca="1" si="203"/>
        <v>#N/A</v>
      </c>
      <c r="AY358" s="2" t="e">
        <f t="shared" ca="1" si="204"/>
        <v>#N/A</v>
      </c>
      <c r="AZ358" s="2" t="e">
        <f t="shared" ca="1" si="205"/>
        <v>#N/A</v>
      </c>
      <c r="BA358" s="2" t="e">
        <f t="shared" ca="1" si="206"/>
        <v>#N/A</v>
      </c>
      <c r="BB358" s="2" t="e">
        <f t="shared" ca="1" si="207"/>
        <v>#N/A</v>
      </c>
      <c r="BC358" s="9" t="e">
        <f t="shared" ca="1" si="208"/>
        <v>#N/A</v>
      </c>
      <c r="BD358" s="9" t="e">
        <f t="shared" ca="1" si="209"/>
        <v>#N/A</v>
      </c>
    </row>
    <row r="359" spans="1:56" ht="15" x14ac:dyDescent="0.25">
      <c r="A359" s="63"/>
      <c r="B359" s="63"/>
      <c r="C359" s="64"/>
      <c r="D359" s="64"/>
      <c r="E359" s="64"/>
      <c r="F359" s="64"/>
      <c r="G359" s="64"/>
      <c r="H359" s="64"/>
      <c r="I359" s="64"/>
      <c r="J359" s="64"/>
      <c r="K359" s="64"/>
      <c r="L359" s="64"/>
      <c r="M359" s="64"/>
      <c r="O359" s="11">
        <f t="shared" ca="1" si="195"/>
        <v>-3.9378682616450625E-4</v>
      </c>
      <c r="P359" s="11">
        <f t="shared" ca="1" si="196"/>
        <v>-1.6358405771021967E-4</v>
      </c>
      <c r="Q359" s="11">
        <f t="shared" ca="1" si="197"/>
        <v>-1.614029402377854E-3</v>
      </c>
      <c r="R359" s="11">
        <f t="shared" ca="1" si="198"/>
        <v>-1.4853760121635622E-5</v>
      </c>
      <c r="S359" s="11">
        <f t="shared" ca="1" si="199"/>
        <v>-1.1458026838550334E-3</v>
      </c>
      <c r="T359" s="11">
        <f t="shared" ca="1" si="200"/>
        <v>-4.9053934342410677E-4</v>
      </c>
      <c r="U359" s="11">
        <f t="shared" ca="1" si="201"/>
        <v>-5.5074395654535931E-3</v>
      </c>
      <c r="V359" s="11"/>
      <c r="W359" s="11">
        <f t="shared" ca="1" si="181"/>
        <v>0</v>
      </c>
      <c r="X359" s="2">
        <f t="shared" ca="1" si="182"/>
        <v>-1.6358405771021967E-4</v>
      </c>
      <c r="Y359" s="2">
        <f t="shared" ca="1" si="183"/>
        <v>-1.614029402377854E-3</v>
      </c>
      <c r="Z359" s="11">
        <f t="shared" ca="1" si="184"/>
        <v>-1.4853760121635622E-5</v>
      </c>
      <c r="AA359" s="2">
        <f t="shared" ca="1" si="185"/>
        <v>-1.1458026838550334E-3</v>
      </c>
      <c r="AB359" s="11">
        <f t="shared" ca="1" si="186"/>
        <v>-4.9053934342410677E-4</v>
      </c>
      <c r="AC359" s="2">
        <f t="shared" ca="1" si="187"/>
        <v>-5.5074395654535931E-3</v>
      </c>
      <c r="AF359" s="11">
        <f t="shared" ca="1" si="188"/>
        <v>0</v>
      </c>
      <c r="AG359" s="2">
        <f t="shared" ca="1" si="189"/>
        <v>-1.6358405771021967E-4</v>
      </c>
      <c r="AH359" s="2">
        <f t="shared" ca="1" si="190"/>
        <v>-1.614029402377854E-3</v>
      </c>
      <c r="AI359" s="2">
        <f t="shared" ca="1" si="191"/>
        <v>-1.4853760121635622E-5</v>
      </c>
      <c r="AJ359" s="2">
        <f t="shared" ca="1" si="192"/>
        <v>-1.1458026838550334E-3</v>
      </c>
      <c r="AK359" s="2">
        <f t="shared" ca="1" si="193"/>
        <v>-4.9053934342410677E-4</v>
      </c>
      <c r="AL359" s="2">
        <f t="shared" ca="1" si="194"/>
        <v>-5.5074395654535931E-3</v>
      </c>
      <c r="AN359" s="2" t="e">
        <f t="shared" ca="1" si="173"/>
        <v>#N/A</v>
      </c>
      <c r="AO359" s="2" t="e">
        <f t="shared" ca="1" si="174"/>
        <v>#N/A</v>
      </c>
      <c r="AP359" s="2" t="e">
        <f t="shared" ca="1" si="175"/>
        <v>#N/A</v>
      </c>
      <c r="AQ359" s="2" t="e">
        <f t="shared" ca="1" si="176"/>
        <v>#N/A</v>
      </c>
      <c r="AR359" s="2" t="e">
        <f t="shared" ca="1" si="177"/>
        <v>#N/A</v>
      </c>
      <c r="AS359" s="2" t="e">
        <f t="shared" ca="1" si="178"/>
        <v>#N/A</v>
      </c>
      <c r="AT359" s="9" t="e">
        <f t="shared" ca="1" si="179"/>
        <v>#N/A</v>
      </c>
      <c r="AU359" s="9" t="e">
        <f t="shared" ca="1" si="180"/>
        <v>#N/A</v>
      </c>
      <c r="AW359" s="2" t="e">
        <f t="shared" ca="1" si="202"/>
        <v>#N/A</v>
      </c>
      <c r="AX359" s="2" t="e">
        <f t="shared" ca="1" si="203"/>
        <v>#N/A</v>
      </c>
      <c r="AY359" s="2" t="e">
        <f t="shared" ca="1" si="204"/>
        <v>#N/A</v>
      </c>
      <c r="AZ359" s="2" t="e">
        <f t="shared" ca="1" si="205"/>
        <v>#N/A</v>
      </c>
      <c r="BA359" s="2" t="e">
        <f t="shared" ca="1" si="206"/>
        <v>#N/A</v>
      </c>
      <c r="BB359" s="2" t="e">
        <f t="shared" ca="1" si="207"/>
        <v>#N/A</v>
      </c>
      <c r="BC359" s="9" t="e">
        <f t="shared" ca="1" si="208"/>
        <v>#N/A</v>
      </c>
      <c r="BD359" s="9" t="e">
        <f t="shared" ca="1" si="209"/>
        <v>#N/A</v>
      </c>
    </row>
    <row r="360" spans="1:56" ht="15" x14ac:dyDescent="0.25">
      <c r="A360" s="63"/>
      <c r="B360" s="63"/>
      <c r="C360" s="64"/>
      <c r="D360" s="64"/>
      <c r="E360" s="64"/>
      <c r="F360" s="64"/>
      <c r="G360" s="64"/>
      <c r="H360" s="64"/>
      <c r="I360" s="64"/>
      <c r="J360" s="64"/>
      <c r="K360" s="64"/>
      <c r="L360" s="64"/>
      <c r="M360" s="64"/>
      <c r="O360" s="11">
        <f t="shared" ca="1" si="195"/>
        <v>-3.9378682616450625E-4</v>
      </c>
      <c r="P360" s="11">
        <f t="shared" ca="1" si="196"/>
        <v>-1.6358405771021967E-4</v>
      </c>
      <c r="Q360" s="11">
        <f t="shared" ca="1" si="197"/>
        <v>-1.614029402377854E-3</v>
      </c>
      <c r="R360" s="11">
        <f t="shared" ca="1" si="198"/>
        <v>-1.4853760121635622E-5</v>
      </c>
      <c r="S360" s="11">
        <f t="shared" ca="1" si="199"/>
        <v>-1.1458026838550334E-3</v>
      </c>
      <c r="T360" s="11">
        <f t="shared" ca="1" si="200"/>
        <v>-4.9053934342410677E-4</v>
      </c>
      <c r="U360" s="11">
        <f t="shared" ca="1" si="201"/>
        <v>-5.5074395654535931E-3</v>
      </c>
      <c r="V360" s="11"/>
      <c r="W360" s="11">
        <f t="shared" ca="1" si="181"/>
        <v>0</v>
      </c>
      <c r="X360" s="2">
        <f t="shared" ca="1" si="182"/>
        <v>-1.6358405771021967E-4</v>
      </c>
      <c r="Y360" s="2">
        <f t="shared" ca="1" si="183"/>
        <v>-1.614029402377854E-3</v>
      </c>
      <c r="Z360" s="11">
        <f t="shared" ca="1" si="184"/>
        <v>-1.4853760121635622E-5</v>
      </c>
      <c r="AA360" s="2">
        <f t="shared" ca="1" si="185"/>
        <v>-1.1458026838550334E-3</v>
      </c>
      <c r="AB360" s="11">
        <f t="shared" ca="1" si="186"/>
        <v>-4.9053934342410677E-4</v>
      </c>
      <c r="AC360" s="2">
        <f t="shared" ca="1" si="187"/>
        <v>-5.5074395654535931E-3</v>
      </c>
      <c r="AF360" s="11">
        <f t="shared" ca="1" si="188"/>
        <v>0</v>
      </c>
      <c r="AG360" s="2">
        <f t="shared" ca="1" si="189"/>
        <v>-1.6358405771021967E-4</v>
      </c>
      <c r="AH360" s="2">
        <f t="shared" ca="1" si="190"/>
        <v>-1.614029402377854E-3</v>
      </c>
      <c r="AI360" s="2">
        <f t="shared" ca="1" si="191"/>
        <v>-1.4853760121635622E-5</v>
      </c>
      <c r="AJ360" s="2">
        <f t="shared" ca="1" si="192"/>
        <v>-1.1458026838550334E-3</v>
      </c>
      <c r="AK360" s="2">
        <f t="shared" ca="1" si="193"/>
        <v>-4.9053934342410677E-4</v>
      </c>
      <c r="AL360" s="2">
        <f t="shared" ca="1" si="194"/>
        <v>-5.5074395654535931E-3</v>
      </c>
      <c r="AN360" s="2" t="e">
        <f t="shared" ca="1" si="173"/>
        <v>#N/A</v>
      </c>
      <c r="AO360" s="2" t="e">
        <f t="shared" ca="1" si="174"/>
        <v>#N/A</v>
      </c>
      <c r="AP360" s="2" t="e">
        <f t="shared" ca="1" si="175"/>
        <v>#N/A</v>
      </c>
      <c r="AQ360" s="2" t="e">
        <f t="shared" ca="1" si="176"/>
        <v>#N/A</v>
      </c>
      <c r="AR360" s="2" t="e">
        <f t="shared" ca="1" si="177"/>
        <v>#N/A</v>
      </c>
      <c r="AS360" s="2" t="e">
        <f t="shared" ca="1" si="178"/>
        <v>#N/A</v>
      </c>
      <c r="AT360" s="9" t="e">
        <f t="shared" ca="1" si="179"/>
        <v>#N/A</v>
      </c>
      <c r="AU360" s="9" t="e">
        <f t="shared" ca="1" si="180"/>
        <v>#N/A</v>
      </c>
      <c r="AW360" s="2" t="e">
        <f t="shared" ca="1" si="202"/>
        <v>#N/A</v>
      </c>
      <c r="AX360" s="2" t="e">
        <f t="shared" ca="1" si="203"/>
        <v>#N/A</v>
      </c>
      <c r="AY360" s="2" t="e">
        <f t="shared" ca="1" si="204"/>
        <v>#N/A</v>
      </c>
      <c r="AZ360" s="2" t="e">
        <f t="shared" ca="1" si="205"/>
        <v>#N/A</v>
      </c>
      <c r="BA360" s="2" t="e">
        <f t="shared" ca="1" si="206"/>
        <v>#N/A</v>
      </c>
      <c r="BB360" s="2" t="e">
        <f t="shared" ca="1" si="207"/>
        <v>#N/A</v>
      </c>
      <c r="BC360" s="9" t="e">
        <f t="shared" ca="1" si="208"/>
        <v>#N/A</v>
      </c>
      <c r="BD360" s="9" t="e">
        <f t="shared" ca="1" si="209"/>
        <v>#N/A</v>
      </c>
    </row>
    <row r="361" spans="1:56" ht="15" x14ac:dyDescent="0.25">
      <c r="A361" s="63"/>
      <c r="B361" s="63"/>
      <c r="C361" s="64"/>
      <c r="D361" s="64"/>
      <c r="E361" s="64"/>
      <c r="F361" s="64"/>
      <c r="G361" s="64"/>
      <c r="H361" s="64"/>
      <c r="I361" s="64"/>
      <c r="J361" s="64"/>
      <c r="K361" s="64"/>
      <c r="L361" s="64"/>
      <c r="M361" s="64"/>
      <c r="O361" s="11">
        <f t="shared" ca="1" si="195"/>
        <v>-3.9378682616450625E-4</v>
      </c>
      <c r="P361" s="11">
        <f t="shared" ca="1" si="196"/>
        <v>-1.6358405771021967E-4</v>
      </c>
      <c r="Q361" s="11">
        <f t="shared" ca="1" si="197"/>
        <v>-1.614029402377854E-3</v>
      </c>
      <c r="R361" s="11">
        <f t="shared" ca="1" si="198"/>
        <v>-1.4853760121635622E-5</v>
      </c>
      <c r="S361" s="11">
        <f t="shared" ca="1" si="199"/>
        <v>-1.1458026838550334E-3</v>
      </c>
      <c r="T361" s="11">
        <f t="shared" ca="1" si="200"/>
        <v>-4.9053934342410677E-4</v>
      </c>
      <c r="U361" s="11">
        <f t="shared" ca="1" si="201"/>
        <v>-5.5074395654535931E-3</v>
      </c>
      <c r="V361" s="11"/>
      <c r="W361" s="11">
        <f t="shared" ca="1" si="181"/>
        <v>0</v>
      </c>
      <c r="X361" s="2">
        <f t="shared" ca="1" si="182"/>
        <v>-1.6358405771021967E-4</v>
      </c>
      <c r="Y361" s="2">
        <f t="shared" ca="1" si="183"/>
        <v>-1.614029402377854E-3</v>
      </c>
      <c r="Z361" s="11">
        <f t="shared" ca="1" si="184"/>
        <v>-1.4853760121635622E-5</v>
      </c>
      <c r="AA361" s="2">
        <f t="shared" ca="1" si="185"/>
        <v>-1.1458026838550334E-3</v>
      </c>
      <c r="AB361" s="11">
        <f t="shared" ca="1" si="186"/>
        <v>-4.9053934342410677E-4</v>
      </c>
      <c r="AC361" s="2">
        <f t="shared" ca="1" si="187"/>
        <v>-5.5074395654535931E-3</v>
      </c>
      <c r="AF361" s="11">
        <f t="shared" ca="1" si="188"/>
        <v>0</v>
      </c>
      <c r="AG361" s="2">
        <f t="shared" ca="1" si="189"/>
        <v>-1.6358405771021967E-4</v>
      </c>
      <c r="AH361" s="2">
        <f t="shared" ca="1" si="190"/>
        <v>-1.614029402377854E-3</v>
      </c>
      <c r="AI361" s="2">
        <f t="shared" ca="1" si="191"/>
        <v>-1.4853760121635622E-5</v>
      </c>
      <c r="AJ361" s="2">
        <f t="shared" ca="1" si="192"/>
        <v>-1.1458026838550334E-3</v>
      </c>
      <c r="AK361" s="2">
        <f t="shared" ca="1" si="193"/>
        <v>-4.9053934342410677E-4</v>
      </c>
      <c r="AL361" s="2">
        <f t="shared" ca="1" si="194"/>
        <v>-5.5074395654535931E-3</v>
      </c>
      <c r="AN361" s="2" t="e">
        <f t="shared" ca="1" si="173"/>
        <v>#N/A</v>
      </c>
      <c r="AO361" s="2" t="e">
        <f t="shared" ca="1" si="174"/>
        <v>#N/A</v>
      </c>
      <c r="AP361" s="2" t="e">
        <f t="shared" ca="1" si="175"/>
        <v>#N/A</v>
      </c>
      <c r="AQ361" s="2" t="e">
        <f t="shared" ca="1" si="176"/>
        <v>#N/A</v>
      </c>
      <c r="AR361" s="2" t="e">
        <f t="shared" ca="1" si="177"/>
        <v>#N/A</v>
      </c>
      <c r="AS361" s="2" t="e">
        <f t="shared" ca="1" si="178"/>
        <v>#N/A</v>
      </c>
      <c r="AT361" s="9" t="e">
        <f t="shared" ca="1" si="179"/>
        <v>#N/A</v>
      </c>
      <c r="AU361" s="9" t="e">
        <f t="shared" ca="1" si="180"/>
        <v>#N/A</v>
      </c>
      <c r="AW361" s="2" t="e">
        <f t="shared" ca="1" si="202"/>
        <v>#N/A</v>
      </c>
      <c r="AX361" s="2" t="e">
        <f t="shared" ca="1" si="203"/>
        <v>#N/A</v>
      </c>
      <c r="AY361" s="2" t="e">
        <f t="shared" ca="1" si="204"/>
        <v>#N/A</v>
      </c>
      <c r="AZ361" s="2" t="e">
        <f t="shared" ca="1" si="205"/>
        <v>#N/A</v>
      </c>
      <c r="BA361" s="2" t="e">
        <f t="shared" ca="1" si="206"/>
        <v>#N/A</v>
      </c>
      <c r="BB361" s="2" t="e">
        <f t="shared" ca="1" si="207"/>
        <v>#N/A</v>
      </c>
      <c r="BC361" s="9" t="e">
        <f t="shared" ca="1" si="208"/>
        <v>#N/A</v>
      </c>
      <c r="BD361" s="9" t="e">
        <f t="shared" ca="1" si="209"/>
        <v>#N/A</v>
      </c>
    </row>
    <row r="362" spans="1:56" ht="15" x14ac:dyDescent="0.25">
      <c r="A362" s="63"/>
      <c r="B362" s="63"/>
      <c r="C362" s="64"/>
      <c r="D362" s="64"/>
      <c r="E362" s="64"/>
      <c r="F362" s="64"/>
      <c r="G362" s="64"/>
      <c r="H362" s="64"/>
      <c r="I362" s="64"/>
      <c r="J362" s="64"/>
      <c r="K362" s="64"/>
      <c r="L362" s="64"/>
      <c r="M362" s="64"/>
      <c r="O362" s="11">
        <f t="shared" ca="1" si="195"/>
        <v>-3.9378682616450625E-4</v>
      </c>
      <c r="P362" s="11">
        <f t="shared" ca="1" si="196"/>
        <v>-1.6358405771021967E-4</v>
      </c>
      <c r="Q362" s="11">
        <f t="shared" ca="1" si="197"/>
        <v>-1.614029402377854E-3</v>
      </c>
      <c r="R362" s="11">
        <f t="shared" ca="1" si="198"/>
        <v>-1.4853760121635622E-5</v>
      </c>
      <c r="S362" s="11">
        <f t="shared" ca="1" si="199"/>
        <v>-1.1458026838550334E-3</v>
      </c>
      <c r="T362" s="11">
        <f t="shared" ca="1" si="200"/>
        <v>-4.9053934342410677E-4</v>
      </c>
      <c r="U362" s="11">
        <f t="shared" ca="1" si="201"/>
        <v>-5.5074395654535931E-3</v>
      </c>
      <c r="V362" s="11"/>
      <c r="W362" s="11">
        <f t="shared" ca="1" si="181"/>
        <v>0</v>
      </c>
      <c r="X362" s="2">
        <f t="shared" ca="1" si="182"/>
        <v>-1.6358405771021967E-4</v>
      </c>
      <c r="Y362" s="2">
        <f t="shared" ca="1" si="183"/>
        <v>-1.614029402377854E-3</v>
      </c>
      <c r="Z362" s="11">
        <f t="shared" ca="1" si="184"/>
        <v>-1.4853760121635622E-5</v>
      </c>
      <c r="AA362" s="2">
        <f t="shared" ca="1" si="185"/>
        <v>-1.1458026838550334E-3</v>
      </c>
      <c r="AB362" s="11">
        <f t="shared" ca="1" si="186"/>
        <v>-4.9053934342410677E-4</v>
      </c>
      <c r="AC362" s="2">
        <f t="shared" ca="1" si="187"/>
        <v>-5.5074395654535931E-3</v>
      </c>
      <c r="AF362" s="11">
        <f t="shared" ca="1" si="188"/>
        <v>0</v>
      </c>
      <c r="AG362" s="2">
        <f t="shared" ca="1" si="189"/>
        <v>-1.6358405771021967E-4</v>
      </c>
      <c r="AH362" s="2">
        <f t="shared" ca="1" si="190"/>
        <v>-1.614029402377854E-3</v>
      </c>
      <c r="AI362" s="2">
        <f t="shared" ca="1" si="191"/>
        <v>-1.4853760121635622E-5</v>
      </c>
      <c r="AJ362" s="2">
        <f t="shared" ca="1" si="192"/>
        <v>-1.1458026838550334E-3</v>
      </c>
      <c r="AK362" s="2">
        <f t="shared" ca="1" si="193"/>
        <v>-4.9053934342410677E-4</v>
      </c>
      <c r="AL362" s="2">
        <f t="shared" ca="1" si="194"/>
        <v>-5.5074395654535931E-3</v>
      </c>
      <c r="AN362" s="2" t="e">
        <f t="shared" ca="1" si="173"/>
        <v>#N/A</v>
      </c>
      <c r="AO362" s="2" t="e">
        <f t="shared" ca="1" si="174"/>
        <v>#N/A</v>
      </c>
      <c r="AP362" s="2" t="e">
        <f t="shared" ca="1" si="175"/>
        <v>#N/A</v>
      </c>
      <c r="AQ362" s="2" t="e">
        <f t="shared" ca="1" si="176"/>
        <v>#N/A</v>
      </c>
      <c r="AR362" s="2" t="e">
        <f t="shared" ca="1" si="177"/>
        <v>#N/A</v>
      </c>
      <c r="AS362" s="2" t="e">
        <f t="shared" ca="1" si="178"/>
        <v>#N/A</v>
      </c>
      <c r="AT362" s="9" t="e">
        <f t="shared" ca="1" si="179"/>
        <v>#N/A</v>
      </c>
      <c r="AU362" s="9" t="e">
        <f t="shared" ca="1" si="180"/>
        <v>#N/A</v>
      </c>
      <c r="AW362" s="2" t="e">
        <f t="shared" ca="1" si="202"/>
        <v>#N/A</v>
      </c>
      <c r="AX362" s="2" t="e">
        <f t="shared" ca="1" si="203"/>
        <v>#N/A</v>
      </c>
      <c r="AY362" s="2" t="e">
        <f t="shared" ca="1" si="204"/>
        <v>#N/A</v>
      </c>
      <c r="AZ362" s="2" t="e">
        <f t="shared" ca="1" si="205"/>
        <v>#N/A</v>
      </c>
      <c r="BA362" s="2" t="e">
        <f t="shared" ca="1" si="206"/>
        <v>#N/A</v>
      </c>
      <c r="BB362" s="2" t="e">
        <f t="shared" ca="1" si="207"/>
        <v>#N/A</v>
      </c>
      <c r="BC362" s="9" t="e">
        <f t="shared" ca="1" si="208"/>
        <v>#N/A</v>
      </c>
      <c r="BD362" s="9" t="e">
        <f t="shared" ca="1" si="209"/>
        <v>#N/A</v>
      </c>
    </row>
    <row r="363" spans="1:56" ht="15" x14ac:dyDescent="0.25">
      <c r="A363" s="63"/>
      <c r="B363" s="63"/>
      <c r="C363" s="64"/>
      <c r="D363" s="64"/>
      <c r="E363" s="64"/>
      <c r="F363" s="64"/>
      <c r="G363" s="64"/>
      <c r="H363" s="64"/>
      <c r="I363" s="64"/>
      <c r="J363" s="64"/>
      <c r="K363" s="64"/>
      <c r="L363" s="64"/>
      <c r="M363" s="64"/>
      <c r="O363" s="11">
        <f t="shared" ca="1" si="195"/>
        <v>-3.9378682616450625E-4</v>
      </c>
      <c r="P363" s="11">
        <f t="shared" ca="1" si="196"/>
        <v>-1.6358405771021967E-4</v>
      </c>
      <c r="Q363" s="11">
        <f t="shared" ca="1" si="197"/>
        <v>-1.614029402377854E-3</v>
      </c>
      <c r="R363" s="11">
        <f t="shared" ca="1" si="198"/>
        <v>-1.4853760121635622E-5</v>
      </c>
      <c r="S363" s="11">
        <f t="shared" ca="1" si="199"/>
        <v>-1.1458026838550334E-3</v>
      </c>
      <c r="T363" s="11">
        <f t="shared" ca="1" si="200"/>
        <v>-4.9053934342410677E-4</v>
      </c>
      <c r="U363" s="11">
        <f t="shared" ca="1" si="201"/>
        <v>-5.5074395654535931E-3</v>
      </c>
      <c r="V363" s="11"/>
      <c r="W363" s="11">
        <f t="shared" ca="1" si="181"/>
        <v>0</v>
      </c>
      <c r="X363" s="2">
        <f t="shared" ca="1" si="182"/>
        <v>-1.6358405771021967E-4</v>
      </c>
      <c r="Y363" s="2">
        <f t="shared" ca="1" si="183"/>
        <v>-1.614029402377854E-3</v>
      </c>
      <c r="Z363" s="11">
        <f t="shared" ca="1" si="184"/>
        <v>-1.4853760121635622E-5</v>
      </c>
      <c r="AA363" s="2">
        <f t="shared" ca="1" si="185"/>
        <v>-1.1458026838550334E-3</v>
      </c>
      <c r="AB363" s="11">
        <f t="shared" ca="1" si="186"/>
        <v>-4.9053934342410677E-4</v>
      </c>
      <c r="AC363" s="2">
        <f t="shared" ca="1" si="187"/>
        <v>-5.5074395654535931E-3</v>
      </c>
      <c r="AF363" s="11">
        <f t="shared" ca="1" si="188"/>
        <v>0</v>
      </c>
      <c r="AG363" s="2">
        <f t="shared" ca="1" si="189"/>
        <v>-1.6358405771021967E-4</v>
      </c>
      <c r="AH363" s="2">
        <f t="shared" ca="1" si="190"/>
        <v>-1.614029402377854E-3</v>
      </c>
      <c r="AI363" s="2">
        <f t="shared" ca="1" si="191"/>
        <v>-1.4853760121635622E-5</v>
      </c>
      <c r="AJ363" s="2">
        <f t="shared" ca="1" si="192"/>
        <v>-1.1458026838550334E-3</v>
      </c>
      <c r="AK363" s="2">
        <f t="shared" ca="1" si="193"/>
        <v>-4.9053934342410677E-4</v>
      </c>
      <c r="AL363" s="2">
        <f t="shared" ca="1" si="194"/>
        <v>-5.5074395654535931E-3</v>
      </c>
      <c r="AN363" s="2" t="e">
        <f t="shared" ca="1" si="173"/>
        <v>#N/A</v>
      </c>
      <c r="AO363" s="2" t="e">
        <f t="shared" ca="1" si="174"/>
        <v>#N/A</v>
      </c>
      <c r="AP363" s="2" t="e">
        <f t="shared" ca="1" si="175"/>
        <v>#N/A</v>
      </c>
      <c r="AQ363" s="2" t="e">
        <f t="shared" ca="1" si="176"/>
        <v>#N/A</v>
      </c>
      <c r="AR363" s="2" t="e">
        <f t="shared" ca="1" si="177"/>
        <v>#N/A</v>
      </c>
      <c r="AS363" s="2" t="e">
        <f t="shared" ca="1" si="178"/>
        <v>#N/A</v>
      </c>
      <c r="AT363" s="9" t="e">
        <f t="shared" ca="1" si="179"/>
        <v>#N/A</v>
      </c>
      <c r="AU363" s="9" t="e">
        <f t="shared" ca="1" si="180"/>
        <v>#N/A</v>
      </c>
      <c r="AW363" s="2" t="e">
        <f t="shared" ca="1" si="202"/>
        <v>#N/A</v>
      </c>
      <c r="AX363" s="2" t="e">
        <f t="shared" ca="1" si="203"/>
        <v>#N/A</v>
      </c>
      <c r="AY363" s="2" t="e">
        <f t="shared" ca="1" si="204"/>
        <v>#N/A</v>
      </c>
      <c r="AZ363" s="2" t="e">
        <f t="shared" ca="1" si="205"/>
        <v>#N/A</v>
      </c>
      <c r="BA363" s="2" t="e">
        <f t="shared" ca="1" si="206"/>
        <v>#N/A</v>
      </c>
      <c r="BB363" s="2" t="e">
        <f t="shared" ca="1" si="207"/>
        <v>#N/A</v>
      </c>
      <c r="BC363" s="9" t="e">
        <f t="shared" ca="1" si="208"/>
        <v>#N/A</v>
      </c>
      <c r="BD363" s="9" t="e">
        <f t="shared" ca="1" si="209"/>
        <v>#N/A</v>
      </c>
    </row>
    <row r="364" spans="1:56" ht="15" x14ac:dyDescent="0.25">
      <c r="A364" s="63"/>
      <c r="B364" s="63"/>
      <c r="C364" s="64"/>
      <c r="D364" s="64"/>
      <c r="E364" s="64"/>
      <c r="F364" s="64"/>
      <c r="G364" s="64"/>
      <c r="H364" s="64"/>
      <c r="I364" s="64"/>
      <c r="J364" s="64"/>
      <c r="K364" s="64"/>
      <c r="L364" s="64"/>
      <c r="M364" s="64"/>
      <c r="O364" s="11">
        <f t="shared" ca="1" si="195"/>
        <v>-3.9378682616450625E-4</v>
      </c>
      <c r="P364" s="11">
        <f t="shared" ca="1" si="196"/>
        <v>-1.6358405771021967E-4</v>
      </c>
      <c r="Q364" s="11">
        <f t="shared" ca="1" si="197"/>
        <v>-1.614029402377854E-3</v>
      </c>
      <c r="R364" s="11">
        <f t="shared" ca="1" si="198"/>
        <v>-1.4853760121635622E-5</v>
      </c>
      <c r="S364" s="11">
        <f t="shared" ca="1" si="199"/>
        <v>-1.1458026838550334E-3</v>
      </c>
      <c r="T364" s="11">
        <f t="shared" ca="1" si="200"/>
        <v>-4.9053934342410677E-4</v>
      </c>
      <c r="U364" s="11">
        <f t="shared" ca="1" si="201"/>
        <v>-5.5074395654535931E-3</v>
      </c>
      <c r="V364" s="11"/>
      <c r="W364" s="11">
        <f t="shared" ca="1" si="181"/>
        <v>0</v>
      </c>
      <c r="X364" s="2">
        <f t="shared" ca="1" si="182"/>
        <v>-1.6358405771021967E-4</v>
      </c>
      <c r="Y364" s="2">
        <f t="shared" ca="1" si="183"/>
        <v>-1.614029402377854E-3</v>
      </c>
      <c r="Z364" s="11">
        <f t="shared" ca="1" si="184"/>
        <v>-1.4853760121635622E-5</v>
      </c>
      <c r="AA364" s="2">
        <f t="shared" ca="1" si="185"/>
        <v>-1.1458026838550334E-3</v>
      </c>
      <c r="AB364" s="11">
        <f t="shared" ca="1" si="186"/>
        <v>-4.9053934342410677E-4</v>
      </c>
      <c r="AC364" s="2">
        <f t="shared" ca="1" si="187"/>
        <v>-5.5074395654535931E-3</v>
      </c>
      <c r="AF364" s="11">
        <f t="shared" ca="1" si="188"/>
        <v>0</v>
      </c>
      <c r="AG364" s="2">
        <f t="shared" ca="1" si="189"/>
        <v>-1.6358405771021967E-4</v>
      </c>
      <c r="AH364" s="2">
        <f t="shared" ca="1" si="190"/>
        <v>-1.614029402377854E-3</v>
      </c>
      <c r="AI364" s="2">
        <f t="shared" ca="1" si="191"/>
        <v>-1.4853760121635622E-5</v>
      </c>
      <c r="AJ364" s="2">
        <f t="shared" ca="1" si="192"/>
        <v>-1.1458026838550334E-3</v>
      </c>
      <c r="AK364" s="2">
        <f t="shared" ca="1" si="193"/>
        <v>-4.9053934342410677E-4</v>
      </c>
      <c r="AL364" s="2">
        <f t="shared" ca="1" si="194"/>
        <v>-5.5074395654535931E-3</v>
      </c>
      <c r="AN364" s="2" t="e">
        <f t="shared" ca="1" si="173"/>
        <v>#N/A</v>
      </c>
      <c r="AO364" s="2" t="e">
        <f t="shared" ca="1" si="174"/>
        <v>#N/A</v>
      </c>
      <c r="AP364" s="2" t="e">
        <f t="shared" ca="1" si="175"/>
        <v>#N/A</v>
      </c>
      <c r="AQ364" s="2" t="e">
        <f t="shared" ca="1" si="176"/>
        <v>#N/A</v>
      </c>
      <c r="AR364" s="2" t="e">
        <f t="shared" ca="1" si="177"/>
        <v>#N/A</v>
      </c>
      <c r="AS364" s="2" t="e">
        <f t="shared" ca="1" si="178"/>
        <v>#N/A</v>
      </c>
      <c r="AT364" s="9" t="e">
        <f t="shared" ca="1" si="179"/>
        <v>#N/A</v>
      </c>
      <c r="AU364" s="9" t="e">
        <f t="shared" ca="1" si="180"/>
        <v>#N/A</v>
      </c>
      <c r="AW364" s="2" t="e">
        <f t="shared" ca="1" si="202"/>
        <v>#N/A</v>
      </c>
      <c r="AX364" s="2" t="e">
        <f t="shared" ca="1" si="203"/>
        <v>#N/A</v>
      </c>
      <c r="AY364" s="2" t="e">
        <f t="shared" ca="1" si="204"/>
        <v>#N/A</v>
      </c>
      <c r="AZ364" s="2" t="e">
        <f t="shared" ca="1" si="205"/>
        <v>#N/A</v>
      </c>
      <c r="BA364" s="2" t="e">
        <f t="shared" ca="1" si="206"/>
        <v>#N/A</v>
      </c>
      <c r="BB364" s="2" t="e">
        <f t="shared" ca="1" si="207"/>
        <v>#N/A</v>
      </c>
      <c r="BC364" s="9" t="e">
        <f t="shared" ca="1" si="208"/>
        <v>#N/A</v>
      </c>
      <c r="BD364" s="9" t="e">
        <f t="shared" ca="1" si="209"/>
        <v>#N/A</v>
      </c>
    </row>
    <row r="365" spans="1:56" ht="15" x14ac:dyDescent="0.25">
      <c r="A365" s="63"/>
      <c r="B365" s="63"/>
      <c r="C365" s="64"/>
      <c r="D365" s="64"/>
      <c r="E365" s="64"/>
      <c r="F365" s="64"/>
      <c r="G365" s="64"/>
      <c r="H365" s="64"/>
      <c r="I365" s="64"/>
      <c r="J365" s="64"/>
      <c r="K365" s="64"/>
      <c r="L365" s="64"/>
      <c r="M365" s="64"/>
      <c r="O365" s="11">
        <f t="shared" ca="1" si="195"/>
        <v>-3.9378682616450625E-4</v>
      </c>
      <c r="P365" s="11">
        <f t="shared" ca="1" si="196"/>
        <v>-1.6358405771021967E-4</v>
      </c>
      <c r="Q365" s="11">
        <f t="shared" ca="1" si="197"/>
        <v>-1.614029402377854E-3</v>
      </c>
      <c r="R365" s="11">
        <f t="shared" ca="1" si="198"/>
        <v>-1.4853760121635622E-5</v>
      </c>
      <c r="S365" s="11">
        <f t="shared" ca="1" si="199"/>
        <v>-1.1458026838550334E-3</v>
      </c>
      <c r="T365" s="11">
        <f t="shared" ca="1" si="200"/>
        <v>-4.9053934342410677E-4</v>
      </c>
      <c r="U365" s="11">
        <f t="shared" ca="1" si="201"/>
        <v>-5.5074395654535931E-3</v>
      </c>
      <c r="V365" s="11"/>
      <c r="W365" s="11">
        <f t="shared" ca="1" si="181"/>
        <v>0</v>
      </c>
      <c r="X365" s="2">
        <f t="shared" ca="1" si="182"/>
        <v>-1.6358405771021967E-4</v>
      </c>
      <c r="Y365" s="2">
        <f t="shared" ca="1" si="183"/>
        <v>-1.614029402377854E-3</v>
      </c>
      <c r="Z365" s="11">
        <f t="shared" ca="1" si="184"/>
        <v>-1.4853760121635622E-5</v>
      </c>
      <c r="AA365" s="2">
        <f t="shared" ca="1" si="185"/>
        <v>-1.1458026838550334E-3</v>
      </c>
      <c r="AB365" s="11">
        <f t="shared" ca="1" si="186"/>
        <v>-4.9053934342410677E-4</v>
      </c>
      <c r="AC365" s="2">
        <f t="shared" ca="1" si="187"/>
        <v>-5.5074395654535931E-3</v>
      </c>
      <c r="AF365" s="11">
        <f t="shared" ca="1" si="188"/>
        <v>0</v>
      </c>
      <c r="AG365" s="2">
        <f t="shared" ca="1" si="189"/>
        <v>-1.6358405771021967E-4</v>
      </c>
      <c r="AH365" s="2">
        <f t="shared" ca="1" si="190"/>
        <v>-1.614029402377854E-3</v>
      </c>
      <c r="AI365" s="2">
        <f t="shared" ca="1" si="191"/>
        <v>-1.4853760121635622E-5</v>
      </c>
      <c r="AJ365" s="2">
        <f t="shared" ca="1" si="192"/>
        <v>-1.1458026838550334E-3</v>
      </c>
      <c r="AK365" s="2">
        <f t="shared" ca="1" si="193"/>
        <v>-4.9053934342410677E-4</v>
      </c>
      <c r="AL365" s="2">
        <f t="shared" ca="1" si="194"/>
        <v>-5.5074395654535931E-3</v>
      </c>
      <c r="AN365" s="2" t="e">
        <f t="shared" ca="1" si="173"/>
        <v>#N/A</v>
      </c>
      <c r="AO365" s="2" t="e">
        <f t="shared" ca="1" si="174"/>
        <v>#N/A</v>
      </c>
      <c r="AP365" s="2" t="e">
        <f t="shared" ca="1" si="175"/>
        <v>#N/A</v>
      </c>
      <c r="AQ365" s="2" t="e">
        <f t="shared" ca="1" si="176"/>
        <v>#N/A</v>
      </c>
      <c r="AR365" s="2" t="e">
        <f t="shared" ca="1" si="177"/>
        <v>#N/A</v>
      </c>
      <c r="AS365" s="2" t="e">
        <f t="shared" ca="1" si="178"/>
        <v>#N/A</v>
      </c>
      <c r="AT365" s="9" t="e">
        <f t="shared" ca="1" si="179"/>
        <v>#N/A</v>
      </c>
      <c r="AU365" s="9" t="e">
        <f t="shared" ca="1" si="180"/>
        <v>#N/A</v>
      </c>
      <c r="AW365" s="2" t="e">
        <f t="shared" ca="1" si="202"/>
        <v>#N/A</v>
      </c>
      <c r="AX365" s="2" t="e">
        <f t="shared" ca="1" si="203"/>
        <v>#N/A</v>
      </c>
      <c r="AY365" s="2" t="e">
        <f t="shared" ca="1" si="204"/>
        <v>#N/A</v>
      </c>
      <c r="AZ365" s="2" t="e">
        <f t="shared" ca="1" si="205"/>
        <v>#N/A</v>
      </c>
      <c r="BA365" s="2" t="e">
        <f t="shared" ca="1" si="206"/>
        <v>#N/A</v>
      </c>
      <c r="BB365" s="2" t="e">
        <f t="shared" ca="1" si="207"/>
        <v>#N/A</v>
      </c>
      <c r="BC365" s="9" t="e">
        <f t="shared" ca="1" si="208"/>
        <v>#N/A</v>
      </c>
      <c r="BD365" s="9" t="e">
        <f t="shared" ca="1" si="209"/>
        <v>#N/A</v>
      </c>
    </row>
    <row r="366" spans="1:56" ht="15" x14ac:dyDescent="0.25">
      <c r="A366" s="63"/>
      <c r="B366" s="63"/>
      <c r="C366" s="64"/>
      <c r="D366" s="64"/>
      <c r="E366" s="64"/>
      <c r="F366" s="64"/>
      <c r="G366" s="64"/>
      <c r="H366" s="64"/>
      <c r="I366" s="64"/>
      <c r="J366" s="64"/>
      <c r="K366" s="64"/>
      <c r="L366" s="64"/>
      <c r="M366" s="64"/>
      <c r="O366" s="11">
        <f t="shared" ca="1" si="195"/>
        <v>-3.9378682616450625E-4</v>
      </c>
      <c r="P366" s="11">
        <f t="shared" ca="1" si="196"/>
        <v>-1.6358405771021967E-4</v>
      </c>
      <c r="Q366" s="11">
        <f t="shared" ca="1" si="197"/>
        <v>-1.614029402377854E-3</v>
      </c>
      <c r="R366" s="11">
        <f t="shared" ca="1" si="198"/>
        <v>-1.4853760121635622E-5</v>
      </c>
      <c r="S366" s="11">
        <f t="shared" ca="1" si="199"/>
        <v>-1.1458026838550334E-3</v>
      </c>
      <c r="T366" s="11">
        <f t="shared" ca="1" si="200"/>
        <v>-4.9053934342410677E-4</v>
      </c>
      <c r="U366" s="11">
        <f t="shared" ca="1" si="201"/>
        <v>-5.5074395654535931E-3</v>
      </c>
      <c r="V366" s="11"/>
      <c r="W366" s="11">
        <f t="shared" ca="1" si="181"/>
        <v>0</v>
      </c>
      <c r="X366" s="2">
        <f t="shared" ca="1" si="182"/>
        <v>-1.6358405771021967E-4</v>
      </c>
      <c r="Y366" s="2">
        <f t="shared" ca="1" si="183"/>
        <v>-1.614029402377854E-3</v>
      </c>
      <c r="Z366" s="11">
        <f t="shared" ca="1" si="184"/>
        <v>-1.4853760121635622E-5</v>
      </c>
      <c r="AA366" s="2">
        <f t="shared" ca="1" si="185"/>
        <v>-1.1458026838550334E-3</v>
      </c>
      <c r="AB366" s="11">
        <f t="shared" ca="1" si="186"/>
        <v>-4.9053934342410677E-4</v>
      </c>
      <c r="AC366" s="2">
        <f t="shared" ca="1" si="187"/>
        <v>-5.5074395654535931E-3</v>
      </c>
      <c r="AF366" s="11">
        <f t="shared" ca="1" si="188"/>
        <v>0</v>
      </c>
      <c r="AG366" s="2">
        <f t="shared" ca="1" si="189"/>
        <v>-1.6358405771021967E-4</v>
      </c>
      <c r="AH366" s="2">
        <f t="shared" ca="1" si="190"/>
        <v>-1.614029402377854E-3</v>
      </c>
      <c r="AI366" s="2">
        <f t="shared" ca="1" si="191"/>
        <v>-1.4853760121635622E-5</v>
      </c>
      <c r="AJ366" s="2">
        <f t="shared" ca="1" si="192"/>
        <v>-1.1458026838550334E-3</v>
      </c>
      <c r="AK366" s="2">
        <f t="shared" ca="1" si="193"/>
        <v>-4.9053934342410677E-4</v>
      </c>
      <c r="AL366" s="2">
        <f t="shared" ca="1" si="194"/>
        <v>-5.5074395654535931E-3</v>
      </c>
      <c r="AN366" s="2" t="e">
        <f t="shared" ca="1" si="173"/>
        <v>#N/A</v>
      </c>
      <c r="AO366" s="2" t="e">
        <f t="shared" ca="1" si="174"/>
        <v>#N/A</v>
      </c>
      <c r="AP366" s="2" t="e">
        <f t="shared" ca="1" si="175"/>
        <v>#N/A</v>
      </c>
      <c r="AQ366" s="2" t="e">
        <f t="shared" ca="1" si="176"/>
        <v>#N/A</v>
      </c>
      <c r="AR366" s="2" t="e">
        <f t="shared" ca="1" si="177"/>
        <v>#N/A</v>
      </c>
      <c r="AS366" s="2" t="e">
        <f t="shared" ca="1" si="178"/>
        <v>#N/A</v>
      </c>
      <c r="AT366" s="9" t="e">
        <f t="shared" ca="1" si="179"/>
        <v>#N/A</v>
      </c>
      <c r="AU366" s="9" t="e">
        <f t="shared" ca="1" si="180"/>
        <v>#N/A</v>
      </c>
      <c r="AW366" s="2" t="e">
        <f t="shared" ca="1" si="202"/>
        <v>#N/A</v>
      </c>
      <c r="AX366" s="2" t="e">
        <f t="shared" ca="1" si="203"/>
        <v>#N/A</v>
      </c>
      <c r="AY366" s="2" t="e">
        <f t="shared" ca="1" si="204"/>
        <v>#N/A</v>
      </c>
      <c r="AZ366" s="2" t="e">
        <f t="shared" ca="1" si="205"/>
        <v>#N/A</v>
      </c>
      <c r="BA366" s="2" t="e">
        <f t="shared" ca="1" si="206"/>
        <v>#N/A</v>
      </c>
      <c r="BB366" s="2" t="e">
        <f t="shared" ca="1" si="207"/>
        <v>#N/A</v>
      </c>
      <c r="BC366" s="9" t="e">
        <f t="shared" ca="1" si="208"/>
        <v>#N/A</v>
      </c>
      <c r="BD366" s="9" t="e">
        <f t="shared" ca="1" si="209"/>
        <v>#N/A</v>
      </c>
    </row>
    <row r="367" spans="1:56" ht="15" x14ac:dyDescent="0.25">
      <c r="A367" s="63"/>
      <c r="B367" s="63"/>
      <c r="C367" s="64"/>
      <c r="D367" s="64"/>
      <c r="E367" s="64"/>
      <c r="F367" s="64"/>
      <c r="G367" s="64"/>
      <c r="H367" s="64"/>
      <c r="I367" s="64"/>
      <c r="J367" s="64"/>
      <c r="K367" s="64"/>
      <c r="L367" s="64"/>
      <c r="M367" s="64"/>
      <c r="O367" s="11">
        <f t="shared" ca="1" si="195"/>
        <v>-3.9378682616450625E-4</v>
      </c>
      <c r="P367" s="11">
        <f t="shared" ca="1" si="196"/>
        <v>-1.6358405771021967E-4</v>
      </c>
      <c r="Q367" s="11">
        <f t="shared" ca="1" si="197"/>
        <v>-1.614029402377854E-3</v>
      </c>
      <c r="R367" s="11">
        <f t="shared" ca="1" si="198"/>
        <v>-1.4853760121635622E-5</v>
      </c>
      <c r="S367" s="11">
        <f t="shared" ca="1" si="199"/>
        <v>-1.1458026838550334E-3</v>
      </c>
      <c r="T367" s="11">
        <f t="shared" ca="1" si="200"/>
        <v>-4.9053934342410677E-4</v>
      </c>
      <c r="U367" s="11">
        <f t="shared" ca="1" si="201"/>
        <v>-5.5074395654535931E-3</v>
      </c>
      <c r="V367" s="11"/>
      <c r="W367" s="11">
        <f t="shared" ca="1" si="181"/>
        <v>0</v>
      </c>
      <c r="X367" s="2">
        <f t="shared" ca="1" si="182"/>
        <v>-1.6358405771021967E-4</v>
      </c>
      <c r="Y367" s="2">
        <f t="shared" ca="1" si="183"/>
        <v>-1.614029402377854E-3</v>
      </c>
      <c r="Z367" s="11">
        <f t="shared" ca="1" si="184"/>
        <v>-1.4853760121635622E-5</v>
      </c>
      <c r="AA367" s="2">
        <f t="shared" ca="1" si="185"/>
        <v>-1.1458026838550334E-3</v>
      </c>
      <c r="AB367" s="11">
        <f t="shared" ca="1" si="186"/>
        <v>-4.9053934342410677E-4</v>
      </c>
      <c r="AC367" s="2">
        <f t="shared" ca="1" si="187"/>
        <v>-5.5074395654535931E-3</v>
      </c>
      <c r="AF367" s="11">
        <f t="shared" ca="1" si="188"/>
        <v>0</v>
      </c>
      <c r="AG367" s="2">
        <f t="shared" ca="1" si="189"/>
        <v>-1.6358405771021967E-4</v>
      </c>
      <c r="AH367" s="2">
        <f t="shared" ca="1" si="190"/>
        <v>-1.614029402377854E-3</v>
      </c>
      <c r="AI367" s="2">
        <f t="shared" ca="1" si="191"/>
        <v>-1.4853760121635622E-5</v>
      </c>
      <c r="AJ367" s="2">
        <f t="shared" ca="1" si="192"/>
        <v>-1.1458026838550334E-3</v>
      </c>
      <c r="AK367" s="2">
        <f t="shared" ca="1" si="193"/>
        <v>-4.9053934342410677E-4</v>
      </c>
      <c r="AL367" s="2">
        <f t="shared" ca="1" si="194"/>
        <v>-5.5074395654535931E-3</v>
      </c>
      <c r="AN367" s="2" t="e">
        <f t="shared" ca="1" si="173"/>
        <v>#N/A</v>
      </c>
      <c r="AO367" s="2" t="e">
        <f t="shared" ca="1" si="174"/>
        <v>#N/A</v>
      </c>
      <c r="AP367" s="2" t="e">
        <f t="shared" ca="1" si="175"/>
        <v>#N/A</v>
      </c>
      <c r="AQ367" s="2" t="e">
        <f t="shared" ca="1" si="176"/>
        <v>#N/A</v>
      </c>
      <c r="AR367" s="2" t="e">
        <f t="shared" ca="1" si="177"/>
        <v>#N/A</v>
      </c>
      <c r="AS367" s="2" t="e">
        <f t="shared" ca="1" si="178"/>
        <v>#N/A</v>
      </c>
      <c r="AT367" s="9" t="e">
        <f t="shared" ca="1" si="179"/>
        <v>#N/A</v>
      </c>
      <c r="AU367" s="9" t="e">
        <f t="shared" ca="1" si="180"/>
        <v>#N/A</v>
      </c>
      <c r="AW367" s="2" t="e">
        <f t="shared" ca="1" si="202"/>
        <v>#N/A</v>
      </c>
      <c r="AX367" s="2" t="e">
        <f t="shared" ca="1" si="203"/>
        <v>#N/A</v>
      </c>
      <c r="AY367" s="2" t="e">
        <f t="shared" ca="1" si="204"/>
        <v>#N/A</v>
      </c>
      <c r="AZ367" s="2" t="e">
        <f t="shared" ca="1" si="205"/>
        <v>#N/A</v>
      </c>
      <c r="BA367" s="2" t="e">
        <f t="shared" ca="1" si="206"/>
        <v>#N/A</v>
      </c>
      <c r="BB367" s="2" t="e">
        <f t="shared" ca="1" si="207"/>
        <v>#N/A</v>
      </c>
      <c r="BC367" s="9" t="e">
        <f t="shared" ca="1" si="208"/>
        <v>#N/A</v>
      </c>
      <c r="BD367" s="9" t="e">
        <f t="shared" ca="1" si="209"/>
        <v>#N/A</v>
      </c>
    </row>
    <row r="368" spans="1:56" ht="15" x14ac:dyDescent="0.25">
      <c r="A368" s="63"/>
      <c r="B368" s="63"/>
      <c r="C368" s="64"/>
      <c r="D368" s="64"/>
      <c r="E368" s="64"/>
      <c r="F368" s="64"/>
      <c r="G368" s="64"/>
      <c r="H368" s="64"/>
      <c r="I368" s="64"/>
      <c r="J368" s="64"/>
      <c r="K368" s="64"/>
      <c r="L368" s="64"/>
      <c r="M368" s="64"/>
      <c r="O368" s="11">
        <f t="shared" ca="1" si="195"/>
        <v>-3.9378682616450625E-4</v>
      </c>
      <c r="P368" s="11">
        <f t="shared" ca="1" si="196"/>
        <v>-1.6358405771021967E-4</v>
      </c>
      <c r="Q368" s="11">
        <f t="shared" ca="1" si="197"/>
        <v>-1.614029402377854E-3</v>
      </c>
      <c r="R368" s="11">
        <f t="shared" ca="1" si="198"/>
        <v>-1.4853760121635622E-5</v>
      </c>
      <c r="S368" s="11">
        <f t="shared" ca="1" si="199"/>
        <v>-1.1458026838550334E-3</v>
      </c>
      <c r="T368" s="11">
        <f t="shared" ca="1" si="200"/>
        <v>-4.9053934342410677E-4</v>
      </c>
      <c r="U368" s="11">
        <f t="shared" ca="1" si="201"/>
        <v>-5.5074395654535931E-3</v>
      </c>
      <c r="V368" s="11"/>
      <c r="W368" s="11">
        <f t="shared" ca="1" si="181"/>
        <v>0</v>
      </c>
      <c r="X368" s="2">
        <f t="shared" ca="1" si="182"/>
        <v>-1.6358405771021967E-4</v>
      </c>
      <c r="Y368" s="2">
        <f t="shared" ca="1" si="183"/>
        <v>-1.614029402377854E-3</v>
      </c>
      <c r="Z368" s="11">
        <f t="shared" ca="1" si="184"/>
        <v>-1.4853760121635622E-5</v>
      </c>
      <c r="AA368" s="2">
        <f t="shared" ca="1" si="185"/>
        <v>-1.1458026838550334E-3</v>
      </c>
      <c r="AB368" s="11">
        <f t="shared" ca="1" si="186"/>
        <v>-4.9053934342410677E-4</v>
      </c>
      <c r="AC368" s="2">
        <f t="shared" ca="1" si="187"/>
        <v>-5.5074395654535931E-3</v>
      </c>
      <c r="AF368" s="11">
        <f t="shared" ca="1" si="188"/>
        <v>0</v>
      </c>
      <c r="AG368" s="2">
        <f t="shared" ca="1" si="189"/>
        <v>-1.6358405771021967E-4</v>
      </c>
      <c r="AH368" s="2">
        <f t="shared" ca="1" si="190"/>
        <v>-1.614029402377854E-3</v>
      </c>
      <c r="AI368" s="2">
        <f t="shared" ca="1" si="191"/>
        <v>-1.4853760121635622E-5</v>
      </c>
      <c r="AJ368" s="2">
        <f t="shared" ca="1" si="192"/>
        <v>-1.1458026838550334E-3</v>
      </c>
      <c r="AK368" s="2">
        <f t="shared" ca="1" si="193"/>
        <v>-4.9053934342410677E-4</v>
      </c>
      <c r="AL368" s="2">
        <f t="shared" ca="1" si="194"/>
        <v>-5.5074395654535931E-3</v>
      </c>
      <c r="AN368" s="2" t="e">
        <f t="shared" ca="1" si="173"/>
        <v>#N/A</v>
      </c>
      <c r="AO368" s="2" t="e">
        <f t="shared" ca="1" si="174"/>
        <v>#N/A</v>
      </c>
      <c r="AP368" s="2" t="e">
        <f t="shared" ca="1" si="175"/>
        <v>#N/A</v>
      </c>
      <c r="AQ368" s="2" t="e">
        <f t="shared" ca="1" si="176"/>
        <v>#N/A</v>
      </c>
      <c r="AR368" s="2" t="e">
        <f t="shared" ca="1" si="177"/>
        <v>#N/A</v>
      </c>
      <c r="AS368" s="2" t="e">
        <f t="shared" ca="1" si="178"/>
        <v>#N/A</v>
      </c>
      <c r="AT368" s="9" t="e">
        <f t="shared" ca="1" si="179"/>
        <v>#N/A</v>
      </c>
      <c r="AU368" s="9" t="e">
        <f t="shared" ca="1" si="180"/>
        <v>#N/A</v>
      </c>
      <c r="AW368" s="2" t="e">
        <f t="shared" ca="1" si="202"/>
        <v>#N/A</v>
      </c>
      <c r="AX368" s="2" t="e">
        <f t="shared" ca="1" si="203"/>
        <v>#N/A</v>
      </c>
      <c r="AY368" s="2" t="e">
        <f t="shared" ca="1" si="204"/>
        <v>#N/A</v>
      </c>
      <c r="AZ368" s="2" t="e">
        <f t="shared" ca="1" si="205"/>
        <v>#N/A</v>
      </c>
      <c r="BA368" s="2" t="e">
        <f t="shared" ca="1" si="206"/>
        <v>#N/A</v>
      </c>
      <c r="BB368" s="2" t="e">
        <f t="shared" ca="1" si="207"/>
        <v>#N/A</v>
      </c>
      <c r="BC368" s="9" t="e">
        <f t="shared" ca="1" si="208"/>
        <v>#N/A</v>
      </c>
      <c r="BD368" s="9" t="e">
        <f t="shared" ca="1" si="209"/>
        <v>#N/A</v>
      </c>
    </row>
    <row r="369" spans="1:56" ht="15" x14ac:dyDescent="0.25">
      <c r="A369" s="63"/>
      <c r="B369" s="63"/>
      <c r="C369" s="64"/>
      <c r="D369" s="64"/>
      <c r="E369" s="64"/>
      <c r="F369" s="64"/>
      <c r="G369" s="64"/>
      <c r="H369" s="64"/>
      <c r="I369" s="64"/>
      <c r="J369" s="64"/>
      <c r="K369" s="64"/>
      <c r="L369" s="64"/>
      <c r="M369" s="64"/>
      <c r="O369" s="11">
        <f t="shared" ca="1" si="195"/>
        <v>-3.9378682616450625E-4</v>
      </c>
      <c r="P369" s="11">
        <f t="shared" ca="1" si="196"/>
        <v>-1.6358405771021967E-4</v>
      </c>
      <c r="Q369" s="11">
        <f t="shared" ca="1" si="197"/>
        <v>-1.614029402377854E-3</v>
      </c>
      <c r="R369" s="11">
        <f t="shared" ca="1" si="198"/>
        <v>-1.4853760121635622E-5</v>
      </c>
      <c r="S369" s="11">
        <f t="shared" ca="1" si="199"/>
        <v>-1.1458026838550334E-3</v>
      </c>
      <c r="T369" s="11">
        <f t="shared" ca="1" si="200"/>
        <v>-4.9053934342410677E-4</v>
      </c>
      <c r="U369" s="11">
        <f t="shared" ca="1" si="201"/>
        <v>-5.5074395654535931E-3</v>
      </c>
      <c r="V369" s="11"/>
      <c r="W369" s="11">
        <f t="shared" ca="1" si="181"/>
        <v>0</v>
      </c>
      <c r="X369" s="2">
        <f t="shared" ca="1" si="182"/>
        <v>-1.6358405771021967E-4</v>
      </c>
      <c r="Y369" s="2">
        <f t="shared" ca="1" si="183"/>
        <v>-1.614029402377854E-3</v>
      </c>
      <c r="Z369" s="11">
        <f t="shared" ca="1" si="184"/>
        <v>-1.4853760121635622E-5</v>
      </c>
      <c r="AA369" s="2">
        <f t="shared" ca="1" si="185"/>
        <v>-1.1458026838550334E-3</v>
      </c>
      <c r="AB369" s="11">
        <f t="shared" ca="1" si="186"/>
        <v>-4.9053934342410677E-4</v>
      </c>
      <c r="AC369" s="2">
        <f t="shared" ca="1" si="187"/>
        <v>-5.5074395654535931E-3</v>
      </c>
      <c r="AF369" s="11">
        <f t="shared" ca="1" si="188"/>
        <v>0</v>
      </c>
      <c r="AG369" s="2">
        <f t="shared" ca="1" si="189"/>
        <v>-1.6358405771021967E-4</v>
      </c>
      <c r="AH369" s="2">
        <f t="shared" ca="1" si="190"/>
        <v>-1.614029402377854E-3</v>
      </c>
      <c r="AI369" s="2">
        <f t="shared" ca="1" si="191"/>
        <v>-1.4853760121635622E-5</v>
      </c>
      <c r="AJ369" s="2">
        <f t="shared" ca="1" si="192"/>
        <v>-1.1458026838550334E-3</v>
      </c>
      <c r="AK369" s="2">
        <f t="shared" ca="1" si="193"/>
        <v>-4.9053934342410677E-4</v>
      </c>
      <c r="AL369" s="2">
        <f t="shared" ca="1" si="194"/>
        <v>-5.5074395654535931E-3</v>
      </c>
      <c r="AN369" s="2" t="e">
        <f t="shared" ca="1" si="173"/>
        <v>#N/A</v>
      </c>
      <c r="AO369" s="2" t="e">
        <f t="shared" ca="1" si="174"/>
        <v>#N/A</v>
      </c>
      <c r="AP369" s="2" t="e">
        <f t="shared" ca="1" si="175"/>
        <v>#N/A</v>
      </c>
      <c r="AQ369" s="2" t="e">
        <f t="shared" ca="1" si="176"/>
        <v>#N/A</v>
      </c>
      <c r="AR369" s="2" t="e">
        <f t="shared" ca="1" si="177"/>
        <v>#N/A</v>
      </c>
      <c r="AS369" s="2" t="e">
        <f t="shared" ca="1" si="178"/>
        <v>#N/A</v>
      </c>
      <c r="AT369" s="9" t="e">
        <f t="shared" ca="1" si="179"/>
        <v>#N/A</v>
      </c>
      <c r="AU369" s="9" t="e">
        <f t="shared" ca="1" si="180"/>
        <v>#N/A</v>
      </c>
      <c r="AW369" s="2" t="e">
        <f t="shared" ca="1" si="202"/>
        <v>#N/A</v>
      </c>
      <c r="AX369" s="2" t="e">
        <f t="shared" ca="1" si="203"/>
        <v>#N/A</v>
      </c>
      <c r="AY369" s="2" t="e">
        <f t="shared" ca="1" si="204"/>
        <v>#N/A</v>
      </c>
      <c r="AZ369" s="2" t="e">
        <f t="shared" ca="1" si="205"/>
        <v>#N/A</v>
      </c>
      <c r="BA369" s="2" t="e">
        <f t="shared" ca="1" si="206"/>
        <v>#N/A</v>
      </c>
      <c r="BB369" s="2" t="e">
        <f t="shared" ca="1" si="207"/>
        <v>#N/A</v>
      </c>
      <c r="BC369" s="9" t="e">
        <f t="shared" ca="1" si="208"/>
        <v>#N/A</v>
      </c>
      <c r="BD369" s="9" t="e">
        <f t="shared" ca="1" si="209"/>
        <v>#N/A</v>
      </c>
    </row>
    <row r="370" spans="1:56" ht="15" x14ac:dyDescent="0.25">
      <c r="A370" s="63"/>
      <c r="B370" s="63"/>
      <c r="C370" s="64"/>
      <c r="D370" s="64"/>
      <c r="E370" s="64"/>
      <c r="F370" s="64"/>
      <c r="G370" s="64"/>
      <c r="H370" s="64"/>
      <c r="I370" s="64"/>
      <c r="J370" s="64"/>
      <c r="K370" s="64"/>
      <c r="L370" s="64"/>
      <c r="M370" s="64"/>
      <c r="O370" s="11">
        <f t="shared" ca="1" si="195"/>
        <v>-3.9378682616450625E-4</v>
      </c>
      <c r="P370" s="11">
        <f t="shared" ca="1" si="196"/>
        <v>-1.6358405771021967E-4</v>
      </c>
      <c r="Q370" s="11">
        <f t="shared" ca="1" si="197"/>
        <v>-1.614029402377854E-3</v>
      </c>
      <c r="R370" s="11">
        <f t="shared" ca="1" si="198"/>
        <v>-1.4853760121635622E-5</v>
      </c>
      <c r="S370" s="11">
        <f t="shared" ca="1" si="199"/>
        <v>-1.1458026838550334E-3</v>
      </c>
      <c r="T370" s="11">
        <f t="shared" ca="1" si="200"/>
        <v>-4.9053934342410677E-4</v>
      </c>
      <c r="U370" s="11">
        <f t="shared" ca="1" si="201"/>
        <v>-5.5074395654535931E-3</v>
      </c>
      <c r="V370" s="11"/>
      <c r="W370" s="11">
        <f t="shared" ca="1" si="181"/>
        <v>0</v>
      </c>
      <c r="X370" s="2">
        <f t="shared" ca="1" si="182"/>
        <v>-1.6358405771021967E-4</v>
      </c>
      <c r="Y370" s="2">
        <f t="shared" ca="1" si="183"/>
        <v>-1.614029402377854E-3</v>
      </c>
      <c r="Z370" s="11">
        <f t="shared" ca="1" si="184"/>
        <v>-1.4853760121635622E-5</v>
      </c>
      <c r="AA370" s="2">
        <f t="shared" ca="1" si="185"/>
        <v>-1.1458026838550334E-3</v>
      </c>
      <c r="AB370" s="11">
        <f t="shared" ca="1" si="186"/>
        <v>-4.9053934342410677E-4</v>
      </c>
      <c r="AC370" s="2">
        <f t="shared" ca="1" si="187"/>
        <v>-5.5074395654535931E-3</v>
      </c>
      <c r="AF370" s="11">
        <f t="shared" ca="1" si="188"/>
        <v>0</v>
      </c>
      <c r="AG370" s="2">
        <f t="shared" ca="1" si="189"/>
        <v>-1.6358405771021967E-4</v>
      </c>
      <c r="AH370" s="2">
        <f t="shared" ca="1" si="190"/>
        <v>-1.614029402377854E-3</v>
      </c>
      <c r="AI370" s="2">
        <f t="shared" ca="1" si="191"/>
        <v>-1.4853760121635622E-5</v>
      </c>
      <c r="AJ370" s="2">
        <f t="shared" ca="1" si="192"/>
        <v>-1.1458026838550334E-3</v>
      </c>
      <c r="AK370" s="2">
        <f t="shared" ca="1" si="193"/>
        <v>-4.9053934342410677E-4</v>
      </c>
      <c r="AL370" s="2">
        <f t="shared" ca="1" si="194"/>
        <v>-5.5074395654535931E-3</v>
      </c>
      <c r="AN370" s="2" t="e">
        <f t="shared" ca="1" si="173"/>
        <v>#N/A</v>
      </c>
      <c r="AO370" s="2" t="e">
        <f t="shared" ca="1" si="174"/>
        <v>#N/A</v>
      </c>
      <c r="AP370" s="2" t="e">
        <f t="shared" ca="1" si="175"/>
        <v>#N/A</v>
      </c>
      <c r="AQ370" s="2" t="e">
        <f t="shared" ca="1" si="176"/>
        <v>#N/A</v>
      </c>
      <c r="AR370" s="2" t="e">
        <f t="shared" ca="1" si="177"/>
        <v>#N/A</v>
      </c>
      <c r="AS370" s="2" t="e">
        <f t="shared" ca="1" si="178"/>
        <v>#N/A</v>
      </c>
      <c r="AT370" s="9" t="e">
        <f t="shared" ca="1" si="179"/>
        <v>#N/A</v>
      </c>
      <c r="AU370" s="9" t="e">
        <f t="shared" ca="1" si="180"/>
        <v>#N/A</v>
      </c>
      <c r="AW370" s="2" t="e">
        <f t="shared" ca="1" si="202"/>
        <v>#N/A</v>
      </c>
      <c r="AX370" s="2" t="e">
        <f t="shared" ca="1" si="203"/>
        <v>#N/A</v>
      </c>
      <c r="AY370" s="2" t="e">
        <f t="shared" ca="1" si="204"/>
        <v>#N/A</v>
      </c>
      <c r="AZ370" s="2" t="e">
        <f t="shared" ca="1" si="205"/>
        <v>#N/A</v>
      </c>
      <c r="BA370" s="2" t="e">
        <f t="shared" ca="1" si="206"/>
        <v>#N/A</v>
      </c>
      <c r="BB370" s="2" t="e">
        <f t="shared" ca="1" si="207"/>
        <v>#N/A</v>
      </c>
      <c r="BC370" s="9" t="e">
        <f t="shared" ca="1" si="208"/>
        <v>#N/A</v>
      </c>
      <c r="BD370" s="9" t="e">
        <f t="shared" ca="1" si="209"/>
        <v>#N/A</v>
      </c>
    </row>
    <row r="371" spans="1:56" ht="15" x14ac:dyDescent="0.25">
      <c r="A371" s="63"/>
      <c r="B371" s="63"/>
      <c r="C371" s="64"/>
      <c r="D371" s="64"/>
      <c r="E371" s="64"/>
      <c r="F371" s="64"/>
      <c r="G371" s="64"/>
      <c r="H371" s="64"/>
      <c r="I371" s="64"/>
      <c r="J371" s="64"/>
      <c r="K371" s="64"/>
      <c r="L371" s="64"/>
      <c r="M371" s="64"/>
      <c r="O371" s="11">
        <f t="shared" ca="1" si="195"/>
        <v>-3.9378682616450625E-4</v>
      </c>
      <c r="P371" s="11">
        <f t="shared" ca="1" si="196"/>
        <v>-1.6358405771021967E-4</v>
      </c>
      <c r="Q371" s="11">
        <f t="shared" ca="1" si="197"/>
        <v>-1.614029402377854E-3</v>
      </c>
      <c r="R371" s="11">
        <f t="shared" ca="1" si="198"/>
        <v>-1.4853760121635622E-5</v>
      </c>
      <c r="S371" s="11">
        <f t="shared" ca="1" si="199"/>
        <v>-1.1458026838550334E-3</v>
      </c>
      <c r="T371" s="11">
        <f t="shared" ca="1" si="200"/>
        <v>-4.9053934342410677E-4</v>
      </c>
      <c r="U371" s="11">
        <f t="shared" ca="1" si="201"/>
        <v>-5.5074395654535931E-3</v>
      </c>
      <c r="V371" s="11"/>
      <c r="W371" s="11">
        <f t="shared" ca="1" si="181"/>
        <v>0</v>
      </c>
      <c r="X371" s="2">
        <f t="shared" ca="1" si="182"/>
        <v>-1.6358405771021967E-4</v>
      </c>
      <c r="Y371" s="2">
        <f t="shared" ca="1" si="183"/>
        <v>-1.614029402377854E-3</v>
      </c>
      <c r="Z371" s="11">
        <f t="shared" ca="1" si="184"/>
        <v>-1.4853760121635622E-5</v>
      </c>
      <c r="AA371" s="2">
        <f t="shared" ca="1" si="185"/>
        <v>-1.1458026838550334E-3</v>
      </c>
      <c r="AB371" s="11">
        <f t="shared" ca="1" si="186"/>
        <v>-4.9053934342410677E-4</v>
      </c>
      <c r="AC371" s="2">
        <f t="shared" ca="1" si="187"/>
        <v>-5.5074395654535931E-3</v>
      </c>
      <c r="AF371" s="11">
        <f t="shared" ca="1" si="188"/>
        <v>0</v>
      </c>
      <c r="AG371" s="2">
        <f t="shared" ca="1" si="189"/>
        <v>-1.6358405771021967E-4</v>
      </c>
      <c r="AH371" s="2">
        <f t="shared" ca="1" si="190"/>
        <v>-1.614029402377854E-3</v>
      </c>
      <c r="AI371" s="2">
        <f t="shared" ca="1" si="191"/>
        <v>-1.4853760121635622E-5</v>
      </c>
      <c r="AJ371" s="2">
        <f t="shared" ca="1" si="192"/>
        <v>-1.1458026838550334E-3</v>
      </c>
      <c r="AK371" s="2">
        <f t="shared" ca="1" si="193"/>
        <v>-4.9053934342410677E-4</v>
      </c>
      <c r="AL371" s="2">
        <f t="shared" ca="1" si="194"/>
        <v>-5.5074395654535931E-3</v>
      </c>
      <c r="AN371" s="2" t="e">
        <f t="shared" ca="1" si="173"/>
        <v>#N/A</v>
      </c>
      <c r="AO371" s="2" t="e">
        <f t="shared" ca="1" si="174"/>
        <v>#N/A</v>
      </c>
      <c r="AP371" s="2" t="e">
        <f t="shared" ca="1" si="175"/>
        <v>#N/A</v>
      </c>
      <c r="AQ371" s="2" t="e">
        <f t="shared" ca="1" si="176"/>
        <v>#N/A</v>
      </c>
      <c r="AR371" s="2" t="e">
        <f t="shared" ca="1" si="177"/>
        <v>#N/A</v>
      </c>
      <c r="AS371" s="2" t="e">
        <f t="shared" ca="1" si="178"/>
        <v>#N/A</v>
      </c>
      <c r="AT371" s="9" t="e">
        <f t="shared" ca="1" si="179"/>
        <v>#N/A</v>
      </c>
      <c r="AU371" s="9" t="e">
        <f t="shared" ca="1" si="180"/>
        <v>#N/A</v>
      </c>
      <c r="AW371" s="2" t="e">
        <f t="shared" ca="1" si="202"/>
        <v>#N/A</v>
      </c>
      <c r="AX371" s="2" t="e">
        <f t="shared" ca="1" si="203"/>
        <v>#N/A</v>
      </c>
      <c r="AY371" s="2" t="e">
        <f t="shared" ca="1" si="204"/>
        <v>#N/A</v>
      </c>
      <c r="AZ371" s="2" t="e">
        <f t="shared" ca="1" si="205"/>
        <v>#N/A</v>
      </c>
      <c r="BA371" s="2" t="e">
        <f t="shared" ca="1" si="206"/>
        <v>#N/A</v>
      </c>
      <c r="BB371" s="2" t="e">
        <f t="shared" ca="1" si="207"/>
        <v>#N/A</v>
      </c>
      <c r="BC371" s="9" t="e">
        <f t="shared" ca="1" si="208"/>
        <v>#N/A</v>
      </c>
      <c r="BD371" s="9" t="e">
        <f t="shared" ca="1" si="209"/>
        <v>#N/A</v>
      </c>
    </row>
    <row r="372" spans="1:56" ht="15" x14ac:dyDescent="0.25">
      <c r="A372" s="63"/>
      <c r="B372" s="63"/>
      <c r="C372" s="64"/>
      <c r="D372" s="64"/>
      <c r="E372" s="64"/>
      <c r="F372" s="64"/>
      <c r="G372" s="64"/>
      <c r="H372" s="64"/>
      <c r="I372" s="64"/>
      <c r="J372" s="64"/>
      <c r="K372" s="64"/>
      <c r="L372" s="64"/>
      <c r="M372" s="64"/>
      <c r="O372" s="11">
        <f t="shared" ca="1" si="195"/>
        <v>-3.9378682616450625E-4</v>
      </c>
      <c r="P372" s="11">
        <f t="shared" ca="1" si="196"/>
        <v>-1.6358405771021967E-4</v>
      </c>
      <c r="Q372" s="11">
        <f t="shared" ca="1" si="197"/>
        <v>-1.614029402377854E-3</v>
      </c>
      <c r="R372" s="11">
        <f t="shared" ca="1" si="198"/>
        <v>-1.4853760121635622E-5</v>
      </c>
      <c r="S372" s="11">
        <f t="shared" ca="1" si="199"/>
        <v>-1.1458026838550334E-3</v>
      </c>
      <c r="T372" s="11">
        <f t="shared" ca="1" si="200"/>
        <v>-4.9053934342410677E-4</v>
      </c>
      <c r="U372" s="11">
        <f t="shared" ca="1" si="201"/>
        <v>-5.5074395654535931E-3</v>
      </c>
      <c r="V372" s="11"/>
      <c r="W372" s="11">
        <f t="shared" ca="1" si="181"/>
        <v>0</v>
      </c>
      <c r="X372" s="2">
        <f t="shared" ca="1" si="182"/>
        <v>-1.6358405771021967E-4</v>
      </c>
      <c r="Y372" s="2">
        <f t="shared" ca="1" si="183"/>
        <v>-1.614029402377854E-3</v>
      </c>
      <c r="Z372" s="11">
        <f t="shared" ca="1" si="184"/>
        <v>-1.4853760121635622E-5</v>
      </c>
      <c r="AA372" s="2">
        <f t="shared" ca="1" si="185"/>
        <v>-1.1458026838550334E-3</v>
      </c>
      <c r="AB372" s="11">
        <f t="shared" ca="1" si="186"/>
        <v>-4.9053934342410677E-4</v>
      </c>
      <c r="AC372" s="2">
        <f t="shared" ca="1" si="187"/>
        <v>-5.5074395654535931E-3</v>
      </c>
      <c r="AF372" s="11">
        <f t="shared" ca="1" si="188"/>
        <v>0</v>
      </c>
      <c r="AG372" s="2">
        <f t="shared" ca="1" si="189"/>
        <v>-1.6358405771021967E-4</v>
      </c>
      <c r="AH372" s="2">
        <f t="shared" ca="1" si="190"/>
        <v>-1.614029402377854E-3</v>
      </c>
      <c r="AI372" s="2">
        <f t="shared" ca="1" si="191"/>
        <v>-1.4853760121635622E-5</v>
      </c>
      <c r="AJ372" s="2">
        <f t="shared" ca="1" si="192"/>
        <v>-1.1458026838550334E-3</v>
      </c>
      <c r="AK372" s="2">
        <f t="shared" ca="1" si="193"/>
        <v>-4.9053934342410677E-4</v>
      </c>
      <c r="AL372" s="2">
        <f t="shared" ca="1" si="194"/>
        <v>-5.5074395654535931E-3</v>
      </c>
      <c r="AN372" s="2" t="e">
        <f t="shared" ca="1" si="173"/>
        <v>#N/A</v>
      </c>
      <c r="AO372" s="2" t="e">
        <f t="shared" ca="1" si="174"/>
        <v>#N/A</v>
      </c>
      <c r="AP372" s="2" t="e">
        <f t="shared" ca="1" si="175"/>
        <v>#N/A</v>
      </c>
      <c r="AQ372" s="2" t="e">
        <f t="shared" ca="1" si="176"/>
        <v>#N/A</v>
      </c>
      <c r="AR372" s="2" t="e">
        <f t="shared" ca="1" si="177"/>
        <v>#N/A</v>
      </c>
      <c r="AS372" s="2" t="e">
        <f t="shared" ca="1" si="178"/>
        <v>#N/A</v>
      </c>
      <c r="AT372" s="9" t="e">
        <f t="shared" ca="1" si="179"/>
        <v>#N/A</v>
      </c>
      <c r="AU372" s="9" t="e">
        <f t="shared" ca="1" si="180"/>
        <v>#N/A</v>
      </c>
      <c r="AW372" s="2" t="e">
        <f t="shared" ca="1" si="202"/>
        <v>#N/A</v>
      </c>
      <c r="AX372" s="2" t="e">
        <f t="shared" ca="1" si="203"/>
        <v>#N/A</v>
      </c>
      <c r="AY372" s="2" t="e">
        <f t="shared" ca="1" si="204"/>
        <v>#N/A</v>
      </c>
      <c r="AZ372" s="2" t="e">
        <f t="shared" ca="1" si="205"/>
        <v>#N/A</v>
      </c>
      <c r="BA372" s="2" t="e">
        <f t="shared" ca="1" si="206"/>
        <v>#N/A</v>
      </c>
      <c r="BB372" s="2" t="e">
        <f t="shared" ca="1" si="207"/>
        <v>#N/A</v>
      </c>
      <c r="BC372" s="9" t="e">
        <f t="shared" ca="1" si="208"/>
        <v>#N/A</v>
      </c>
      <c r="BD372" s="9" t="e">
        <f t="shared" ca="1" si="209"/>
        <v>#N/A</v>
      </c>
    </row>
    <row r="373" spans="1:56" ht="15" x14ac:dyDescent="0.25">
      <c r="A373" s="63"/>
      <c r="B373" s="63"/>
      <c r="C373" s="64"/>
      <c r="D373" s="64"/>
      <c r="E373" s="64"/>
      <c r="F373" s="64"/>
      <c r="G373" s="64"/>
      <c r="H373" s="64"/>
      <c r="I373" s="64"/>
      <c r="J373" s="64"/>
      <c r="K373" s="64"/>
      <c r="L373" s="64"/>
      <c r="M373" s="64"/>
      <c r="O373" s="11">
        <f t="shared" ca="1" si="195"/>
        <v>-3.9378682616450625E-4</v>
      </c>
      <c r="P373" s="11">
        <f t="shared" ca="1" si="196"/>
        <v>-1.6358405771021967E-4</v>
      </c>
      <c r="Q373" s="11">
        <f t="shared" ca="1" si="197"/>
        <v>-1.614029402377854E-3</v>
      </c>
      <c r="R373" s="11">
        <f t="shared" ca="1" si="198"/>
        <v>-1.4853760121635622E-5</v>
      </c>
      <c r="S373" s="11">
        <f t="shared" ca="1" si="199"/>
        <v>-1.1458026838550334E-3</v>
      </c>
      <c r="T373" s="11">
        <f t="shared" ca="1" si="200"/>
        <v>-4.9053934342410677E-4</v>
      </c>
      <c r="U373" s="11">
        <f t="shared" ca="1" si="201"/>
        <v>-5.5074395654535931E-3</v>
      </c>
      <c r="V373" s="11"/>
      <c r="W373" s="11">
        <f t="shared" ca="1" si="181"/>
        <v>0</v>
      </c>
      <c r="X373" s="2">
        <f t="shared" ca="1" si="182"/>
        <v>-1.6358405771021967E-4</v>
      </c>
      <c r="Y373" s="2">
        <f t="shared" ca="1" si="183"/>
        <v>-1.614029402377854E-3</v>
      </c>
      <c r="Z373" s="11">
        <f t="shared" ca="1" si="184"/>
        <v>-1.4853760121635622E-5</v>
      </c>
      <c r="AA373" s="2">
        <f t="shared" ca="1" si="185"/>
        <v>-1.1458026838550334E-3</v>
      </c>
      <c r="AB373" s="11">
        <f t="shared" ca="1" si="186"/>
        <v>-4.9053934342410677E-4</v>
      </c>
      <c r="AC373" s="2">
        <f t="shared" ca="1" si="187"/>
        <v>-5.5074395654535931E-3</v>
      </c>
      <c r="AF373" s="11">
        <f t="shared" ca="1" si="188"/>
        <v>0</v>
      </c>
      <c r="AG373" s="2">
        <f t="shared" ca="1" si="189"/>
        <v>-1.6358405771021967E-4</v>
      </c>
      <c r="AH373" s="2">
        <f t="shared" ca="1" si="190"/>
        <v>-1.614029402377854E-3</v>
      </c>
      <c r="AI373" s="2">
        <f t="shared" ca="1" si="191"/>
        <v>-1.4853760121635622E-5</v>
      </c>
      <c r="AJ373" s="2">
        <f t="shared" ca="1" si="192"/>
        <v>-1.1458026838550334E-3</v>
      </c>
      <c r="AK373" s="2">
        <f t="shared" ca="1" si="193"/>
        <v>-4.9053934342410677E-4</v>
      </c>
      <c r="AL373" s="2">
        <f t="shared" ca="1" si="194"/>
        <v>-5.5074395654535931E-3</v>
      </c>
      <c r="AN373" s="2" t="e">
        <f t="shared" ca="1" si="173"/>
        <v>#N/A</v>
      </c>
      <c r="AO373" s="2" t="e">
        <f t="shared" ca="1" si="174"/>
        <v>#N/A</v>
      </c>
      <c r="AP373" s="2" t="e">
        <f t="shared" ca="1" si="175"/>
        <v>#N/A</v>
      </c>
      <c r="AQ373" s="2" t="e">
        <f t="shared" ca="1" si="176"/>
        <v>#N/A</v>
      </c>
      <c r="AR373" s="2" t="e">
        <f t="shared" ca="1" si="177"/>
        <v>#N/A</v>
      </c>
      <c r="AS373" s="2" t="e">
        <f t="shared" ca="1" si="178"/>
        <v>#N/A</v>
      </c>
      <c r="AT373" s="9" t="e">
        <f t="shared" ca="1" si="179"/>
        <v>#N/A</v>
      </c>
      <c r="AU373" s="9" t="e">
        <f t="shared" ca="1" si="180"/>
        <v>#N/A</v>
      </c>
      <c r="AW373" s="2" t="e">
        <f t="shared" ca="1" si="202"/>
        <v>#N/A</v>
      </c>
      <c r="AX373" s="2" t="e">
        <f t="shared" ca="1" si="203"/>
        <v>#N/A</v>
      </c>
      <c r="AY373" s="2" t="e">
        <f t="shared" ca="1" si="204"/>
        <v>#N/A</v>
      </c>
      <c r="AZ373" s="2" t="e">
        <f t="shared" ca="1" si="205"/>
        <v>#N/A</v>
      </c>
      <c r="BA373" s="2" t="e">
        <f t="shared" ca="1" si="206"/>
        <v>#N/A</v>
      </c>
      <c r="BB373" s="2" t="e">
        <f t="shared" ca="1" si="207"/>
        <v>#N/A</v>
      </c>
      <c r="BC373" s="9" t="e">
        <f t="shared" ca="1" si="208"/>
        <v>#N/A</v>
      </c>
      <c r="BD373" s="9" t="e">
        <f t="shared" ca="1" si="209"/>
        <v>#N/A</v>
      </c>
    </row>
    <row r="374" spans="1:56" ht="15" x14ac:dyDescent="0.25">
      <c r="A374" s="63"/>
      <c r="B374" s="63"/>
      <c r="C374" s="64"/>
      <c r="D374" s="64"/>
      <c r="E374" s="64"/>
      <c r="F374" s="64"/>
      <c r="G374" s="64"/>
      <c r="H374" s="64"/>
      <c r="I374" s="64"/>
      <c r="J374" s="64"/>
      <c r="K374" s="64"/>
      <c r="L374" s="64"/>
      <c r="M374" s="64"/>
      <c r="O374" s="11">
        <f t="shared" ca="1" si="195"/>
        <v>-3.9378682616450625E-4</v>
      </c>
      <c r="P374" s="11">
        <f t="shared" ca="1" si="196"/>
        <v>-1.6358405771021967E-4</v>
      </c>
      <c r="Q374" s="11">
        <f t="shared" ca="1" si="197"/>
        <v>-1.614029402377854E-3</v>
      </c>
      <c r="R374" s="11">
        <f t="shared" ca="1" si="198"/>
        <v>-1.4853760121635622E-5</v>
      </c>
      <c r="S374" s="11">
        <f t="shared" ca="1" si="199"/>
        <v>-1.1458026838550334E-3</v>
      </c>
      <c r="T374" s="11">
        <f t="shared" ca="1" si="200"/>
        <v>-4.9053934342410677E-4</v>
      </c>
      <c r="U374" s="11">
        <f t="shared" ca="1" si="201"/>
        <v>-5.5074395654535931E-3</v>
      </c>
      <c r="V374" s="11"/>
      <c r="W374" s="11">
        <f t="shared" ca="1" si="181"/>
        <v>0</v>
      </c>
      <c r="X374" s="2">
        <f t="shared" ca="1" si="182"/>
        <v>-1.6358405771021967E-4</v>
      </c>
      <c r="Y374" s="2">
        <f t="shared" ca="1" si="183"/>
        <v>-1.614029402377854E-3</v>
      </c>
      <c r="Z374" s="11">
        <f t="shared" ca="1" si="184"/>
        <v>-1.4853760121635622E-5</v>
      </c>
      <c r="AA374" s="2">
        <f t="shared" ca="1" si="185"/>
        <v>-1.1458026838550334E-3</v>
      </c>
      <c r="AB374" s="11">
        <f t="shared" ca="1" si="186"/>
        <v>-4.9053934342410677E-4</v>
      </c>
      <c r="AC374" s="2">
        <f t="shared" ca="1" si="187"/>
        <v>-5.5074395654535931E-3</v>
      </c>
      <c r="AF374" s="11">
        <f t="shared" ca="1" si="188"/>
        <v>0</v>
      </c>
      <c r="AG374" s="2">
        <f t="shared" ca="1" si="189"/>
        <v>-1.6358405771021967E-4</v>
      </c>
      <c r="AH374" s="2">
        <f t="shared" ca="1" si="190"/>
        <v>-1.614029402377854E-3</v>
      </c>
      <c r="AI374" s="2">
        <f t="shared" ca="1" si="191"/>
        <v>-1.4853760121635622E-5</v>
      </c>
      <c r="AJ374" s="2">
        <f t="shared" ca="1" si="192"/>
        <v>-1.1458026838550334E-3</v>
      </c>
      <c r="AK374" s="2">
        <f t="shared" ca="1" si="193"/>
        <v>-4.9053934342410677E-4</v>
      </c>
      <c r="AL374" s="2">
        <f t="shared" ca="1" si="194"/>
        <v>-5.5074395654535931E-3</v>
      </c>
      <c r="AN374" s="2" t="e">
        <f t="shared" ca="1" si="173"/>
        <v>#N/A</v>
      </c>
      <c r="AO374" s="2" t="e">
        <f t="shared" ca="1" si="174"/>
        <v>#N/A</v>
      </c>
      <c r="AP374" s="2" t="e">
        <f t="shared" ca="1" si="175"/>
        <v>#N/A</v>
      </c>
      <c r="AQ374" s="2" t="e">
        <f t="shared" ca="1" si="176"/>
        <v>#N/A</v>
      </c>
      <c r="AR374" s="2" t="e">
        <f t="shared" ca="1" si="177"/>
        <v>#N/A</v>
      </c>
      <c r="AS374" s="2" t="e">
        <f t="shared" ca="1" si="178"/>
        <v>#N/A</v>
      </c>
      <c r="AT374" s="9" t="e">
        <f t="shared" ca="1" si="179"/>
        <v>#N/A</v>
      </c>
      <c r="AU374" s="9" t="e">
        <f t="shared" ca="1" si="180"/>
        <v>#N/A</v>
      </c>
      <c r="AW374" s="2" t="e">
        <f t="shared" ca="1" si="202"/>
        <v>#N/A</v>
      </c>
      <c r="AX374" s="2" t="e">
        <f t="shared" ca="1" si="203"/>
        <v>#N/A</v>
      </c>
      <c r="AY374" s="2" t="e">
        <f t="shared" ca="1" si="204"/>
        <v>#N/A</v>
      </c>
      <c r="AZ374" s="2" t="e">
        <f t="shared" ca="1" si="205"/>
        <v>#N/A</v>
      </c>
      <c r="BA374" s="2" t="e">
        <f t="shared" ca="1" si="206"/>
        <v>#N/A</v>
      </c>
      <c r="BB374" s="2" t="e">
        <f t="shared" ca="1" si="207"/>
        <v>#N/A</v>
      </c>
      <c r="BC374" s="9" t="e">
        <f t="shared" ca="1" si="208"/>
        <v>#N/A</v>
      </c>
      <c r="BD374" s="9" t="e">
        <f t="shared" ca="1" si="209"/>
        <v>#N/A</v>
      </c>
    </row>
    <row r="375" spans="1:56" ht="15" x14ac:dyDescent="0.25">
      <c r="A375" s="63"/>
      <c r="B375" s="63"/>
      <c r="C375" s="64"/>
      <c r="D375" s="64"/>
      <c r="E375" s="64"/>
      <c r="F375" s="64"/>
      <c r="G375" s="64"/>
      <c r="H375" s="64"/>
      <c r="I375" s="64"/>
      <c r="J375" s="64"/>
      <c r="K375" s="64"/>
      <c r="L375" s="64"/>
      <c r="M375" s="64"/>
      <c r="O375" s="11">
        <f t="shared" ca="1" si="195"/>
        <v>-3.9378682616450625E-4</v>
      </c>
      <c r="P375" s="11">
        <f t="shared" ca="1" si="196"/>
        <v>-1.6358405771021967E-4</v>
      </c>
      <c r="Q375" s="11">
        <f t="shared" ca="1" si="197"/>
        <v>-1.614029402377854E-3</v>
      </c>
      <c r="R375" s="11">
        <f t="shared" ca="1" si="198"/>
        <v>-1.4853760121635622E-5</v>
      </c>
      <c r="S375" s="11">
        <f t="shared" ca="1" si="199"/>
        <v>-1.1458026838550334E-3</v>
      </c>
      <c r="T375" s="11">
        <f t="shared" ca="1" si="200"/>
        <v>-4.9053934342410677E-4</v>
      </c>
      <c r="U375" s="11">
        <f t="shared" ca="1" si="201"/>
        <v>-5.5074395654535931E-3</v>
      </c>
      <c r="V375" s="11"/>
      <c r="W375" s="11">
        <f t="shared" ca="1" si="181"/>
        <v>0</v>
      </c>
      <c r="X375" s="2">
        <f t="shared" ca="1" si="182"/>
        <v>-1.6358405771021967E-4</v>
      </c>
      <c r="Y375" s="2">
        <f t="shared" ca="1" si="183"/>
        <v>-1.614029402377854E-3</v>
      </c>
      <c r="Z375" s="11">
        <f t="shared" ca="1" si="184"/>
        <v>-1.4853760121635622E-5</v>
      </c>
      <c r="AA375" s="2">
        <f t="shared" ca="1" si="185"/>
        <v>-1.1458026838550334E-3</v>
      </c>
      <c r="AB375" s="11">
        <f t="shared" ca="1" si="186"/>
        <v>-4.9053934342410677E-4</v>
      </c>
      <c r="AC375" s="2">
        <f t="shared" ca="1" si="187"/>
        <v>-5.5074395654535931E-3</v>
      </c>
      <c r="AF375" s="11">
        <f t="shared" ca="1" si="188"/>
        <v>0</v>
      </c>
      <c r="AG375" s="2">
        <f t="shared" ca="1" si="189"/>
        <v>-1.6358405771021967E-4</v>
      </c>
      <c r="AH375" s="2">
        <f t="shared" ca="1" si="190"/>
        <v>-1.614029402377854E-3</v>
      </c>
      <c r="AI375" s="2">
        <f t="shared" ca="1" si="191"/>
        <v>-1.4853760121635622E-5</v>
      </c>
      <c r="AJ375" s="2">
        <f t="shared" ca="1" si="192"/>
        <v>-1.1458026838550334E-3</v>
      </c>
      <c r="AK375" s="2">
        <f t="shared" ca="1" si="193"/>
        <v>-4.9053934342410677E-4</v>
      </c>
      <c r="AL375" s="2">
        <f t="shared" ca="1" si="194"/>
        <v>-5.5074395654535931E-3</v>
      </c>
      <c r="AN375" s="2" t="e">
        <f t="shared" ca="1" si="173"/>
        <v>#N/A</v>
      </c>
      <c r="AO375" s="2" t="e">
        <f t="shared" ca="1" si="174"/>
        <v>#N/A</v>
      </c>
      <c r="AP375" s="2" t="e">
        <f t="shared" ca="1" si="175"/>
        <v>#N/A</v>
      </c>
      <c r="AQ375" s="2" t="e">
        <f t="shared" ca="1" si="176"/>
        <v>#N/A</v>
      </c>
      <c r="AR375" s="2" t="e">
        <f t="shared" ca="1" si="177"/>
        <v>#N/A</v>
      </c>
      <c r="AS375" s="2" t="e">
        <f t="shared" ca="1" si="178"/>
        <v>#N/A</v>
      </c>
      <c r="AT375" s="9" t="e">
        <f t="shared" ca="1" si="179"/>
        <v>#N/A</v>
      </c>
      <c r="AU375" s="9" t="e">
        <f t="shared" ca="1" si="180"/>
        <v>#N/A</v>
      </c>
      <c r="AW375" s="2" t="e">
        <f t="shared" ca="1" si="202"/>
        <v>#N/A</v>
      </c>
      <c r="AX375" s="2" t="e">
        <f t="shared" ca="1" si="203"/>
        <v>#N/A</v>
      </c>
      <c r="AY375" s="2" t="e">
        <f t="shared" ca="1" si="204"/>
        <v>#N/A</v>
      </c>
      <c r="AZ375" s="2" t="e">
        <f t="shared" ca="1" si="205"/>
        <v>#N/A</v>
      </c>
      <c r="BA375" s="2" t="e">
        <f t="shared" ca="1" si="206"/>
        <v>#N/A</v>
      </c>
      <c r="BB375" s="2" t="e">
        <f t="shared" ca="1" si="207"/>
        <v>#N/A</v>
      </c>
      <c r="BC375" s="9" t="e">
        <f t="shared" ca="1" si="208"/>
        <v>#N/A</v>
      </c>
      <c r="BD375" s="9" t="e">
        <f t="shared" ca="1" si="209"/>
        <v>#N/A</v>
      </c>
    </row>
    <row r="376" spans="1:56" ht="15" x14ac:dyDescent="0.25">
      <c r="A376" s="63"/>
      <c r="B376" s="63"/>
      <c r="C376" s="64"/>
      <c r="D376" s="64"/>
      <c r="E376" s="64"/>
      <c r="F376" s="64"/>
      <c r="G376" s="64"/>
      <c r="H376" s="64"/>
      <c r="I376" s="64"/>
      <c r="J376" s="64"/>
      <c r="K376" s="64"/>
      <c r="L376" s="64"/>
      <c r="M376" s="64"/>
      <c r="O376" s="11">
        <f t="shared" ca="1" si="195"/>
        <v>-3.9378682616450625E-4</v>
      </c>
      <c r="P376" s="11">
        <f t="shared" ca="1" si="196"/>
        <v>-1.6358405771021967E-4</v>
      </c>
      <c r="Q376" s="11">
        <f t="shared" ca="1" si="197"/>
        <v>-1.614029402377854E-3</v>
      </c>
      <c r="R376" s="11">
        <f t="shared" ca="1" si="198"/>
        <v>-1.4853760121635622E-5</v>
      </c>
      <c r="S376" s="11">
        <f t="shared" ca="1" si="199"/>
        <v>-1.1458026838550334E-3</v>
      </c>
      <c r="T376" s="11">
        <f t="shared" ca="1" si="200"/>
        <v>-4.9053934342410677E-4</v>
      </c>
      <c r="U376" s="11">
        <f t="shared" ca="1" si="201"/>
        <v>-5.5074395654535931E-3</v>
      </c>
      <c r="V376" s="11"/>
      <c r="W376" s="11">
        <f t="shared" ca="1" si="181"/>
        <v>0</v>
      </c>
      <c r="X376" s="2">
        <f t="shared" ca="1" si="182"/>
        <v>-1.6358405771021967E-4</v>
      </c>
      <c r="Y376" s="2">
        <f t="shared" ca="1" si="183"/>
        <v>-1.614029402377854E-3</v>
      </c>
      <c r="Z376" s="11">
        <f t="shared" ca="1" si="184"/>
        <v>-1.4853760121635622E-5</v>
      </c>
      <c r="AA376" s="2">
        <f t="shared" ca="1" si="185"/>
        <v>-1.1458026838550334E-3</v>
      </c>
      <c r="AB376" s="11">
        <f t="shared" ca="1" si="186"/>
        <v>-4.9053934342410677E-4</v>
      </c>
      <c r="AC376" s="2">
        <f t="shared" ca="1" si="187"/>
        <v>-5.5074395654535931E-3</v>
      </c>
      <c r="AF376" s="11">
        <f t="shared" ca="1" si="188"/>
        <v>0</v>
      </c>
      <c r="AG376" s="2">
        <f t="shared" ca="1" si="189"/>
        <v>-1.6358405771021967E-4</v>
      </c>
      <c r="AH376" s="2">
        <f t="shared" ca="1" si="190"/>
        <v>-1.614029402377854E-3</v>
      </c>
      <c r="AI376" s="2">
        <f t="shared" ca="1" si="191"/>
        <v>-1.4853760121635622E-5</v>
      </c>
      <c r="AJ376" s="2">
        <f t="shared" ca="1" si="192"/>
        <v>-1.1458026838550334E-3</v>
      </c>
      <c r="AK376" s="2">
        <f t="shared" ca="1" si="193"/>
        <v>-4.9053934342410677E-4</v>
      </c>
      <c r="AL376" s="2">
        <f t="shared" ca="1" si="194"/>
        <v>-5.5074395654535931E-3</v>
      </c>
      <c r="AN376" s="2" t="e">
        <f t="shared" ca="1" si="173"/>
        <v>#N/A</v>
      </c>
      <c r="AO376" s="2" t="e">
        <f t="shared" ca="1" si="174"/>
        <v>#N/A</v>
      </c>
      <c r="AP376" s="2" t="e">
        <f t="shared" ca="1" si="175"/>
        <v>#N/A</v>
      </c>
      <c r="AQ376" s="2" t="e">
        <f t="shared" ca="1" si="176"/>
        <v>#N/A</v>
      </c>
      <c r="AR376" s="2" t="e">
        <f t="shared" ca="1" si="177"/>
        <v>#N/A</v>
      </c>
      <c r="AS376" s="2" t="e">
        <f t="shared" ca="1" si="178"/>
        <v>#N/A</v>
      </c>
      <c r="AT376" s="9" t="e">
        <f t="shared" ca="1" si="179"/>
        <v>#N/A</v>
      </c>
      <c r="AU376" s="9" t="e">
        <f t="shared" ca="1" si="180"/>
        <v>#N/A</v>
      </c>
      <c r="AW376" s="2" t="e">
        <f t="shared" ca="1" si="202"/>
        <v>#N/A</v>
      </c>
      <c r="AX376" s="2" t="e">
        <f t="shared" ca="1" si="203"/>
        <v>#N/A</v>
      </c>
      <c r="AY376" s="2" t="e">
        <f t="shared" ca="1" si="204"/>
        <v>#N/A</v>
      </c>
      <c r="AZ376" s="2" t="e">
        <f t="shared" ca="1" si="205"/>
        <v>#N/A</v>
      </c>
      <c r="BA376" s="2" t="e">
        <f t="shared" ca="1" si="206"/>
        <v>#N/A</v>
      </c>
      <c r="BB376" s="2" t="e">
        <f t="shared" ca="1" si="207"/>
        <v>#N/A</v>
      </c>
      <c r="BC376" s="9" t="e">
        <f t="shared" ca="1" si="208"/>
        <v>#N/A</v>
      </c>
      <c r="BD376" s="9" t="e">
        <f t="shared" ca="1" si="209"/>
        <v>#N/A</v>
      </c>
    </row>
    <row r="377" spans="1:56" ht="15" x14ac:dyDescent="0.25">
      <c r="A377" s="63"/>
      <c r="B377" s="63"/>
      <c r="C377" s="64"/>
      <c r="D377" s="64"/>
      <c r="E377" s="64"/>
      <c r="F377" s="64"/>
      <c r="G377" s="64"/>
      <c r="H377" s="64"/>
      <c r="I377" s="64"/>
      <c r="J377" s="64"/>
      <c r="K377" s="64"/>
      <c r="L377" s="64"/>
      <c r="M377" s="64"/>
      <c r="O377" s="11">
        <f t="shared" ca="1" si="195"/>
        <v>-3.9378682616450625E-4</v>
      </c>
      <c r="P377" s="11">
        <f t="shared" ca="1" si="196"/>
        <v>-1.6358405771021967E-4</v>
      </c>
      <c r="Q377" s="11">
        <f t="shared" ca="1" si="197"/>
        <v>-1.614029402377854E-3</v>
      </c>
      <c r="R377" s="11">
        <f t="shared" ca="1" si="198"/>
        <v>-1.4853760121635622E-5</v>
      </c>
      <c r="S377" s="11">
        <f t="shared" ca="1" si="199"/>
        <v>-1.1458026838550334E-3</v>
      </c>
      <c r="T377" s="11">
        <f t="shared" ca="1" si="200"/>
        <v>-4.9053934342410677E-4</v>
      </c>
      <c r="U377" s="11">
        <f t="shared" ca="1" si="201"/>
        <v>-5.5074395654535931E-3</v>
      </c>
      <c r="V377" s="11"/>
      <c r="W377" s="11">
        <f t="shared" ca="1" si="181"/>
        <v>0</v>
      </c>
      <c r="X377" s="2">
        <f t="shared" ca="1" si="182"/>
        <v>-1.6358405771021967E-4</v>
      </c>
      <c r="Y377" s="2">
        <f t="shared" ca="1" si="183"/>
        <v>-1.614029402377854E-3</v>
      </c>
      <c r="Z377" s="11">
        <f t="shared" ca="1" si="184"/>
        <v>-1.4853760121635622E-5</v>
      </c>
      <c r="AA377" s="2">
        <f t="shared" ca="1" si="185"/>
        <v>-1.1458026838550334E-3</v>
      </c>
      <c r="AB377" s="11">
        <f t="shared" ca="1" si="186"/>
        <v>-4.9053934342410677E-4</v>
      </c>
      <c r="AC377" s="2">
        <f t="shared" ca="1" si="187"/>
        <v>-5.5074395654535931E-3</v>
      </c>
      <c r="AF377" s="11">
        <f t="shared" ca="1" si="188"/>
        <v>0</v>
      </c>
      <c r="AG377" s="2">
        <f t="shared" ca="1" si="189"/>
        <v>-1.6358405771021967E-4</v>
      </c>
      <c r="AH377" s="2">
        <f t="shared" ca="1" si="190"/>
        <v>-1.614029402377854E-3</v>
      </c>
      <c r="AI377" s="2">
        <f t="shared" ca="1" si="191"/>
        <v>-1.4853760121635622E-5</v>
      </c>
      <c r="AJ377" s="2">
        <f t="shared" ca="1" si="192"/>
        <v>-1.1458026838550334E-3</v>
      </c>
      <c r="AK377" s="2">
        <f t="shared" ca="1" si="193"/>
        <v>-4.9053934342410677E-4</v>
      </c>
      <c r="AL377" s="2">
        <f t="shared" ca="1" si="194"/>
        <v>-5.5074395654535931E-3</v>
      </c>
      <c r="AN377" s="2" t="e">
        <f t="shared" ca="1" si="173"/>
        <v>#N/A</v>
      </c>
      <c r="AO377" s="2" t="e">
        <f t="shared" ca="1" si="174"/>
        <v>#N/A</v>
      </c>
      <c r="AP377" s="2" t="e">
        <f t="shared" ca="1" si="175"/>
        <v>#N/A</v>
      </c>
      <c r="AQ377" s="2" t="e">
        <f t="shared" ca="1" si="176"/>
        <v>#N/A</v>
      </c>
      <c r="AR377" s="2" t="e">
        <f t="shared" ca="1" si="177"/>
        <v>#N/A</v>
      </c>
      <c r="AS377" s="2" t="e">
        <f t="shared" ca="1" si="178"/>
        <v>#N/A</v>
      </c>
      <c r="AT377" s="9" t="e">
        <f t="shared" ca="1" si="179"/>
        <v>#N/A</v>
      </c>
      <c r="AU377" s="9" t="e">
        <f t="shared" ca="1" si="180"/>
        <v>#N/A</v>
      </c>
      <c r="AW377" s="2" t="e">
        <f t="shared" ca="1" si="202"/>
        <v>#N/A</v>
      </c>
      <c r="AX377" s="2" t="e">
        <f t="shared" ca="1" si="203"/>
        <v>#N/A</v>
      </c>
      <c r="AY377" s="2" t="e">
        <f t="shared" ca="1" si="204"/>
        <v>#N/A</v>
      </c>
      <c r="AZ377" s="2" t="e">
        <f t="shared" ca="1" si="205"/>
        <v>#N/A</v>
      </c>
      <c r="BA377" s="2" t="e">
        <f t="shared" ca="1" si="206"/>
        <v>#N/A</v>
      </c>
      <c r="BB377" s="2" t="e">
        <f t="shared" ca="1" si="207"/>
        <v>#N/A</v>
      </c>
      <c r="BC377" s="9" t="e">
        <f t="shared" ca="1" si="208"/>
        <v>#N/A</v>
      </c>
      <c r="BD377" s="9" t="e">
        <f t="shared" ca="1" si="209"/>
        <v>#N/A</v>
      </c>
    </row>
    <row r="378" spans="1:56" ht="15" x14ac:dyDescent="0.25">
      <c r="A378" s="63"/>
      <c r="B378" s="63"/>
      <c r="C378" s="64"/>
      <c r="D378" s="64"/>
      <c r="E378" s="64"/>
      <c r="F378" s="64"/>
      <c r="G378" s="64"/>
      <c r="H378" s="64"/>
      <c r="I378" s="64"/>
      <c r="J378" s="64"/>
      <c r="K378" s="64"/>
      <c r="L378" s="64"/>
      <c r="M378" s="64"/>
      <c r="O378" s="11">
        <f t="shared" ca="1" si="195"/>
        <v>-3.9378682616450625E-4</v>
      </c>
      <c r="P378" s="11">
        <f t="shared" ca="1" si="196"/>
        <v>-1.6358405771021967E-4</v>
      </c>
      <c r="Q378" s="11">
        <f t="shared" ca="1" si="197"/>
        <v>-1.614029402377854E-3</v>
      </c>
      <c r="R378" s="11">
        <f t="shared" ca="1" si="198"/>
        <v>-1.4853760121635622E-5</v>
      </c>
      <c r="S378" s="11">
        <f t="shared" ca="1" si="199"/>
        <v>-1.1458026838550334E-3</v>
      </c>
      <c r="T378" s="11">
        <f t="shared" ca="1" si="200"/>
        <v>-4.9053934342410677E-4</v>
      </c>
      <c r="U378" s="11">
        <f t="shared" ca="1" si="201"/>
        <v>-5.5074395654535931E-3</v>
      </c>
      <c r="V378" s="11"/>
      <c r="W378" s="11">
        <f t="shared" ca="1" si="181"/>
        <v>0</v>
      </c>
      <c r="X378" s="2">
        <f t="shared" ca="1" si="182"/>
        <v>-1.6358405771021967E-4</v>
      </c>
      <c r="Y378" s="2">
        <f t="shared" ca="1" si="183"/>
        <v>-1.614029402377854E-3</v>
      </c>
      <c r="Z378" s="11">
        <f t="shared" ca="1" si="184"/>
        <v>-1.4853760121635622E-5</v>
      </c>
      <c r="AA378" s="2">
        <f t="shared" ca="1" si="185"/>
        <v>-1.1458026838550334E-3</v>
      </c>
      <c r="AB378" s="11">
        <f t="shared" ca="1" si="186"/>
        <v>-4.9053934342410677E-4</v>
      </c>
      <c r="AC378" s="2">
        <f t="shared" ca="1" si="187"/>
        <v>-5.5074395654535931E-3</v>
      </c>
      <c r="AF378" s="11">
        <f t="shared" ca="1" si="188"/>
        <v>0</v>
      </c>
      <c r="AG378" s="2">
        <f t="shared" ca="1" si="189"/>
        <v>-1.6358405771021967E-4</v>
      </c>
      <c r="AH378" s="2">
        <f t="shared" ca="1" si="190"/>
        <v>-1.614029402377854E-3</v>
      </c>
      <c r="AI378" s="2">
        <f t="shared" ca="1" si="191"/>
        <v>-1.4853760121635622E-5</v>
      </c>
      <c r="AJ378" s="2">
        <f t="shared" ca="1" si="192"/>
        <v>-1.1458026838550334E-3</v>
      </c>
      <c r="AK378" s="2">
        <f t="shared" ca="1" si="193"/>
        <v>-4.9053934342410677E-4</v>
      </c>
      <c r="AL378" s="2">
        <f t="shared" ca="1" si="194"/>
        <v>-5.5074395654535931E-3</v>
      </c>
      <c r="AN378" s="2" t="e">
        <f t="shared" ca="1" si="173"/>
        <v>#N/A</v>
      </c>
      <c r="AO378" s="2" t="e">
        <f t="shared" ca="1" si="174"/>
        <v>#N/A</v>
      </c>
      <c r="AP378" s="2" t="e">
        <f t="shared" ca="1" si="175"/>
        <v>#N/A</v>
      </c>
      <c r="AQ378" s="2" t="e">
        <f t="shared" ca="1" si="176"/>
        <v>#N/A</v>
      </c>
      <c r="AR378" s="2" t="e">
        <f t="shared" ca="1" si="177"/>
        <v>#N/A</v>
      </c>
      <c r="AS378" s="2" t="e">
        <f t="shared" ca="1" si="178"/>
        <v>#N/A</v>
      </c>
      <c r="AT378" s="9" t="e">
        <f t="shared" ca="1" si="179"/>
        <v>#N/A</v>
      </c>
      <c r="AU378" s="9" t="e">
        <f t="shared" ca="1" si="180"/>
        <v>#N/A</v>
      </c>
      <c r="AW378" s="2" t="e">
        <f t="shared" ca="1" si="202"/>
        <v>#N/A</v>
      </c>
      <c r="AX378" s="2" t="e">
        <f t="shared" ca="1" si="203"/>
        <v>#N/A</v>
      </c>
      <c r="AY378" s="2" t="e">
        <f t="shared" ca="1" si="204"/>
        <v>#N/A</v>
      </c>
      <c r="AZ378" s="2" t="e">
        <f t="shared" ca="1" si="205"/>
        <v>#N/A</v>
      </c>
      <c r="BA378" s="2" t="e">
        <f t="shared" ca="1" si="206"/>
        <v>#N/A</v>
      </c>
      <c r="BB378" s="2" t="e">
        <f t="shared" ca="1" si="207"/>
        <v>#N/A</v>
      </c>
      <c r="BC378" s="9" t="e">
        <f t="shared" ca="1" si="208"/>
        <v>#N/A</v>
      </c>
      <c r="BD378" s="9" t="e">
        <f t="shared" ca="1" si="209"/>
        <v>#N/A</v>
      </c>
    </row>
    <row r="379" spans="1:56" ht="15" x14ac:dyDescent="0.25">
      <c r="A379" s="63"/>
      <c r="B379" s="63"/>
      <c r="C379" s="64"/>
      <c r="D379" s="64"/>
      <c r="E379" s="64"/>
      <c r="F379" s="64"/>
      <c r="G379" s="64"/>
      <c r="H379" s="64"/>
      <c r="I379" s="64"/>
      <c r="J379" s="64"/>
      <c r="K379" s="64"/>
      <c r="L379" s="64"/>
      <c r="M379" s="64"/>
      <c r="O379" s="11">
        <f t="shared" ca="1" si="195"/>
        <v>-3.9378682616450625E-4</v>
      </c>
      <c r="P379" s="11">
        <f t="shared" ca="1" si="196"/>
        <v>-1.6358405771021967E-4</v>
      </c>
      <c r="Q379" s="11">
        <f t="shared" ca="1" si="197"/>
        <v>-1.614029402377854E-3</v>
      </c>
      <c r="R379" s="11">
        <f t="shared" ca="1" si="198"/>
        <v>-1.4853760121635622E-5</v>
      </c>
      <c r="S379" s="11">
        <f t="shared" ca="1" si="199"/>
        <v>-1.1458026838550334E-3</v>
      </c>
      <c r="T379" s="11">
        <f t="shared" ca="1" si="200"/>
        <v>-4.9053934342410677E-4</v>
      </c>
      <c r="U379" s="11">
        <f t="shared" ca="1" si="201"/>
        <v>-5.5074395654535931E-3</v>
      </c>
      <c r="V379" s="11"/>
      <c r="W379" s="11">
        <f t="shared" ca="1" si="181"/>
        <v>0</v>
      </c>
      <c r="X379" s="2">
        <f t="shared" ca="1" si="182"/>
        <v>-1.6358405771021967E-4</v>
      </c>
      <c r="Y379" s="2">
        <f t="shared" ca="1" si="183"/>
        <v>-1.614029402377854E-3</v>
      </c>
      <c r="Z379" s="11">
        <f t="shared" ca="1" si="184"/>
        <v>-1.4853760121635622E-5</v>
      </c>
      <c r="AA379" s="2">
        <f t="shared" ca="1" si="185"/>
        <v>-1.1458026838550334E-3</v>
      </c>
      <c r="AB379" s="11">
        <f t="shared" ca="1" si="186"/>
        <v>-4.9053934342410677E-4</v>
      </c>
      <c r="AC379" s="2">
        <f t="shared" ca="1" si="187"/>
        <v>-5.5074395654535931E-3</v>
      </c>
      <c r="AF379" s="11">
        <f t="shared" ca="1" si="188"/>
        <v>0</v>
      </c>
      <c r="AG379" s="2">
        <f t="shared" ca="1" si="189"/>
        <v>-1.6358405771021967E-4</v>
      </c>
      <c r="AH379" s="2">
        <f t="shared" ca="1" si="190"/>
        <v>-1.614029402377854E-3</v>
      </c>
      <c r="AI379" s="2">
        <f t="shared" ca="1" si="191"/>
        <v>-1.4853760121635622E-5</v>
      </c>
      <c r="AJ379" s="2">
        <f t="shared" ca="1" si="192"/>
        <v>-1.1458026838550334E-3</v>
      </c>
      <c r="AK379" s="2">
        <f t="shared" ca="1" si="193"/>
        <v>-4.9053934342410677E-4</v>
      </c>
      <c r="AL379" s="2">
        <f t="shared" ca="1" si="194"/>
        <v>-5.5074395654535931E-3</v>
      </c>
      <c r="AN379" s="2" t="e">
        <f t="shared" ca="1" si="173"/>
        <v>#N/A</v>
      </c>
      <c r="AO379" s="2" t="e">
        <f t="shared" ca="1" si="174"/>
        <v>#N/A</v>
      </c>
      <c r="AP379" s="2" t="e">
        <f t="shared" ca="1" si="175"/>
        <v>#N/A</v>
      </c>
      <c r="AQ379" s="2" t="e">
        <f t="shared" ca="1" si="176"/>
        <v>#N/A</v>
      </c>
      <c r="AR379" s="2" t="e">
        <f t="shared" ca="1" si="177"/>
        <v>#N/A</v>
      </c>
      <c r="AS379" s="2" t="e">
        <f t="shared" ca="1" si="178"/>
        <v>#N/A</v>
      </c>
      <c r="AT379" s="9" t="e">
        <f t="shared" ca="1" si="179"/>
        <v>#N/A</v>
      </c>
      <c r="AU379" s="9" t="e">
        <f t="shared" ca="1" si="180"/>
        <v>#N/A</v>
      </c>
      <c r="AW379" s="2" t="e">
        <f t="shared" ca="1" si="202"/>
        <v>#N/A</v>
      </c>
      <c r="AX379" s="2" t="e">
        <f t="shared" ca="1" si="203"/>
        <v>#N/A</v>
      </c>
      <c r="AY379" s="2" t="e">
        <f t="shared" ca="1" si="204"/>
        <v>#N/A</v>
      </c>
      <c r="AZ379" s="2" t="e">
        <f t="shared" ca="1" si="205"/>
        <v>#N/A</v>
      </c>
      <c r="BA379" s="2" t="e">
        <f t="shared" ca="1" si="206"/>
        <v>#N/A</v>
      </c>
      <c r="BB379" s="2" t="e">
        <f t="shared" ca="1" si="207"/>
        <v>#N/A</v>
      </c>
      <c r="BC379" s="9" t="e">
        <f t="shared" ca="1" si="208"/>
        <v>#N/A</v>
      </c>
      <c r="BD379" s="9" t="e">
        <f t="shared" ca="1" si="209"/>
        <v>#N/A</v>
      </c>
    </row>
    <row r="380" spans="1:56" ht="15" x14ac:dyDescent="0.25">
      <c r="A380" s="63"/>
      <c r="B380" s="63"/>
      <c r="C380" s="64"/>
      <c r="D380" s="64"/>
      <c r="E380" s="64"/>
      <c r="F380" s="64"/>
      <c r="G380" s="64"/>
      <c r="H380" s="64"/>
      <c r="I380" s="64"/>
      <c r="J380" s="64"/>
      <c r="K380" s="64"/>
      <c r="L380" s="64"/>
      <c r="M380" s="64"/>
      <c r="O380" s="11">
        <f t="shared" ca="1" si="195"/>
        <v>-3.9378682616450625E-4</v>
      </c>
      <c r="P380" s="11">
        <f t="shared" ca="1" si="196"/>
        <v>-1.6358405771021967E-4</v>
      </c>
      <c r="Q380" s="11">
        <f t="shared" ca="1" si="197"/>
        <v>-1.614029402377854E-3</v>
      </c>
      <c r="R380" s="11">
        <f t="shared" ca="1" si="198"/>
        <v>-1.4853760121635622E-5</v>
      </c>
      <c r="S380" s="11">
        <f t="shared" ca="1" si="199"/>
        <v>-1.1458026838550334E-3</v>
      </c>
      <c r="T380" s="11">
        <f t="shared" ca="1" si="200"/>
        <v>-4.9053934342410677E-4</v>
      </c>
      <c r="U380" s="11">
        <f t="shared" ca="1" si="201"/>
        <v>-5.5074395654535931E-3</v>
      </c>
      <c r="V380" s="11"/>
      <c r="W380" s="11">
        <f t="shared" ca="1" si="181"/>
        <v>0</v>
      </c>
      <c r="X380" s="2">
        <f t="shared" ca="1" si="182"/>
        <v>-1.6358405771021967E-4</v>
      </c>
      <c r="Y380" s="2">
        <f t="shared" ca="1" si="183"/>
        <v>-1.614029402377854E-3</v>
      </c>
      <c r="Z380" s="11">
        <f t="shared" ca="1" si="184"/>
        <v>-1.4853760121635622E-5</v>
      </c>
      <c r="AA380" s="2">
        <f t="shared" ca="1" si="185"/>
        <v>-1.1458026838550334E-3</v>
      </c>
      <c r="AB380" s="11">
        <f t="shared" ca="1" si="186"/>
        <v>-4.9053934342410677E-4</v>
      </c>
      <c r="AC380" s="2">
        <f t="shared" ca="1" si="187"/>
        <v>-5.5074395654535931E-3</v>
      </c>
      <c r="AF380" s="11">
        <f t="shared" ca="1" si="188"/>
        <v>0</v>
      </c>
      <c r="AG380" s="2">
        <f t="shared" ca="1" si="189"/>
        <v>-1.6358405771021967E-4</v>
      </c>
      <c r="AH380" s="2">
        <f t="shared" ca="1" si="190"/>
        <v>-1.614029402377854E-3</v>
      </c>
      <c r="AI380" s="2">
        <f t="shared" ca="1" si="191"/>
        <v>-1.4853760121635622E-5</v>
      </c>
      <c r="AJ380" s="2">
        <f t="shared" ca="1" si="192"/>
        <v>-1.1458026838550334E-3</v>
      </c>
      <c r="AK380" s="2">
        <f t="shared" ca="1" si="193"/>
        <v>-4.9053934342410677E-4</v>
      </c>
      <c r="AL380" s="2">
        <f t="shared" ca="1" si="194"/>
        <v>-5.5074395654535931E-3</v>
      </c>
      <c r="AN380" s="2" t="e">
        <f t="shared" ca="1" si="173"/>
        <v>#N/A</v>
      </c>
      <c r="AO380" s="2" t="e">
        <f t="shared" ca="1" si="174"/>
        <v>#N/A</v>
      </c>
      <c r="AP380" s="2" t="e">
        <f t="shared" ca="1" si="175"/>
        <v>#N/A</v>
      </c>
      <c r="AQ380" s="2" t="e">
        <f t="shared" ca="1" si="176"/>
        <v>#N/A</v>
      </c>
      <c r="AR380" s="2" t="e">
        <f t="shared" ca="1" si="177"/>
        <v>#N/A</v>
      </c>
      <c r="AS380" s="2" t="e">
        <f t="shared" ca="1" si="178"/>
        <v>#N/A</v>
      </c>
      <c r="AT380" s="9" t="e">
        <f t="shared" ca="1" si="179"/>
        <v>#N/A</v>
      </c>
      <c r="AU380" s="9" t="e">
        <f t="shared" ca="1" si="180"/>
        <v>#N/A</v>
      </c>
      <c r="AW380" s="2" t="e">
        <f t="shared" ca="1" si="202"/>
        <v>#N/A</v>
      </c>
      <c r="AX380" s="2" t="e">
        <f t="shared" ca="1" si="203"/>
        <v>#N/A</v>
      </c>
      <c r="AY380" s="2" t="e">
        <f t="shared" ca="1" si="204"/>
        <v>#N/A</v>
      </c>
      <c r="AZ380" s="2" t="e">
        <f t="shared" ca="1" si="205"/>
        <v>#N/A</v>
      </c>
      <c r="BA380" s="2" t="e">
        <f t="shared" ca="1" si="206"/>
        <v>#N/A</v>
      </c>
      <c r="BB380" s="2" t="e">
        <f t="shared" ca="1" si="207"/>
        <v>#N/A</v>
      </c>
      <c r="BC380" s="9" t="e">
        <f t="shared" ca="1" si="208"/>
        <v>#N/A</v>
      </c>
      <c r="BD380" s="9" t="e">
        <f t="shared" ca="1" si="209"/>
        <v>#N/A</v>
      </c>
    </row>
    <row r="381" spans="1:56" ht="15" x14ac:dyDescent="0.25">
      <c r="A381" s="63"/>
      <c r="B381" s="63"/>
      <c r="C381" s="64"/>
      <c r="D381" s="64"/>
      <c r="E381" s="64"/>
      <c r="F381" s="64"/>
      <c r="G381" s="64"/>
      <c r="H381" s="64"/>
      <c r="I381" s="64"/>
      <c r="J381" s="64"/>
      <c r="K381" s="64"/>
      <c r="L381" s="64"/>
      <c r="M381" s="64"/>
      <c r="O381" s="11">
        <f t="shared" ca="1" si="195"/>
        <v>-3.9378682616450625E-4</v>
      </c>
      <c r="P381" s="11">
        <f t="shared" ca="1" si="196"/>
        <v>-1.6358405771021967E-4</v>
      </c>
      <c r="Q381" s="11">
        <f t="shared" ca="1" si="197"/>
        <v>-1.614029402377854E-3</v>
      </c>
      <c r="R381" s="11">
        <f t="shared" ca="1" si="198"/>
        <v>-1.4853760121635622E-5</v>
      </c>
      <c r="S381" s="11">
        <f t="shared" ca="1" si="199"/>
        <v>-1.1458026838550334E-3</v>
      </c>
      <c r="T381" s="11">
        <f t="shared" ca="1" si="200"/>
        <v>-4.9053934342410677E-4</v>
      </c>
      <c r="U381" s="11">
        <f t="shared" ca="1" si="201"/>
        <v>-5.5074395654535931E-3</v>
      </c>
      <c r="V381" s="11"/>
      <c r="W381" s="11">
        <f t="shared" ca="1" si="181"/>
        <v>0</v>
      </c>
      <c r="X381" s="2">
        <f t="shared" ca="1" si="182"/>
        <v>-1.6358405771021967E-4</v>
      </c>
      <c r="Y381" s="2">
        <f t="shared" ca="1" si="183"/>
        <v>-1.614029402377854E-3</v>
      </c>
      <c r="Z381" s="11">
        <f t="shared" ca="1" si="184"/>
        <v>-1.4853760121635622E-5</v>
      </c>
      <c r="AA381" s="2">
        <f t="shared" ca="1" si="185"/>
        <v>-1.1458026838550334E-3</v>
      </c>
      <c r="AB381" s="11">
        <f t="shared" ca="1" si="186"/>
        <v>-4.9053934342410677E-4</v>
      </c>
      <c r="AC381" s="2">
        <f t="shared" ca="1" si="187"/>
        <v>-5.5074395654535931E-3</v>
      </c>
      <c r="AF381" s="11">
        <f t="shared" ca="1" si="188"/>
        <v>0</v>
      </c>
      <c r="AG381" s="2">
        <f t="shared" ca="1" si="189"/>
        <v>-1.6358405771021967E-4</v>
      </c>
      <c r="AH381" s="2">
        <f t="shared" ca="1" si="190"/>
        <v>-1.614029402377854E-3</v>
      </c>
      <c r="AI381" s="2">
        <f t="shared" ca="1" si="191"/>
        <v>-1.4853760121635622E-5</v>
      </c>
      <c r="AJ381" s="2">
        <f t="shared" ca="1" si="192"/>
        <v>-1.1458026838550334E-3</v>
      </c>
      <c r="AK381" s="2">
        <f t="shared" ca="1" si="193"/>
        <v>-4.9053934342410677E-4</v>
      </c>
      <c r="AL381" s="2">
        <f t="shared" ca="1" si="194"/>
        <v>-5.5074395654535931E-3</v>
      </c>
      <c r="AN381" s="2" t="e">
        <f t="shared" ca="1" si="173"/>
        <v>#N/A</v>
      </c>
      <c r="AO381" s="2" t="e">
        <f t="shared" ca="1" si="174"/>
        <v>#N/A</v>
      </c>
      <c r="AP381" s="2" t="e">
        <f t="shared" ca="1" si="175"/>
        <v>#N/A</v>
      </c>
      <c r="AQ381" s="2" t="e">
        <f t="shared" ca="1" si="176"/>
        <v>#N/A</v>
      </c>
      <c r="AR381" s="2" t="e">
        <f t="shared" ca="1" si="177"/>
        <v>#N/A</v>
      </c>
      <c r="AS381" s="2" t="e">
        <f t="shared" ca="1" si="178"/>
        <v>#N/A</v>
      </c>
      <c r="AT381" s="9" t="e">
        <f t="shared" ca="1" si="179"/>
        <v>#N/A</v>
      </c>
      <c r="AU381" s="9" t="e">
        <f t="shared" ca="1" si="180"/>
        <v>#N/A</v>
      </c>
      <c r="AW381" s="2" t="e">
        <f t="shared" ca="1" si="202"/>
        <v>#N/A</v>
      </c>
      <c r="AX381" s="2" t="e">
        <f t="shared" ca="1" si="203"/>
        <v>#N/A</v>
      </c>
      <c r="AY381" s="2" t="e">
        <f t="shared" ca="1" si="204"/>
        <v>#N/A</v>
      </c>
      <c r="AZ381" s="2" t="e">
        <f t="shared" ca="1" si="205"/>
        <v>#N/A</v>
      </c>
      <c r="BA381" s="2" t="e">
        <f t="shared" ca="1" si="206"/>
        <v>#N/A</v>
      </c>
      <c r="BB381" s="2" t="e">
        <f t="shared" ca="1" si="207"/>
        <v>#N/A</v>
      </c>
      <c r="BC381" s="9" t="e">
        <f t="shared" ca="1" si="208"/>
        <v>#N/A</v>
      </c>
      <c r="BD381" s="9" t="e">
        <f t="shared" ca="1" si="209"/>
        <v>#N/A</v>
      </c>
    </row>
    <row r="382" spans="1:56" ht="15" x14ac:dyDescent="0.25">
      <c r="A382" s="63"/>
      <c r="B382" s="63"/>
      <c r="C382" s="64"/>
      <c r="D382" s="64"/>
      <c r="E382" s="64"/>
      <c r="F382" s="64"/>
      <c r="G382" s="64"/>
      <c r="H382" s="64"/>
      <c r="I382" s="64"/>
      <c r="J382" s="64"/>
      <c r="K382" s="64"/>
      <c r="L382" s="64"/>
      <c r="M382" s="64"/>
      <c r="O382" s="11">
        <f t="shared" ca="1" si="195"/>
        <v>-3.9378682616450625E-4</v>
      </c>
      <c r="P382" s="11">
        <f t="shared" ca="1" si="196"/>
        <v>-1.6358405771021967E-4</v>
      </c>
      <c r="Q382" s="11">
        <f t="shared" ca="1" si="197"/>
        <v>-1.614029402377854E-3</v>
      </c>
      <c r="R382" s="11">
        <f t="shared" ca="1" si="198"/>
        <v>-1.4853760121635622E-5</v>
      </c>
      <c r="S382" s="11">
        <f t="shared" ca="1" si="199"/>
        <v>-1.1458026838550334E-3</v>
      </c>
      <c r="T382" s="11">
        <f t="shared" ca="1" si="200"/>
        <v>-4.9053934342410677E-4</v>
      </c>
      <c r="U382" s="11">
        <f t="shared" ca="1" si="201"/>
        <v>-5.5074395654535931E-3</v>
      </c>
      <c r="V382" s="11"/>
      <c r="W382" s="11">
        <f t="shared" ca="1" si="181"/>
        <v>0</v>
      </c>
      <c r="X382" s="2">
        <f t="shared" ca="1" si="182"/>
        <v>-1.6358405771021967E-4</v>
      </c>
      <c r="Y382" s="2">
        <f t="shared" ca="1" si="183"/>
        <v>-1.614029402377854E-3</v>
      </c>
      <c r="Z382" s="11">
        <f t="shared" ca="1" si="184"/>
        <v>-1.4853760121635622E-5</v>
      </c>
      <c r="AA382" s="2">
        <f t="shared" ca="1" si="185"/>
        <v>-1.1458026838550334E-3</v>
      </c>
      <c r="AB382" s="11">
        <f t="shared" ca="1" si="186"/>
        <v>-4.9053934342410677E-4</v>
      </c>
      <c r="AC382" s="2">
        <f t="shared" ca="1" si="187"/>
        <v>-5.5074395654535931E-3</v>
      </c>
      <c r="AF382" s="11">
        <f t="shared" ca="1" si="188"/>
        <v>0</v>
      </c>
      <c r="AG382" s="2">
        <f t="shared" ca="1" si="189"/>
        <v>-1.6358405771021967E-4</v>
      </c>
      <c r="AH382" s="2">
        <f t="shared" ca="1" si="190"/>
        <v>-1.614029402377854E-3</v>
      </c>
      <c r="AI382" s="2">
        <f t="shared" ca="1" si="191"/>
        <v>-1.4853760121635622E-5</v>
      </c>
      <c r="AJ382" s="2">
        <f t="shared" ca="1" si="192"/>
        <v>-1.1458026838550334E-3</v>
      </c>
      <c r="AK382" s="2">
        <f t="shared" ca="1" si="193"/>
        <v>-4.9053934342410677E-4</v>
      </c>
      <c r="AL382" s="2">
        <f t="shared" ca="1" si="194"/>
        <v>-5.5074395654535931E-3</v>
      </c>
      <c r="AN382" s="2" t="e">
        <f t="shared" ca="1" si="173"/>
        <v>#N/A</v>
      </c>
      <c r="AO382" s="2" t="e">
        <f t="shared" ca="1" si="174"/>
        <v>#N/A</v>
      </c>
      <c r="AP382" s="2" t="e">
        <f t="shared" ca="1" si="175"/>
        <v>#N/A</v>
      </c>
      <c r="AQ382" s="2" t="e">
        <f t="shared" ca="1" si="176"/>
        <v>#N/A</v>
      </c>
      <c r="AR382" s="2" t="e">
        <f t="shared" ca="1" si="177"/>
        <v>#N/A</v>
      </c>
      <c r="AS382" s="2" t="e">
        <f t="shared" ca="1" si="178"/>
        <v>#N/A</v>
      </c>
      <c r="AT382" s="9" t="e">
        <f t="shared" ca="1" si="179"/>
        <v>#N/A</v>
      </c>
      <c r="AU382" s="9" t="e">
        <f t="shared" ca="1" si="180"/>
        <v>#N/A</v>
      </c>
      <c r="AW382" s="2" t="e">
        <f t="shared" ca="1" si="202"/>
        <v>#N/A</v>
      </c>
      <c r="AX382" s="2" t="e">
        <f t="shared" ca="1" si="203"/>
        <v>#N/A</v>
      </c>
      <c r="AY382" s="2" t="e">
        <f t="shared" ca="1" si="204"/>
        <v>#N/A</v>
      </c>
      <c r="AZ382" s="2" t="e">
        <f t="shared" ca="1" si="205"/>
        <v>#N/A</v>
      </c>
      <c r="BA382" s="2" t="e">
        <f t="shared" ca="1" si="206"/>
        <v>#N/A</v>
      </c>
      <c r="BB382" s="2" t="e">
        <f t="shared" ca="1" si="207"/>
        <v>#N/A</v>
      </c>
      <c r="BC382" s="9" t="e">
        <f t="shared" ca="1" si="208"/>
        <v>#N/A</v>
      </c>
      <c r="BD382" s="9" t="e">
        <f t="shared" ca="1" si="209"/>
        <v>#N/A</v>
      </c>
    </row>
    <row r="383" spans="1:56" ht="15" x14ac:dyDescent="0.25">
      <c r="A383" s="63"/>
      <c r="B383" s="63"/>
      <c r="C383" s="64"/>
      <c r="D383" s="64"/>
      <c r="E383" s="64"/>
      <c r="F383" s="64"/>
      <c r="G383" s="64"/>
      <c r="H383" s="64"/>
      <c r="I383" s="64"/>
      <c r="J383" s="64"/>
      <c r="K383" s="64"/>
      <c r="L383" s="64"/>
      <c r="M383" s="64"/>
      <c r="O383" s="11">
        <f t="shared" ca="1" si="195"/>
        <v>-3.9378682616450625E-4</v>
      </c>
      <c r="P383" s="11">
        <f t="shared" ca="1" si="196"/>
        <v>-1.6358405771021967E-4</v>
      </c>
      <c r="Q383" s="11">
        <f t="shared" ca="1" si="197"/>
        <v>-1.614029402377854E-3</v>
      </c>
      <c r="R383" s="11">
        <f t="shared" ca="1" si="198"/>
        <v>-1.4853760121635622E-5</v>
      </c>
      <c r="S383" s="11">
        <f t="shared" ca="1" si="199"/>
        <v>-1.1458026838550334E-3</v>
      </c>
      <c r="T383" s="11">
        <f t="shared" ca="1" si="200"/>
        <v>-4.9053934342410677E-4</v>
      </c>
      <c r="U383" s="11">
        <f t="shared" ca="1" si="201"/>
        <v>-5.5074395654535931E-3</v>
      </c>
      <c r="V383" s="11"/>
      <c r="W383" s="11">
        <f t="shared" ca="1" si="181"/>
        <v>0</v>
      </c>
      <c r="X383" s="2">
        <f t="shared" ca="1" si="182"/>
        <v>-1.6358405771021967E-4</v>
      </c>
      <c r="Y383" s="2">
        <f t="shared" ca="1" si="183"/>
        <v>-1.614029402377854E-3</v>
      </c>
      <c r="Z383" s="11">
        <f t="shared" ca="1" si="184"/>
        <v>-1.4853760121635622E-5</v>
      </c>
      <c r="AA383" s="2">
        <f t="shared" ca="1" si="185"/>
        <v>-1.1458026838550334E-3</v>
      </c>
      <c r="AB383" s="11">
        <f t="shared" ca="1" si="186"/>
        <v>-4.9053934342410677E-4</v>
      </c>
      <c r="AC383" s="2">
        <f t="shared" ca="1" si="187"/>
        <v>-5.5074395654535931E-3</v>
      </c>
      <c r="AF383" s="11">
        <f t="shared" ca="1" si="188"/>
        <v>0</v>
      </c>
      <c r="AG383" s="2">
        <f t="shared" ca="1" si="189"/>
        <v>-1.6358405771021967E-4</v>
      </c>
      <c r="AH383" s="2">
        <f t="shared" ca="1" si="190"/>
        <v>-1.614029402377854E-3</v>
      </c>
      <c r="AI383" s="2">
        <f t="shared" ca="1" si="191"/>
        <v>-1.4853760121635622E-5</v>
      </c>
      <c r="AJ383" s="2">
        <f t="shared" ca="1" si="192"/>
        <v>-1.1458026838550334E-3</v>
      </c>
      <c r="AK383" s="2">
        <f t="shared" ca="1" si="193"/>
        <v>-4.9053934342410677E-4</v>
      </c>
      <c r="AL383" s="2">
        <f t="shared" ca="1" si="194"/>
        <v>-5.5074395654535931E-3</v>
      </c>
      <c r="AN383" s="2" t="e">
        <f t="shared" ca="1" si="173"/>
        <v>#N/A</v>
      </c>
      <c r="AO383" s="2" t="e">
        <f t="shared" ca="1" si="174"/>
        <v>#N/A</v>
      </c>
      <c r="AP383" s="2" t="e">
        <f t="shared" ca="1" si="175"/>
        <v>#N/A</v>
      </c>
      <c r="AQ383" s="2" t="e">
        <f t="shared" ca="1" si="176"/>
        <v>#N/A</v>
      </c>
      <c r="AR383" s="2" t="e">
        <f t="shared" ca="1" si="177"/>
        <v>#N/A</v>
      </c>
      <c r="AS383" s="2" t="e">
        <f t="shared" ca="1" si="178"/>
        <v>#N/A</v>
      </c>
      <c r="AT383" s="9" t="e">
        <f t="shared" ca="1" si="179"/>
        <v>#N/A</v>
      </c>
      <c r="AU383" s="9" t="e">
        <f t="shared" ca="1" si="180"/>
        <v>#N/A</v>
      </c>
      <c r="AW383" s="2" t="e">
        <f t="shared" ca="1" si="202"/>
        <v>#N/A</v>
      </c>
      <c r="AX383" s="2" t="e">
        <f t="shared" ca="1" si="203"/>
        <v>#N/A</v>
      </c>
      <c r="AY383" s="2" t="e">
        <f t="shared" ca="1" si="204"/>
        <v>#N/A</v>
      </c>
      <c r="AZ383" s="2" t="e">
        <f t="shared" ca="1" si="205"/>
        <v>#N/A</v>
      </c>
      <c r="BA383" s="2" t="e">
        <f t="shared" ca="1" si="206"/>
        <v>#N/A</v>
      </c>
      <c r="BB383" s="2" t="e">
        <f t="shared" ca="1" si="207"/>
        <v>#N/A</v>
      </c>
      <c r="BC383" s="9" t="e">
        <f t="shared" ca="1" si="208"/>
        <v>#N/A</v>
      </c>
      <c r="BD383" s="9" t="e">
        <f t="shared" ca="1" si="209"/>
        <v>#N/A</v>
      </c>
    </row>
    <row r="384" spans="1:56" ht="15" x14ac:dyDescent="0.25">
      <c r="A384" s="63"/>
      <c r="B384" s="63"/>
      <c r="C384" s="64"/>
      <c r="D384" s="64"/>
      <c r="E384" s="64"/>
      <c r="F384" s="64"/>
      <c r="G384" s="64"/>
      <c r="H384" s="64"/>
      <c r="I384" s="64"/>
      <c r="J384" s="64"/>
      <c r="K384" s="64"/>
      <c r="L384" s="64"/>
      <c r="M384" s="64"/>
      <c r="O384" s="11">
        <f t="shared" ca="1" si="195"/>
        <v>-3.9378682616450625E-4</v>
      </c>
      <c r="P384" s="11">
        <f t="shared" ca="1" si="196"/>
        <v>-1.6358405771021967E-4</v>
      </c>
      <c r="Q384" s="11">
        <f t="shared" ca="1" si="197"/>
        <v>-1.614029402377854E-3</v>
      </c>
      <c r="R384" s="11">
        <f t="shared" ca="1" si="198"/>
        <v>-1.4853760121635622E-5</v>
      </c>
      <c r="S384" s="11">
        <f t="shared" ca="1" si="199"/>
        <v>-1.1458026838550334E-3</v>
      </c>
      <c r="T384" s="11">
        <f t="shared" ca="1" si="200"/>
        <v>-4.9053934342410677E-4</v>
      </c>
      <c r="U384" s="11">
        <f t="shared" ca="1" si="201"/>
        <v>-5.5074395654535931E-3</v>
      </c>
      <c r="V384" s="11"/>
      <c r="W384" s="11">
        <f t="shared" ca="1" si="181"/>
        <v>0</v>
      </c>
      <c r="X384" s="2">
        <f t="shared" ca="1" si="182"/>
        <v>-1.6358405771021967E-4</v>
      </c>
      <c r="Y384" s="2">
        <f t="shared" ca="1" si="183"/>
        <v>-1.614029402377854E-3</v>
      </c>
      <c r="Z384" s="11">
        <f t="shared" ca="1" si="184"/>
        <v>-1.4853760121635622E-5</v>
      </c>
      <c r="AA384" s="2">
        <f t="shared" ca="1" si="185"/>
        <v>-1.1458026838550334E-3</v>
      </c>
      <c r="AB384" s="11">
        <f t="shared" ca="1" si="186"/>
        <v>-4.9053934342410677E-4</v>
      </c>
      <c r="AC384" s="2">
        <f t="shared" ca="1" si="187"/>
        <v>-5.5074395654535931E-3</v>
      </c>
      <c r="AF384" s="11">
        <f t="shared" ca="1" si="188"/>
        <v>0</v>
      </c>
      <c r="AG384" s="2">
        <f t="shared" ca="1" si="189"/>
        <v>-1.6358405771021967E-4</v>
      </c>
      <c r="AH384" s="2">
        <f t="shared" ca="1" si="190"/>
        <v>-1.614029402377854E-3</v>
      </c>
      <c r="AI384" s="2">
        <f t="shared" ca="1" si="191"/>
        <v>-1.4853760121635622E-5</v>
      </c>
      <c r="AJ384" s="2">
        <f t="shared" ca="1" si="192"/>
        <v>-1.1458026838550334E-3</v>
      </c>
      <c r="AK384" s="2">
        <f t="shared" ca="1" si="193"/>
        <v>-4.9053934342410677E-4</v>
      </c>
      <c r="AL384" s="2">
        <f t="shared" ca="1" si="194"/>
        <v>-5.5074395654535931E-3</v>
      </c>
      <c r="AN384" s="2" t="e">
        <f t="shared" ca="1" si="173"/>
        <v>#N/A</v>
      </c>
      <c r="AO384" s="2" t="e">
        <f t="shared" ca="1" si="174"/>
        <v>#N/A</v>
      </c>
      <c r="AP384" s="2" t="e">
        <f t="shared" ca="1" si="175"/>
        <v>#N/A</v>
      </c>
      <c r="AQ384" s="2" t="e">
        <f t="shared" ca="1" si="176"/>
        <v>#N/A</v>
      </c>
      <c r="AR384" s="2" t="e">
        <f t="shared" ca="1" si="177"/>
        <v>#N/A</v>
      </c>
      <c r="AS384" s="2" t="e">
        <f t="shared" ca="1" si="178"/>
        <v>#N/A</v>
      </c>
      <c r="AT384" s="9" t="e">
        <f t="shared" ca="1" si="179"/>
        <v>#N/A</v>
      </c>
      <c r="AU384" s="9" t="e">
        <f t="shared" ca="1" si="180"/>
        <v>#N/A</v>
      </c>
      <c r="AW384" s="2" t="e">
        <f t="shared" ca="1" si="202"/>
        <v>#N/A</v>
      </c>
      <c r="AX384" s="2" t="e">
        <f t="shared" ca="1" si="203"/>
        <v>#N/A</v>
      </c>
      <c r="AY384" s="2" t="e">
        <f t="shared" ca="1" si="204"/>
        <v>#N/A</v>
      </c>
      <c r="AZ384" s="2" t="e">
        <f t="shared" ca="1" si="205"/>
        <v>#N/A</v>
      </c>
      <c r="BA384" s="2" t="e">
        <f t="shared" ca="1" si="206"/>
        <v>#N/A</v>
      </c>
      <c r="BB384" s="2" t="e">
        <f t="shared" ca="1" si="207"/>
        <v>#N/A</v>
      </c>
      <c r="BC384" s="9" t="e">
        <f t="shared" ca="1" si="208"/>
        <v>#N/A</v>
      </c>
      <c r="BD384" s="9" t="e">
        <f t="shared" ca="1" si="209"/>
        <v>#N/A</v>
      </c>
    </row>
    <row r="385" spans="1:56" ht="15" x14ac:dyDescent="0.25">
      <c r="A385" s="63"/>
      <c r="B385" s="63"/>
      <c r="C385" s="64"/>
      <c r="D385" s="64"/>
      <c r="E385" s="64"/>
      <c r="F385" s="64"/>
      <c r="G385" s="64"/>
      <c r="H385" s="64"/>
      <c r="I385" s="64"/>
      <c r="J385" s="64"/>
      <c r="K385" s="64"/>
      <c r="L385" s="64"/>
      <c r="M385" s="64"/>
      <c r="O385" s="11">
        <f t="shared" ca="1" si="195"/>
        <v>-3.9378682616450625E-4</v>
      </c>
      <c r="P385" s="11">
        <f t="shared" ca="1" si="196"/>
        <v>-1.6358405771021967E-4</v>
      </c>
      <c r="Q385" s="11">
        <f t="shared" ca="1" si="197"/>
        <v>-1.614029402377854E-3</v>
      </c>
      <c r="R385" s="11">
        <f t="shared" ca="1" si="198"/>
        <v>-1.4853760121635622E-5</v>
      </c>
      <c r="S385" s="11">
        <f t="shared" ca="1" si="199"/>
        <v>-1.1458026838550334E-3</v>
      </c>
      <c r="T385" s="11">
        <f t="shared" ca="1" si="200"/>
        <v>-4.9053934342410677E-4</v>
      </c>
      <c r="U385" s="11">
        <f t="shared" ca="1" si="201"/>
        <v>-5.5074395654535931E-3</v>
      </c>
      <c r="V385" s="11"/>
      <c r="W385" s="11">
        <f t="shared" ca="1" si="181"/>
        <v>0</v>
      </c>
      <c r="X385" s="2">
        <f t="shared" ca="1" si="182"/>
        <v>-1.6358405771021967E-4</v>
      </c>
      <c r="Y385" s="2">
        <f t="shared" ca="1" si="183"/>
        <v>-1.614029402377854E-3</v>
      </c>
      <c r="Z385" s="11">
        <f t="shared" ca="1" si="184"/>
        <v>-1.4853760121635622E-5</v>
      </c>
      <c r="AA385" s="2">
        <f t="shared" ca="1" si="185"/>
        <v>-1.1458026838550334E-3</v>
      </c>
      <c r="AB385" s="11">
        <f t="shared" ca="1" si="186"/>
        <v>-4.9053934342410677E-4</v>
      </c>
      <c r="AC385" s="2">
        <f t="shared" ca="1" si="187"/>
        <v>-5.5074395654535931E-3</v>
      </c>
      <c r="AF385" s="11">
        <f t="shared" ca="1" si="188"/>
        <v>0</v>
      </c>
      <c r="AG385" s="2">
        <f t="shared" ca="1" si="189"/>
        <v>-1.6358405771021967E-4</v>
      </c>
      <c r="AH385" s="2">
        <f t="shared" ca="1" si="190"/>
        <v>-1.614029402377854E-3</v>
      </c>
      <c r="AI385" s="2">
        <f t="shared" ca="1" si="191"/>
        <v>-1.4853760121635622E-5</v>
      </c>
      <c r="AJ385" s="2">
        <f t="shared" ca="1" si="192"/>
        <v>-1.1458026838550334E-3</v>
      </c>
      <c r="AK385" s="2">
        <f t="shared" ca="1" si="193"/>
        <v>-4.9053934342410677E-4</v>
      </c>
      <c r="AL385" s="2">
        <f t="shared" ca="1" si="194"/>
        <v>-5.5074395654535931E-3</v>
      </c>
      <c r="AN385" s="2" t="e">
        <f t="shared" ca="1" si="173"/>
        <v>#N/A</v>
      </c>
      <c r="AO385" s="2" t="e">
        <f t="shared" ca="1" si="174"/>
        <v>#N/A</v>
      </c>
      <c r="AP385" s="2" t="e">
        <f t="shared" ca="1" si="175"/>
        <v>#N/A</v>
      </c>
      <c r="AQ385" s="2" t="e">
        <f t="shared" ca="1" si="176"/>
        <v>#N/A</v>
      </c>
      <c r="AR385" s="2" t="e">
        <f t="shared" ca="1" si="177"/>
        <v>#N/A</v>
      </c>
      <c r="AS385" s="2" t="e">
        <f t="shared" ca="1" si="178"/>
        <v>#N/A</v>
      </c>
      <c r="AT385" s="9" t="e">
        <f t="shared" ca="1" si="179"/>
        <v>#N/A</v>
      </c>
      <c r="AU385" s="9" t="e">
        <f t="shared" ca="1" si="180"/>
        <v>#N/A</v>
      </c>
      <c r="AW385" s="2" t="e">
        <f t="shared" ca="1" si="202"/>
        <v>#N/A</v>
      </c>
      <c r="AX385" s="2" t="e">
        <f t="shared" ca="1" si="203"/>
        <v>#N/A</v>
      </c>
      <c r="AY385" s="2" t="e">
        <f t="shared" ca="1" si="204"/>
        <v>#N/A</v>
      </c>
      <c r="AZ385" s="2" t="e">
        <f t="shared" ca="1" si="205"/>
        <v>#N/A</v>
      </c>
      <c r="BA385" s="2" t="e">
        <f t="shared" ca="1" si="206"/>
        <v>#N/A</v>
      </c>
      <c r="BB385" s="2" t="e">
        <f t="shared" ca="1" si="207"/>
        <v>#N/A</v>
      </c>
      <c r="BC385" s="9" t="e">
        <f t="shared" ca="1" si="208"/>
        <v>#N/A</v>
      </c>
      <c r="BD385" s="9" t="e">
        <f t="shared" ca="1" si="209"/>
        <v>#N/A</v>
      </c>
    </row>
    <row r="386" spans="1:56" ht="15" x14ac:dyDescent="0.25">
      <c r="A386" s="63"/>
      <c r="B386" s="63"/>
      <c r="C386" s="64"/>
      <c r="D386" s="64"/>
      <c r="E386" s="64"/>
      <c r="F386" s="64"/>
      <c r="G386" s="64"/>
      <c r="H386" s="64"/>
      <c r="I386" s="64"/>
      <c r="J386" s="64"/>
      <c r="K386" s="64"/>
      <c r="L386" s="64"/>
      <c r="M386" s="64"/>
      <c r="O386" s="11">
        <f t="shared" ca="1" si="195"/>
        <v>-3.9378682616450625E-4</v>
      </c>
      <c r="P386" s="11">
        <f t="shared" ca="1" si="196"/>
        <v>-1.6358405771021967E-4</v>
      </c>
      <c r="Q386" s="11">
        <f t="shared" ca="1" si="197"/>
        <v>-1.614029402377854E-3</v>
      </c>
      <c r="R386" s="11">
        <f t="shared" ca="1" si="198"/>
        <v>-1.4853760121635622E-5</v>
      </c>
      <c r="S386" s="11">
        <f t="shared" ca="1" si="199"/>
        <v>-1.1458026838550334E-3</v>
      </c>
      <c r="T386" s="11">
        <f t="shared" ca="1" si="200"/>
        <v>-4.9053934342410677E-4</v>
      </c>
      <c r="U386" s="11">
        <f t="shared" ca="1" si="201"/>
        <v>-5.5074395654535931E-3</v>
      </c>
      <c r="V386" s="11"/>
      <c r="W386" s="11">
        <f t="shared" ca="1" si="181"/>
        <v>0</v>
      </c>
      <c r="X386" s="2">
        <f t="shared" ca="1" si="182"/>
        <v>-1.6358405771021967E-4</v>
      </c>
      <c r="Y386" s="2">
        <f t="shared" ca="1" si="183"/>
        <v>-1.614029402377854E-3</v>
      </c>
      <c r="Z386" s="11">
        <f t="shared" ca="1" si="184"/>
        <v>-1.4853760121635622E-5</v>
      </c>
      <c r="AA386" s="2">
        <f t="shared" ca="1" si="185"/>
        <v>-1.1458026838550334E-3</v>
      </c>
      <c r="AB386" s="11">
        <f t="shared" ca="1" si="186"/>
        <v>-4.9053934342410677E-4</v>
      </c>
      <c r="AC386" s="2">
        <f t="shared" ca="1" si="187"/>
        <v>-5.5074395654535931E-3</v>
      </c>
      <c r="AF386" s="11">
        <f t="shared" ca="1" si="188"/>
        <v>0</v>
      </c>
      <c r="AG386" s="2">
        <f t="shared" ca="1" si="189"/>
        <v>-1.6358405771021967E-4</v>
      </c>
      <c r="AH386" s="2">
        <f t="shared" ca="1" si="190"/>
        <v>-1.614029402377854E-3</v>
      </c>
      <c r="AI386" s="2">
        <f t="shared" ca="1" si="191"/>
        <v>-1.4853760121635622E-5</v>
      </c>
      <c r="AJ386" s="2">
        <f t="shared" ca="1" si="192"/>
        <v>-1.1458026838550334E-3</v>
      </c>
      <c r="AK386" s="2">
        <f t="shared" ca="1" si="193"/>
        <v>-4.9053934342410677E-4</v>
      </c>
      <c r="AL386" s="2">
        <f t="shared" ca="1" si="194"/>
        <v>-5.5074395654535931E-3</v>
      </c>
      <c r="AN386" s="2" t="e">
        <f t="shared" ca="1" si="173"/>
        <v>#N/A</v>
      </c>
      <c r="AO386" s="2" t="e">
        <f t="shared" ca="1" si="174"/>
        <v>#N/A</v>
      </c>
      <c r="AP386" s="2" t="e">
        <f t="shared" ca="1" si="175"/>
        <v>#N/A</v>
      </c>
      <c r="AQ386" s="2" t="e">
        <f t="shared" ca="1" si="176"/>
        <v>#N/A</v>
      </c>
      <c r="AR386" s="2" t="e">
        <f t="shared" ca="1" si="177"/>
        <v>#N/A</v>
      </c>
      <c r="AS386" s="2" t="e">
        <f t="shared" ca="1" si="178"/>
        <v>#N/A</v>
      </c>
      <c r="AT386" s="9" t="e">
        <f t="shared" ca="1" si="179"/>
        <v>#N/A</v>
      </c>
      <c r="AU386" s="9" t="e">
        <f t="shared" ca="1" si="180"/>
        <v>#N/A</v>
      </c>
      <c r="AW386" s="2" t="e">
        <f t="shared" ca="1" si="202"/>
        <v>#N/A</v>
      </c>
      <c r="AX386" s="2" t="e">
        <f t="shared" ca="1" si="203"/>
        <v>#N/A</v>
      </c>
      <c r="AY386" s="2" t="e">
        <f t="shared" ca="1" si="204"/>
        <v>#N/A</v>
      </c>
      <c r="AZ386" s="2" t="e">
        <f t="shared" ca="1" si="205"/>
        <v>#N/A</v>
      </c>
      <c r="BA386" s="2" t="e">
        <f t="shared" ca="1" si="206"/>
        <v>#N/A</v>
      </c>
      <c r="BB386" s="2" t="e">
        <f t="shared" ca="1" si="207"/>
        <v>#N/A</v>
      </c>
      <c r="BC386" s="9" t="e">
        <f t="shared" ca="1" si="208"/>
        <v>#N/A</v>
      </c>
      <c r="BD386" s="9" t="e">
        <f t="shared" ca="1" si="209"/>
        <v>#N/A</v>
      </c>
    </row>
    <row r="387" spans="1:56" ht="15" x14ac:dyDescent="0.25">
      <c r="A387" s="63"/>
      <c r="B387" s="63"/>
      <c r="C387" s="64"/>
      <c r="D387" s="64"/>
      <c r="E387" s="64"/>
      <c r="F387" s="64"/>
      <c r="G387" s="64"/>
      <c r="H387" s="64"/>
      <c r="I387" s="64"/>
      <c r="J387" s="64"/>
      <c r="K387" s="64"/>
      <c r="L387" s="64"/>
      <c r="M387" s="64"/>
      <c r="O387" s="11">
        <f t="shared" ca="1" si="195"/>
        <v>-3.9378682616450625E-4</v>
      </c>
      <c r="P387" s="11">
        <f t="shared" ca="1" si="196"/>
        <v>-1.6358405771021967E-4</v>
      </c>
      <c r="Q387" s="11">
        <f t="shared" ca="1" si="197"/>
        <v>-1.614029402377854E-3</v>
      </c>
      <c r="R387" s="11">
        <f t="shared" ca="1" si="198"/>
        <v>-1.4853760121635622E-5</v>
      </c>
      <c r="S387" s="11">
        <f t="shared" ca="1" si="199"/>
        <v>-1.1458026838550334E-3</v>
      </c>
      <c r="T387" s="11">
        <f t="shared" ca="1" si="200"/>
        <v>-4.9053934342410677E-4</v>
      </c>
      <c r="U387" s="11">
        <f t="shared" ca="1" si="201"/>
        <v>-5.5074395654535931E-3</v>
      </c>
      <c r="V387" s="11"/>
      <c r="W387" s="11">
        <f t="shared" ca="1" si="181"/>
        <v>0</v>
      </c>
      <c r="X387" s="2">
        <f t="shared" ca="1" si="182"/>
        <v>-1.6358405771021967E-4</v>
      </c>
      <c r="Y387" s="2">
        <f t="shared" ca="1" si="183"/>
        <v>-1.614029402377854E-3</v>
      </c>
      <c r="Z387" s="11">
        <f t="shared" ca="1" si="184"/>
        <v>-1.4853760121635622E-5</v>
      </c>
      <c r="AA387" s="2">
        <f t="shared" ca="1" si="185"/>
        <v>-1.1458026838550334E-3</v>
      </c>
      <c r="AB387" s="11">
        <f t="shared" ca="1" si="186"/>
        <v>-4.9053934342410677E-4</v>
      </c>
      <c r="AC387" s="2">
        <f t="shared" ca="1" si="187"/>
        <v>-5.5074395654535931E-3</v>
      </c>
      <c r="AF387" s="11">
        <f t="shared" ca="1" si="188"/>
        <v>0</v>
      </c>
      <c r="AG387" s="2">
        <f t="shared" ca="1" si="189"/>
        <v>-1.6358405771021967E-4</v>
      </c>
      <c r="AH387" s="2">
        <f t="shared" ca="1" si="190"/>
        <v>-1.614029402377854E-3</v>
      </c>
      <c r="AI387" s="2">
        <f t="shared" ca="1" si="191"/>
        <v>-1.4853760121635622E-5</v>
      </c>
      <c r="AJ387" s="2">
        <f t="shared" ca="1" si="192"/>
        <v>-1.1458026838550334E-3</v>
      </c>
      <c r="AK387" s="2">
        <f t="shared" ca="1" si="193"/>
        <v>-4.9053934342410677E-4</v>
      </c>
      <c r="AL387" s="2">
        <f t="shared" ca="1" si="194"/>
        <v>-5.5074395654535931E-3</v>
      </c>
      <c r="AN387" s="2" t="e">
        <f t="shared" ref="AN387:AN450" ca="1" si="210">IF(AND(S387&gt;0,U387&gt;0),U387/S387, #N/A)</f>
        <v>#N/A</v>
      </c>
      <c r="AO387" s="2" t="e">
        <f t="shared" ref="AO387:AO450" ca="1" si="211">$B$8*((AN387/$B$10)^$B$11)</f>
        <v>#N/A</v>
      </c>
      <c r="AP387" s="2" t="e">
        <f t="shared" ref="AP387:AP450" ca="1" si="212">AO387*R387</f>
        <v>#N/A</v>
      </c>
      <c r="AQ387" s="2" t="e">
        <f t="shared" ref="AQ387:AQ450" ca="1" si="213">T387-AP387</f>
        <v>#N/A</v>
      </c>
      <c r="AR387" s="2" t="e">
        <f t="shared" ref="AR387:AR450" ca="1" si="214">(AQ387/S387)/((AN387/$B$10)^$B$12)</f>
        <v>#N/A</v>
      </c>
      <c r="AS387" s="2" t="e">
        <f t="shared" ref="AS387:AS450" ca="1" si="215">(Q387/S387)/((AN387/$B$10)^$B$13)</f>
        <v>#N/A</v>
      </c>
      <c r="AT387" s="9" t="e">
        <f t="shared" ref="AT387:AT450" ca="1" si="216">IF(AND(AR387&lt;$M$3,AR387&gt;$M$4),AR387,"rejected")</f>
        <v>#N/A</v>
      </c>
      <c r="AU387" s="9" t="e">
        <f t="shared" ref="AU387:AU450" ca="1" si="217">IF(AND(AR387&lt;$M$3,AR387&gt;$M$4),AR387,#N/A)</f>
        <v>#N/A</v>
      </c>
      <c r="AW387" s="2" t="e">
        <f t="shared" ca="1" si="202"/>
        <v>#N/A</v>
      </c>
      <c r="AX387" s="2" t="e">
        <f t="shared" ca="1" si="203"/>
        <v>#N/A</v>
      </c>
      <c r="AY387" s="2" t="e">
        <f t="shared" ca="1" si="204"/>
        <v>#N/A</v>
      </c>
      <c r="AZ387" s="2" t="e">
        <f t="shared" ca="1" si="205"/>
        <v>#N/A</v>
      </c>
      <c r="BA387" s="2" t="e">
        <f t="shared" ca="1" si="206"/>
        <v>#N/A</v>
      </c>
      <c r="BB387" s="2" t="e">
        <f t="shared" ca="1" si="207"/>
        <v>#N/A</v>
      </c>
      <c r="BC387" s="9" t="e">
        <f t="shared" ca="1" si="208"/>
        <v>#N/A</v>
      </c>
      <c r="BD387" s="9" t="e">
        <f t="shared" ca="1" si="209"/>
        <v>#N/A</v>
      </c>
    </row>
    <row r="388" spans="1:56" ht="15" x14ac:dyDescent="0.25">
      <c r="A388" s="63"/>
      <c r="B388" s="63"/>
      <c r="C388" s="64"/>
      <c r="D388" s="64"/>
      <c r="E388" s="64"/>
      <c r="F388" s="64"/>
      <c r="G388" s="64"/>
      <c r="H388" s="64"/>
      <c r="I388" s="64"/>
      <c r="J388" s="64"/>
      <c r="K388" s="64"/>
      <c r="L388" s="64"/>
      <c r="M388" s="64"/>
      <c r="O388" s="11">
        <f t="shared" ca="1" si="195"/>
        <v>-3.9378682616450625E-4</v>
      </c>
      <c r="P388" s="11">
        <f t="shared" ca="1" si="196"/>
        <v>-1.6358405771021967E-4</v>
      </c>
      <c r="Q388" s="11">
        <f t="shared" ca="1" si="197"/>
        <v>-1.614029402377854E-3</v>
      </c>
      <c r="R388" s="11">
        <f t="shared" ca="1" si="198"/>
        <v>-1.4853760121635622E-5</v>
      </c>
      <c r="S388" s="11">
        <f t="shared" ca="1" si="199"/>
        <v>-1.1458026838550334E-3</v>
      </c>
      <c r="T388" s="11">
        <f t="shared" ca="1" si="200"/>
        <v>-4.9053934342410677E-4</v>
      </c>
      <c r="U388" s="11">
        <f t="shared" ca="1" si="201"/>
        <v>-5.5074395654535931E-3</v>
      </c>
      <c r="V388" s="11"/>
      <c r="W388" s="11">
        <f t="shared" ref="W388:W451" ca="1" si="218">O388-O388</f>
        <v>0</v>
      </c>
      <c r="X388" s="2">
        <f t="shared" ref="X388:X451" ca="1" si="219">IF(O388&gt;0,P388-(O388*$X$63/$W$63), P388)</f>
        <v>-1.6358405771021967E-4</v>
      </c>
      <c r="Y388" s="2">
        <f t="shared" ref="Y388:Y451" ca="1" si="220">IF(O388&gt;0,Q388-(O388*$Y$63/$W$63),Q388)</f>
        <v>-1.614029402377854E-3</v>
      </c>
      <c r="Z388" s="11">
        <f t="shared" ref="Z388:Z451" ca="1" si="221">R388</f>
        <v>-1.4853760121635622E-5</v>
      </c>
      <c r="AA388" s="2">
        <f t="shared" ref="AA388:AA451" ca="1" si="222">IF(O388&gt;0,S388-(O388*$AA$63/$W$63),S388)</f>
        <v>-1.1458026838550334E-3</v>
      </c>
      <c r="AB388" s="11">
        <f t="shared" ref="AB388:AB451" ca="1" si="223">T388</f>
        <v>-4.9053934342410677E-4</v>
      </c>
      <c r="AC388" s="2">
        <f t="shared" ref="AC388:AC451" ca="1" si="224">IF(O388&gt;0,U388-(O388*$AC$63/$W$63),U388)</f>
        <v>-5.5074395654535931E-3</v>
      </c>
      <c r="AF388" s="11">
        <f t="shared" ref="AF388:AF451" ca="1" si="225">W388</f>
        <v>0</v>
      </c>
      <c r="AG388" s="2">
        <f t="shared" ref="AG388:AG451" ca="1" si="226">IF(O388&gt;0, X388-(O388*$AG$63/$AF$63), X388)</f>
        <v>-1.6358405771021967E-4</v>
      </c>
      <c r="AH388" s="2">
        <f t="shared" ref="AH388:AH451" ca="1" si="227">IF(O388&gt;0, Y388-(O388*$AH$63/$AF$63), Y388)</f>
        <v>-1.614029402377854E-3</v>
      </c>
      <c r="AI388" s="2">
        <f t="shared" ref="AI388:AI451" ca="1" si="228">IF(O388&gt;0, Z388-(O388*$AI$63/$AF$63), Z388)</f>
        <v>-1.4853760121635622E-5</v>
      </c>
      <c r="AJ388" s="2">
        <f t="shared" ref="AJ388:AJ451" ca="1" si="229">IF(O388&gt;0, AA388-(O388*$AJ$63/$AF$63), AA388)</f>
        <v>-1.1458026838550334E-3</v>
      </c>
      <c r="AK388" s="2">
        <f t="shared" ref="AK388:AK451" ca="1" si="230">IF(P388&gt;0, AB388-(P388*$AK$63/$AG$63), AB388)</f>
        <v>-4.9053934342410677E-4</v>
      </c>
      <c r="AL388" s="2">
        <f t="shared" ref="AL388:AL451" ca="1" si="231">IF(O388&gt;0, AC388-(O388*$AL$63/$AF$63), AC388)</f>
        <v>-5.5074395654535931E-3</v>
      </c>
      <c r="AN388" s="2" t="e">
        <f t="shared" ca="1" si="210"/>
        <v>#N/A</v>
      </c>
      <c r="AO388" s="2" t="e">
        <f t="shared" ca="1" si="211"/>
        <v>#N/A</v>
      </c>
      <c r="AP388" s="2" t="e">
        <f t="shared" ca="1" si="212"/>
        <v>#N/A</v>
      </c>
      <c r="AQ388" s="2" t="e">
        <f t="shared" ca="1" si="213"/>
        <v>#N/A</v>
      </c>
      <c r="AR388" s="2" t="e">
        <f t="shared" ca="1" si="214"/>
        <v>#N/A</v>
      </c>
      <c r="AS388" s="2" t="e">
        <f t="shared" ca="1" si="215"/>
        <v>#N/A</v>
      </c>
      <c r="AT388" s="9" t="e">
        <f t="shared" ca="1" si="216"/>
        <v>#N/A</v>
      </c>
      <c r="AU388" s="9" t="e">
        <f t="shared" ca="1" si="217"/>
        <v>#N/A</v>
      </c>
      <c r="AW388" s="2" t="e">
        <f t="shared" ca="1" si="202"/>
        <v>#N/A</v>
      </c>
      <c r="AX388" s="2" t="e">
        <f t="shared" ca="1" si="203"/>
        <v>#N/A</v>
      </c>
      <c r="AY388" s="2" t="e">
        <f t="shared" ca="1" si="204"/>
        <v>#N/A</v>
      </c>
      <c r="AZ388" s="2" t="e">
        <f t="shared" ca="1" si="205"/>
        <v>#N/A</v>
      </c>
      <c r="BA388" s="2" t="e">
        <f t="shared" ca="1" si="206"/>
        <v>#N/A</v>
      </c>
      <c r="BB388" s="2" t="e">
        <f t="shared" ca="1" si="207"/>
        <v>#N/A</v>
      </c>
      <c r="BC388" s="9" t="e">
        <f t="shared" ca="1" si="208"/>
        <v>#N/A</v>
      </c>
      <c r="BD388" s="9" t="e">
        <f t="shared" ca="1" si="209"/>
        <v>#N/A</v>
      </c>
    </row>
    <row r="389" spans="1:56" ht="15" x14ac:dyDescent="0.25">
      <c r="A389" s="63"/>
      <c r="B389" s="63"/>
      <c r="C389" s="64"/>
      <c r="D389" s="64"/>
      <c r="E389" s="64"/>
      <c r="F389" s="64"/>
      <c r="G389" s="64"/>
      <c r="H389" s="64"/>
      <c r="I389" s="64"/>
      <c r="J389" s="64"/>
      <c r="K389" s="64"/>
      <c r="L389" s="64"/>
      <c r="M389" s="64"/>
      <c r="O389" s="11">
        <f t="shared" ca="1" si="195"/>
        <v>-3.9378682616450625E-4</v>
      </c>
      <c r="P389" s="11">
        <f t="shared" ca="1" si="196"/>
        <v>-1.6358405771021967E-4</v>
      </c>
      <c r="Q389" s="11">
        <f t="shared" ca="1" si="197"/>
        <v>-1.614029402377854E-3</v>
      </c>
      <c r="R389" s="11">
        <f t="shared" ca="1" si="198"/>
        <v>-1.4853760121635622E-5</v>
      </c>
      <c r="S389" s="11">
        <f t="shared" ca="1" si="199"/>
        <v>-1.1458026838550334E-3</v>
      </c>
      <c r="T389" s="11">
        <f t="shared" ca="1" si="200"/>
        <v>-4.9053934342410677E-4</v>
      </c>
      <c r="U389" s="11">
        <f t="shared" ca="1" si="201"/>
        <v>-5.5074395654535931E-3</v>
      </c>
      <c r="V389" s="11"/>
      <c r="W389" s="11">
        <f t="shared" ca="1" si="218"/>
        <v>0</v>
      </c>
      <c r="X389" s="2">
        <f t="shared" ca="1" si="219"/>
        <v>-1.6358405771021967E-4</v>
      </c>
      <c r="Y389" s="2">
        <f t="shared" ca="1" si="220"/>
        <v>-1.614029402377854E-3</v>
      </c>
      <c r="Z389" s="11">
        <f t="shared" ca="1" si="221"/>
        <v>-1.4853760121635622E-5</v>
      </c>
      <c r="AA389" s="2">
        <f t="shared" ca="1" si="222"/>
        <v>-1.1458026838550334E-3</v>
      </c>
      <c r="AB389" s="11">
        <f t="shared" ca="1" si="223"/>
        <v>-4.9053934342410677E-4</v>
      </c>
      <c r="AC389" s="2">
        <f t="shared" ca="1" si="224"/>
        <v>-5.5074395654535931E-3</v>
      </c>
      <c r="AF389" s="11">
        <f t="shared" ca="1" si="225"/>
        <v>0</v>
      </c>
      <c r="AG389" s="2">
        <f t="shared" ca="1" si="226"/>
        <v>-1.6358405771021967E-4</v>
      </c>
      <c r="AH389" s="2">
        <f t="shared" ca="1" si="227"/>
        <v>-1.614029402377854E-3</v>
      </c>
      <c r="AI389" s="2">
        <f t="shared" ca="1" si="228"/>
        <v>-1.4853760121635622E-5</v>
      </c>
      <c r="AJ389" s="2">
        <f t="shared" ca="1" si="229"/>
        <v>-1.1458026838550334E-3</v>
      </c>
      <c r="AK389" s="2">
        <f t="shared" ca="1" si="230"/>
        <v>-4.9053934342410677E-4</v>
      </c>
      <c r="AL389" s="2">
        <f t="shared" ca="1" si="231"/>
        <v>-5.5074395654535931E-3</v>
      </c>
      <c r="AN389" s="2" t="e">
        <f t="shared" ca="1" si="210"/>
        <v>#N/A</v>
      </c>
      <c r="AO389" s="2" t="e">
        <f t="shared" ca="1" si="211"/>
        <v>#N/A</v>
      </c>
      <c r="AP389" s="2" t="e">
        <f t="shared" ca="1" si="212"/>
        <v>#N/A</v>
      </c>
      <c r="AQ389" s="2" t="e">
        <f t="shared" ca="1" si="213"/>
        <v>#N/A</v>
      </c>
      <c r="AR389" s="2" t="e">
        <f t="shared" ca="1" si="214"/>
        <v>#N/A</v>
      </c>
      <c r="AS389" s="2" t="e">
        <f t="shared" ca="1" si="215"/>
        <v>#N/A</v>
      </c>
      <c r="AT389" s="9" t="e">
        <f t="shared" ca="1" si="216"/>
        <v>#N/A</v>
      </c>
      <c r="AU389" s="9" t="e">
        <f t="shared" ca="1" si="217"/>
        <v>#N/A</v>
      </c>
      <c r="AW389" s="2" t="e">
        <f t="shared" ca="1" si="202"/>
        <v>#N/A</v>
      </c>
      <c r="AX389" s="2" t="e">
        <f t="shared" ca="1" si="203"/>
        <v>#N/A</v>
      </c>
      <c r="AY389" s="2" t="e">
        <f t="shared" ca="1" si="204"/>
        <v>#N/A</v>
      </c>
      <c r="AZ389" s="2" t="e">
        <f t="shared" ca="1" si="205"/>
        <v>#N/A</v>
      </c>
      <c r="BA389" s="2" t="e">
        <f t="shared" ca="1" si="206"/>
        <v>#N/A</v>
      </c>
      <c r="BB389" s="2" t="e">
        <f t="shared" ca="1" si="207"/>
        <v>#N/A</v>
      </c>
      <c r="BC389" s="9" t="e">
        <f t="shared" ca="1" si="208"/>
        <v>#N/A</v>
      </c>
      <c r="BD389" s="9" t="e">
        <f t="shared" ca="1" si="209"/>
        <v>#N/A</v>
      </c>
    </row>
    <row r="390" spans="1:56" ht="15" x14ac:dyDescent="0.25">
      <c r="A390" s="63"/>
      <c r="B390" s="63"/>
      <c r="C390" s="64"/>
      <c r="D390" s="64"/>
      <c r="E390" s="64"/>
      <c r="F390" s="64"/>
      <c r="G390" s="64"/>
      <c r="H390" s="64"/>
      <c r="I390" s="64"/>
      <c r="J390" s="64"/>
      <c r="K390" s="64"/>
      <c r="L390" s="64"/>
      <c r="M390" s="64"/>
      <c r="O390" s="11">
        <f t="shared" ca="1" si="195"/>
        <v>-3.9378682616450625E-4</v>
      </c>
      <c r="P390" s="11">
        <f t="shared" ca="1" si="196"/>
        <v>-1.6358405771021967E-4</v>
      </c>
      <c r="Q390" s="11">
        <f t="shared" ca="1" si="197"/>
        <v>-1.614029402377854E-3</v>
      </c>
      <c r="R390" s="11">
        <f t="shared" ca="1" si="198"/>
        <v>-1.4853760121635622E-5</v>
      </c>
      <c r="S390" s="11">
        <f t="shared" ca="1" si="199"/>
        <v>-1.1458026838550334E-3</v>
      </c>
      <c r="T390" s="11">
        <f t="shared" ca="1" si="200"/>
        <v>-4.9053934342410677E-4</v>
      </c>
      <c r="U390" s="11">
        <f t="shared" ca="1" si="201"/>
        <v>-5.5074395654535931E-3</v>
      </c>
      <c r="V390" s="11"/>
      <c r="W390" s="11">
        <f t="shared" ca="1" si="218"/>
        <v>0</v>
      </c>
      <c r="X390" s="2">
        <f t="shared" ca="1" si="219"/>
        <v>-1.6358405771021967E-4</v>
      </c>
      <c r="Y390" s="2">
        <f t="shared" ca="1" si="220"/>
        <v>-1.614029402377854E-3</v>
      </c>
      <c r="Z390" s="11">
        <f t="shared" ca="1" si="221"/>
        <v>-1.4853760121635622E-5</v>
      </c>
      <c r="AA390" s="2">
        <f t="shared" ca="1" si="222"/>
        <v>-1.1458026838550334E-3</v>
      </c>
      <c r="AB390" s="11">
        <f t="shared" ca="1" si="223"/>
        <v>-4.9053934342410677E-4</v>
      </c>
      <c r="AC390" s="2">
        <f t="shared" ca="1" si="224"/>
        <v>-5.5074395654535931E-3</v>
      </c>
      <c r="AF390" s="11">
        <f t="shared" ca="1" si="225"/>
        <v>0</v>
      </c>
      <c r="AG390" s="2">
        <f t="shared" ca="1" si="226"/>
        <v>-1.6358405771021967E-4</v>
      </c>
      <c r="AH390" s="2">
        <f t="shared" ca="1" si="227"/>
        <v>-1.614029402377854E-3</v>
      </c>
      <c r="AI390" s="2">
        <f t="shared" ca="1" si="228"/>
        <v>-1.4853760121635622E-5</v>
      </c>
      <c r="AJ390" s="2">
        <f t="shared" ca="1" si="229"/>
        <v>-1.1458026838550334E-3</v>
      </c>
      <c r="AK390" s="2">
        <f t="shared" ca="1" si="230"/>
        <v>-4.9053934342410677E-4</v>
      </c>
      <c r="AL390" s="2">
        <f t="shared" ca="1" si="231"/>
        <v>-5.5074395654535931E-3</v>
      </c>
      <c r="AN390" s="2" t="e">
        <f t="shared" ca="1" si="210"/>
        <v>#N/A</v>
      </c>
      <c r="AO390" s="2" t="e">
        <f t="shared" ca="1" si="211"/>
        <v>#N/A</v>
      </c>
      <c r="AP390" s="2" t="e">
        <f t="shared" ca="1" si="212"/>
        <v>#N/A</v>
      </c>
      <c r="AQ390" s="2" t="e">
        <f t="shared" ca="1" si="213"/>
        <v>#N/A</v>
      </c>
      <c r="AR390" s="2" t="e">
        <f t="shared" ca="1" si="214"/>
        <v>#N/A</v>
      </c>
      <c r="AS390" s="2" t="e">
        <f t="shared" ca="1" si="215"/>
        <v>#N/A</v>
      </c>
      <c r="AT390" s="9" t="e">
        <f t="shared" ca="1" si="216"/>
        <v>#N/A</v>
      </c>
      <c r="AU390" s="9" t="e">
        <f t="shared" ca="1" si="217"/>
        <v>#N/A</v>
      </c>
      <c r="AW390" s="2" t="e">
        <f t="shared" ca="1" si="202"/>
        <v>#N/A</v>
      </c>
      <c r="AX390" s="2" t="e">
        <f t="shared" ca="1" si="203"/>
        <v>#N/A</v>
      </c>
      <c r="AY390" s="2" t="e">
        <f t="shared" ca="1" si="204"/>
        <v>#N/A</v>
      </c>
      <c r="AZ390" s="2" t="e">
        <f t="shared" ca="1" si="205"/>
        <v>#N/A</v>
      </c>
      <c r="BA390" s="2" t="e">
        <f t="shared" ca="1" si="206"/>
        <v>#N/A</v>
      </c>
      <c r="BB390" s="2" t="e">
        <f t="shared" ca="1" si="207"/>
        <v>#N/A</v>
      </c>
      <c r="BC390" s="9" t="e">
        <f t="shared" ca="1" si="208"/>
        <v>#N/A</v>
      </c>
      <c r="BD390" s="9" t="e">
        <f t="shared" ca="1" si="209"/>
        <v>#N/A</v>
      </c>
    </row>
    <row r="391" spans="1:56" ht="15" x14ac:dyDescent="0.25">
      <c r="A391" s="63"/>
      <c r="B391" s="63"/>
      <c r="C391" s="64"/>
      <c r="D391" s="64"/>
      <c r="E391" s="64"/>
      <c r="F391" s="64"/>
      <c r="G391" s="64"/>
      <c r="H391" s="64"/>
      <c r="I391" s="64"/>
      <c r="J391" s="64"/>
      <c r="K391" s="64"/>
      <c r="L391" s="64"/>
      <c r="M391" s="64"/>
      <c r="O391" s="11">
        <f t="shared" ca="1" si="195"/>
        <v>-3.9378682616450625E-4</v>
      </c>
      <c r="P391" s="11">
        <f t="shared" ca="1" si="196"/>
        <v>-1.6358405771021967E-4</v>
      </c>
      <c r="Q391" s="11">
        <f t="shared" ca="1" si="197"/>
        <v>-1.614029402377854E-3</v>
      </c>
      <c r="R391" s="11">
        <f t="shared" ca="1" si="198"/>
        <v>-1.4853760121635622E-5</v>
      </c>
      <c r="S391" s="11">
        <f t="shared" ca="1" si="199"/>
        <v>-1.1458026838550334E-3</v>
      </c>
      <c r="T391" s="11">
        <f t="shared" ca="1" si="200"/>
        <v>-4.9053934342410677E-4</v>
      </c>
      <c r="U391" s="11">
        <f t="shared" ca="1" si="201"/>
        <v>-5.5074395654535931E-3</v>
      </c>
      <c r="V391" s="11"/>
      <c r="W391" s="11">
        <f t="shared" ca="1" si="218"/>
        <v>0</v>
      </c>
      <c r="X391" s="2">
        <f t="shared" ca="1" si="219"/>
        <v>-1.6358405771021967E-4</v>
      </c>
      <c r="Y391" s="2">
        <f t="shared" ca="1" si="220"/>
        <v>-1.614029402377854E-3</v>
      </c>
      <c r="Z391" s="11">
        <f t="shared" ca="1" si="221"/>
        <v>-1.4853760121635622E-5</v>
      </c>
      <c r="AA391" s="2">
        <f t="shared" ca="1" si="222"/>
        <v>-1.1458026838550334E-3</v>
      </c>
      <c r="AB391" s="11">
        <f t="shared" ca="1" si="223"/>
        <v>-4.9053934342410677E-4</v>
      </c>
      <c r="AC391" s="2">
        <f t="shared" ca="1" si="224"/>
        <v>-5.5074395654535931E-3</v>
      </c>
      <c r="AF391" s="11">
        <f t="shared" ca="1" si="225"/>
        <v>0</v>
      </c>
      <c r="AG391" s="2">
        <f t="shared" ca="1" si="226"/>
        <v>-1.6358405771021967E-4</v>
      </c>
      <c r="AH391" s="2">
        <f t="shared" ca="1" si="227"/>
        <v>-1.614029402377854E-3</v>
      </c>
      <c r="AI391" s="2">
        <f t="shared" ca="1" si="228"/>
        <v>-1.4853760121635622E-5</v>
      </c>
      <c r="AJ391" s="2">
        <f t="shared" ca="1" si="229"/>
        <v>-1.1458026838550334E-3</v>
      </c>
      <c r="AK391" s="2">
        <f t="shared" ca="1" si="230"/>
        <v>-4.9053934342410677E-4</v>
      </c>
      <c r="AL391" s="2">
        <f t="shared" ca="1" si="231"/>
        <v>-5.5074395654535931E-3</v>
      </c>
      <c r="AN391" s="2" t="e">
        <f t="shared" ca="1" si="210"/>
        <v>#N/A</v>
      </c>
      <c r="AO391" s="2" t="e">
        <f t="shared" ca="1" si="211"/>
        <v>#N/A</v>
      </c>
      <c r="AP391" s="2" t="e">
        <f t="shared" ca="1" si="212"/>
        <v>#N/A</v>
      </c>
      <c r="AQ391" s="2" t="e">
        <f t="shared" ca="1" si="213"/>
        <v>#N/A</v>
      </c>
      <c r="AR391" s="2" t="e">
        <f t="shared" ca="1" si="214"/>
        <v>#N/A</v>
      </c>
      <c r="AS391" s="2" t="e">
        <f t="shared" ca="1" si="215"/>
        <v>#N/A</v>
      </c>
      <c r="AT391" s="9" t="e">
        <f t="shared" ca="1" si="216"/>
        <v>#N/A</v>
      </c>
      <c r="AU391" s="9" t="e">
        <f t="shared" ca="1" si="217"/>
        <v>#N/A</v>
      </c>
      <c r="AW391" s="2" t="e">
        <f t="shared" ca="1" si="202"/>
        <v>#N/A</v>
      </c>
      <c r="AX391" s="2" t="e">
        <f t="shared" ca="1" si="203"/>
        <v>#N/A</v>
      </c>
      <c r="AY391" s="2" t="e">
        <f t="shared" ca="1" si="204"/>
        <v>#N/A</v>
      </c>
      <c r="AZ391" s="2" t="e">
        <f t="shared" ca="1" si="205"/>
        <v>#N/A</v>
      </c>
      <c r="BA391" s="2" t="e">
        <f t="shared" ca="1" si="206"/>
        <v>#N/A</v>
      </c>
      <c r="BB391" s="2" t="e">
        <f t="shared" ca="1" si="207"/>
        <v>#N/A</v>
      </c>
      <c r="BC391" s="9" t="e">
        <f t="shared" ca="1" si="208"/>
        <v>#N/A</v>
      </c>
      <c r="BD391" s="9" t="e">
        <f t="shared" ca="1" si="209"/>
        <v>#N/A</v>
      </c>
    </row>
    <row r="392" spans="1:56" ht="15" x14ac:dyDescent="0.25">
      <c r="A392" s="63"/>
      <c r="B392" s="63"/>
      <c r="C392" s="64"/>
      <c r="D392" s="64"/>
      <c r="E392" s="64"/>
      <c r="F392" s="64"/>
      <c r="G392" s="64"/>
      <c r="H392" s="64"/>
      <c r="I392" s="64"/>
      <c r="J392" s="64"/>
      <c r="K392" s="64"/>
      <c r="L392" s="64"/>
      <c r="M392" s="64"/>
      <c r="O392" s="11">
        <f t="shared" ca="1" si="195"/>
        <v>-3.9378682616450625E-4</v>
      </c>
      <c r="P392" s="11">
        <f t="shared" ca="1" si="196"/>
        <v>-1.6358405771021967E-4</v>
      </c>
      <c r="Q392" s="11">
        <f t="shared" ca="1" si="197"/>
        <v>-1.614029402377854E-3</v>
      </c>
      <c r="R392" s="11">
        <f t="shared" ca="1" si="198"/>
        <v>-1.4853760121635622E-5</v>
      </c>
      <c r="S392" s="11">
        <f t="shared" ca="1" si="199"/>
        <v>-1.1458026838550334E-3</v>
      </c>
      <c r="T392" s="11">
        <f t="shared" ca="1" si="200"/>
        <v>-4.9053934342410677E-4</v>
      </c>
      <c r="U392" s="11">
        <f t="shared" ca="1" si="201"/>
        <v>-5.5074395654535931E-3</v>
      </c>
      <c r="V392" s="11"/>
      <c r="W392" s="11">
        <f t="shared" ca="1" si="218"/>
        <v>0</v>
      </c>
      <c r="X392" s="2">
        <f t="shared" ca="1" si="219"/>
        <v>-1.6358405771021967E-4</v>
      </c>
      <c r="Y392" s="2">
        <f t="shared" ca="1" si="220"/>
        <v>-1.614029402377854E-3</v>
      </c>
      <c r="Z392" s="11">
        <f t="shared" ca="1" si="221"/>
        <v>-1.4853760121635622E-5</v>
      </c>
      <c r="AA392" s="2">
        <f t="shared" ca="1" si="222"/>
        <v>-1.1458026838550334E-3</v>
      </c>
      <c r="AB392" s="11">
        <f t="shared" ca="1" si="223"/>
        <v>-4.9053934342410677E-4</v>
      </c>
      <c r="AC392" s="2">
        <f t="shared" ca="1" si="224"/>
        <v>-5.5074395654535931E-3</v>
      </c>
      <c r="AF392" s="11">
        <f t="shared" ca="1" si="225"/>
        <v>0</v>
      </c>
      <c r="AG392" s="2">
        <f t="shared" ca="1" si="226"/>
        <v>-1.6358405771021967E-4</v>
      </c>
      <c r="AH392" s="2">
        <f t="shared" ca="1" si="227"/>
        <v>-1.614029402377854E-3</v>
      </c>
      <c r="AI392" s="2">
        <f t="shared" ca="1" si="228"/>
        <v>-1.4853760121635622E-5</v>
      </c>
      <c r="AJ392" s="2">
        <f t="shared" ca="1" si="229"/>
        <v>-1.1458026838550334E-3</v>
      </c>
      <c r="AK392" s="2">
        <f t="shared" ca="1" si="230"/>
        <v>-4.9053934342410677E-4</v>
      </c>
      <c r="AL392" s="2">
        <f t="shared" ca="1" si="231"/>
        <v>-5.5074395654535931E-3</v>
      </c>
      <c r="AN392" s="2" t="e">
        <f t="shared" ca="1" si="210"/>
        <v>#N/A</v>
      </c>
      <c r="AO392" s="2" t="e">
        <f t="shared" ca="1" si="211"/>
        <v>#N/A</v>
      </c>
      <c r="AP392" s="2" t="e">
        <f t="shared" ca="1" si="212"/>
        <v>#N/A</v>
      </c>
      <c r="AQ392" s="2" t="e">
        <f t="shared" ca="1" si="213"/>
        <v>#N/A</v>
      </c>
      <c r="AR392" s="2" t="e">
        <f t="shared" ca="1" si="214"/>
        <v>#N/A</v>
      </c>
      <c r="AS392" s="2" t="e">
        <f t="shared" ca="1" si="215"/>
        <v>#N/A</v>
      </c>
      <c r="AT392" s="9" t="e">
        <f t="shared" ca="1" si="216"/>
        <v>#N/A</v>
      </c>
      <c r="AU392" s="9" t="e">
        <f t="shared" ca="1" si="217"/>
        <v>#N/A</v>
      </c>
      <c r="AW392" s="2" t="e">
        <f t="shared" ca="1" si="202"/>
        <v>#N/A</v>
      </c>
      <c r="AX392" s="2" t="e">
        <f t="shared" ca="1" si="203"/>
        <v>#N/A</v>
      </c>
      <c r="AY392" s="2" t="e">
        <f t="shared" ca="1" si="204"/>
        <v>#N/A</v>
      </c>
      <c r="AZ392" s="2" t="e">
        <f t="shared" ca="1" si="205"/>
        <v>#N/A</v>
      </c>
      <c r="BA392" s="2" t="e">
        <f t="shared" ca="1" si="206"/>
        <v>#N/A</v>
      </c>
      <c r="BB392" s="2" t="e">
        <f t="shared" ca="1" si="207"/>
        <v>#N/A</v>
      </c>
      <c r="BC392" s="9" t="e">
        <f t="shared" ca="1" si="208"/>
        <v>#N/A</v>
      </c>
      <c r="BD392" s="9" t="e">
        <f t="shared" ca="1" si="209"/>
        <v>#N/A</v>
      </c>
    </row>
    <row r="393" spans="1:56" ht="15" x14ac:dyDescent="0.25">
      <c r="A393" s="63"/>
      <c r="B393" s="63"/>
      <c r="C393" s="64"/>
      <c r="D393" s="64"/>
      <c r="E393" s="64"/>
      <c r="F393" s="64"/>
      <c r="G393" s="64"/>
      <c r="H393" s="64"/>
      <c r="I393" s="64"/>
      <c r="J393" s="64"/>
      <c r="K393" s="64"/>
      <c r="L393" s="64"/>
      <c r="M393" s="64"/>
      <c r="O393" s="11">
        <f t="shared" ca="1" si="195"/>
        <v>-3.9378682616450625E-4</v>
      </c>
      <c r="P393" s="11">
        <f t="shared" ca="1" si="196"/>
        <v>-1.6358405771021967E-4</v>
      </c>
      <c r="Q393" s="11">
        <f t="shared" ca="1" si="197"/>
        <v>-1.614029402377854E-3</v>
      </c>
      <c r="R393" s="11">
        <f t="shared" ca="1" si="198"/>
        <v>-1.4853760121635622E-5</v>
      </c>
      <c r="S393" s="11">
        <f t="shared" ca="1" si="199"/>
        <v>-1.1458026838550334E-3</v>
      </c>
      <c r="T393" s="11">
        <f t="shared" ca="1" si="200"/>
        <v>-4.9053934342410677E-4</v>
      </c>
      <c r="U393" s="11">
        <f t="shared" ca="1" si="201"/>
        <v>-5.5074395654535931E-3</v>
      </c>
      <c r="V393" s="11"/>
      <c r="W393" s="11">
        <f t="shared" ca="1" si="218"/>
        <v>0</v>
      </c>
      <c r="X393" s="2">
        <f t="shared" ca="1" si="219"/>
        <v>-1.6358405771021967E-4</v>
      </c>
      <c r="Y393" s="2">
        <f t="shared" ca="1" si="220"/>
        <v>-1.614029402377854E-3</v>
      </c>
      <c r="Z393" s="11">
        <f t="shared" ca="1" si="221"/>
        <v>-1.4853760121635622E-5</v>
      </c>
      <c r="AA393" s="2">
        <f t="shared" ca="1" si="222"/>
        <v>-1.1458026838550334E-3</v>
      </c>
      <c r="AB393" s="11">
        <f t="shared" ca="1" si="223"/>
        <v>-4.9053934342410677E-4</v>
      </c>
      <c r="AC393" s="2">
        <f t="shared" ca="1" si="224"/>
        <v>-5.5074395654535931E-3</v>
      </c>
      <c r="AF393" s="11">
        <f t="shared" ca="1" si="225"/>
        <v>0</v>
      </c>
      <c r="AG393" s="2">
        <f t="shared" ca="1" si="226"/>
        <v>-1.6358405771021967E-4</v>
      </c>
      <c r="AH393" s="2">
        <f t="shared" ca="1" si="227"/>
        <v>-1.614029402377854E-3</v>
      </c>
      <c r="AI393" s="2">
        <f t="shared" ca="1" si="228"/>
        <v>-1.4853760121635622E-5</v>
      </c>
      <c r="AJ393" s="2">
        <f t="shared" ca="1" si="229"/>
        <v>-1.1458026838550334E-3</v>
      </c>
      <c r="AK393" s="2">
        <f t="shared" ca="1" si="230"/>
        <v>-4.9053934342410677E-4</v>
      </c>
      <c r="AL393" s="2">
        <f t="shared" ca="1" si="231"/>
        <v>-5.5074395654535931E-3</v>
      </c>
      <c r="AN393" s="2" t="e">
        <f t="shared" ca="1" si="210"/>
        <v>#N/A</v>
      </c>
      <c r="AO393" s="2" t="e">
        <f t="shared" ca="1" si="211"/>
        <v>#N/A</v>
      </c>
      <c r="AP393" s="2" t="e">
        <f t="shared" ca="1" si="212"/>
        <v>#N/A</v>
      </c>
      <c r="AQ393" s="2" t="e">
        <f t="shared" ca="1" si="213"/>
        <v>#N/A</v>
      </c>
      <c r="AR393" s="2" t="e">
        <f t="shared" ca="1" si="214"/>
        <v>#N/A</v>
      </c>
      <c r="AS393" s="2" t="e">
        <f t="shared" ca="1" si="215"/>
        <v>#N/A</v>
      </c>
      <c r="AT393" s="9" t="e">
        <f t="shared" ca="1" si="216"/>
        <v>#N/A</v>
      </c>
      <c r="AU393" s="9" t="e">
        <f t="shared" ca="1" si="217"/>
        <v>#N/A</v>
      </c>
      <c r="AW393" s="2" t="e">
        <f t="shared" ca="1" si="202"/>
        <v>#N/A</v>
      </c>
      <c r="AX393" s="2" t="e">
        <f t="shared" ca="1" si="203"/>
        <v>#N/A</v>
      </c>
      <c r="AY393" s="2" t="e">
        <f t="shared" ca="1" si="204"/>
        <v>#N/A</v>
      </c>
      <c r="AZ393" s="2" t="e">
        <f t="shared" ca="1" si="205"/>
        <v>#N/A</v>
      </c>
      <c r="BA393" s="2" t="e">
        <f t="shared" ca="1" si="206"/>
        <v>#N/A</v>
      </c>
      <c r="BB393" s="2" t="e">
        <f t="shared" ca="1" si="207"/>
        <v>#N/A</v>
      </c>
      <c r="BC393" s="9" t="e">
        <f t="shared" ca="1" si="208"/>
        <v>#N/A</v>
      </c>
      <c r="BD393" s="9" t="e">
        <f t="shared" ca="1" si="209"/>
        <v>#N/A</v>
      </c>
    </row>
    <row r="394" spans="1:56" ht="15" x14ac:dyDescent="0.25">
      <c r="A394" s="63"/>
      <c r="B394" s="63"/>
      <c r="C394" s="64"/>
      <c r="D394" s="64"/>
      <c r="E394" s="64"/>
      <c r="F394" s="64"/>
      <c r="G394" s="64"/>
      <c r="H394" s="64"/>
      <c r="I394" s="64"/>
      <c r="J394" s="64"/>
      <c r="K394" s="64"/>
      <c r="L394" s="64"/>
      <c r="M394" s="64"/>
      <c r="O394" s="11">
        <f t="shared" ca="1" si="195"/>
        <v>-3.9378682616450625E-4</v>
      </c>
      <c r="P394" s="11">
        <f t="shared" ca="1" si="196"/>
        <v>-1.6358405771021967E-4</v>
      </c>
      <c r="Q394" s="11">
        <f t="shared" ca="1" si="197"/>
        <v>-1.614029402377854E-3</v>
      </c>
      <c r="R394" s="11">
        <f t="shared" ca="1" si="198"/>
        <v>-1.4853760121635622E-5</v>
      </c>
      <c r="S394" s="11">
        <f t="shared" ca="1" si="199"/>
        <v>-1.1458026838550334E-3</v>
      </c>
      <c r="T394" s="11">
        <f t="shared" ca="1" si="200"/>
        <v>-4.9053934342410677E-4</v>
      </c>
      <c r="U394" s="11">
        <f t="shared" ca="1" si="201"/>
        <v>-5.5074395654535931E-3</v>
      </c>
      <c r="V394" s="11"/>
      <c r="W394" s="11">
        <f t="shared" ca="1" si="218"/>
        <v>0</v>
      </c>
      <c r="X394" s="2">
        <f t="shared" ca="1" si="219"/>
        <v>-1.6358405771021967E-4</v>
      </c>
      <c r="Y394" s="2">
        <f t="shared" ca="1" si="220"/>
        <v>-1.614029402377854E-3</v>
      </c>
      <c r="Z394" s="11">
        <f t="shared" ca="1" si="221"/>
        <v>-1.4853760121635622E-5</v>
      </c>
      <c r="AA394" s="2">
        <f t="shared" ca="1" si="222"/>
        <v>-1.1458026838550334E-3</v>
      </c>
      <c r="AB394" s="11">
        <f t="shared" ca="1" si="223"/>
        <v>-4.9053934342410677E-4</v>
      </c>
      <c r="AC394" s="2">
        <f t="shared" ca="1" si="224"/>
        <v>-5.5074395654535931E-3</v>
      </c>
      <c r="AF394" s="11">
        <f t="shared" ca="1" si="225"/>
        <v>0</v>
      </c>
      <c r="AG394" s="2">
        <f t="shared" ca="1" si="226"/>
        <v>-1.6358405771021967E-4</v>
      </c>
      <c r="AH394" s="2">
        <f t="shared" ca="1" si="227"/>
        <v>-1.614029402377854E-3</v>
      </c>
      <c r="AI394" s="2">
        <f t="shared" ca="1" si="228"/>
        <v>-1.4853760121635622E-5</v>
      </c>
      <c r="AJ394" s="2">
        <f t="shared" ca="1" si="229"/>
        <v>-1.1458026838550334E-3</v>
      </c>
      <c r="AK394" s="2">
        <f t="shared" ca="1" si="230"/>
        <v>-4.9053934342410677E-4</v>
      </c>
      <c r="AL394" s="2">
        <f t="shared" ca="1" si="231"/>
        <v>-5.5074395654535931E-3</v>
      </c>
      <c r="AN394" s="2" t="e">
        <f t="shared" ca="1" si="210"/>
        <v>#N/A</v>
      </c>
      <c r="AO394" s="2" t="e">
        <f t="shared" ca="1" si="211"/>
        <v>#N/A</v>
      </c>
      <c r="AP394" s="2" t="e">
        <f t="shared" ca="1" si="212"/>
        <v>#N/A</v>
      </c>
      <c r="AQ394" s="2" t="e">
        <f t="shared" ca="1" si="213"/>
        <v>#N/A</v>
      </c>
      <c r="AR394" s="2" t="e">
        <f t="shared" ca="1" si="214"/>
        <v>#N/A</v>
      </c>
      <c r="AS394" s="2" t="e">
        <f t="shared" ca="1" si="215"/>
        <v>#N/A</v>
      </c>
      <c r="AT394" s="9" t="e">
        <f t="shared" ca="1" si="216"/>
        <v>#N/A</v>
      </c>
      <c r="AU394" s="9" t="e">
        <f t="shared" ca="1" si="217"/>
        <v>#N/A</v>
      </c>
      <c r="AW394" s="2" t="e">
        <f t="shared" ca="1" si="202"/>
        <v>#N/A</v>
      </c>
      <c r="AX394" s="2" t="e">
        <f t="shared" ca="1" si="203"/>
        <v>#N/A</v>
      </c>
      <c r="AY394" s="2" t="e">
        <f t="shared" ca="1" si="204"/>
        <v>#N/A</v>
      </c>
      <c r="AZ394" s="2" t="e">
        <f t="shared" ca="1" si="205"/>
        <v>#N/A</v>
      </c>
      <c r="BA394" s="2" t="e">
        <f t="shared" ca="1" si="206"/>
        <v>#N/A</v>
      </c>
      <c r="BB394" s="2" t="e">
        <f t="shared" ca="1" si="207"/>
        <v>#N/A</v>
      </c>
      <c r="BC394" s="9" t="e">
        <f t="shared" ca="1" si="208"/>
        <v>#N/A</v>
      </c>
      <c r="BD394" s="9" t="e">
        <f t="shared" ca="1" si="209"/>
        <v>#N/A</v>
      </c>
    </row>
    <row r="395" spans="1:56" ht="15" x14ac:dyDescent="0.25">
      <c r="A395" s="63"/>
      <c r="B395" s="63"/>
      <c r="C395" s="64"/>
      <c r="D395" s="64"/>
      <c r="E395" s="64"/>
      <c r="F395" s="64"/>
      <c r="G395" s="64"/>
      <c r="H395" s="64"/>
      <c r="I395" s="64"/>
      <c r="J395" s="64"/>
      <c r="K395" s="64"/>
      <c r="L395" s="64"/>
      <c r="M395" s="64"/>
      <c r="O395" s="11">
        <f t="shared" ca="1" si="195"/>
        <v>-3.9378682616450625E-4</v>
      </c>
      <c r="P395" s="11">
        <f t="shared" ca="1" si="196"/>
        <v>-1.6358405771021967E-4</v>
      </c>
      <c r="Q395" s="11">
        <f t="shared" ca="1" si="197"/>
        <v>-1.614029402377854E-3</v>
      </c>
      <c r="R395" s="11">
        <f t="shared" ca="1" si="198"/>
        <v>-1.4853760121635622E-5</v>
      </c>
      <c r="S395" s="11">
        <f t="shared" ca="1" si="199"/>
        <v>-1.1458026838550334E-3</v>
      </c>
      <c r="T395" s="11">
        <f t="shared" ca="1" si="200"/>
        <v>-4.9053934342410677E-4</v>
      </c>
      <c r="U395" s="11">
        <f t="shared" ca="1" si="201"/>
        <v>-5.5074395654535931E-3</v>
      </c>
      <c r="V395" s="11"/>
      <c r="W395" s="11">
        <f t="shared" ca="1" si="218"/>
        <v>0</v>
      </c>
      <c r="X395" s="2">
        <f t="shared" ca="1" si="219"/>
        <v>-1.6358405771021967E-4</v>
      </c>
      <c r="Y395" s="2">
        <f t="shared" ca="1" si="220"/>
        <v>-1.614029402377854E-3</v>
      </c>
      <c r="Z395" s="11">
        <f t="shared" ca="1" si="221"/>
        <v>-1.4853760121635622E-5</v>
      </c>
      <c r="AA395" s="2">
        <f t="shared" ca="1" si="222"/>
        <v>-1.1458026838550334E-3</v>
      </c>
      <c r="AB395" s="11">
        <f t="shared" ca="1" si="223"/>
        <v>-4.9053934342410677E-4</v>
      </c>
      <c r="AC395" s="2">
        <f t="shared" ca="1" si="224"/>
        <v>-5.5074395654535931E-3</v>
      </c>
      <c r="AF395" s="11">
        <f t="shared" ca="1" si="225"/>
        <v>0</v>
      </c>
      <c r="AG395" s="2">
        <f t="shared" ca="1" si="226"/>
        <v>-1.6358405771021967E-4</v>
      </c>
      <c r="AH395" s="2">
        <f t="shared" ca="1" si="227"/>
        <v>-1.614029402377854E-3</v>
      </c>
      <c r="AI395" s="2">
        <f t="shared" ca="1" si="228"/>
        <v>-1.4853760121635622E-5</v>
      </c>
      <c r="AJ395" s="2">
        <f t="shared" ca="1" si="229"/>
        <v>-1.1458026838550334E-3</v>
      </c>
      <c r="AK395" s="2">
        <f t="shared" ca="1" si="230"/>
        <v>-4.9053934342410677E-4</v>
      </c>
      <c r="AL395" s="2">
        <f t="shared" ca="1" si="231"/>
        <v>-5.5074395654535931E-3</v>
      </c>
      <c r="AN395" s="2" t="e">
        <f t="shared" ca="1" si="210"/>
        <v>#N/A</v>
      </c>
      <c r="AO395" s="2" t="e">
        <f t="shared" ca="1" si="211"/>
        <v>#N/A</v>
      </c>
      <c r="AP395" s="2" t="e">
        <f t="shared" ca="1" si="212"/>
        <v>#N/A</v>
      </c>
      <c r="AQ395" s="2" t="e">
        <f t="shared" ca="1" si="213"/>
        <v>#N/A</v>
      </c>
      <c r="AR395" s="2" t="e">
        <f t="shared" ca="1" si="214"/>
        <v>#N/A</v>
      </c>
      <c r="AS395" s="2" t="e">
        <f t="shared" ca="1" si="215"/>
        <v>#N/A</v>
      </c>
      <c r="AT395" s="9" t="e">
        <f t="shared" ca="1" si="216"/>
        <v>#N/A</v>
      </c>
      <c r="AU395" s="9" t="e">
        <f t="shared" ca="1" si="217"/>
        <v>#N/A</v>
      </c>
      <c r="AW395" s="2" t="e">
        <f t="shared" ca="1" si="202"/>
        <v>#N/A</v>
      </c>
      <c r="AX395" s="2" t="e">
        <f t="shared" ca="1" si="203"/>
        <v>#N/A</v>
      </c>
      <c r="AY395" s="2" t="e">
        <f t="shared" ca="1" si="204"/>
        <v>#N/A</v>
      </c>
      <c r="AZ395" s="2" t="e">
        <f t="shared" ca="1" si="205"/>
        <v>#N/A</v>
      </c>
      <c r="BA395" s="2" t="e">
        <f t="shared" ca="1" si="206"/>
        <v>#N/A</v>
      </c>
      <c r="BB395" s="2" t="e">
        <f t="shared" ca="1" si="207"/>
        <v>#N/A</v>
      </c>
      <c r="BC395" s="9" t="e">
        <f t="shared" ca="1" si="208"/>
        <v>#N/A</v>
      </c>
      <c r="BD395" s="9" t="e">
        <f t="shared" ca="1" si="209"/>
        <v>#N/A</v>
      </c>
    </row>
    <row r="396" spans="1:56" ht="15" x14ac:dyDescent="0.25">
      <c r="A396" s="63"/>
      <c r="B396" s="63"/>
      <c r="C396" s="64"/>
      <c r="D396" s="64"/>
      <c r="E396" s="64"/>
      <c r="F396" s="64"/>
      <c r="G396" s="64"/>
      <c r="H396" s="64"/>
      <c r="I396" s="64"/>
      <c r="J396" s="64"/>
      <c r="K396" s="64"/>
      <c r="L396" s="64"/>
      <c r="M396" s="64"/>
      <c r="O396" s="11">
        <f t="shared" ca="1" si="195"/>
        <v>-3.9378682616450625E-4</v>
      </c>
      <c r="P396" s="11">
        <f t="shared" ca="1" si="196"/>
        <v>-1.6358405771021967E-4</v>
      </c>
      <c r="Q396" s="11">
        <f t="shared" ca="1" si="197"/>
        <v>-1.614029402377854E-3</v>
      </c>
      <c r="R396" s="11">
        <f t="shared" ca="1" si="198"/>
        <v>-1.4853760121635622E-5</v>
      </c>
      <c r="S396" s="11">
        <f t="shared" ca="1" si="199"/>
        <v>-1.1458026838550334E-3</v>
      </c>
      <c r="T396" s="11">
        <f t="shared" ca="1" si="200"/>
        <v>-4.9053934342410677E-4</v>
      </c>
      <c r="U396" s="11">
        <f t="shared" ca="1" si="201"/>
        <v>-5.5074395654535931E-3</v>
      </c>
      <c r="V396" s="11"/>
      <c r="W396" s="11">
        <f t="shared" ca="1" si="218"/>
        <v>0</v>
      </c>
      <c r="X396" s="2">
        <f t="shared" ca="1" si="219"/>
        <v>-1.6358405771021967E-4</v>
      </c>
      <c r="Y396" s="2">
        <f t="shared" ca="1" si="220"/>
        <v>-1.614029402377854E-3</v>
      </c>
      <c r="Z396" s="11">
        <f t="shared" ca="1" si="221"/>
        <v>-1.4853760121635622E-5</v>
      </c>
      <c r="AA396" s="2">
        <f t="shared" ca="1" si="222"/>
        <v>-1.1458026838550334E-3</v>
      </c>
      <c r="AB396" s="11">
        <f t="shared" ca="1" si="223"/>
        <v>-4.9053934342410677E-4</v>
      </c>
      <c r="AC396" s="2">
        <f t="shared" ca="1" si="224"/>
        <v>-5.5074395654535931E-3</v>
      </c>
      <c r="AF396" s="11">
        <f t="shared" ca="1" si="225"/>
        <v>0</v>
      </c>
      <c r="AG396" s="2">
        <f t="shared" ca="1" si="226"/>
        <v>-1.6358405771021967E-4</v>
      </c>
      <c r="AH396" s="2">
        <f t="shared" ca="1" si="227"/>
        <v>-1.614029402377854E-3</v>
      </c>
      <c r="AI396" s="2">
        <f t="shared" ca="1" si="228"/>
        <v>-1.4853760121635622E-5</v>
      </c>
      <c r="AJ396" s="2">
        <f t="shared" ca="1" si="229"/>
        <v>-1.1458026838550334E-3</v>
      </c>
      <c r="AK396" s="2">
        <f t="shared" ca="1" si="230"/>
        <v>-4.9053934342410677E-4</v>
      </c>
      <c r="AL396" s="2">
        <f t="shared" ca="1" si="231"/>
        <v>-5.5074395654535931E-3</v>
      </c>
      <c r="AN396" s="2" t="e">
        <f t="shared" ca="1" si="210"/>
        <v>#N/A</v>
      </c>
      <c r="AO396" s="2" t="e">
        <f t="shared" ca="1" si="211"/>
        <v>#N/A</v>
      </c>
      <c r="AP396" s="2" t="e">
        <f t="shared" ca="1" si="212"/>
        <v>#N/A</v>
      </c>
      <c r="AQ396" s="2" t="e">
        <f t="shared" ca="1" si="213"/>
        <v>#N/A</v>
      </c>
      <c r="AR396" s="2" t="e">
        <f t="shared" ca="1" si="214"/>
        <v>#N/A</v>
      </c>
      <c r="AS396" s="2" t="e">
        <f t="shared" ca="1" si="215"/>
        <v>#N/A</v>
      </c>
      <c r="AT396" s="9" t="e">
        <f t="shared" ca="1" si="216"/>
        <v>#N/A</v>
      </c>
      <c r="AU396" s="9" t="e">
        <f t="shared" ca="1" si="217"/>
        <v>#N/A</v>
      </c>
      <c r="AW396" s="2" t="e">
        <f t="shared" ca="1" si="202"/>
        <v>#N/A</v>
      </c>
      <c r="AX396" s="2" t="e">
        <f t="shared" ca="1" si="203"/>
        <v>#N/A</v>
      </c>
      <c r="AY396" s="2" t="e">
        <f t="shared" ca="1" si="204"/>
        <v>#N/A</v>
      </c>
      <c r="AZ396" s="2" t="e">
        <f t="shared" ca="1" si="205"/>
        <v>#N/A</v>
      </c>
      <c r="BA396" s="2" t="e">
        <f t="shared" ca="1" si="206"/>
        <v>#N/A</v>
      </c>
      <c r="BB396" s="2" t="e">
        <f t="shared" ca="1" si="207"/>
        <v>#N/A</v>
      </c>
      <c r="BC396" s="9" t="e">
        <f t="shared" ca="1" si="208"/>
        <v>#N/A</v>
      </c>
      <c r="BD396" s="9" t="e">
        <f t="shared" ca="1" si="209"/>
        <v>#N/A</v>
      </c>
    </row>
    <row r="397" spans="1:56" ht="15" x14ac:dyDescent="0.25">
      <c r="A397" s="63"/>
      <c r="B397" s="63"/>
      <c r="C397" s="64"/>
      <c r="D397" s="64"/>
      <c r="E397" s="64"/>
      <c r="F397" s="64"/>
      <c r="G397" s="64"/>
      <c r="H397" s="64"/>
      <c r="I397" s="64"/>
      <c r="J397" s="64"/>
      <c r="K397" s="64"/>
      <c r="L397" s="64"/>
      <c r="M397" s="64"/>
      <c r="O397" s="11">
        <f t="shared" ca="1" si="195"/>
        <v>-3.9378682616450625E-4</v>
      </c>
      <c r="P397" s="11">
        <f t="shared" ca="1" si="196"/>
        <v>-1.6358405771021967E-4</v>
      </c>
      <c r="Q397" s="11">
        <f t="shared" ca="1" si="197"/>
        <v>-1.614029402377854E-3</v>
      </c>
      <c r="R397" s="11">
        <f t="shared" ca="1" si="198"/>
        <v>-1.4853760121635622E-5</v>
      </c>
      <c r="S397" s="11">
        <f t="shared" ca="1" si="199"/>
        <v>-1.1458026838550334E-3</v>
      </c>
      <c r="T397" s="11">
        <f t="shared" ca="1" si="200"/>
        <v>-4.9053934342410677E-4</v>
      </c>
      <c r="U397" s="11">
        <f t="shared" ca="1" si="201"/>
        <v>-5.5074395654535931E-3</v>
      </c>
      <c r="V397" s="11"/>
      <c r="W397" s="11">
        <f t="shared" ca="1" si="218"/>
        <v>0</v>
      </c>
      <c r="X397" s="2">
        <f t="shared" ca="1" si="219"/>
        <v>-1.6358405771021967E-4</v>
      </c>
      <c r="Y397" s="2">
        <f t="shared" ca="1" si="220"/>
        <v>-1.614029402377854E-3</v>
      </c>
      <c r="Z397" s="11">
        <f t="shared" ca="1" si="221"/>
        <v>-1.4853760121635622E-5</v>
      </c>
      <c r="AA397" s="2">
        <f t="shared" ca="1" si="222"/>
        <v>-1.1458026838550334E-3</v>
      </c>
      <c r="AB397" s="11">
        <f t="shared" ca="1" si="223"/>
        <v>-4.9053934342410677E-4</v>
      </c>
      <c r="AC397" s="2">
        <f t="shared" ca="1" si="224"/>
        <v>-5.5074395654535931E-3</v>
      </c>
      <c r="AF397" s="11">
        <f t="shared" ca="1" si="225"/>
        <v>0</v>
      </c>
      <c r="AG397" s="2">
        <f t="shared" ca="1" si="226"/>
        <v>-1.6358405771021967E-4</v>
      </c>
      <c r="AH397" s="2">
        <f t="shared" ca="1" si="227"/>
        <v>-1.614029402377854E-3</v>
      </c>
      <c r="AI397" s="2">
        <f t="shared" ca="1" si="228"/>
        <v>-1.4853760121635622E-5</v>
      </c>
      <c r="AJ397" s="2">
        <f t="shared" ca="1" si="229"/>
        <v>-1.1458026838550334E-3</v>
      </c>
      <c r="AK397" s="2">
        <f t="shared" ca="1" si="230"/>
        <v>-4.9053934342410677E-4</v>
      </c>
      <c r="AL397" s="2">
        <f t="shared" ca="1" si="231"/>
        <v>-5.5074395654535931E-3</v>
      </c>
      <c r="AN397" s="2" t="e">
        <f t="shared" ca="1" si="210"/>
        <v>#N/A</v>
      </c>
      <c r="AO397" s="2" t="e">
        <f t="shared" ca="1" si="211"/>
        <v>#N/A</v>
      </c>
      <c r="AP397" s="2" t="e">
        <f t="shared" ca="1" si="212"/>
        <v>#N/A</v>
      </c>
      <c r="AQ397" s="2" t="e">
        <f t="shared" ca="1" si="213"/>
        <v>#N/A</v>
      </c>
      <c r="AR397" s="2" t="e">
        <f t="shared" ca="1" si="214"/>
        <v>#N/A</v>
      </c>
      <c r="AS397" s="2" t="e">
        <f t="shared" ca="1" si="215"/>
        <v>#N/A</v>
      </c>
      <c r="AT397" s="9" t="e">
        <f t="shared" ca="1" si="216"/>
        <v>#N/A</v>
      </c>
      <c r="AU397" s="9" t="e">
        <f t="shared" ca="1" si="217"/>
        <v>#N/A</v>
      </c>
      <c r="AW397" s="2" t="e">
        <f t="shared" ca="1" si="202"/>
        <v>#N/A</v>
      </c>
      <c r="AX397" s="2" t="e">
        <f t="shared" ca="1" si="203"/>
        <v>#N/A</v>
      </c>
      <c r="AY397" s="2" t="e">
        <f t="shared" ca="1" si="204"/>
        <v>#N/A</v>
      </c>
      <c r="AZ397" s="2" t="e">
        <f t="shared" ca="1" si="205"/>
        <v>#N/A</v>
      </c>
      <c r="BA397" s="2" t="e">
        <f t="shared" ca="1" si="206"/>
        <v>#N/A</v>
      </c>
      <c r="BB397" s="2" t="e">
        <f t="shared" ca="1" si="207"/>
        <v>#N/A</v>
      </c>
      <c r="BC397" s="9" t="e">
        <f t="shared" ca="1" si="208"/>
        <v>#N/A</v>
      </c>
      <c r="BD397" s="9" t="e">
        <f t="shared" ca="1" si="209"/>
        <v>#N/A</v>
      </c>
    </row>
    <row r="398" spans="1:56" ht="15" x14ac:dyDescent="0.25">
      <c r="A398" s="63"/>
      <c r="B398" s="63"/>
      <c r="C398" s="64"/>
      <c r="D398" s="64"/>
      <c r="E398" s="64"/>
      <c r="F398" s="64"/>
      <c r="G398" s="64"/>
      <c r="H398" s="64"/>
      <c r="I398" s="64"/>
      <c r="J398" s="64"/>
      <c r="K398" s="64"/>
      <c r="L398" s="64"/>
      <c r="M398" s="64"/>
      <c r="O398" s="11">
        <f t="shared" ca="1" si="195"/>
        <v>-3.9378682616450625E-4</v>
      </c>
      <c r="P398" s="11">
        <f t="shared" ca="1" si="196"/>
        <v>-1.6358405771021967E-4</v>
      </c>
      <c r="Q398" s="11">
        <f t="shared" ca="1" si="197"/>
        <v>-1.614029402377854E-3</v>
      </c>
      <c r="R398" s="11">
        <f t="shared" ca="1" si="198"/>
        <v>-1.4853760121635622E-5</v>
      </c>
      <c r="S398" s="11">
        <f t="shared" ca="1" si="199"/>
        <v>-1.1458026838550334E-3</v>
      </c>
      <c r="T398" s="11">
        <f t="shared" ca="1" si="200"/>
        <v>-4.9053934342410677E-4</v>
      </c>
      <c r="U398" s="11">
        <f t="shared" ca="1" si="201"/>
        <v>-5.5074395654535931E-3</v>
      </c>
      <c r="V398" s="11"/>
      <c r="W398" s="11">
        <f t="shared" ca="1" si="218"/>
        <v>0</v>
      </c>
      <c r="X398" s="2">
        <f t="shared" ca="1" si="219"/>
        <v>-1.6358405771021967E-4</v>
      </c>
      <c r="Y398" s="2">
        <f t="shared" ca="1" si="220"/>
        <v>-1.614029402377854E-3</v>
      </c>
      <c r="Z398" s="11">
        <f t="shared" ca="1" si="221"/>
        <v>-1.4853760121635622E-5</v>
      </c>
      <c r="AA398" s="2">
        <f t="shared" ca="1" si="222"/>
        <v>-1.1458026838550334E-3</v>
      </c>
      <c r="AB398" s="11">
        <f t="shared" ca="1" si="223"/>
        <v>-4.9053934342410677E-4</v>
      </c>
      <c r="AC398" s="2">
        <f t="shared" ca="1" si="224"/>
        <v>-5.5074395654535931E-3</v>
      </c>
      <c r="AF398" s="11">
        <f t="shared" ca="1" si="225"/>
        <v>0</v>
      </c>
      <c r="AG398" s="2">
        <f t="shared" ca="1" si="226"/>
        <v>-1.6358405771021967E-4</v>
      </c>
      <c r="AH398" s="2">
        <f t="shared" ca="1" si="227"/>
        <v>-1.614029402377854E-3</v>
      </c>
      <c r="AI398" s="2">
        <f t="shared" ca="1" si="228"/>
        <v>-1.4853760121635622E-5</v>
      </c>
      <c r="AJ398" s="2">
        <f t="shared" ca="1" si="229"/>
        <v>-1.1458026838550334E-3</v>
      </c>
      <c r="AK398" s="2">
        <f t="shared" ca="1" si="230"/>
        <v>-4.9053934342410677E-4</v>
      </c>
      <c r="AL398" s="2">
        <f t="shared" ca="1" si="231"/>
        <v>-5.5074395654535931E-3</v>
      </c>
      <c r="AN398" s="2" t="e">
        <f t="shared" ca="1" si="210"/>
        <v>#N/A</v>
      </c>
      <c r="AO398" s="2" t="e">
        <f t="shared" ca="1" si="211"/>
        <v>#N/A</v>
      </c>
      <c r="AP398" s="2" t="e">
        <f t="shared" ca="1" si="212"/>
        <v>#N/A</v>
      </c>
      <c r="AQ398" s="2" t="e">
        <f t="shared" ca="1" si="213"/>
        <v>#N/A</v>
      </c>
      <c r="AR398" s="2" t="e">
        <f t="shared" ca="1" si="214"/>
        <v>#N/A</v>
      </c>
      <c r="AS398" s="2" t="e">
        <f t="shared" ca="1" si="215"/>
        <v>#N/A</v>
      </c>
      <c r="AT398" s="9" t="e">
        <f t="shared" ca="1" si="216"/>
        <v>#N/A</v>
      </c>
      <c r="AU398" s="9" t="e">
        <f t="shared" ca="1" si="217"/>
        <v>#N/A</v>
      </c>
      <c r="AW398" s="2" t="e">
        <f t="shared" ca="1" si="202"/>
        <v>#N/A</v>
      </c>
      <c r="AX398" s="2" t="e">
        <f t="shared" ca="1" si="203"/>
        <v>#N/A</v>
      </c>
      <c r="AY398" s="2" t="e">
        <f t="shared" ca="1" si="204"/>
        <v>#N/A</v>
      </c>
      <c r="AZ398" s="2" t="e">
        <f t="shared" ca="1" si="205"/>
        <v>#N/A</v>
      </c>
      <c r="BA398" s="2" t="e">
        <f t="shared" ca="1" si="206"/>
        <v>#N/A</v>
      </c>
      <c r="BB398" s="2" t="e">
        <f t="shared" ca="1" si="207"/>
        <v>#N/A</v>
      </c>
      <c r="BC398" s="9" t="e">
        <f t="shared" ca="1" si="208"/>
        <v>#N/A</v>
      </c>
      <c r="BD398" s="9" t="e">
        <f t="shared" ca="1" si="209"/>
        <v>#N/A</v>
      </c>
    </row>
    <row r="399" spans="1:56" ht="15" x14ac:dyDescent="0.25">
      <c r="A399" s="63"/>
      <c r="B399" s="63"/>
      <c r="C399" s="64"/>
      <c r="D399" s="64"/>
      <c r="E399" s="64"/>
      <c r="F399" s="64"/>
      <c r="G399" s="64"/>
      <c r="H399" s="64"/>
      <c r="I399" s="64"/>
      <c r="J399" s="64"/>
      <c r="K399" s="64"/>
      <c r="L399" s="64"/>
      <c r="M399" s="64"/>
      <c r="O399" s="11">
        <f t="shared" ca="1" si="195"/>
        <v>-3.9378682616450625E-4</v>
      </c>
      <c r="P399" s="11">
        <f t="shared" ca="1" si="196"/>
        <v>-1.6358405771021967E-4</v>
      </c>
      <c r="Q399" s="11">
        <f t="shared" ca="1" si="197"/>
        <v>-1.614029402377854E-3</v>
      </c>
      <c r="R399" s="11">
        <f t="shared" ca="1" si="198"/>
        <v>-1.4853760121635622E-5</v>
      </c>
      <c r="S399" s="11">
        <f t="shared" ca="1" si="199"/>
        <v>-1.1458026838550334E-3</v>
      </c>
      <c r="T399" s="11">
        <f t="shared" ca="1" si="200"/>
        <v>-4.9053934342410677E-4</v>
      </c>
      <c r="U399" s="11">
        <f t="shared" ca="1" si="201"/>
        <v>-5.5074395654535931E-3</v>
      </c>
      <c r="V399" s="11"/>
      <c r="W399" s="11">
        <f t="shared" ca="1" si="218"/>
        <v>0</v>
      </c>
      <c r="X399" s="2">
        <f t="shared" ca="1" si="219"/>
        <v>-1.6358405771021967E-4</v>
      </c>
      <c r="Y399" s="2">
        <f t="shared" ca="1" si="220"/>
        <v>-1.614029402377854E-3</v>
      </c>
      <c r="Z399" s="11">
        <f t="shared" ca="1" si="221"/>
        <v>-1.4853760121635622E-5</v>
      </c>
      <c r="AA399" s="2">
        <f t="shared" ca="1" si="222"/>
        <v>-1.1458026838550334E-3</v>
      </c>
      <c r="AB399" s="11">
        <f t="shared" ca="1" si="223"/>
        <v>-4.9053934342410677E-4</v>
      </c>
      <c r="AC399" s="2">
        <f t="shared" ca="1" si="224"/>
        <v>-5.5074395654535931E-3</v>
      </c>
      <c r="AF399" s="11">
        <f t="shared" ca="1" si="225"/>
        <v>0</v>
      </c>
      <c r="AG399" s="2">
        <f t="shared" ca="1" si="226"/>
        <v>-1.6358405771021967E-4</v>
      </c>
      <c r="AH399" s="2">
        <f t="shared" ca="1" si="227"/>
        <v>-1.614029402377854E-3</v>
      </c>
      <c r="AI399" s="2">
        <f t="shared" ca="1" si="228"/>
        <v>-1.4853760121635622E-5</v>
      </c>
      <c r="AJ399" s="2">
        <f t="shared" ca="1" si="229"/>
        <v>-1.1458026838550334E-3</v>
      </c>
      <c r="AK399" s="2">
        <f t="shared" ca="1" si="230"/>
        <v>-4.9053934342410677E-4</v>
      </c>
      <c r="AL399" s="2">
        <f t="shared" ca="1" si="231"/>
        <v>-5.5074395654535931E-3</v>
      </c>
      <c r="AN399" s="2" t="e">
        <f t="shared" ca="1" si="210"/>
        <v>#N/A</v>
      </c>
      <c r="AO399" s="2" t="e">
        <f t="shared" ca="1" si="211"/>
        <v>#N/A</v>
      </c>
      <c r="AP399" s="2" t="e">
        <f t="shared" ca="1" si="212"/>
        <v>#N/A</v>
      </c>
      <c r="AQ399" s="2" t="e">
        <f t="shared" ca="1" si="213"/>
        <v>#N/A</v>
      </c>
      <c r="AR399" s="2" t="e">
        <f t="shared" ca="1" si="214"/>
        <v>#N/A</v>
      </c>
      <c r="AS399" s="2" t="e">
        <f t="shared" ca="1" si="215"/>
        <v>#N/A</v>
      </c>
      <c r="AT399" s="9" t="e">
        <f t="shared" ca="1" si="216"/>
        <v>#N/A</v>
      </c>
      <c r="AU399" s="9" t="e">
        <f t="shared" ca="1" si="217"/>
        <v>#N/A</v>
      </c>
      <c r="AW399" s="2" t="e">
        <f t="shared" ca="1" si="202"/>
        <v>#N/A</v>
      </c>
      <c r="AX399" s="2" t="e">
        <f t="shared" ca="1" si="203"/>
        <v>#N/A</v>
      </c>
      <c r="AY399" s="2" t="e">
        <f t="shared" ca="1" si="204"/>
        <v>#N/A</v>
      </c>
      <c r="AZ399" s="2" t="e">
        <f t="shared" ca="1" si="205"/>
        <v>#N/A</v>
      </c>
      <c r="BA399" s="2" t="e">
        <f t="shared" ca="1" si="206"/>
        <v>#N/A</v>
      </c>
      <c r="BB399" s="2" t="e">
        <f t="shared" ca="1" si="207"/>
        <v>#N/A</v>
      </c>
      <c r="BC399" s="9" t="e">
        <f t="shared" ca="1" si="208"/>
        <v>#N/A</v>
      </c>
      <c r="BD399" s="9" t="e">
        <f t="shared" ca="1" si="209"/>
        <v>#N/A</v>
      </c>
    </row>
    <row r="400" spans="1:56" ht="15" x14ac:dyDescent="0.25">
      <c r="A400" s="63"/>
      <c r="B400" s="63"/>
      <c r="C400" s="64"/>
      <c r="D400" s="64"/>
      <c r="E400" s="64"/>
      <c r="F400" s="64"/>
      <c r="G400" s="64"/>
      <c r="H400" s="64"/>
      <c r="I400" s="64"/>
      <c r="J400" s="64"/>
      <c r="K400" s="64"/>
      <c r="L400" s="64"/>
      <c r="M400" s="64"/>
      <c r="O400" s="11">
        <f t="shared" ca="1" si="195"/>
        <v>-3.9378682616450625E-4</v>
      </c>
      <c r="P400" s="11">
        <f t="shared" ca="1" si="196"/>
        <v>-1.6358405771021967E-4</v>
      </c>
      <c r="Q400" s="11">
        <f t="shared" ca="1" si="197"/>
        <v>-1.614029402377854E-3</v>
      </c>
      <c r="R400" s="11">
        <f t="shared" ca="1" si="198"/>
        <v>-1.4853760121635622E-5</v>
      </c>
      <c r="S400" s="11">
        <f t="shared" ca="1" si="199"/>
        <v>-1.1458026838550334E-3</v>
      </c>
      <c r="T400" s="11">
        <f t="shared" ca="1" si="200"/>
        <v>-4.9053934342410677E-4</v>
      </c>
      <c r="U400" s="11">
        <f t="shared" ca="1" si="201"/>
        <v>-5.5074395654535931E-3</v>
      </c>
      <c r="V400" s="11"/>
      <c r="W400" s="11">
        <f t="shared" ca="1" si="218"/>
        <v>0</v>
      </c>
      <c r="X400" s="2">
        <f t="shared" ca="1" si="219"/>
        <v>-1.6358405771021967E-4</v>
      </c>
      <c r="Y400" s="2">
        <f t="shared" ca="1" si="220"/>
        <v>-1.614029402377854E-3</v>
      </c>
      <c r="Z400" s="11">
        <f t="shared" ca="1" si="221"/>
        <v>-1.4853760121635622E-5</v>
      </c>
      <c r="AA400" s="2">
        <f t="shared" ca="1" si="222"/>
        <v>-1.1458026838550334E-3</v>
      </c>
      <c r="AB400" s="11">
        <f t="shared" ca="1" si="223"/>
        <v>-4.9053934342410677E-4</v>
      </c>
      <c r="AC400" s="2">
        <f t="shared" ca="1" si="224"/>
        <v>-5.5074395654535931E-3</v>
      </c>
      <c r="AF400" s="11">
        <f t="shared" ca="1" si="225"/>
        <v>0</v>
      </c>
      <c r="AG400" s="2">
        <f t="shared" ca="1" si="226"/>
        <v>-1.6358405771021967E-4</v>
      </c>
      <c r="AH400" s="2">
        <f t="shared" ca="1" si="227"/>
        <v>-1.614029402377854E-3</v>
      </c>
      <c r="AI400" s="2">
        <f t="shared" ca="1" si="228"/>
        <v>-1.4853760121635622E-5</v>
      </c>
      <c r="AJ400" s="2">
        <f t="shared" ca="1" si="229"/>
        <v>-1.1458026838550334E-3</v>
      </c>
      <c r="AK400" s="2">
        <f t="shared" ca="1" si="230"/>
        <v>-4.9053934342410677E-4</v>
      </c>
      <c r="AL400" s="2">
        <f t="shared" ca="1" si="231"/>
        <v>-5.5074395654535931E-3</v>
      </c>
      <c r="AN400" s="2" t="e">
        <f t="shared" ca="1" si="210"/>
        <v>#N/A</v>
      </c>
      <c r="AO400" s="2" t="e">
        <f t="shared" ca="1" si="211"/>
        <v>#N/A</v>
      </c>
      <c r="AP400" s="2" t="e">
        <f t="shared" ca="1" si="212"/>
        <v>#N/A</v>
      </c>
      <c r="AQ400" s="2" t="e">
        <f t="shared" ca="1" si="213"/>
        <v>#N/A</v>
      </c>
      <c r="AR400" s="2" t="e">
        <f t="shared" ca="1" si="214"/>
        <v>#N/A</v>
      </c>
      <c r="AS400" s="2" t="e">
        <f t="shared" ca="1" si="215"/>
        <v>#N/A</v>
      </c>
      <c r="AT400" s="9" t="e">
        <f t="shared" ca="1" si="216"/>
        <v>#N/A</v>
      </c>
      <c r="AU400" s="9" t="e">
        <f t="shared" ca="1" si="217"/>
        <v>#N/A</v>
      </c>
      <c r="AW400" s="2" t="e">
        <f t="shared" ca="1" si="202"/>
        <v>#N/A</v>
      </c>
      <c r="AX400" s="2" t="e">
        <f t="shared" ca="1" si="203"/>
        <v>#N/A</v>
      </c>
      <c r="AY400" s="2" t="e">
        <f t="shared" ca="1" si="204"/>
        <v>#N/A</v>
      </c>
      <c r="AZ400" s="2" t="e">
        <f t="shared" ca="1" si="205"/>
        <v>#N/A</v>
      </c>
      <c r="BA400" s="2" t="e">
        <f t="shared" ca="1" si="206"/>
        <v>#N/A</v>
      </c>
      <c r="BB400" s="2" t="e">
        <f t="shared" ca="1" si="207"/>
        <v>#N/A</v>
      </c>
      <c r="BC400" s="9" t="e">
        <f t="shared" ca="1" si="208"/>
        <v>#N/A</v>
      </c>
      <c r="BD400" s="9" t="e">
        <f t="shared" ca="1" si="209"/>
        <v>#N/A</v>
      </c>
    </row>
    <row r="401" spans="1:56" ht="15" x14ac:dyDescent="0.25">
      <c r="A401" s="63"/>
      <c r="B401" s="63"/>
      <c r="C401" s="64"/>
      <c r="D401" s="64"/>
      <c r="E401" s="64"/>
      <c r="F401" s="64"/>
      <c r="G401" s="64"/>
      <c r="H401" s="64"/>
      <c r="I401" s="64"/>
      <c r="J401" s="64"/>
      <c r="K401" s="64"/>
      <c r="L401" s="64"/>
      <c r="M401" s="64"/>
      <c r="O401" s="11">
        <f t="shared" ca="1" si="195"/>
        <v>-3.9378682616450625E-4</v>
      </c>
      <c r="P401" s="11">
        <f t="shared" ca="1" si="196"/>
        <v>-1.6358405771021967E-4</v>
      </c>
      <c r="Q401" s="11">
        <f t="shared" ca="1" si="197"/>
        <v>-1.614029402377854E-3</v>
      </c>
      <c r="R401" s="11">
        <f t="shared" ca="1" si="198"/>
        <v>-1.4853760121635622E-5</v>
      </c>
      <c r="S401" s="11">
        <f t="shared" ca="1" si="199"/>
        <v>-1.1458026838550334E-3</v>
      </c>
      <c r="T401" s="11">
        <f t="shared" ca="1" si="200"/>
        <v>-4.9053934342410677E-4</v>
      </c>
      <c r="U401" s="11">
        <f t="shared" ca="1" si="201"/>
        <v>-5.5074395654535931E-3</v>
      </c>
      <c r="V401" s="11"/>
      <c r="W401" s="11">
        <f t="shared" ca="1" si="218"/>
        <v>0</v>
      </c>
      <c r="X401" s="2">
        <f t="shared" ca="1" si="219"/>
        <v>-1.6358405771021967E-4</v>
      </c>
      <c r="Y401" s="2">
        <f t="shared" ca="1" si="220"/>
        <v>-1.614029402377854E-3</v>
      </c>
      <c r="Z401" s="11">
        <f t="shared" ca="1" si="221"/>
        <v>-1.4853760121635622E-5</v>
      </c>
      <c r="AA401" s="2">
        <f t="shared" ca="1" si="222"/>
        <v>-1.1458026838550334E-3</v>
      </c>
      <c r="AB401" s="11">
        <f t="shared" ca="1" si="223"/>
        <v>-4.9053934342410677E-4</v>
      </c>
      <c r="AC401" s="2">
        <f t="shared" ca="1" si="224"/>
        <v>-5.5074395654535931E-3</v>
      </c>
      <c r="AF401" s="11">
        <f t="shared" ca="1" si="225"/>
        <v>0</v>
      </c>
      <c r="AG401" s="2">
        <f t="shared" ca="1" si="226"/>
        <v>-1.6358405771021967E-4</v>
      </c>
      <c r="AH401" s="2">
        <f t="shared" ca="1" si="227"/>
        <v>-1.614029402377854E-3</v>
      </c>
      <c r="AI401" s="2">
        <f t="shared" ca="1" si="228"/>
        <v>-1.4853760121635622E-5</v>
      </c>
      <c r="AJ401" s="2">
        <f t="shared" ca="1" si="229"/>
        <v>-1.1458026838550334E-3</v>
      </c>
      <c r="AK401" s="2">
        <f t="shared" ca="1" si="230"/>
        <v>-4.9053934342410677E-4</v>
      </c>
      <c r="AL401" s="2">
        <f t="shared" ca="1" si="231"/>
        <v>-5.5074395654535931E-3</v>
      </c>
      <c r="AN401" s="2" t="e">
        <f t="shared" ca="1" si="210"/>
        <v>#N/A</v>
      </c>
      <c r="AO401" s="2" t="e">
        <f t="shared" ca="1" si="211"/>
        <v>#N/A</v>
      </c>
      <c r="AP401" s="2" t="e">
        <f t="shared" ca="1" si="212"/>
        <v>#N/A</v>
      </c>
      <c r="AQ401" s="2" t="e">
        <f t="shared" ca="1" si="213"/>
        <v>#N/A</v>
      </c>
      <c r="AR401" s="2" t="e">
        <f t="shared" ca="1" si="214"/>
        <v>#N/A</v>
      </c>
      <c r="AS401" s="2" t="e">
        <f t="shared" ca="1" si="215"/>
        <v>#N/A</v>
      </c>
      <c r="AT401" s="9" t="e">
        <f t="shared" ca="1" si="216"/>
        <v>#N/A</v>
      </c>
      <c r="AU401" s="9" t="e">
        <f t="shared" ca="1" si="217"/>
        <v>#N/A</v>
      </c>
      <c r="AW401" s="2" t="e">
        <f t="shared" ca="1" si="202"/>
        <v>#N/A</v>
      </c>
      <c r="AX401" s="2" t="e">
        <f t="shared" ca="1" si="203"/>
        <v>#N/A</v>
      </c>
      <c r="AY401" s="2" t="e">
        <f t="shared" ca="1" si="204"/>
        <v>#N/A</v>
      </c>
      <c r="AZ401" s="2" t="e">
        <f t="shared" ca="1" si="205"/>
        <v>#N/A</v>
      </c>
      <c r="BA401" s="2" t="e">
        <f t="shared" ca="1" si="206"/>
        <v>#N/A</v>
      </c>
      <c r="BB401" s="2" t="e">
        <f t="shared" ca="1" si="207"/>
        <v>#N/A</v>
      </c>
      <c r="BC401" s="9" t="e">
        <f t="shared" ca="1" si="208"/>
        <v>#N/A</v>
      </c>
      <c r="BD401" s="9" t="e">
        <f t="shared" ca="1" si="209"/>
        <v>#N/A</v>
      </c>
    </row>
    <row r="402" spans="1:56" ht="15" x14ac:dyDescent="0.25">
      <c r="A402" s="63"/>
      <c r="B402" s="63"/>
      <c r="C402" s="64"/>
      <c r="D402" s="64"/>
      <c r="E402" s="64"/>
      <c r="F402" s="64"/>
      <c r="G402" s="64"/>
      <c r="H402" s="64"/>
      <c r="I402" s="64"/>
      <c r="J402" s="64"/>
      <c r="K402" s="64"/>
      <c r="L402" s="64"/>
      <c r="M402" s="64"/>
      <c r="O402" s="11">
        <f t="shared" ref="O402:O465" ca="1" si="232">C402-AVERAGE(OFFSET(C$67,$J$2,0,$J$3))</f>
        <v>-3.9378682616450625E-4</v>
      </c>
      <c r="P402" s="11">
        <f t="shared" ref="P402:P465" ca="1" si="233">D402-AVERAGE(OFFSET(D$67,$J$2,0,$J$3))</f>
        <v>-1.6358405771021967E-4</v>
      </c>
      <c r="Q402" s="11">
        <f t="shared" ref="Q402:Q465" ca="1" si="234">E402-AVERAGE(OFFSET(E$67,$J$2,0,$J$3))</f>
        <v>-1.614029402377854E-3</v>
      </c>
      <c r="R402" s="11">
        <f t="shared" ref="R402:R465" ca="1" si="235">F402-AVERAGE(OFFSET(F$67,$J$2,0,$J$3))</f>
        <v>-1.4853760121635622E-5</v>
      </c>
      <c r="S402" s="11">
        <f t="shared" ref="S402:S465" ca="1" si="236">G402-AVERAGE(OFFSET(G$67,$J$2,0,$J$3))</f>
        <v>-1.1458026838550334E-3</v>
      </c>
      <c r="T402" s="11">
        <f t="shared" ref="T402:T465" ca="1" si="237">H402-AVERAGE(OFFSET(H$67,$J$2,0,$J$3))</f>
        <v>-4.9053934342410677E-4</v>
      </c>
      <c r="U402" s="11">
        <f t="shared" ref="U402:U465" ca="1" si="238">I402-AVERAGE(OFFSET(I$67,$J$2,0,$J$3))</f>
        <v>-5.5074395654535931E-3</v>
      </c>
      <c r="V402" s="11"/>
      <c r="W402" s="11">
        <f t="shared" ca="1" si="218"/>
        <v>0</v>
      </c>
      <c r="X402" s="2">
        <f t="shared" ca="1" si="219"/>
        <v>-1.6358405771021967E-4</v>
      </c>
      <c r="Y402" s="2">
        <f t="shared" ca="1" si="220"/>
        <v>-1.614029402377854E-3</v>
      </c>
      <c r="Z402" s="11">
        <f t="shared" ca="1" si="221"/>
        <v>-1.4853760121635622E-5</v>
      </c>
      <c r="AA402" s="2">
        <f t="shared" ca="1" si="222"/>
        <v>-1.1458026838550334E-3</v>
      </c>
      <c r="AB402" s="11">
        <f t="shared" ca="1" si="223"/>
        <v>-4.9053934342410677E-4</v>
      </c>
      <c r="AC402" s="2">
        <f t="shared" ca="1" si="224"/>
        <v>-5.5074395654535931E-3</v>
      </c>
      <c r="AF402" s="11">
        <f t="shared" ca="1" si="225"/>
        <v>0</v>
      </c>
      <c r="AG402" s="2">
        <f t="shared" ca="1" si="226"/>
        <v>-1.6358405771021967E-4</v>
      </c>
      <c r="AH402" s="2">
        <f t="shared" ca="1" si="227"/>
        <v>-1.614029402377854E-3</v>
      </c>
      <c r="AI402" s="2">
        <f t="shared" ca="1" si="228"/>
        <v>-1.4853760121635622E-5</v>
      </c>
      <c r="AJ402" s="2">
        <f t="shared" ca="1" si="229"/>
        <v>-1.1458026838550334E-3</v>
      </c>
      <c r="AK402" s="2">
        <f t="shared" ca="1" si="230"/>
        <v>-4.9053934342410677E-4</v>
      </c>
      <c r="AL402" s="2">
        <f t="shared" ca="1" si="231"/>
        <v>-5.5074395654535931E-3</v>
      </c>
      <c r="AN402" s="2" t="e">
        <f t="shared" ca="1" si="210"/>
        <v>#N/A</v>
      </c>
      <c r="AO402" s="2" t="e">
        <f t="shared" ca="1" si="211"/>
        <v>#N/A</v>
      </c>
      <c r="AP402" s="2" t="e">
        <f t="shared" ca="1" si="212"/>
        <v>#N/A</v>
      </c>
      <c r="AQ402" s="2" t="e">
        <f t="shared" ca="1" si="213"/>
        <v>#N/A</v>
      </c>
      <c r="AR402" s="2" t="e">
        <f t="shared" ca="1" si="214"/>
        <v>#N/A</v>
      </c>
      <c r="AS402" s="2" t="e">
        <f t="shared" ca="1" si="215"/>
        <v>#N/A</v>
      </c>
      <c r="AT402" s="9" t="e">
        <f t="shared" ca="1" si="216"/>
        <v>#N/A</v>
      </c>
      <c r="AU402" s="9" t="e">
        <f t="shared" ca="1" si="217"/>
        <v>#N/A</v>
      </c>
      <c r="AW402" s="2" t="e">
        <f t="shared" ca="1" si="202"/>
        <v>#N/A</v>
      </c>
      <c r="AX402" s="2" t="e">
        <f t="shared" ca="1" si="203"/>
        <v>#N/A</v>
      </c>
      <c r="AY402" s="2" t="e">
        <f t="shared" ca="1" si="204"/>
        <v>#N/A</v>
      </c>
      <c r="AZ402" s="2" t="e">
        <f t="shared" ca="1" si="205"/>
        <v>#N/A</v>
      </c>
      <c r="BA402" s="2" t="e">
        <f t="shared" ca="1" si="206"/>
        <v>#N/A</v>
      </c>
      <c r="BB402" s="2" t="e">
        <f t="shared" ca="1" si="207"/>
        <v>#N/A</v>
      </c>
      <c r="BC402" s="9" t="e">
        <f t="shared" ca="1" si="208"/>
        <v>#N/A</v>
      </c>
      <c r="BD402" s="9" t="e">
        <f t="shared" ca="1" si="209"/>
        <v>#N/A</v>
      </c>
    </row>
    <row r="403" spans="1:56" ht="15" x14ac:dyDescent="0.25">
      <c r="A403" s="63"/>
      <c r="B403" s="63"/>
      <c r="C403" s="64"/>
      <c r="D403" s="64"/>
      <c r="E403" s="64"/>
      <c r="F403" s="64"/>
      <c r="G403" s="64"/>
      <c r="H403" s="64"/>
      <c r="I403" s="64"/>
      <c r="J403" s="64"/>
      <c r="K403" s="64"/>
      <c r="L403" s="64"/>
      <c r="M403" s="64"/>
      <c r="O403" s="11">
        <f t="shared" ca="1" si="232"/>
        <v>-3.9378682616450625E-4</v>
      </c>
      <c r="P403" s="11">
        <f t="shared" ca="1" si="233"/>
        <v>-1.6358405771021967E-4</v>
      </c>
      <c r="Q403" s="11">
        <f t="shared" ca="1" si="234"/>
        <v>-1.614029402377854E-3</v>
      </c>
      <c r="R403" s="11">
        <f t="shared" ca="1" si="235"/>
        <v>-1.4853760121635622E-5</v>
      </c>
      <c r="S403" s="11">
        <f t="shared" ca="1" si="236"/>
        <v>-1.1458026838550334E-3</v>
      </c>
      <c r="T403" s="11">
        <f t="shared" ca="1" si="237"/>
        <v>-4.9053934342410677E-4</v>
      </c>
      <c r="U403" s="11">
        <f t="shared" ca="1" si="238"/>
        <v>-5.5074395654535931E-3</v>
      </c>
      <c r="V403" s="11"/>
      <c r="W403" s="11">
        <f t="shared" ca="1" si="218"/>
        <v>0</v>
      </c>
      <c r="X403" s="2">
        <f t="shared" ca="1" si="219"/>
        <v>-1.6358405771021967E-4</v>
      </c>
      <c r="Y403" s="2">
        <f t="shared" ca="1" si="220"/>
        <v>-1.614029402377854E-3</v>
      </c>
      <c r="Z403" s="11">
        <f t="shared" ca="1" si="221"/>
        <v>-1.4853760121635622E-5</v>
      </c>
      <c r="AA403" s="2">
        <f t="shared" ca="1" si="222"/>
        <v>-1.1458026838550334E-3</v>
      </c>
      <c r="AB403" s="11">
        <f t="shared" ca="1" si="223"/>
        <v>-4.9053934342410677E-4</v>
      </c>
      <c r="AC403" s="2">
        <f t="shared" ca="1" si="224"/>
        <v>-5.5074395654535931E-3</v>
      </c>
      <c r="AF403" s="11">
        <f t="shared" ca="1" si="225"/>
        <v>0</v>
      </c>
      <c r="AG403" s="2">
        <f t="shared" ca="1" si="226"/>
        <v>-1.6358405771021967E-4</v>
      </c>
      <c r="AH403" s="2">
        <f t="shared" ca="1" si="227"/>
        <v>-1.614029402377854E-3</v>
      </c>
      <c r="AI403" s="2">
        <f t="shared" ca="1" si="228"/>
        <v>-1.4853760121635622E-5</v>
      </c>
      <c r="AJ403" s="2">
        <f t="shared" ca="1" si="229"/>
        <v>-1.1458026838550334E-3</v>
      </c>
      <c r="AK403" s="2">
        <f t="shared" ca="1" si="230"/>
        <v>-4.9053934342410677E-4</v>
      </c>
      <c r="AL403" s="2">
        <f t="shared" ca="1" si="231"/>
        <v>-5.5074395654535931E-3</v>
      </c>
      <c r="AN403" s="2" t="e">
        <f t="shared" ca="1" si="210"/>
        <v>#N/A</v>
      </c>
      <c r="AO403" s="2" t="e">
        <f t="shared" ca="1" si="211"/>
        <v>#N/A</v>
      </c>
      <c r="AP403" s="2" t="e">
        <f t="shared" ca="1" si="212"/>
        <v>#N/A</v>
      </c>
      <c r="AQ403" s="2" t="e">
        <f t="shared" ca="1" si="213"/>
        <v>#N/A</v>
      </c>
      <c r="AR403" s="2" t="e">
        <f t="shared" ca="1" si="214"/>
        <v>#N/A</v>
      </c>
      <c r="AS403" s="2" t="e">
        <f t="shared" ca="1" si="215"/>
        <v>#N/A</v>
      </c>
      <c r="AT403" s="9" t="e">
        <f t="shared" ca="1" si="216"/>
        <v>#N/A</v>
      </c>
      <c r="AU403" s="9" t="e">
        <f t="shared" ca="1" si="217"/>
        <v>#N/A</v>
      </c>
      <c r="AW403" s="2" t="e">
        <f t="shared" ca="1" si="202"/>
        <v>#N/A</v>
      </c>
      <c r="AX403" s="2" t="e">
        <f t="shared" ca="1" si="203"/>
        <v>#N/A</v>
      </c>
      <c r="AY403" s="2" t="e">
        <f t="shared" ca="1" si="204"/>
        <v>#N/A</v>
      </c>
      <c r="AZ403" s="2" t="e">
        <f t="shared" ca="1" si="205"/>
        <v>#N/A</v>
      </c>
      <c r="BA403" s="2" t="e">
        <f t="shared" ca="1" si="206"/>
        <v>#N/A</v>
      </c>
      <c r="BB403" s="2" t="e">
        <f t="shared" ca="1" si="207"/>
        <v>#N/A</v>
      </c>
      <c r="BC403" s="9" t="e">
        <f t="shared" ca="1" si="208"/>
        <v>#N/A</v>
      </c>
      <c r="BD403" s="9" t="e">
        <f t="shared" ca="1" si="209"/>
        <v>#N/A</v>
      </c>
    </row>
    <row r="404" spans="1:56" ht="15" x14ac:dyDescent="0.25">
      <c r="A404" s="63"/>
      <c r="B404" s="63"/>
      <c r="C404" s="64"/>
      <c r="D404" s="64"/>
      <c r="E404" s="64"/>
      <c r="F404" s="64"/>
      <c r="G404" s="64"/>
      <c r="H404" s="64"/>
      <c r="I404" s="64"/>
      <c r="J404" s="64"/>
      <c r="K404" s="64"/>
      <c r="L404" s="64"/>
      <c r="M404" s="64"/>
      <c r="O404" s="11">
        <f t="shared" ca="1" si="232"/>
        <v>-3.9378682616450625E-4</v>
      </c>
      <c r="P404" s="11">
        <f t="shared" ca="1" si="233"/>
        <v>-1.6358405771021967E-4</v>
      </c>
      <c r="Q404" s="11">
        <f t="shared" ca="1" si="234"/>
        <v>-1.614029402377854E-3</v>
      </c>
      <c r="R404" s="11">
        <f t="shared" ca="1" si="235"/>
        <v>-1.4853760121635622E-5</v>
      </c>
      <c r="S404" s="11">
        <f t="shared" ca="1" si="236"/>
        <v>-1.1458026838550334E-3</v>
      </c>
      <c r="T404" s="11">
        <f t="shared" ca="1" si="237"/>
        <v>-4.9053934342410677E-4</v>
      </c>
      <c r="U404" s="11">
        <f t="shared" ca="1" si="238"/>
        <v>-5.5074395654535931E-3</v>
      </c>
      <c r="V404" s="11"/>
      <c r="W404" s="11">
        <f t="shared" ca="1" si="218"/>
        <v>0</v>
      </c>
      <c r="X404" s="2">
        <f t="shared" ca="1" si="219"/>
        <v>-1.6358405771021967E-4</v>
      </c>
      <c r="Y404" s="2">
        <f t="shared" ca="1" si="220"/>
        <v>-1.614029402377854E-3</v>
      </c>
      <c r="Z404" s="11">
        <f t="shared" ca="1" si="221"/>
        <v>-1.4853760121635622E-5</v>
      </c>
      <c r="AA404" s="2">
        <f t="shared" ca="1" si="222"/>
        <v>-1.1458026838550334E-3</v>
      </c>
      <c r="AB404" s="11">
        <f t="shared" ca="1" si="223"/>
        <v>-4.9053934342410677E-4</v>
      </c>
      <c r="AC404" s="2">
        <f t="shared" ca="1" si="224"/>
        <v>-5.5074395654535931E-3</v>
      </c>
      <c r="AF404" s="11">
        <f t="shared" ca="1" si="225"/>
        <v>0</v>
      </c>
      <c r="AG404" s="2">
        <f t="shared" ca="1" si="226"/>
        <v>-1.6358405771021967E-4</v>
      </c>
      <c r="AH404" s="2">
        <f t="shared" ca="1" si="227"/>
        <v>-1.614029402377854E-3</v>
      </c>
      <c r="AI404" s="2">
        <f t="shared" ca="1" si="228"/>
        <v>-1.4853760121635622E-5</v>
      </c>
      <c r="AJ404" s="2">
        <f t="shared" ca="1" si="229"/>
        <v>-1.1458026838550334E-3</v>
      </c>
      <c r="AK404" s="2">
        <f t="shared" ca="1" si="230"/>
        <v>-4.9053934342410677E-4</v>
      </c>
      <c r="AL404" s="2">
        <f t="shared" ca="1" si="231"/>
        <v>-5.5074395654535931E-3</v>
      </c>
      <c r="AN404" s="2" t="e">
        <f t="shared" ca="1" si="210"/>
        <v>#N/A</v>
      </c>
      <c r="AO404" s="2" t="e">
        <f t="shared" ca="1" si="211"/>
        <v>#N/A</v>
      </c>
      <c r="AP404" s="2" t="e">
        <f t="shared" ca="1" si="212"/>
        <v>#N/A</v>
      </c>
      <c r="AQ404" s="2" t="e">
        <f t="shared" ca="1" si="213"/>
        <v>#N/A</v>
      </c>
      <c r="AR404" s="2" t="e">
        <f t="shared" ca="1" si="214"/>
        <v>#N/A</v>
      </c>
      <c r="AS404" s="2" t="e">
        <f t="shared" ca="1" si="215"/>
        <v>#N/A</v>
      </c>
      <c r="AT404" s="9" t="e">
        <f t="shared" ca="1" si="216"/>
        <v>#N/A</v>
      </c>
      <c r="AU404" s="9" t="e">
        <f t="shared" ca="1" si="217"/>
        <v>#N/A</v>
      </c>
      <c r="AW404" s="2" t="e">
        <f t="shared" ca="1" si="202"/>
        <v>#N/A</v>
      </c>
      <c r="AX404" s="2" t="e">
        <f t="shared" ca="1" si="203"/>
        <v>#N/A</v>
      </c>
      <c r="AY404" s="2" t="e">
        <f t="shared" ca="1" si="204"/>
        <v>#N/A</v>
      </c>
      <c r="AZ404" s="2" t="e">
        <f t="shared" ca="1" si="205"/>
        <v>#N/A</v>
      </c>
      <c r="BA404" s="2" t="e">
        <f t="shared" ca="1" si="206"/>
        <v>#N/A</v>
      </c>
      <c r="BB404" s="2" t="e">
        <f t="shared" ca="1" si="207"/>
        <v>#N/A</v>
      </c>
      <c r="BC404" s="9" t="e">
        <f t="shared" ca="1" si="208"/>
        <v>#N/A</v>
      </c>
      <c r="BD404" s="9" t="e">
        <f t="shared" ca="1" si="209"/>
        <v>#N/A</v>
      </c>
    </row>
    <row r="405" spans="1:56" ht="15" x14ac:dyDescent="0.25">
      <c r="A405" s="63"/>
      <c r="B405" s="63"/>
      <c r="C405" s="64"/>
      <c r="D405" s="64"/>
      <c r="E405" s="64"/>
      <c r="F405" s="64"/>
      <c r="G405" s="64"/>
      <c r="H405" s="64"/>
      <c r="I405" s="64"/>
      <c r="J405" s="64"/>
      <c r="K405" s="64"/>
      <c r="L405" s="64"/>
      <c r="M405" s="64"/>
      <c r="O405" s="11">
        <f t="shared" ca="1" si="232"/>
        <v>-3.9378682616450625E-4</v>
      </c>
      <c r="P405" s="11">
        <f t="shared" ca="1" si="233"/>
        <v>-1.6358405771021967E-4</v>
      </c>
      <c r="Q405" s="11">
        <f t="shared" ca="1" si="234"/>
        <v>-1.614029402377854E-3</v>
      </c>
      <c r="R405" s="11">
        <f t="shared" ca="1" si="235"/>
        <v>-1.4853760121635622E-5</v>
      </c>
      <c r="S405" s="11">
        <f t="shared" ca="1" si="236"/>
        <v>-1.1458026838550334E-3</v>
      </c>
      <c r="T405" s="11">
        <f t="shared" ca="1" si="237"/>
        <v>-4.9053934342410677E-4</v>
      </c>
      <c r="U405" s="11">
        <f t="shared" ca="1" si="238"/>
        <v>-5.5074395654535931E-3</v>
      </c>
      <c r="V405" s="11"/>
      <c r="W405" s="11">
        <f t="shared" ca="1" si="218"/>
        <v>0</v>
      </c>
      <c r="X405" s="2">
        <f t="shared" ca="1" si="219"/>
        <v>-1.6358405771021967E-4</v>
      </c>
      <c r="Y405" s="2">
        <f t="shared" ca="1" si="220"/>
        <v>-1.614029402377854E-3</v>
      </c>
      <c r="Z405" s="11">
        <f t="shared" ca="1" si="221"/>
        <v>-1.4853760121635622E-5</v>
      </c>
      <c r="AA405" s="2">
        <f t="shared" ca="1" si="222"/>
        <v>-1.1458026838550334E-3</v>
      </c>
      <c r="AB405" s="11">
        <f t="shared" ca="1" si="223"/>
        <v>-4.9053934342410677E-4</v>
      </c>
      <c r="AC405" s="2">
        <f t="shared" ca="1" si="224"/>
        <v>-5.5074395654535931E-3</v>
      </c>
      <c r="AF405" s="11">
        <f t="shared" ca="1" si="225"/>
        <v>0</v>
      </c>
      <c r="AG405" s="2">
        <f t="shared" ca="1" si="226"/>
        <v>-1.6358405771021967E-4</v>
      </c>
      <c r="AH405" s="2">
        <f t="shared" ca="1" si="227"/>
        <v>-1.614029402377854E-3</v>
      </c>
      <c r="AI405" s="2">
        <f t="shared" ca="1" si="228"/>
        <v>-1.4853760121635622E-5</v>
      </c>
      <c r="AJ405" s="2">
        <f t="shared" ca="1" si="229"/>
        <v>-1.1458026838550334E-3</v>
      </c>
      <c r="AK405" s="2">
        <f t="shared" ca="1" si="230"/>
        <v>-4.9053934342410677E-4</v>
      </c>
      <c r="AL405" s="2">
        <f t="shared" ca="1" si="231"/>
        <v>-5.5074395654535931E-3</v>
      </c>
      <c r="AN405" s="2" t="e">
        <f t="shared" ca="1" si="210"/>
        <v>#N/A</v>
      </c>
      <c r="AO405" s="2" t="e">
        <f t="shared" ca="1" si="211"/>
        <v>#N/A</v>
      </c>
      <c r="AP405" s="2" t="e">
        <f t="shared" ca="1" si="212"/>
        <v>#N/A</v>
      </c>
      <c r="AQ405" s="2" t="e">
        <f t="shared" ca="1" si="213"/>
        <v>#N/A</v>
      </c>
      <c r="AR405" s="2" t="e">
        <f t="shared" ca="1" si="214"/>
        <v>#N/A</v>
      </c>
      <c r="AS405" s="2" t="e">
        <f t="shared" ca="1" si="215"/>
        <v>#N/A</v>
      </c>
      <c r="AT405" s="9" t="e">
        <f t="shared" ca="1" si="216"/>
        <v>#N/A</v>
      </c>
      <c r="AU405" s="9" t="e">
        <f t="shared" ca="1" si="217"/>
        <v>#N/A</v>
      </c>
      <c r="AW405" s="2" t="e">
        <f t="shared" ca="1" si="202"/>
        <v>#N/A</v>
      </c>
      <c r="AX405" s="2" t="e">
        <f t="shared" ca="1" si="203"/>
        <v>#N/A</v>
      </c>
      <c r="AY405" s="2" t="e">
        <f t="shared" ca="1" si="204"/>
        <v>#N/A</v>
      </c>
      <c r="AZ405" s="2" t="e">
        <f t="shared" ca="1" si="205"/>
        <v>#N/A</v>
      </c>
      <c r="BA405" s="2" t="e">
        <f t="shared" ca="1" si="206"/>
        <v>#N/A</v>
      </c>
      <c r="BB405" s="2" t="e">
        <f t="shared" ca="1" si="207"/>
        <v>#N/A</v>
      </c>
      <c r="BC405" s="9" t="e">
        <f t="shared" ca="1" si="208"/>
        <v>#N/A</v>
      </c>
      <c r="BD405" s="9" t="e">
        <f t="shared" ca="1" si="209"/>
        <v>#N/A</v>
      </c>
    </row>
    <row r="406" spans="1:56" ht="15" x14ac:dyDescent="0.25">
      <c r="A406" s="63"/>
      <c r="B406" s="63"/>
      <c r="C406" s="64"/>
      <c r="D406" s="64"/>
      <c r="E406" s="64"/>
      <c r="F406" s="64"/>
      <c r="G406" s="64"/>
      <c r="H406" s="64"/>
      <c r="I406" s="64"/>
      <c r="J406" s="64"/>
      <c r="K406" s="64"/>
      <c r="L406" s="64"/>
      <c r="M406" s="64"/>
      <c r="O406" s="11">
        <f t="shared" ca="1" si="232"/>
        <v>-3.9378682616450625E-4</v>
      </c>
      <c r="P406" s="11">
        <f t="shared" ca="1" si="233"/>
        <v>-1.6358405771021967E-4</v>
      </c>
      <c r="Q406" s="11">
        <f t="shared" ca="1" si="234"/>
        <v>-1.614029402377854E-3</v>
      </c>
      <c r="R406" s="11">
        <f t="shared" ca="1" si="235"/>
        <v>-1.4853760121635622E-5</v>
      </c>
      <c r="S406" s="11">
        <f t="shared" ca="1" si="236"/>
        <v>-1.1458026838550334E-3</v>
      </c>
      <c r="T406" s="11">
        <f t="shared" ca="1" si="237"/>
        <v>-4.9053934342410677E-4</v>
      </c>
      <c r="U406" s="11">
        <f t="shared" ca="1" si="238"/>
        <v>-5.5074395654535931E-3</v>
      </c>
      <c r="V406" s="11"/>
      <c r="W406" s="11">
        <f t="shared" ca="1" si="218"/>
        <v>0</v>
      </c>
      <c r="X406" s="2">
        <f t="shared" ca="1" si="219"/>
        <v>-1.6358405771021967E-4</v>
      </c>
      <c r="Y406" s="2">
        <f t="shared" ca="1" si="220"/>
        <v>-1.614029402377854E-3</v>
      </c>
      <c r="Z406" s="11">
        <f t="shared" ca="1" si="221"/>
        <v>-1.4853760121635622E-5</v>
      </c>
      <c r="AA406" s="2">
        <f t="shared" ca="1" si="222"/>
        <v>-1.1458026838550334E-3</v>
      </c>
      <c r="AB406" s="11">
        <f t="shared" ca="1" si="223"/>
        <v>-4.9053934342410677E-4</v>
      </c>
      <c r="AC406" s="2">
        <f t="shared" ca="1" si="224"/>
        <v>-5.5074395654535931E-3</v>
      </c>
      <c r="AF406" s="11">
        <f t="shared" ca="1" si="225"/>
        <v>0</v>
      </c>
      <c r="AG406" s="2">
        <f t="shared" ca="1" si="226"/>
        <v>-1.6358405771021967E-4</v>
      </c>
      <c r="AH406" s="2">
        <f t="shared" ca="1" si="227"/>
        <v>-1.614029402377854E-3</v>
      </c>
      <c r="AI406" s="2">
        <f t="shared" ca="1" si="228"/>
        <v>-1.4853760121635622E-5</v>
      </c>
      <c r="AJ406" s="2">
        <f t="shared" ca="1" si="229"/>
        <v>-1.1458026838550334E-3</v>
      </c>
      <c r="AK406" s="2">
        <f t="shared" ca="1" si="230"/>
        <v>-4.9053934342410677E-4</v>
      </c>
      <c r="AL406" s="2">
        <f t="shared" ca="1" si="231"/>
        <v>-5.5074395654535931E-3</v>
      </c>
      <c r="AN406" s="2" t="e">
        <f t="shared" ca="1" si="210"/>
        <v>#N/A</v>
      </c>
      <c r="AO406" s="2" t="e">
        <f t="shared" ca="1" si="211"/>
        <v>#N/A</v>
      </c>
      <c r="AP406" s="2" t="e">
        <f t="shared" ca="1" si="212"/>
        <v>#N/A</v>
      </c>
      <c r="AQ406" s="2" t="e">
        <f t="shared" ca="1" si="213"/>
        <v>#N/A</v>
      </c>
      <c r="AR406" s="2" t="e">
        <f t="shared" ca="1" si="214"/>
        <v>#N/A</v>
      </c>
      <c r="AS406" s="2" t="e">
        <f t="shared" ca="1" si="215"/>
        <v>#N/A</v>
      </c>
      <c r="AT406" s="9" t="e">
        <f t="shared" ca="1" si="216"/>
        <v>#N/A</v>
      </c>
      <c r="AU406" s="9" t="e">
        <f t="shared" ca="1" si="217"/>
        <v>#N/A</v>
      </c>
      <c r="AW406" s="2" t="e">
        <f t="shared" ca="1" si="202"/>
        <v>#N/A</v>
      </c>
      <c r="AX406" s="2" t="e">
        <f t="shared" ca="1" si="203"/>
        <v>#N/A</v>
      </c>
      <c r="AY406" s="2" t="e">
        <f t="shared" ca="1" si="204"/>
        <v>#N/A</v>
      </c>
      <c r="AZ406" s="2" t="e">
        <f t="shared" ca="1" si="205"/>
        <v>#N/A</v>
      </c>
      <c r="BA406" s="2" t="e">
        <f t="shared" ca="1" si="206"/>
        <v>#N/A</v>
      </c>
      <c r="BB406" s="2" t="e">
        <f t="shared" ca="1" si="207"/>
        <v>#N/A</v>
      </c>
      <c r="BC406" s="9" t="e">
        <f t="shared" ca="1" si="208"/>
        <v>#N/A</v>
      </c>
      <c r="BD406" s="9" t="e">
        <f t="shared" ca="1" si="209"/>
        <v>#N/A</v>
      </c>
    </row>
    <row r="407" spans="1:56" ht="15" x14ac:dyDescent="0.25">
      <c r="A407" s="63"/>
      <c r="B407" s="63"/>
      <c r="C407" s="64"/>
      <c r="D407" s="64"/>
      <c r="E407" s="64"/>
      <c r="F407" s="64"/>
      <c r="G407" s="64"/>
      <c r="H407" s="64"/>
      <c r="I407" s="64"/>
      <c r="J407" s="64"/>
      <c r="K407" s="64"/>
      <c r="L407" s="64"/>
      <c r="M407" s="64"/>
      <c r="O407" s="11">
        <f t="shared" ca="1" si="232"/>
        <v>-3.9378682616450625E-4</v>
      </c>
      <c r="P407" s="11">
        <f t="shared" ca="1" si="233"/>
        <v>-1.6358405771021967E-4</v>
      </c>
      <c r="Q407" s="11">
        <f t="shared" ca="1" si="234"/>
        <v>-1.614029402377854E-3</v>
      </c>
      <c r="R407" s="11">
        <f t="shared" ca="1" si="235"/>
        <v>-1.4853760121635622E-5</v>
      </c>
      <c r="S407" s="11">
        <f t="shared" ca="1" si="236"/>
        <v>-1.1458026838550334E-3</v>
      </c>
      <c r="T407" s="11">
        <f t="shared" ca="1" si="237"/>
        <v>-4.9053934342410677E-4</v>
      </c>
      <c r="U407" s="11">
        <f t="shared" ca="1" si="238"/>
        <v>-5.5074395654535931E-3</v>
      </c>
      <c r="V407" s="11"/>
      <c r="W407" s="11">
        <f t="shared" ca="1" si="218"/>
        <v>0</v>
      </c>
      <c r="X407" s="2">
        <f t="shared" ca="1" si="219"/>
        <v>-1.6358405771021967E-4</v>
      </c>
      <c r="Y407" s="2">
        <f t="shared" ca="1" si="220"/>
        <v>-1.614029402377854E-3</v>
      </c>
      <c r="Z407" s="11">
        <f t="shared" ca="1" si="221"/>
        <v>-1.4853760121635622E-5</v>
      </c>
      <c r="AA407" s="2">
        <f t="shared" ca="1" si="222"/>
        <v>-1.1458026838550334E-3</v>
      </c>
      <c r="AB407" s="11">
        <f t="shared" ca="1" si="223"/>
        <v>-4.9053934342410677E-4</v>
      </c>
      <c r="AC407" s="2">
        <f t="shared" ca="1" si="224"/>
        <v>-5.5074395654535931E-3</v>
      </c>
      <c r="AF407" s="11">
        <f t="shared" ca="1" si="225"/>
        <v>0</v>
      </c>
      <c r="AG407" s="2">
        <f t="shared" ca="1" si="226"/>
        <v>-1.6358405771021967E-4</v>
      </c>
      <c r="AH407" s="2">
        <f t="shared" ca="1" si="227"/>
        <v>-1.614029402377854E-3</v>
      </c>
      <c r="AI407" s="2">
        <f t="shared" ca="1" si="228"/>
        <v>-1.4853760121635622E-5</v>
      </c>
      <c r="AJ407" s="2">
        <f t="shared" ca="1" si="229"/>
        <v>-1.1458026838550334E-3</v>
      </c>
      <c r="AK407" s="2">
        <f t="shared" ca="1" si="230"/>
        <v>-4.9053934342410677E-4</v>
      </c>
      <c r="AL407" s="2">
        <f t="shared" ca="1" si="231"/>
        <v>-5.5074395654535931E-3</v>
      </c>
      <c r="AN407" s="2" t="e">
        <f t="shared" ca="1" si="210"/>
        <v>#N/A</v>
      </c>
      <c r="AO407" s="2" t="e">
        <f t="shared" ca="1" si="211"/>
        <v>#N/A</v>
      </c>
      <c r="AP407" s="2" t="e">
        <f t="shared" ca="1" si="212"/>
        <v>#N/A</v>
      </c>
      <c r="AQ407" s="2" t="e">
        <f t="shared" ca="1" si="213"/>
        <v>#N/A</v>
      </c>
      <c r="AR407" s="2" t="e">
        <f t="shared" ca="1" si="214"/>
        <v>#N/A</v>
      </c>
      <c r="AS407" s="2" t="e">
        <f t="shared" ca="1" si="215"/>
        <v>#N/A</v>
      </c>
      <c r="AT407" s="9" t="e">
        <f t="shared" ca="1" si="216"/>
        <v>#N/A</v>
      </c>
      <c r="AU407" s="9" t="e">
        <f t="shared" ca="1" si="217"/>
        <v>#N/A</v>
      </c>
      <c r="AW407" s="2" t="e">
        <f t="shared" ref="AW407:AW470" ca="1" si="239">IF(AND(AL407&gt;0, AJ407&gt;0), AL407/AJ407, #N/A)</f>
        <v>#N/A</v>
      </c>
      <c r="AX407" s="2" t="e">
        <f t="shared" ref="AX407:AX470" ca="1" si="240">$B$8*((AW407/$B$10)^$B$11)</f>
        <v>#N/A</v>
      </c>
      <c r="AY407" s="2" t="e">
        <f t="shared" ref="AY407:AY470" ca="1" si="241">AX407*AI407</f>
        <v>#N/A</v>
      </c>
      <c r="AZ407" s="2" t="e">
        <f t="shared" ref="AZ407:AZ470" ca="1" si="242">AK407-AY407</f>
        <v>#N/A</v>
      </c>
      <c r="BA407" s="2" t="e">
        <f t="shared" ref="BA407:BA470" ca="1" si="243">(AZ407/AJ407)/((AW407/$B$10)^$B$12)</f>
        <v>#N/A</v>
      </c>
      <c r="BB407" s="2" t="e">
        <f t="shared" ref="BB407:BB470" ca="1" si="244">(AH407/AJ407)/((AW407/$B$10)^$B$13)</f>
        <v>#N/A</v>
      </c>
      <c r="BC407" s="9" t="e">
        <f t="shared" ref="BC407:BC470" ca="1" si="245">IF(AND(BA407&lt;$P$3,BA407&gt;$P$4),BA407,"rejected")</f>
        <v>#N/A</v>
      </c>
      <c r="BD407" s="9" t="e">
        <f t="shared" ref="BD407:BD470" ca="1" si="246">IF(AND(BA407&lt;$P$3,BA407&gt;$P$4),BA407,#N/A)</f>
        <v>#N/A</v>
      </c>
    </row>
    <row r="408" spans="1:56" ht="15" x14ac:dyDescent="0.25">
      <c r="A408" s="63"/>
      <c r="B408" s="63"/>
      <c r="C408" s="64"/>
      <c r="D408" s="64"/>
      <c r="E408" s="64"/>
      <c r="F408" s="64"/>
      <c r="G408" s="64"/>
      <c r="H408" s="64"/>
      <c r="I408" s="64"/>
      <c r="J408" s="64"/>
      <c r="K408" s="64"/>
      <c r="L408" s="64"/>
      <c r="M408" s="64"/>
      <c r="O408" s="11">
        <f t="shared" ca="1" si="232"/>
        <v>-3.9378682616450625E-4</v>
      </c>
      <c r="P408" s="11">
        <f t="shared" ca="1" si="233"/>
        <v>-1.6358405771021967E-4</v>
      </c>
      <c r="Q408" s="11">
        <f t="shared" ca="1" si="234"/>
        <v>-1.614029402377854E-3</v>
      </c>
      <c r="R408" s="11">
        <f t="shared" ca="1" si="235"/>
        <v>-1.4853760121635622E-5</v>
      </c>
      <c r="S408" s="11">
        <f t="shared" ca="1" si="236"/>
        <v>-1.1458026838550334E-3</v>
      </c>
      <c r="T408" s="11">
        <f t="shared" ca="1" si="237"/>
        <v>-4.9053934342410677E-4</v>
      </c>
      <c r="U408" s="11">
        <f t="shared" ca="1" si="238"/>
        <v>-5.5074395654535931E-3</v>
      </c>
      <c r="V408" s="11"/>
      <c r="W408" s="11">
        <f t="shared" ca="1" si="218"/>
        <v>0</v>
      </c>
      <c r="X408" s="2">
        <f t="shared" ca="1" si="219"/>
        <v>-1.6358405771021967E-4</v>
      </c>
      <c r="Y408" s="2">
        <f t="shared" ca="1" si="220"/>
        <v>-1.614029402377854E-3</v>
      </c>
      <c r="Z408" s="11">
        <f t="shared" ca="1" si="221"/>
        <v>-1.4853760121635622E-5</v>
      </c>
      <c r="AA408" s="2">
        <f t="shared" ca="1" si="222"/>
        <v>-1.1458026838550334E-3</v>
      </c>
      <c r="AB408" s="11">
        <f t="shared" ca="1" si="223"/>
        <v>-4.9053934342410677E-4</v>
      </c>
      <c r="AC408" s="2">
        <f t="shared" ca="1" si="224"/>
        <v>-5.5074395654535931E-3</v>
      </c>
      <c r="AF408" s="11">
        <f t="shared" ca="1" si="225"/>
        <v>0</v>
      </c>
      <c r="AG408" s="2">
        <f t="shared" ca="1" si="226"/>
        <v>-1.6358405771021967E-4</v>
      </c>
      <c r="AH408" s="2">
        <f t="shared" ca="1" si="227"/>
        <v>-1.614029402377854E-3</v>
      </c>
      <c r="AI408" s="2">
        <f t="shared" ca="1" si="228"/>
        <v>-1.4853760121635622E-5</v>
      </c>
      <c r="AJ408" s="2">
        <f t="shared" ca="1" si="229"/>
        <v>-1.1458026838550334E-3</v>
      </c>
      <c r="AK408" s="2">
        <f t="shared" ca="1" si="230"/>
        <v>-4.9053934342410677E-4</v>
      </c>
      <c r="AL408" s="2">
        <f t="shared" ca="1" si="231"/>
        <v>-5.5074395654535931E-3</v>
      </c>
      <c r="AN408" s="2" t="e">
        <f t="shared" ca="1" si="210"/>
        <v>#N/A</v>
      </c>
      <c r="AO408" s="2" t="e">
        <f t="shared" ca="1" si="211"/>
        <v>#N/A</v>
      </c>
      <c r="AP408" s="2" t="e">
        <f t="shared" ca="1" si="212"/>
        <v>#N/A</v>
      </c>
      <c r="AQ408" s="2" t="e">
        <f t="shared" ca="1" si="213"/>
        <v>#N/A</v>
      </c>
      <c r="AR408" s="2" t="e">
        <f t="shared" ca="1" si="214"/>
        <v>#N/A</v>
      </c>
      <c r="AS408" s="2" t="e">
        <f t="shared" ca="1" si="215"/>
        <v>#N/A</v>
      </c>
      <c r="AT408" s="9" t="e">
        <f t="shared" ca="1" si="216"/>
        <v>#N/A</v>
      </c>
      <c r="AU408" s="9" t="e">
        <f t="shared" ca="1" si="217"/>
        <v>#N/A</v>
      </c>
      <c r="AW408" s="2" t="e">
        <f t="shared" ca="1" si="239"/>
        <v>#N/A</v>
      </c>
      <c r="AX408" s="2" t="e">
        <f t="shared" ca="1" si="240"/>
        <v>#N/A</v>
      </c>
      <c r="AY408" s="2" t="e">
        <f t="shared" ca="1" si="241"/>
        <v>#N/A</v>
      </c>
      <c r="AZ408" s="2" t="e">
        <f t="shared" ca="1" si="242"/>
        <v>#N/A</v>
      </c>
      <c r="BA408" s="2" t="e">
        <f t="shared" ca="1" si="243"/>
        <v>#N/A</v>
      </c>
      <c r="BB408" s="2" t="e">
        <f t="shared" ca="1" si="244"/>
        <v>#N/A</v>
      </c>
      <c r="BC408" s="9" t="e">
        <f t="shared" ca="1" si="245"/>
        <v>#N/A</v>
      </c>
      <c r="BD408" s="9" t="e">
        <f t="shared" ca="1" si="246"/>
        <v>#N/A</v>
      </c>
    </row>
    <row r="409" spans="1:56" ht="15" x14ac:dyDescent="0.25">
      <c r="A409" s="63"/>
      <c r="B409" s="63"/>
      <c r="C409" s="64"/>
      <c r="D409" s="64"/>
      <c r="E409" s="64"/>
      <c r="F409" s="64"/>
      <c r="G409" s="64"/>
      <c r="H409" s="64"/>
      <c r="I409" s="64"/>
      <c r="J409" s="64"/>
      <c r="K409" s="64"/>
      <c r="L409" s="64"/>
      <c r="M409" s="64"/>
      <c r="O409" s="11">
        <f t="shared" ca="1" si="232"/>
        <v>-3.9378682616450625E-4</v>
      </c>
      <c r="P409" s="11">
        <f t="shared" ca="1" si="233"/>
        <v>-1.6358405771021967E-4</v>
      </c>
      <c r="Q409" s="11">
        <f t="shared" ca="1" si="234"/>
        <v>-1.614029402377854E-3</v>
      </c>
      <c r="R409" s="11">
        <f t="shared" ca="1" si="235"/>
        <v>-1.4853760121635622E-5</v>
      </c>
      <c r="S409" s="11">
        <f t="shared" ca="1" si="236"/>
        <v>-1.1458026838550334E-3</v>
      </c>
      <c r="T409" s="11">
        <f t="shared" ca="1" si="237"/>
        <v>-4.9053934342410677E-4</v>
      </c>
      <c r="U409" s="11">
        <f t="shared" ca="1" si="238"/>
        <v>-5.5074395654535931E-3</v>
      </c>
      <c r="V409" s="11"/>
      <c r="W409" s="11">
        <f t="shared" ca="1" si="218"/>
        <v>0</v>
      </c>
      <c r="X409" s="2">
        <f t="shared" ca="1" si="219"/>
        <v>-1.6358405771021967E-4</v>
      </c>
      <c r="Y409" s="2">
        <f t="shared" ca="1" si="220"/>
        <v>-1.614029402377854E-3</v>
      </c>
      <c r="Z409" s="11">
        <f t="shared" ca="1" si="221"/>
        <v>-1.4853760121635622E-5</v>
      </c>
      <c r="AA409" s="2">
        <f t="shared" ca="1" si="222"/>
        <v>-1.1458026838550334E-3</v>
      </c>
      <c r="AB409" s="11">
        <f t="shared" ca="1" si="223"/>
        <v>-4.9053934342410677E-4</v>
      </c>
      <c r="AC409" s="2">
        <f t="shared" ca="1" si="224"/>
        <v>-5.5074395654535931E-3</v>
      </c>
      <c r="AF409" s="11">
        <f t="shared" ca="1" si="225"/>
        <v>0</v>
      </c>
      <c r="AG409" s="2">
        <f t="shared" ca="1" si="226"/>
        <v>-1.6358405771021967E-4</v>
      </c>
      <c r="AH409" s="2">
        <f t="shared" ca="1" si="227"/>
        <v>-1.614029402377854E-3</v>
      </c>
      <c r="AI409" s="2">
        <f t="shared" ca="1" si="228"/>
        <v>-1.4853760121635622E-5</v>
      </c>
      <c r="AJ409" s="2">
        <f t="shared" ca="1" si="229"/>
        <v>-1.1458026838550334E-3</v>
      </c>
      <c r="AK409" s="2">
        <f t="shared" ca="1" si="230"/>
        <v>-4.9053934342410677E-4</v>
      </c>
      <c r="AL409" s="2">
        <f t="shared" ca="1" si="231"/>
        <v>-5.5074395654535931E-3</v>
      </c>
      <c r="AN409" s="2" t="e">
        <f t="shared" ca="1" si="210"/>
        <v>#N/A</v>
      </c>
      <c r="AO409" s="2" t="e">
        <f t="shared" ca="1" si="211"/>
        <v>#N/A</v>
      </c>
      <c r="AP409" s="2" t="e">
        <f t="shared" ca="1" si="212"/>
        <v>#N/A</v>
      </c>
      <c r="AQ409" s="2" t="e">
        <f t="shared" ca="1" si="213"/>
        <v>#N/A</v>
      </c>
      <c r="AR409" s="2" t="e">
        <f t="shared" ca="1" si="214"/>
        <v>#N/A</v>
      </c>
      <c r="AS409" s="2" t="e">
        <f t="shared" ca="1" si="215"/>
        <v>#N/A</v>
      </c>
      <c r="AT409" s="9" t="e">
        <f t="shared" ca="1" si="216"/>
        <v>#N/A</v>
      </c>
      <c r="AU409" s="9" t="e">
        <f t="shared" ca="1" si="217"/>
        <v>#N/A</v>
      </c>
      <c r="AW409" s="2" t="e">
        <f t="shared" ca="1" si="239"/>
        <v>#N/A</v>
      </c>
      <c r="AX409" s="2" t="e">
        <f t="shared" ca="1" si="240"/>
        <v>#N/A</v>
      </c>
      <c r="AY409" s="2" t="e">
        <f t="shared" ca="1" si="241"/>
        <v>#N/A</v>
      </c>
      <c r="AZ409" s="2" t="e">
        <f t="shared" ca="1" si="242"/>
        <v>#N/A</v>
      </c>
      <c r="BA409" s="2" t="e">
        <f t="shared" ca="1" si="243"/>
        <v>#N/A</v>
      </c>
      <c r="BB409" s="2" t="e">
        <f t="shared" ca="1" si="244"/>
        <v>#N/A</v>
      </c>
      <c r="BC409" s="9" t="e">
        <f t="shared" ca="1" si="245"/>
        <v>#N/A</v>
      </c>
      <c r="BD409" s="9" t="e">
        <f t="shared" ca="1" si="246"/>
        <v>#N/A</v>
      </c>
    </row>
    <row r="410" spans="1:56" ht="15" x14ac:dyDescent="0.25">
      <c r="A410" s="63"/>
      <c r="B410" s="63"/>
      <c r="C410" s="64"/>
      <c r="D410" s="64"/>
      <c r="E410" s="64"/>
      <c r="F410" s="64"/>
      <c r="G410" s="64"/>
      <c r="H410" s="64"/>
      <c r="I410" s="64"/>
      <c r="J410" s="64"/>
      <c r="K410" s="64"/>
      <c r="L410" s="64"/>
      <c r="M410" s="64"/>
      <c r="O410" s="11">
        <f t="shared" ca="1" si="232"/>
        <v>-3.9378682616450625E-4</v>
      </c>
      <c r="P410" s="11">
        <f t="shared" ca="1" si="233"/>
        <v>-1.6358405771021967E-4</v>
      </c>
      <c r="Q410" s="11">
        <f t="shared" ca="1" si="234"/>
        <v>-1.614029402377854E-3</v>
      </c>
      <c r="R410" s="11">
        <f t="shared" ca="1" si="235"/>
        <v>-1.4853760121635622E-5</v>
      </c>
      <c r="S410" s="11">
        <f t="shared" ca="1" si="236"/>
        <v>-1.1458026838550334E-3</v>
      </c>
      <c r="T410" s="11">
        <f t="shared" ca="1" si="237"/>
        <v>-4.9053934342410677E-4</v>
      </c>
      <c r="U410" s="11">
        <f t="shared" ca="1" si="238"/>
        <v>-5.5074395654535931E-3</v>
      </c>
      <c r="V410" s="11"/>
      <c r="W410" s="11">
        <f t="shared" ca="1" si="218"/>
        <v>0</v>
      </c>
      <c r="X410" s="2">
        <f t="shared" ca="1" si="219"/>
        <v>-1.6358405771021967E-4</v>
      </c>
      <c r="Y410" s="2">
        <f t="shared" ca="1" si="220"/>
        <v>-1.614029402377854E-3</v>
      </c>
      <c r="Z410" s="11">
        <f t="shared" ca="1" si="221"/>
        <v>-1.4853760121635622E-5</v>
      </c>
      <c r="AA410" s="2">
        <f t="shared" ca="1" si="222"/>
        <v>-1.1458026838550334E-3</v>
      </c>
      <c r="AB410" s="11">
        <f t="shared" ca="1" si="223"/>
        <v>-4.9053934342410677E-4</v>
      </c>
      <c r="AC410" s="2">
        <f t="shared" ca="1" si="224"/>
        <v>-5.5074395654535931E-3</v>
      </c>
      <c r="AF410" s="11">
        <f t="shared" ca="1" si="225"/>
        <v>0</v>
      </c>
      <c r="AG410" s="2">
        <f t="shared" ca="1" si="226"/>
        <v>-1.6358405771021967E-4</v>
      </c>
      <c r="AH410" s="2">
        <f t="shared" ca="1" si="227"/>
        <v>-1.614029402377854E-3</v>
      </c>
      <c r="AI410" s="2">
        <f t="shared" ca="1" si="228"/>
        <v>-1.4853760121635622E-5</v>
      </c>
      <c r="AJ410" s="2">
        <f t="shared" ca="1" si="229"/>
        <v>-1.1458026838550334E-3</v>
      </c>
      <c r="AK410" s="2">
        <f t="shared" ca="1" si="230"/>
        <v>-4.9053934342410677E-4</v>
      </c>
      <c r="AL410" s="2">
        <f t="shared" ca="1" si="231"/>
        <v>-5.5074395654535931E-3</v>
      </c>
      <c r="AN410" s="2" t="e">
        <f t="shared" ca="1" si="210"/>
        <v>#N/A</v>
      </c>
      <c r="AO410" s="2" t="e">
        <f t="shared" ca="1" si="211"/>
        <v>#N/A</v>
      </c>
      <c r="AP410" s="2" t="e">
        <f t="shared" ca="1" si="212"/>
        <v>#N/A</v>
      </c>
      <c r="AQ410" s="2" t="e">
        <f t="shared" ca="1" si="213"/>
        <v>#N/A</v>
      </c>
      <c r="AR410" s="2" t="e">
        <f t="shared" ca="1" si="214"/>
        <v>#N/A</v>
      </c>
      <c r="AS410" s="2" t="e">
        <f t="shared" ca="1" si="215"/>
        <v>#N/A</v>
      </c>
      <c r="AT410" s="9" t="e">
        <f t="shared" ca="1" si="216"/>
        <v>#N/A</v>
      </c>
      <c r="AU410" s="9" t="e">
        <f t="shared" ca="1" si="217"/>
        <v>#N/A</v>
      </c>
      <c r="AW410" s="2" t="e">
        <f t="shared" ca="1" si="239"/>
        <v>#N/A</v>
      </c>
      <c r="AX410" s="2" t="e">
        <f t="shared" ca="1" si="240"/>
        <v>#N/A</v>
      </c>
      <c r="AY410" s="2" t="e">
        <f t="shared" ca="1" si="241"/>
        <v>#N/A</v>
      </c>
      <c r="AZ410" s="2" t="e">
        <f t="shared" ca="1" si="242"/>
        <v>#N/A</v>
      </c>
      <c r="BA410" s="2" t="e">
        <f t="shared" ca="1" si="243"/>
        <v>#N/A</v>
      </c>
      <c r="BB410" s="2" t="e">
        <f t="shared" ca="1" si="244"/>
        <v>#N/A</v>
      </c>
      <c r="BC410" s="9" t="e">
        <f t="shared" ca="1" si="245"/>
        <v>#N/A</v>
      </c>
      <c r="BD410" s="9" t="e">
        <f t="shared" ca="1" si="246"/>
        <v>#N/A</v>
      </c>
    </row>
    <row r="411" spans="1:56" ht="15" x14ac:dyDescent="0.25">
      <c r="A411" s="63"/>
      <c r="B411" s="63"/>
      <c r="C411" s="64"/>
      <c r="D411" s="64"/>
      <c r="E411" s="64"/>
      <c r="F411" s="64"/>
      <c r="G411" s="64"/>
      <c r="H411" s="64"/>
      <c r="I411" s="64"/>
      <c r="J411" s="64"/>
      <c r="K411" s="64"/>
      <c r="L411" s="64"/>
      <c r="M411" s="64"/>
      <c r="O411" s="11">
        <f t="shared" ca="1" si="232"/>
        <v>-3.9378682616450625E-4</v>
      </c>
      <c r="P411" s="11">
        <f t="shared" ca="1" si="233"/>
        <v>-1.6358405771021967E-4</v>
      </c>
      <c r="Q411" s="11">
        <f t="shared" ca="1" si="234"/>
        <v>-1.614029402377854E-3</v>
      </c>
      <c r="R411" s="11">
        <f t="shared" ca="1" si="235"/>
        <v>-1.4853760121635622E-5</v>
      </c>
      <c r="S411" s="11">
        <f t="shared" ca="1" si="236"/>
        <v>-1.1458026838550334E-3</v>
      </c>
      <c r="T411" s="11">
        <f t="shared" ca="1" si="237"/>
        <v>-4.9053934342410677E-4</v>
      </c>
      <c r="U411" s="11">
        <f t="shared" ca="1" si="238"/>
        <v>-5.5074395654535931E-3</v>
      </c>
      <c r="V411" s="11"/>
      <c r="W411" s="11">
        <f t="shared" ca="1" si="218"/>
        <v>0</v>
      </c>
      <c r="X411" s="2">
        <f t="shared" ca="1" si="219"/>
        <v>-1.6358405771021967E-4</v>
      </c>
      <c r="Y411" s="2">
        <f t="shared" ca="1" si="220"/>
        <v>-1.614029402377854E-3</v>
      </c>
      <c r="Z411" s="11">
        <f t="shared" ca="1" si="221"/>
        <v>-1.4853760121635622E-5</v>
      </c>
      <c r="AA411" s="2">
        <f t="shared" ca="1" si="222"/>
        <v>-1.1458026838550334E-3</v>
      </c>
      <c r="AB411" s="11">
        <f t="shared" ca="1" si="223"/>
        <v>-4.9053934342410677E-4</v>
      </c>
      <c r="AC411" s="2">
        <f t="shared" ca="1" si="224"/>
        <v>-5.5074395654535931E-3</v>
      </c>
      <c r="AF411" s="11">
        <f t="shared" ca="1" si="225"/>
        <v>0</v>
      </c>
      <c r="AG411" s="2">
        <f t="shared" ca="1" si="226"/>
        <v>-1.6358405771021967E-4</v>
      </c>
      <c r="AH411" s="2">
        <f t="shared" ca="1" si="227"/>
        <v>-1.614029402377854E-3</v>
      </c>
      <c r="AI411" s="2">
        <f t="shared" ca="1" si="228"/>
        <v>-1.4853760121635622E-5</v>
      </c>
      <c r="AJ411" s="2">
        <f t="shared" ca="1" si="229"/>
        <v>-1.1458026838550334E-3</v>
      </c>
      <c r="AK411" s="2">
        <f t="shared" ca="1" si="230"/>
        <v>-4.9053934342410677E-4</v>
      </c>
      <c r="AL411" s="2">
        <f t="shared" ca="1" si="231"/>
        <v>-5.5074395654535931E-3</v>
      </c>
      <c r="AN411" s="2" t="e">
        <f t="shared" ca="1" si="210"/>
        <v>#N/A</v>
      </c>
      <c r="AO411" s="2" t="e">
        <f t="shared" ca="1" si="211"/>
        <v>#N/A</v>
      </c>
      <c r="AP411" s="2" t="e">
        <f t="shared" ca="1" si="212"/>
        <v>#N/A</v>
      </c>
      <c r="AQ411" s="2" t="e">
        <f t="shared" ca="1" si="213"/>
        <v>#N/A</v>
      </c>
      <c r="AR411" s="2" t="e">
        <f t="shared" ca="1" si="214"/>
        <v>#N/A</v>
      </c>
      <c r="AS411" s="2" t="e">
        <f t="shared" ca="1" si="215"/>
        <v>#N/A</v>
      </c>
      <c r="AT411" s="9" t="e">
        <f t="shared" ca="1" si="216"/>
        <v>#N/A</v>
      </c>
      <c r="AU411" s="9" t="e">
        <f t="shared" ca="1" si="217"/>
        <v>#N/A</v>
      </c>
      <c r="AW411" s="2" t="e">
        <f t="shared" ca="1" si="239"/>
        <v>#N/A</v>
      </c>
      <c r="AX411" s="2" t="e">
        <f t="shared" ca="1" si="240"/>
        <v>#N/A</v>
      </c>
      <c r="AY411" s="2" t="e">
        <f t="shared" ca="1" si="241"/>
        <v>#N/A</v>
      </c>
      <c r="AZ411" s="2" t="e">
        <f t="shared" ca="1" si="242"/>
        <v>#N/A</v>
      </c>
      <c r="BA411" s="2" t="e">
        <f t="shared" ca="1" si="243"/>
        <v>#N/A</v>
      </c>
      <c r="BB411" s="2" t="e">
        <f t="shared" ca="1" si="244"/>
        <v>#N/A</v>
      </c>
      <c r="BC411" s="9" t="e">
        <f t="shared" ca="1" si="245"/>
        <v>#N/A</v>
      </c>
      <c r="BD411" s="9" t="e">
        <f t="shared" ca="1" si="246"/>
        <v>#N/A</v>
      </c>
    </row>
    <row r="412" spans="1:56" ht="15" x14ac:dyDescent="0.25">
      <c r="A412" s="63"/>
      <c r="B412" s="63"/>
      <c r="C412" s="64"/>
      <c r="D412" s="64"/>
      <c r="E412" s="64"/>
      <c r="F412" s="64"/>
      <c r="G412" s="64"/>
      <c r="H412" s="64"/>
      <c r="I412" s="64"/>
      <c r="J412" s="64"/>
      <c r="K412" s="64"/>
      <c r="L412" s="64"/>
      <c r="M412" s="64"/>
      <c r="O412" s="11">
        <f t="shared" ca="1" si="232"/>
        <v>-3.9378682616450625E-4</v>
      </c>
      <c r="P412" s="11">
        <f t="shared" ca="1" si="233"/>
        <v>-1.6358405771021967E-4</v>
      </c>
      <c r="Q412" s="11">
        <f t="shared" ca="1" si="234"/>
        <v>-1.614029402377854E-3</v>
      </c>
      <c r="R412" s="11">
        <f t="shared" ca="1" si="235"/>
        <v>-1.4853760121635622E-5</v>
      </c>
      <c r="S412" s="11">
        <f t="shared" ca="1" si="236"/>
        <v>-1.1458026838550334E-3</v>
      </c>
      <c r="T412" s="11">
        <f t="shared" ca="1" si="237"/>
        <v>-4.9053934342410677E-4</v>
      </c>
      <c r="U412" s="11">
        <f t="shared" ca="1" si="238"/>
        <v>-5.5074395654535931E-3</v>
      </c>
      <c r="V412" s="11"/>
      <c r="W412" s="11">
        <f t="shared" ca="1" si="218"/>
        <v>0</v>
      </c>
      <c r="X412" s="2">
        <f t="shared" ca="1" si="219"/>
        <v>-1.6358405771021967E-4</v>
      </c>
      <c r="Y412" s="2">
        <f t="shared" ca="1" si="220"/>
        <v>-1.614029402377854E-3</v>
      </c>
      <c r="Z412" s="11">
        <f t="shared" ca="1" si="221"/>
        <v>-1.4853760121635622E-5</v>
      </c>
      <c r="AA412" s="2">
        <f t="shared" ca="1" si="222"/>
        <v>-1.1458026838550334E-3</v>
      </c>
      <c r="AB412" s="11">
        <f t="shared" ca="1" si="223"/>
        <v>-4.9053934342410677E-4</v>
      </c>
      <c r="AC412" s="2">
        <f t="shared" ca="1" si="224"/>
        <v>-5.5074395654535931E-3</v>
      </c>
      <c r="AF412" s="11">
        <f t="shared" ca="1" si="225"/>
        <v>0</v>
      </c>
      <c r="AG412" s="2">
        <f t="shared" ca="1" si="226"/>
        <v>-1.6358405771021967E-4</v>
      </c>
      <c r="AH412" s="2">
        <f t="shared" ca="1" si="227"/>
        <v>-1.614029402377854E-3</v>
      </c>
      <c r="AI412" s="2">
        <f t="shared" ca="1" si="228"/>
        <v>-1.4853760121635622E-5</v>
      </c>
      <c r="AJ412" s="2">
        <f t="shared" ca="1" si="229"/>
        <v>-1.1458026838550334E-3</v>
      </c>
      <c r="AK412" s="2">
        <f t="shared" ca="1" si="230"/>
        <v>-4.9053934342410677E-4</v>
      </c>
      <c r="AL412" s="2">
        <f t="shared" ca="1" si="231"/>
        <v>-5.5074395654535931E-3</v>
      </c>
      <c r="AN412" s="2" t="e">
        <f t="shared" ca="1" si="210"/>
        <v>#N/A</v>
      </c>
      <c r="AO412" s="2" t="e">
        <f t="shared" ca="1" si="211"/>
        <v>#N/A</v>
      </c>
      <c r="AP412" s="2" t="e">
        <f t="shared" ca="1" si="212"/>
        <v>#N/A</v>
      </c>
      <c r="AQ412" s="2" t="e">
        <f t="shared" ca="1" si="213"/>
        <v>#N/A</v>
      </c>
      <c r="AR412" s="2" t="e">
        <f t="shared" ca="1" si="214"/>
        <v>#N/A</v>
      </c>
      <c r="AS412" s="2" t="e">
        <f t="shared" ca="1" si="215"/>
        <v>#N/A</v>
      </c>
      <c r="AT412" s="9" t="e">
        <f t="shared" ca="1" si="216"/>
        <v>#N/A</v>
      </c>
      <c r="AU412" s="9" t="e">
        <f t="shared" ca="1" si="217"/>
        <v>#N/A</v>
      </c>
      <c r="AW412" s="2" t="e">
        <f t="shared" ca="1" si="239"/>
        <v>#N/A</v>
      </c>
      <c r="AX412" s="2" t="e">
        <f t="shared" ca="1" si="240"/>
        <v>#N/A</v>
      </c>
      <c r="AY412" s="2" t="e">
        <f t="shared" ca="1" si="241"/>
        <v>#N/A</v>
      </c>
      <c r="AZ412" s="2" t="e">
        <f t="shared" ca="1" si="242"/>
        <v>#N/A</v>
      </c>
      <c r="BA412" s="2" t="e">
        <f t="shared" ca="1" si="243"/>
        <v>#N/A</v>
      </c>
      <c r="BB412" s="2" t="e">
        <f t="shared" ca="1" si="244"/>
        <v>#N/A</v>
      </c>
      <c r="BC412" s="9" t="e">
        <f t="shared" ca="1" si="245"/>
        <v>#N/A</v>
      </c>
      <c r="BD412" s="9" t="e">
        <f t="shared" ca="1" si="246"/>
        <v>#N/A</v>
      </c>
    </row>
    <row r="413" spans="1:56" ht="15" x14ac:dyDescent="0.25">
      <c r="A413" s="63"/>
      <c r="B413" s="63"/>
      <c r="C413" s="64"/>
      <c r="D413" s="64"/>
      <c r="E413" s="64"/>
      <c r="F413" s="64"/>
      <c r="G413" s="64"/>
      <c r="H413" s="64"/>
      <c r="I413" s="64"/>
      <c r="J413" s="64"/>
      <c r="K413" s="64"/>
      <c r="L413" s="64"/>
      <c r="M413" s="64"/>
      <c r="O413" s="11">
        <f t="shared" ca="1" si="232"/>
        <v>-3.9378682616450625E-4</v>
      </c>
      <c r="P413" s="11">
        <f t="shared" ca="1" si="233"/>
        <v>-1.6358405771021967E-4</v>
      </c>
      <c r="Q413" s="11">
        <f t="shared" ca="1" si="234"/>
        <v>-1.614029402377854E-3</v>
      </c>
      <c r="R413" s="11">
        <f t="shared" ca="1" si="235"/>
        <v>-1.4853760121635622E-5</v>
      </c>
      <c r="S413" s="11">
        <f t="shared" ca="1" si="236"/>
        <v>-1.1458026838550334E-3</v>
      </c>
      <c r="T413" s="11">
        <f t="shared" ca="1" si="237"/>
        <v>-4.9053934342410677E-4</v>
      </c>
      <c r="U413" s="11">
        <f t="shared" ca="1" si="238"/>
        <v>-5.5074395654535931E-3</v>
      </c>
      <c r="V413" s="11"/>
      <c r="W413" s="11">
        <f t="shared" ca="1" si="218"/>
        <v>0</v>
      </c>
      <c r="X413" s="2">
        <f t="shared" ca="1" si="219"/>
        <v>-1.6358405771021967E-4</v>
      </c>
      <c r="Y413" s="2">
        <f t="shared" ca="1" si="220"/>
        <v>-1.614029402377854E-3</v>
      </c>
      <c r="Z413" s="11">
        <f t="shared" ca="1" si="221"/>
        <v>-1.4853760121635622E-5</v>
      </c>
      <c r="AA413" s="2">
        <f t="shared" ca="1" si="222"/>
        <v>-1.1458026838550334E-3</v>
      </c>
      <c r="AB413" s="11">
        <f t="shared" ca="1" si="223"/>
        <v>-4.9053934342410677E-4</v>
      </c>
      <c r="AC413" s="2">
        <f t="shared" ca="1" si="224"/>
        <v>-5.5074395654535931E-3</v>
      </c>
      <c r="AF413" s="11">
        <f t="shared" ca="1" si="225"/>
        <v>0</v>
      </c>
      <c r="AG413" s="2">
        <f t="shared" ca="1" si="226"/>
        <v>-1.6358405771021967E-4</v>
      </c>
      <c r="AH413" s="2">
        <f t="shared" ca="1" si="227"/>
        <v>-1.614029402377854E-3</v>
      </c>
      <c r="AI413" s="2">
        <f t="shared" ca="1" si="228"/>
        <v>-1.4853760121635622E-5</v>
      </c>
      <c r="AJ413" s="2">
        <f t="shared" ca="1" si="229"/>
        <v>-1.1458026838550334E-3</v>
      </c>
      <c r="AK413" s="2">
        <f t="shared" ca="1" si="230"/>
        <v>-4.9053934342410677E-4</v>
      </c>
      <c r="AL413" s="2">
        <f t="shared" ca="1" si="231"/>
        <v>-5.5074395654535931E-3</v>
      </c>
      <c r="AN413" s="2" t="e">
        <f t="shared" ca="1" si="210"/>
        <v>#N/A</v>
      </c>
      <c r="AO413" s="2" t="e">
        <f t="shared" ca="1" si="211"/>
        <v>#N/A</v>
      </c>
      <c r="AP413" s="2" t="e">
        <f t="shared" ca="1" si="212"/>
        <v>#N/A</v>
      </c>
      <c r="AQ413" s="2" t="e">
        <f t="shared" ca="1" si="213"/>
        <v>#N/A</v>
      </c>
      <c r="AR413" s="2" t="e">
        <f t="shared" ca="1" si="214"/>
        <v>#N/A</v>
      </c>
      <c r="AS413" s="2" t="e">
        <f t="shared" ca="1" si="215"/>
        <v>#N/A</v>
      </c>
      <c r="AT413" s="9" t="e">
        <f t="shared" ca="1" si="216"/>
        <v>#N/A</v>
      </c>
      <c r="AU413" s="9" t="e">
        <f t="shared" ca="1" si="217"/>
        <v>#N/A</v>
      </c>
      <c r="AW413" s="2" t="e">
        <f t="shared" ca="1" si="239"/>
        <v>#N/A</v>
      </c>
      <c r="AX413" s="2" t="e">
        <f t="shared" ca="1" si="240"/>
        <v>#N/A</v>
      </c>
      <c r="AY413" s="2" t="e">
        <f t="shared" ca="1" si="241"/>
        <v>#N/A</v>
      </c>
      <c r="AZ413" s="2" t="e">
        <f t="shared" ca="1" si="242"/>
        <v>#N/A</v>
      </c>
      <c r="BA413" s="2" t="e">
        <f t="shared" ca="1" si="243"/>
        <v>#N/A</v>
      </c>
      <c r="BB413" s="2" t="e">
        <f t="shared" ca="1" si="244"/>
        <v>#N/A</v>
      </c>
      <c r="BC413" s="9" t="e">
        <f t="shared" ca="1" si="245"/>
        <v>#N/A</v>
      </c>
      <c r="BD413" s="9" t="e">
        <f t="shared" ca="1" si="246"/>
        <v>#N/A</v>
      </c>
    </row>
    <row r="414" spans="1:56" ht="15" x14ac:dyDescent="0.25">
      <c r="A414" s="63"/>
      <c r="B414" s="63"/>
      <c r="C414" s="64"/>
      <c r="D414" s="64"/>
      <c r="E414" s="64"/>
      <c r="F414" s="64"/>
      <c r="G414" s="64"/>
      <c r="H414" s="64"/>
      <c r="I414" s="64"/>
      <c r="J414" s="64"/>
      <c r="K414" s="64"/>
      <c r="L414" s="64"/>
      <c r="M414" s="64"/>
      <c r="O414" s="11">
        <f t="shared" ca="1" si="232"/>
        <v>-3.9378682616450625E-4</v>
      </c>
      <c r="P414" s="11">
        <f t="shared" ca="1" si="233"/>
        <v>-1.6358405771021967E-4</v>
      </c>
      <c r="Q414" s="11">
        <f t="shared" ca="1" si="234"/>
        <v>-1.614029402377854E-3</v>
      </c>
      <c r="R414" s="11">
        <f t="shared" ca="1" si="235"/>
        <v>-1.4853760121635622E-5</v>
      </c>
      <c r="S414" s="11">
        <f t="shared" ca="1" si="236"/>
        <v>-1.1458026838550334E-3</v>
      </c>
      <c r="T414" s="11">
        <f t="shared" ca="1" si="237"/>
        <v>-4.9053934342410677E-4</v>
      </c>
      <c r="U414" s="11">
        <f t="shared" ca="1" si="238"/>
        <v>-5.5074395654535931E-3</v>
      </c>
      <c r="V414" s="11"/>
      <c r="W414" s="11">
        <f t="shared" ca="1" si="218"/>
        <v>0</v>
      </c>
      <c r="X414" s="2">
        <f t="shared" ca="1" si="219"/>
        <v>-1.6358405771021967E-4</v>
      </c>
      <c r="Y414" s="2">
        <f t="shared" ca="1" si="220"/>
        <v>-1.614029402377854E-3</v>
      </c>
      <c r="Z414" s="11">
        <f t="shared" ca="1" si="221"/>
        <v>-1.4853760121635622E-5</v>
      </c>
      <c r="AA414" s="2">
        <f t="shared" ca="1" si="222"/>
        <v>-1.1458026838550334E-3</v>
      </c>
      <c r="AB414" s="11">
        <f t="shared" ca="1" si="223"/>
        <v>-4.9053934342410677E-4</v>
      </c>
      <c r="AC414" s="2">
        <f t="shared" ca="1" si="224"/>
        <v>-5.5074395654535931E-3</v>
      </c>
      <c r="AF414" s="11">
        <f t="shared" ca="1" si="225"/>
        <v>0</v>
      </c>
      <c r="AG414" s="2">
        <f t="shared" ca="1" si="226"/>
        <v>-1.6358405771021967E-4</v>
      </c>
      <c r="AH414" s="2">
        <f t="shared" ca="1" si="227"/>
        <v>-1.614029402377854E-3</v>
      </c>
      <c r="AI414" s="2">
        <f t="shared" ca="1" si="228"/>
        <v>-1.4853760121635622E-5</v>
      </c>
      <c r="AJ414" s="2">
        <f t="shared" ca="1" si="229"/>
        <v>-1.1458026838550334E-3</v>
      </c>
      <c r="AK414" s="2">
        <f t="shared" ca="1" si="230"/>
        <v>-4.9053934342410677E-4</v>
      </c>
      <c r="AL414" s="2">
        <f t="shared" ca="1" si="231"/>
        <v>-5.5074395654535931E-3</v>
      </c>
      <c r="AN414" s="2" t="e">
        <f t="shared" ca="1" si="210"/>
        <v>#N/A</v>
      </c>
      <c r="AO414" s="2" t="e">
        <f t="shared" ca="1" si="211"/>
        <v>#N/A</v>
      </c>
      <c r="AP414" s="2" t="e">
        <f t="shared" ca="1" si="212"/>
        <v>#N/A</v>
      </c>
      <c r="AQ414" s="2" t="e">
        <f t="shared" ca="1" si="213"/>
        <v>#N/A</v>
      </c>
      <c r="AR414" s="2" t="e">
        <f t="shared" ca="1" si="214"/>
        <v>#N/A</v>
      </c>
      <c r="AS414" s="2" t="e">
        <f t="shared" ca="1" si="215"/>
        <v>#N/A</v>
      </c>
      <c r="AT414" s="9" t="e">
        <f t="shared" ca="1" si="216"/>
        <v>#N/A</v>
      </c>
      <c r="AU414" s="9" t="e">
        <f t="shared" ca="1" si="217"/>
        <v>#N/A</v>
      </c>
      <c r="AW414" s="2" t="e">
        <f t="shared" ca="1" si="239"/>
        <v>#N/A</v>
      </c>
      <c r="AX414" s="2" t="e">
        <f t="shared" ca="1" si="240"/>
        <v>#N/A</v>
      </c>
      <c r="AY414" s="2" t="e">
        <f t="shared" ca="1" si="241"/>
        <v>#N/A</v>
      </c>
      <c r="AZ414" s="2" t="e">
        <f t="shared" ca="1" si="242"/>
        <v>#N/A</v>
      </c>
      <c r="BA414" s="2" t="e">
        <f t="shared" ca="1" si="243"/>
        <v>#N/A</v>
      </c>
      <c r="BB414" s="2" t="e">
        <f t="shared" ca="1" si="244"/>
        <v>#N/A</v>
      </c>
      <c r="BC414" s="9" t="e">
        <f t="shared" ca="1" si="245"/>
        <v>#N/A</v>
      </c>
      <c r="BD414" s="9" t="e">
        <f t="shared" ca="1" si="246"/>
        <v>#N/A</v>
      </c>
    </row>
    <row r="415" spans="1:56" ht="15" x14ac:dyDescent="0.25">
      <c r="A415" s="63"/>
      <c r="B415" s="63"/>
      <c r="C415" s="64"/>
      <c r="D415" s="64"/>
      <c r="E415" s="64"/>
      <c r="F415" s="64"/>
      <c r="G415" s="64"/>
      <c r="H415" s="64"/>
      <c r="I415" s="64"/>
      <c r="J415" s="64"/>
      <c r="K415" s="64"/>
      <c r="L415" s="64"/>
      <c r="M415" s="64"/>
      <c r="O415" s="11">
        <f t="shared" ca="1" si="232"/>
        <v>-3.9378682616450625E-4</v>
      </c>
      <c r="P415" s="11">
        <f t="shared" ca="1" si="233"/>
        <v>-1.6358405771021967E-4</v>
      </c>
      <c r="Q415" s="11">
        <f t="shared" ca="1" si="234"/>
        <v>-1.614029402377854E-3</v>
      </c>
      <c r="R415" s="11">
        <f t="shared" ca="1" si="235"/>
        <v>-1.4853760121635622E-5</v>
      </c>
      <c r="S415" s="11">
        <f t="shared" ca="1" si="236"/>
        <v>-1.1458026838550334E-3</v>
      </c>
      <c r="T415" s="11">
        <f t="shared" ca="1" si="237"/>
        <v>-4.9053934342410677E-4</v>
      </c>
      <c r="U415" s="11">
        <f t="shared" ca="1" si="238"/>
        <v>-5.5074395654535931E-3</v>
      </c>
      <c r="V415" s="11"/>
      <c r="W415" s="11">
        <f t="shared" ca="1" si="218"/>
        <v>0</v>
      </c>
      <c r="X415" s="2">
        <f t="shared" ca="1" si="219"/>
        <v>-1.6358405771021967E-4</v>
      </c>
      <c r="Y415" s="2">
        <f t="shared" ca="1" si="220"/>
        <v>-1.614029402377854E-3</v>
      </c>
      <c r="Z415" s="11">
        <f t="shared" ca="1" si="221"/>
        <v>-1.4853760121635622E-5</v>
      </c>
      <c r="AA415" s="2">
        <f t="shared" ca="1" si="222"/>
        <v>-1.1458026838550334E-3</v>
      </c>
      <c r="AB415" s="11">
        <f t="shared" ca="1" si="223"/>
        <v>-4.9053934342410677E-4</v>
      </c>
      <c r="AC415" s="2">
        <f t="shared" ca="1" si="224"/>
        <v>-5.5074395654535931E-3</v>
      </c>
      <c r="AF415" s="11">
        <f t="shared" ca="1" si="225"/>
        <v>0</v>
      </c>
      <c r="AG415" s="2">
        <f t="shared" ca="1" si="226"/>
        <v>-1.6358405771021967E-4</v>
      </c>
      <c r="AH415" s="2">
        <f t="shared" ca="1" si="227"/>
        <v>-1.614029402377854E-3</v>
      </c>
      <c r="AI415" s="2">
        <f t="shared" ca="1" si="228"/>
        <v>-1.4853760121635622E-5</v>
      </c>
      <c r="AJ415" s="2">
        <f t="shared" ca="1" si="229"/>
        <v>-1.1458026838550334E-3</v>
      </c>
      <c r="AK415" s="2">
        <f t="shared" ca="1" si="230"/>
        <v>-4.9053934342410677E-4</v>
      </c>
      <c r="AL415" s="2">
        <f t="shared" ca="1" si="231"/>
        <v>-5.5074395654535931E-3</v>
      </c>
      <c r="AN415" s="2" t="e">
        <f t="shared" ca="1" si="210"/>
        <v>#N/A</v>
      </c>
      <c r="AO415" s="2" t="e">
        <f t="shared" ca="1" si="211"/>
        <v>#N/A</v>
      </c>
      <c r="AP415" s="2" t="e">
        <f t="shared" ca="1" si="212"/>
        <v>#N/A</v>
      </c>
      <c r="AQ415" s="2" t="e">
        <f t="shared" ca="1" si="213"/>
        <v>#N/A</v>
      </c>
      <c r="AR415" s="2" t="e">
        <f t="shared" ca="1" si="214"/>
        <v>#N/A</v>
      </c>
      <c r="AS415" s="2" t="e">
        <f t="shared" ca="1" si="215"/>
        <v>#N/A</v>
      </c>
      <c r="AT415" s="9" t="e">
        <f t="shared" ca="1" si="216"/>
        <v>#N/A</v>
      </c>
      <c r="AU415" s="9" t="e">
        <f t="shared" ca="1" si="217"/>
        <v>#N/A</v>
      </c>
      <c r="AW415" s="2" t="e">
        <f t="shared" ca="1" si="239"/>
        <v>#N/A</v>
      </c>
      <c r="AX415" s="2" t="e">
        <f t="shared" ca="1" si="240"/>
        <v>#N/A</v>
      </c>
      <c r="AY415" s="2" t="e">
        <f t="shared" ca="1" si="241"/>
        <v>#N/A</v>
      </c>
      <c r="AZ415" s="2" t="e">
        <f t="shared" ca="1" si="242"/>
        <v>#N/A</v>
      </c>
      <c r="BA415" s="2" t="e">
        <f t="shared" ca="1" si="243"/>
        <v>#N/A</v>
      </c>
      <c r="BB415" s="2" t="e">
        <f t="shared" ca="1" si="244"/>
        <v>#N/A</v>
      </c>
      <c r="BC415" s="9" t="e">
        <f t="shared" ca="1" si="245"/>
        <v>#N/A</v>
      </c>
      <c r="BD415" s="9" t="e">
        <f t="shared" ca="1" si="246"/>
        <v>#N/A</v>
      </c>
    </row>
    <row r="416" spans="1:56" ht="15" x14ac:dyDescent="0.25">
      <c r="A416" s="63"/>
      <c r="B416" s="63"/>
      <c r="C416" s="64"/>
      <c r="D416" s="64"/>
      <c r="E416" s="64"/>
      <c r="F416" s="64"/>
      <c r="G416" s="64"/>
      <c r="H416" s="64"/>
      <c r="I416" s="64"/>
      <c r="J416" s="64"/>
      <c r="K416" s="64"/>
      <c r="L416" s="64"/>
      <c r="M416" s="64"/>
      <c r="O416" s="11">
        <f t="shared" ca="1" si="232"/>
        <v>-3.9378682616450625E-4</v>
      </c>
      <c r="P416" s="11">
        <f t="shared" ca="1" si="233"/>
        <v>-1.6358405771021967E-4</v>
      </c>
      <c r="Q416" s="11">
        <f t="shared" ca="1" si="234"/>
        <v>-1.614029402377854E-3</v>
      </c>
      <c r="R416" s="11">
        <f t="shared" ca="1" si="235"/>
        <v>-1.4853760121635622E-5</v>
      </c>
      <c r="S416" s="11">
        <f t="shared" ca="1" si="236"/>
        <v>-1.1458026838550334E-3</v>
      </c>
      <c r="T416" s="11">
        <f t="shared" ca="1" si="237"/>
        <v>-4.9053934342410677E-4</v>
      </c>
      <c r="U416" s="11">
        <f t="shared" ca="1" si="238"/>
        <v>-5.5074395654535931E-3</v>
      </c>
      <c r="V416" s="11"/>
      <c r="W416" s="11">
        <f t="shared" ca="1" si="218"/>
        <v>0</v>
      </c>
      <c r="X416" s="2">
        <f t="shared" ca="1" si="219"/>
        <v>-1.6358405771021967E-4</v>
      </c>
      <c r="Y416" s="2">
        <f t="shared" ca="1" si="220"/>
        <v>-1.614029402377854E-3</v>
      </c>
      <c r="Z416" s="11">
        <f t="shared" ca="1" si="221"/>
        <v>-1.4853760121635622E-5</v>
      </c>
      <c r="AA416" s="2">
        <f t="shared" ca="1" si="222"/>
        <v>-1.1458026838550334E-3</v>
      </c>
      <c r="AB416" s="11">
        <f t="shared" ca="1" si="223"/>
        <v>-4.9053934342410677E-4</v>
      </c>
      <c r="AC416" s="2">
        <f t="shared" ca="1" si="224"/>
        <v>-5.5074395654535931E-3</v>
      </c>
      <c r="AF416" s="11">
        <f t="shared" ca="1" si="225"/>
        <v>0</v>
      </c>
      <c r="AG416" s="2">
        <f t="shared" ca="1" si="226"/>
        <v>-1.6358405771021967E-4</v>
      </c>
      <c r="AH416" s="2">
        <f t="shared" ca="1" si="227"/>
        <v>-1.614029402377854E-3</v>
      </c>
      <c r="AI416" s="2">
        <f t="shared" ca="1" si="228"/>
        <v>-1.4853760121635622E-5</v>
      </c>
      <c r="AJ416" s="2">
        <f t="shared" ca="1" si="229"/>
        <v>-1.1458026838550334E-3</v>
      </c>
      <c r="AK416" s="2">
        <f t="shared" ca="1" si="230"/>
        <v>-4.9053934342410677E-4</v>
      </c>
      <c r="AL416" s="2">
        <f t="shared" ca="1" si="231"/>
        <v>-5.5074395654535931E-3</v>
      </c>
      <c r="AN416" s="2" t="e">
        <f t="shared" ca="1" si="210"/>
        <v>#N/A</v>
      </c>
      <c r="AO416" s="2" t="e">
        <f t="shared" ca="1" si="211"/>
        <v>#N/A</v>
      </c>
      <c r="AP416" s="2" t="e">
        <f t="shared" ca="1" si="212"/>
        <v>#N/A</v>
      </c>
      <c r="AQ416" s="2" t="e">
        <f t="shared" ca="1" si="213"/>
        <v>#N/A</v>
      </c>
      <c r="AR416" s="2" t="e">
        <f t="shared" ca="1" si="214"/>
        <v>#N/A</v>
      </c>
      <c r="AS416" s="2" t="e">
        <f t="shared" ca="1" si="215"/>
        <v>#N/A</v>
      </c>
      <c r="AT416" s="9" t="e">
        <f t="shared" ca="1" si="216"/>
        <v>#N/A</v>
      </c>
      <c r="AU416" s="9" t="e">
        <f t="shared" ca="1" si="217"/>
        <v>#N/A</v>
      </c>
      <c r="AW416" s="2" t="e">
        <f t="shared" ca="1" si="239"/>
        <v>#N/A</v>
      </c>
      <c r="AX416" s="2" t="e">
        <f t="shared" ca="1" si="240"/>
        <v>#N/A</v>
      </c>
      <c r="AY416" s="2" t="e">
        <f t="shared" ca="1" si="241"/>
        <v>#N/A</v>
      </c>
      <c r="AZ416" s="2" t="e">
        <f t="shared" ca="1" si="242"/>
        <v>#N/A</v>
      </c>
      <c r="BA416" s="2" t="e">
        <f t="shared" ca="1" si="243"/>
        <v>#N/A</v>
      </c>
      <c r="BB416" s="2" t="e">
        <f t="shared" ca="1" si="244"/>
        <v>#N/A</v>
      </c>
      <c r="BC416" s="9" t="e">
        <f t="shared" ca="1" si="245"/>
        <v>#N/A</v>
      </c>
      <c r="BD416" s="9" t="e">
        <f t="shared" ca="1" si="246"/>
        <v>#N/A</v>
      </c>
    </row>
    <row r="417" spans="1:56" ht="15" x14ac:dyDescent="0.25">
      <c r="A417" s="63"/>
      <c r="B417" s="63"/>
      <c r="C417" s="64"/>
      <c r="D417" s="64"/>
      <c r="E417" s="64"/>
      <c r="F417" s="64"/>
      <c r="G417" s="64"/>
      <c r="H417" s="64"/>
      <c r="I417" s="64"/>
      <c r="J417" s="64"/>
      <c r="K417" s="64"/>
      <c r="L417" s="64"/>
      <c r="M417" s="64"/>
      <c r="O417" s="11">
        <f t="shared" ca="1" si="232"/>
        <v>-3.9378682616450625E-4</v>
      </c>
      <c r="P417" s="11">
        <f t="shared" ca="1" si="233"/>
        <v>-1.6358405771021967E-4</v>
      </c>
      <c r="Q417" s="11">
        <f t="shared" ca="1" si="234"/>
        <v>-1.614029402377854E-3</v>
      </c>
      <c r="R417" s="11">
        <f t="shared" ca="1" si="235"/>
        <v>-1.4853760121635622E-5</v>
      </c>
      <c r="S417" s="11">
        <f t="shared" ca="1" si="236"/>
        <v>-1.1458026838550334E-3</v>
      </c>
      <c r="T417" s="11">
        <f t="shared" ca="1" si="237"/>
        <v>-4.9053934342410677E-4</v>
      </c>
      <c r="U417" s="11">
        <f t="shared" ca="1" si="238"/>
        <v>-5.5074395654535931E-3</v>
      </c>
      <c r="V417" s="11"/>
      <c r="W417" s="11">
        <f t="shared" ca="1" si="218"/>
        <v>0</v>
      </c>
      <c r="X417" s="2">
        <f t="shared" ca="1" si="219"/>
        <v>-1.6358405771021967E-4</v>
      </c>
      <c r="Y417" s="2">
        <f t="shared" ca="1" si="220"/>
        <v>-1.614029402377854E-3</v>
      </c>
      <c r="Z417" s="11">
        <f t="shared" ca="1" si="221"/>
        <v>-1.4853760121635622E-5</v>
      </c>
      <c r="AA417" s="2">
        <f t="shared" ca="1" si="222"/>
        <v>-1.1458026838550334E-3</v>
      </c>
      <c r="AB417" s="11">
        <f t="shared" ca="1" si="223"/>
        <v>-4.9053934342410677E-4</v>
      </c>
      <c r="AC417" s="2">
        <f t="shared" ca="1" si="224"/>
        <v>-5.5074395654535931E-3</v>
      </c>
      <c r="AF417" s="11">
        <f t="shared" ca="1" si="225"/>
        <v>0</v>
      </c>
      <c r="AG417" s="2">
        <f t="shared" ca="1" si="226"/>
        <v>-1.6358405771021967E-4</v>
      </c>
      <c r="AH417" s="2">
        <f t="shared" ca="1" si="227"/>
        <v>-1.614029402377854E-3</v>
      </c>
      <c r="AI417" s="2">
        <f t="shared" ca="1" si="228"/>
        <v>-1.4853760121635622E-5</v>
      </c>
      <c r="AJ417" s="2">
        <f t="shared" ca="1" si="229"/>
        <v>-1.1458026838550334E-3</v>
      </c>
      <c r="AK417" s="2">
        <f t="shared" ca="1" si="230"/>
        <v>-4.9053934342410677E-4</v>
      </c>
      <c r="AL417" s="2">
        <f t="shared" ca="1" si="231"/>
        <v>-5.5074395654535931E-3</v>
      </c>
      <c r="AN417" s="2" t="e">
        <f t="shared" ca="1" si="210"/>
        <v>#N/A</v>
      </c>
      <c r="AO417" s="2" t="e">
        <f t="shared" ca="1" si="211"/>
        <v>#N/A</v>
      </c>
      <c r="AP417" s="2" t="e">
        <f t="shared" ca="1" si="212"/>
        <v>#N/A</v>
      </c>
      <c r="AQ417" s="2" t="e">
        <f t="shared" ca="1" si="213"/>
        <v>#N/A</v>
      </c>
      <c r="AR417" s="2" t="e">
        <f t="shared" ca="1" si="214"/>
        <v>#N/A</v>
      </c>
      <c r="AS417" s="2" t="e">
        <f t="shared" ca="1" si="215"/>
        <v>#N/A</v>
      </c>
      <c r="AT417" s="9" t="e">
        <f t="shared" ca="1" si="216"/>
        <v>#N/A</v>
      </c>
      <c r="AU417" s="9" t="e">
        <f t="shared" ca="1" si="217"/>
        <v>#N/A</v>
      </c>
      <c r="AW417" s="2" t="e">
        <f t="shared" ca="1" si="239"/>
        <v>#N/A</v>
      </c>
      <c r="AX417" s="2" t="e">
        <f t="shared" ca="1" si="240"/>
        <v>#N/A</v>
      </c>
      <c r="AY417" s="2" t="e">
        <f t="shared" ca="1" si="241"/>
        <v>#N/A</v>
      </c>
      <c r="AZ417" s="2" t="e">
        <f t="shared" ca="1" si="242"/>
        <v>#N/A</v>
      </c>
      <c r="BA417" s="2" t="e">
        <f t="shared" ca="1" si="243"/>
        <v>#N/A</v>
      </c>
      <c r="BB417" s="2" t="e">
        <f t="shared" ca="1" si="244"/>
        <v>#N/A</v>
      </c>
      <c r="BC417" s="9" t="e">
        <f t="shared" ca="1" si="245"/>
        <v>#N/A</v>
      </c>
      <c r="BD417" s="9" t="e">
        <f t="shared" ca="1" si="246"/>
        <v>#N/A</v>
      </c>
    </row>
    <row r="418" spans="1:56" ht="15" x14ac:dyDescent="0.25">
      <c r="A418" s="63"/>
      <c r="B418" s="63"/>
      <c r="C418" s="64"/>
      <c r="D418" s="64"/>
      <c r="E418" s="64"/>
      <c r="F418" s="64"/>
      <c r="G418" s="64"/>
      <c r="H418" s="64"/>
      <c r="I418" s="64"/>
      <c r="J418" s="64"/>
      <c r="K418" s="64"/>
      <c r="L418" s="64"/>
      <c r="M418" s="64"/>
      <c r="O418" s="11">
        <f t="shared" ca="1" si="232"/>
        <v>-3.9378682616450625E-4</v>
      </c>
      <c r="P418" s="11">
        <f t="shared" ca="1" si="233"/>
        <v>-1.6358405771021967E-4</v>
      </c>
      <c r="Q418" s="11">
        <f t="shared" ca="1" si="234"/>
        <v>-1.614029402377854E-3</v>
      </c>
      <c r="R418" s="11">
        <f t="shared" ca="1" si="235"/>
        <v>-1.4853760121635622E-5</v>
      </c>
      <c r="S418" s="11">
        <f t="shared" ca="1" si="236"/>
        <v>-1.1458026838550334E-3</v>
      </c>
      <c r="T418" s="11">
        <f t="shared" ca="1" si="237"/>
        <v>-4.9053934342410677E-4</v>
      </c>
      <c r="U418" s="11">
        <f t="shared" ca="1" si="238"/>
        <v>-5.5074395654535931E-3</v>
      </c>
      <c r="V418" s="11"/>
      <c r="W418" s="11">
        <f t="shared" ca="1" si="218"/>
        <v>0</v>
      </c>
      <c r="X418" s="2">
        <f t="shared" ca="1" si="219"/>
        <v>-1.6358405771021967E-4</v>
      </c>
      <c r="Y418" s="2">
        <f t="shared" ca="1" si="220"/>
        <v>-1.614029402377854E-3</v>
      </c>
      <c r="Z418" s="11">
        <f t="shared" ca="1" si="221"/>
        <v>-1.4853760121635622E-5</v>
      </c>
      <c r="AA418" s="2">
        <f t="shared" ca="1" si="222"/>
        <v>-1.1458026838550334E-3</v>
      </c>
      <c r="AB418" s="11">
        <f t="shared" ca="1" si="223"/>
        <v>-4.9053934342410677E-4</v>
      </c>
      <c r="AC418" s="2">
        <f t="shared" ca="1" si="224"/>
        <v>-5.5074395654535931E-3</v>
      </c>
      <c r="AF418" s="11">
        <f t="shared" ca="1" si="225"/>
        <v>0</v>
      </c>
      <c r="AG418" s="2">
        <f t="shared" ca="1" si="226"/>
        <v>-1.6358405771021967E-4</v>
      </c>
      <c r="AH418" s="2">
        <f t="shared" ca="1" si="227"/>
        <v>-1.614029402377854E-3</v>
      </c>
      <c r="AI418" s="2">
        <f t="shared" ca="1" si="228"/>
        <v>-1.4853760121635622E-5</v>
      </c>
      <c r="AJ418" s="2">
        <f t="shared" ca="1" si="229"/>
        <v>-1.1458026838550334E-3</v>
      </c>
      <c r="AK418" s="2">
        <f t="shared" ca="1" si="230"/>
        <v>-4.9053934342410677E-4</v>
      </c>
      <c r="AL418" s="2">
        <f t="shared" ca="1" si="231"/>
        <v>-5.5074395654535931E-3</v>
      </c>
      <c r="AN418" s="2" t="e">
        <f t="shared" ca="1" si="210"/>
        <v>#N/A</v>
      </c>
      <c r="AO418" s="2" t="e">
        <f t="shared" ca="1" si="211"/>
        <v>#N/A</v>
      </c>
      <c r="AP418" s="2" t="e">
        <f t="shared" ca="1" si="212"/>
        <v>#N/A</v>
      </c>
      <c r="AQ418" s="2" t="e">
        <f t="shared" ca="1" si="213"/>
        <v>#N/A</v>
      </c>
      <c r="AR418" s="2" t="e">
        <f t="shared" ca="1" si="214"/>
        <v>#N/A</v>
      </c>
      <c r="AS418" s="2" t="e">
        <f t="shared" ca="1" si="215"/>
        <v>#N/A</v>
      </c>
      <c r="AT418" s="9" t="e">
        <f t="shared" ca="1" si="216"/>
        <v>#N/A</v>
      </c>
      <c r="AU418" s="9" t="e">
        <f t="shared" ca="1" si="217"/>
        <v>#N/A</v>
      </c>
      <c r="AW418" s="2" t="e">
        <f t="shared" ca="1" si="239"/>
        <v>#N/A</v>
      </c>
      <c r="AX418" s="2" t="e">
        <f t="shared" ca="1" si="240"/>
        <v>#N/A</v>
      </c>
      <c r="AY418" s="2" t="e">
        <f t="shared" ca="1" si="241"/>
        <v>#N/A</v>
      </c>
      <c r="AZ418" s="2" t="e">
        <f t="shared" ca="1" si="242"/>
        <v>#N/A</v>
      </c>
      <c r="BA418" s="2" t="e">
        <f t="shared" ca="1" si="243"/>
        <v>#N/A</v>
      </c>
      <c r="BB418" s="2" t="e">
        <f t="shared" ca="1" si="244"/>
        <v>#N/A</v>
      </c>
      <c r="BC418" s="9" t="e">
        <f t="shared" ca="1" si="245"/>
        <v>#N/A</v>
      </c>
      <c r="BD418" s="9" t="e">
        <f t="shared" ca="1" si="246"/>
        <v>#N/A</v>
      </c>
    </row>
    <row r="419" spans="1:56" ht="15" x14ac:dyDescent="0.25">
      <c r="A419" s="63"/>
      <c r="B419" s="63"/>
      <c r="C419" s="64"/>
      <c r="D419" s="64"/>
      <c r="E419" s="64"/>
      <c r="F419" s="64"/>
      <c r="G419" s="64"/>
      <c r="H419" s="64"/>
      <c r="I419" s="64"/>
      <c r="J419" s="64"/>
      <c r="K419" s="64"/>
      <c r="L419" s="64"/>
      <c r="M419" s="64"/>
      <c r="O419" s="11">
        <f t="shared" ca="1" si="232"/>
        <v>-3.9378682616450625E-4</v>
      </c>
      <c r="P419" s="11">
        <f t="shared" ca="1" si="233"/>
        <v>-1.6358405771021967E-4</v>
      </c>
      <c r="Q419" s="11">
        <f t="shared" ca="1" si="234"/>
        <v>-1.614029402377854E-3</v>
      </c>
      <c r="R419" s="11">
        <f t="shared" ca="1" si="235"/>
        <v>-1.4853760121635622E-5</v>
      </c>
      <c r="S419" s="11">
        <f t="shared" ca="1" si="236"/>
        <v>-1.1458026838550334E-3</v>
      </c>
      <c r="T419" s="11">
        <f t="shared" ca="1" si="237"/>
        <v>-4.9053934342410677E-4</v>
      </c>
      <c r="U419" s="11">
        <f t="shared" ca="1" si="238"/>
        <v>-5.5074395654535931E-3</v>
      </c>
      <c r="V419" s="11"/>
      <c r="W419" s="11">
        <f t="shared" ca="1" si="218"/>
        <v>0</v>
      </c>
      <c r="X419" s="2">
        <f t="shared" ca="1" si="219"/>
        <v>-1.6358405771021967E-4</v>
      </c>
      <c r="Y419" s="2">
        <f t="shared" ca="1" si="220"/>
        <v>-1.614029402377854E-3</v>
      </c>
      <c r="Z419" s="11">
        <f t="shared" ca="1" si="221"/>
        <v>-1.4853760121635622E-5</v>
      </c>
      <c r="AA419" s="2">
        <f t="shared" ca="1" si="222"/>
        <v>-1.1458026838550334E-3</v>
      </c>
      <c r="AB419" s="11">
        <f t="shared" ca="1" si="223"/>
        <v>-4.9053934342410677E-4</v>
      </c>
      <c r="AC419" s="2">
        <f t="shared" ca="1" si="224"/>
        <v>-5.5074395654535931E-3</v>
      </c>
      <c r="AF419" s="11">
        <f t="shared" ca="1" si="225"/>
        <v>0</v>
      </c>
      <c r="AG419" s="2">
        <f t="shared" ca="1" si="226"/>
        <v>-1.6358405771021967E-4</v>
      </c>
      <c r="AH419" s="2">
        <f t="shared" ca="1" si="227"/>
        <v>-1.614029402377854E-3</v>
      </c>
      <c r="AI419" s="2">
        <f t="shared" ca="1" si="228"/>
        <v>-1.4853760121635622E-5</v>
      </c>
      <c r="AJ419" s="2">
        <f t="shared" ca="1" si="229"/>
        <v>-1.1458026838550334E-3</v>
      </c>
      <c r="AK419" s="2">
        <f t="shared" ca="1" si="230"/>
        <v>-4.9053934342410677E-4</v>
      </c>
      <c r="AL419" s="2">
        <f t="shared" ca="1" si="231"/>
        <v>-5.5074395654535931E-3</v>
      </c>
      <c r="AN419" s="2" t="e">
        <f t="shared" ca="1" si="210"/>
        <v>#N/A</v>
      </c>
      <c r="AO419" s="2" t="e">
        <f t="shared" ca="1" si="211"/>
        <v>#N/A</v>
      </c>
      <c r="AP419" s="2" t="e">
        <f t="shared" ca="1" si="212"/>
        <v>#N/A</v>
      </c>
      <c r="AQ419" s="2" t="e">
        <f t="shared" ca="1" si="213"/>
        <v>#N/A</v>
      </c>
      <c r="AR419" s="2" t="e">
        <f t="shared" ca="1" si="214"/>
        <v>#N/A</v>
      </c>
      <c r="AS419" s="2" t="e">
        <f t="shared" ca="1" si="215"/>
        <v>#N/A</v>
      </c>
      <c r="AT419" s="9" t="e">
        <f t="shared" ca="1" si="216"/>
        <v>#N/A</v>
      </c>
      <c r="AU419" s="9" t="e">
        <f t="shared" ca="1" si="217"/>
        <v>#N/A</v>
      </c>
      <c r="AW419" s="2" t="e">
        <f t="shared" ca="1" si="239"/>
        <v>#N/A</v>
      </c>
      <c r="AX419" s="2" t="e">
        <f t="shared" ca="1" si="240"/>
        <v>#N/A</v>
      </c>
      <c r="AY419" s="2" t="e">
        <f t="shared" ca="1" si="241"/>
        <v>#N/A</v>
      </c>
      <c r="AZ419" s="2" t="e">
        <f t="shared" ca="1" si="242"/>
        <v>#N/A</v>
      </c>
      <c r="BA419" s="2" t="e">
        <f t="shared" ca="1" si="243"/>
        <v>#N/A</v>
      </c>
      <c r="BB419" s="2" t="e">
        <f t="shared" ca="1" si="244"/>
        <v>#N/A</v>
      </c>
      <c r="BC419" s="9" t="e">
        <f t="shared" ca="1" si="245"/>
        <v>#N/A</v>
      </c>
      <c r="BD419" s="9" t="e">
        <f t="shared" ca="1" si="246"/>
        <v>#N/A</v>
      </c>
    </row>
    <row r="420" spans="1:56" ht="15" x14ac:dyDescent="0.25">
      <c r="A420" s="63"/>
      <c r="B420" s="63"/>
      <c r="C420" s="64"/>
      <c r="D420" s="64"/>
      <c r="E420" s="64"/>
      <c r="F420" s="64"/>
      <c r="G420" s="64"/>
      <c r="H420" s="64"/>
      <c r="I420" s="64"/>
      <c r="J420" s="64"/>
      <c r="K420" s="64"/>
      <c r="L420" s="64"/>
      <c r="M420" s="64"/>
      <c r="O420" s="11">
        <f t="shared" ca="1" si="232"/>
        <v>-3.9378682616450625E-4</v>
      </c>
      <c r="P420" s="11">
        <f t="shared" ca="1" si="233"/>
        <v>-1.6358405771021967E-4</v>
      </c>
      <c r="Q420" s="11">
        <f t="shared" ca="1" si="234"/>
        <v>-1.614029402377854E-3</v>
      </c>
      <c r="R420" s="11">
        <f t="shared" ca="1" si="235"/>
        <v>-1.4853760121635622E-5</v>
      </c>
      <c r="S420" s="11">
        <f t="shared" ca="1" si="236"/>
        <v>-1.1458026838550334E-3</v>
      </c>
      <c r="T420" s="11">
        <f t="shared" ca="1" si="237"/>
        <v>-4.9053934342410677E-4</v>
      </c>
      <c r="U420" s="11">
        <f t="shared" ca="1" si="238"/>
        <v>-5.5074395654535931E-3</v>
      </c>
      <c r="V420" s="11"/>
      <c r="W420" s="11">
        <f t="shared" ca="1" si="218"/>
        <v>0</v>
      </c>
      <c r="X420" s="2">
        <f t="shared" ca="1" si="219"/>
        <v>-1.6358405771021967E-4</v>
      </c>
      <c r="Y420" s="2">
        <f t="shared" ca="1" si="220"/>
        <v>-1.614029402377854E-3</v>
      </c>
      <c r="Z420" s="11">
        <f t="shared" ca="1" si="221"/>
        <v>-1.4853760121635622E-5</v>
      </c>
      <c r="AA420" s="2">
        <f t="shared" ca="1" si="222"/>
        <v>-1.1458026838550334E-3</v>
      </c>
      <c r="AB420" s="11">
        <f t="shared" ca="1" si="223"/>
        <v>-4.9053934342410677E-4</v>
      </c>
      <c r="AC420" s="2">
        <f t="shared" ca="1" si="224"/>
        <v>-5.5074395654535931E-3</v>
      </c>
      <c r="AF420" s="11">
        <f t="shared" ca="1" si="225"/>
        <v>0</v>
      </c>
      <c r="AG420" s="2">
        <f t="shared" ca="1" si="226"/>
        <v>-1.6358405771021967E-4</v>
      </c>
      <c r="AH420" s="2">
        <f t="shared" ca="1" si="227"/>
        <v>-1.614029402377854E-3</v>
      </c>
      <c r="AI420" s="2">
        <f t="shared" ca="1" si="228"/>
        <v>-1.4853760121635622E-5</v>
      </c>
      <c r="AJ420" s="2">
        <f t="shared" ca="1" si="229"/>
        <v>-1.1458026838550334E-3</v>
      </c>
      <c r="AK420" s="2">
        <f t="shared" ca="1" si="230"/>
        <v>-4.9053934342410677E-4</v>
      </c>
      <c r="AL420" s="2">
        <f t="shared" ca="1" si="231"/>
        <v>-5.5074395654535931E-3</v>
      </c>
      <c r="AN420" s="2" t="e">
        <f t="shared" ca="1" si="210"/>
        <v>#N/A</v>
      </c>
      <c r="AO420" s="2" t="e">
        <f t="shared" ca="1" si="211"/>
        <v>#N/A</v>
      </c>
      <c r="AP420" s="2" t="e">
        <f t="shared" ca="1" si="212"/>
        <v>#N/A</v>
      </c>
      <c r="AQ420" s="2" t="e">
        <f t="shared" ca="1" si="213"/>
        <v>#N/A</v>
      </c>
      <c r="AR420" s="2" t="e">
        <f t="shared" ca="1" si="214"/>
        <v>#N/A</v>
      </c>
      <c r="AS420" s="2" t="e">
        <f t="shared" ca="1" si="215"/>
        <v>#N/A</v>
      </c>
      <c r="AT420" s="9" t="e">
        <f t="shared" ca="1" si="216"/>
        <v>#N/A</v>
      </c>
      <c r="AU420" s="9" t="e">
        <f t="shared" ca="1" si="217"/>
        <v>#N/A</v>
      </c>
      <c r="AW420" s="2" t="e">
        <f t="shared" ca="1" si="239"/>
        <v>#N/A</v>
      </c>
      <c r="AX420" s="2" t="e">
        <f t="shared" ca="1" si="240"/>
        <v>#N/A</v>
      </c>
      <c r="AY420" s="2" t="e">
        <f t="shared" ca="1" si="241"/>
        <v>#N/A</v>
      </c>
      <c r="AZ420" s="2" t="e">
        <f t="shared" ca="1" si="242"/>
        <v>#N/A</v>
      </c>
      <c r="BA420" s="2" t="e">
        <f t="shared" ca="1" si="243"/>
        <v>#N/A</v>
      </c>
      <c r="BB420" s="2" t="e">
        <f t="shared" ca="1" si="244"/>
        <v>#N/A</v>
      </c>
      <c r="BC420" s="9" t="e">
        <f t="shared" ca="1" si="245"/>
        <v>#N/A</v>
      </c>
      <c r="BD420" s="9" t="e">
        <f t="shared" ca="1" si="246"/>
        <v>#N/A</v>
      </c>
    </row>
    <row r="421" spans="1:56" ht="15" x14ac:dyDescent="0.25">
      <c r="A421" s="63"/>
      <c r="B421" s="63"/>
      <c r="C421" s="64"/>
      <c r="D421" s="64"/>
      <c r="E421" s="64"/>
      <c r="F421" s="64"/>
      <c r="G421" s="64"/>
      <c r="H421" s="64"/>
      <c r="I421" s="64"/>
      <c r="J421" s="64"/>
      <c r="K421" s="64"/>
      <c r="L421" s="64"/>
      <c r="M421" s="64"/>
      <c r="O421" s="11">
        <f t="shared" ca="1" si="232"/>
        <v>-3.9378682616450625E-4</v>
      </c>
      <c r="P421" s="11">
        <f t="shared" ca="1" si="233"/>
        <v>-1.6358405771021967E-4</v>
      </c>
      <c r="Q421" s="11">
        <f t="shared" ca="1" si="234"/>
        <v>-1.614029402377854E-3</v>
      </c>
      <c r="R421" s="11">
        <f t="shared" ca="1" si="235"/>
        <v>-1.4853760121635622E-5</v>
      </c>
      <c r="S421" s="11">
        <f t="shared" ca="1" si="236"/>
        <v>-1.1458026838550334E-3</v>
      </c>
      <c r="T421" s="11">
        <f t="shared" ca="1" si="237"/>
        <v>-4.9053934342410677E-4</v>
      </c>
      <c r="U421" s="11">
        <f t="shared" ca="1" si="238"/>
        <v>-5.5074395654535931E-3</v>
      </c>
      <c r="V421" s="11"/>
      <c r="W421" s="11">
        <f t="shared" ca="1" si="218"/>
        <v>0</v>
      </c>
      <c r="X421" s="2">
        <f t="shared" ca="1" si="219"/>
        <v>-1.6358405771021967E-4</v>
      </c>
      <c r="Y421" s="2">
        <f t="shared" ca="1" si="220"/>
        <v>-1.614029402377854E-3</v>
      </c>
      <c r="Z421" s="11">
        <f t="shared" ca="1" si="221"/>
        <v>-1.4853760121635622E-5</v>
      </c>
      <c r="AA421" s="2">
        <f t="shared" ca="1" si="222"/>
        <v>-1.1458026838550334E-3</v>
      </c>
      <c r="AB421" s="11">
        <f t="shared" ca="1" si="223"/>
        <v>-4.9053934342410677E-4</v>
      </c>
      <c r="AC421" s="2">
        <f t="shared" ca="1" si="224"/>
        <v>-5.5074395654535931E-3</v>
      </c>
      <c r="AF421" s="11">
        <f t="shared" ca="1" si="225"/>
        <v>0</v>
      </c>
      <c r="AG421" s="2">
        <f t="shared" ca="1" si="226"/>
        <v>-1.6358405771021967E-4</v>
      </c>
      <c r="AH421" s="2">
        <f t="shared" ca="1" si="227"/>
        <v>-1.614029402377854E-3</v>
      </c>
      <c r="AI421" s="2">
        <f t="shared" ca="1" si="228"/>
        <v>-1.4853760121635622E-5</v>
      </c>
      <c r="AJ421" s="2">
        <f t="shared" ca="1" si="229"/>
        <v>-1.1458026838550334E-3</v>
      </c>
      <c r="AK421" s="2">
        <f t="shared" ca="1" si="230"/>
        <v>-4.9053934342410677E-4</v>
      </c>
      <c r="AL421" s="2">
        <f t="shared" ca="1" si="231"/>
        <v>-5.5074395654535931E-3</v>
      </c>
      <c r="AN421" s="2" t="e">
        <f t="shared" ca="1" si="210"/>
        <v>#N/A</v>
      </c>
      <c r="AO421" s="2" t="e">
        <f t="shared" ca="1" si="211"/>
        <v>#N/A</v>
      </c>
      <c r="AP421" s="2" t="e">
        <f t="shared" ca="1" si="212"/>
        <v>#N/A</v>
      </c>
      <c r="AQ421" s="2" t="e">
        <f t="shared" ca="1" si="213"/>
        <v>#N/A</v>
      </c>
      <c r="AR421" s="2" t="e">
        <f t="shared" ca="1" si="214"/>
        <v>#N/A</v>
      </c>
      <c r="AS421" s="2" t="e">
        <f t="shared" ca="1" si="215"/>
        <v>#N/A</v>
      </c>
      <c r="AT421" s="9" t="e">
        <f t="shared" ca="1" si="216"/>
        <v>#N/A</v>
      </c>
      <c r="AU421" s="9" t="e">
        <f t="shared" ca="1" si="217"/>
        <v>#N/A</v>
      </c>
      <c r="AW421" s="2" t="e">
        <f t="shared" ca="1" si="239"/>
        <v>#N/A</v>
      </c>
      <c r="AX421" s="2" t="e">
        <f t="shared" ca="1" si="240"/>
        <v>#N/A</v>
      </c>
      <c r="AY421" s="2" t="e">
        <f t="shared" ca="1" si="241"/>
        <v>#N/A</v>
      </c>
      <c r="AZ421" s="2" t="e">
        <f t="shared" ca="1" si="242"/>
        <v>#N/A</v>
      </c>
      <c r="BA421" s="2" t="e">
        <f t="shared" ca="1" si="243"/>
        <v>#N/A</v>
      </c>
      <c r="BB421" s="2" t="e">
        <f t="shared" ca="1" si="244"/>
        <v>#N/A</v>
      </c>
      <c r="BC421" s="9" t="e">
        <f t="shared" ca="1" si="245"/>
        <v>#N/A</v>
      </c>
      <c r="BD421" s="9" t="e">
        <f t="shared" ca="1" si="246"/>
        <v>#N/A</v>
      </c>
    </row>
    <row r="422" spans="1:56" ht="15" x14ac:dyDescent="0.25">
      <c r="A422" s="63"/>
      <c r="B422" s="63"/>
      <c r="C422" s="64"/>
      <c r="D422" s="64"/>
      <c r="E422" s="64"/>
      <c r="F422" s="64"/>
      <c r="G422" s="64"/>
      <c r="H422" s="64"/>
      <c r="I422" s="64"/>
      <c r="J422" s="64"/>
      <c r="K422" s="64"/>
      <c r="L422" s="64"/>
      <c r="M422" s="64"/>
      <c r="O422" s="11">
        <f t="shared" ca="1" si="232"/>
        <v>-3.9378682616450625E-4</v>
      </c>
      <c r="P422" s="11">
        <f t="shared" ca="1" si="233"/>
        <v>-1.6358405771021967E-4</v>
      </c>
      <c r="Q422" s="11">
        <f t="shared" ca="1" si="234"/>
        <v>-1.614029402377854E-3</v>
      </c>
      <c r="R422" s="11">
        <f t="shared" ca="1" si="235"/>
        <v>-1.4853760121635622E-5</v>
      </c>
      <c r="S422" s="11">
        <f t="shared" ca="1" si="236"/>
        <v>-1.1458026838550334E-3</v>
      </c>
      <c r="T422" s="11">
        <f t="shared" ca="1" si="237"/>
        <v>-4.9053934342410677E-4</v>
      </c>
      <c r="U422" s="11">
        <f t="shared" ca="1" si="238"/>
        <v>-5.5074395654535931E-3</v>
      </c>
      <c r="V422" s="11"/>
      <c r="W422" s="11">
        <f t="shared" ca="1" si="218"/>
        <v>0</v>
      </c>
      <c r="X422" s="2">
        <f t="shared" ca="1" si="219"/>
        <v>-1.6358405771021967E-4</v>
      </c>
      <c r="Y422" s="2">
        <f t="shared" ca="1" si="220"/>
        <v>-1.614029402377854E-3</v>
      </c>
      <c r="Z422" s="11">
        <f t="shared" ca="1" si="221"/>
        <v>-1.4853760121635622E-5</v>
      </c>
      <c r="AA422" s="2">
        <f t="shared" ca="1" si="222"/>
        <v>-1.1458026838550334E-3</v>
      </c>
      <c r="AB422" s="11">
        <f t="shared" ca="1" si="223"/>
        <v>-4.9053934342410677E-4</v>
      </c>
      <c r="AC422" s="2">
        <f t="shared" ca="1" si="224"/>
        <v>-5.5074395654535931E-3</v>
      </c>
      <c r="AF422" s="11">
        <f t="shared" ca="1" si="225"/>
        <v>0</v>
      </c>
      <c r="AG422" s="2">
        <f t="shared" ca="1" si="226"/>
        <v>-1.6358405771021967E-4</v>
      </c>
      <c r="AH422" s="2">
        <f t="shared" ca="1" si="227"/>
        <v>-1.614029402377854E-3</v>
      </c>
      <c r="AI422" s="2">
        <f t="shared" ca="1" si="228"/>
        <v>-1.4853760121635622E-5</v>
      </c>
      <c r="AJ422" s="2">
        <f t="shared" ca="1" si="229"/>
        <v>-1.1458026838550334E-3</v>
      </c>
      <c r="AK422" s="2">
        <f t="shared" ca="1" si="230"/>
        <v>-4.9053934342410677E-4</v>
      </c>
      <c r="AL422" s="2">
        <f t="shared" ca="1" si="231"/>
        <v>-5.5074395654535931E-3</v>
      </c>
      <c r="AN422" s="2" t="e">
        <f t="shared" ca="1" si="210"/>
        <v>#N/A</v>
      </c>
      <c r="AO422" s="2" t="e">
        <f t="shared" ca="1" si="211"/>
        <v>#N/A</v>
      </c>
      <c r="AP422" s="2" t="e">
        <f t="shared" ca="1" si="212"/>
        <v>#N/A</v>
      </c>
      <c r="AQ422" s="2" t="e">
        <f t="shared" ca="1" si="213"/>
        <v>#N/A</v>
      </c>
      <c r="AR422" s="2" t="e">
        <f t="shared" ca="1" si="214"/>
        <v>#N/A</v>
      </c>
      <c r="AS422" s="2" t="e">
        <f t="shared" ca="1" si="215"/>
        <v>#N/A</v>
      </c>
      <c r="AT422" s="9" t="e">
        <f t="shared" ca="1" si="216"/>
        <v>#N/A</v>
      </c>
      <c r="AU422" s="9" t="e">
        <f t="shared" ca="1" si="217"/>
        <v>#N/A</v>
      </c>
      <c r="AW422" s="2" t="e">
        <f t="shared" ca="1" si="239"/>
        <v>#N/A</v>
      </c>
      <c r="AX422" s="2" t="e">
        <f t="shared" ca="1" si="240"/>
        <v>#N/A</v>
      </c>
      <c r="AY422" s="2" t="e">
        <f t="shared" ca="1" si="241"/>
        <v>#N/A</v>
      </c>
      <c r="AZ422" s="2" t="e">
        <f t="shared" ca="1" si="242"/>
        <v>#N/A</v>
      </c>
      <c r="BA422" s="2" t="e">
        <f t="shared" ca="1" si="243"/>
        <v>#N/A</v>
      </c>
      <c r="BB422" s="2" t="e">
        <f t="shared" ca="1" si="244"/>
        <v>#N/A</v>
      </c>
      <c r="BC422" s="9" t="e">
        <f t="shared" ca="1" si="245"/>
        <v>#N/A</v>
      </c>
      <c r="BD422" s="9" t="e">
        <f t="shared" ca="1" si="246"/>
        <v>#N/A</v>
      </c>
    </row>
    <row r="423" spans="1:56" ht="15" x14ac:dyDescent="0.25">
      <c r="A423" s="63"/>
      <c r="B423" s="63"/>
      <c r="C423" s="64"/>
      <c r="D423" s="64"/>
      <c r="E423" s="64"/>
      <c r="F423" s="64"/>
      <c r="G423" s="64"/>
      <c r="H423" s="64"/>
      <c r="I423" s="64"/>
      <c r="J423" s="64"/>
      <c r="K423" s="64"/>
      <c r="L423" s="64"/>
      <c r="M423" s="64"/>
      <c r="O423" s="11">
        <f t="shared" ca="1" si="232"/>
        <v>-3.9378682616450625E-4</v>
      </c>
      <c r="P423" s="11">
        <f t="shared" ca="1" si="233"/>
        <v>-1.6358405771021967E-4</v>
      </c>
      <c r="Q423" s="11">
        <f t="shared" ca="1" si="234"/>
        <v>-1.614029402377854E-3</v>
      </c>
      <c r="R423" s="11">
        <f t="shared" ca="1" si="235"/>
        <v>-1.4853760121635622E-5</v>
      </c>
      <c r="S423" s="11">
        <f t="shared" ca="1" si="236"/>
        <v>-1.1458026838550334E-3</v>
      </c>
      <c r="T423" s="11">
        <f t="shared" ca="1" si="237"/>
        <v>-4.9053934342410677E-4</v>
      </c>
      <c r="U423" s="11">
        <f t="shared" ca="1" si="238"/>
        <v>-5.5074395654535931E-3</v>
      </c>
      <c r="V423" s="11"/>
      <c r="W423" s="11">
        <f t="shared" ca="1" si="218"/>
        <v>0</v>
      </c>
      <c r="X423" s="2">
        <f t="shared" ca="1" si="219"/>
        <v>-1.6358405771021967E-4</v>
      </c>
      <c r="Y423" s="2">
        <f t="shared" ca="1" si="220"/>
        <v>-1.614029402377854E-3</v>
      </c>
      <c r="Z423" s="11">
        <f t="shared" ca="1" si="221"/>
        <v>-1.4853760121635622E-5</v>
      </c>
      <c r="AA423" s="2">
        <f t="shared" ca="1" si="222"/>
        <v>-1.1458026838550334E-3</v>
      </c>
      <c r="AB423" s="11">
        <f t="shared" ca="1" si="223"/>
        <v>-4.9053934342410677E-4</v>
      </c>
      <c r="AC423" s="2">
        <f t="shared" ca="1" si="224"/>
        <v>-5.5074395654535931E-3</v>
      </c>
      <c r="AF423" s="11">
        <f t="shared" ca="1" si="225"/>
        <v>0</v>
      </c>
      <c r="AG423" s="2">
        <f t="shared" ca="1" si="226"/>
        <v>-1.6358405771021967E-4</v>
      </c>
      <c r="AH423" s="2">
        <f t="shared" ca="1" si="227"/>
        <v>-1.614029402377854E-3</v>
      </c>
      <c r="AI423" s="2">
        <f t="shared" ca="1" si="228"/>
        <v>-1.4853760121635622E-5</v>
      </c>
      <c r="AJ423" s="2">
        <f t="shared" ca="1" si="229"/>
        <v>-1.1458026838550334E-3</v>
      </c>
      <c r="AK423" s="2">
        <f t="shared" ca="1" si="230"/>
        <v>-4.9053934342410677E-4</v>
      </c>
      <c r="AL423" s="2">
        <f t="shared" ca="1" si="231"/>
        <v>-5.5074395654535931E-3</v>
      </c>
      <c r="AN423" s="2" t="e">
        <f t="shared" ca="1" si="210"/>
        <v>#N/A</v>
      </c>
      <c r="AO423" s="2" t="e">
        <f t="shared" ca="1" si="211"/>
        <v>#N/A</v>
      </c>
      <c r="AP423" s="2" t="e">
        <f t="shared" ca="1" si="212"/>
        <v>#N/A</v>
      </c>
      <c r="AQ423" s="2" t="e">
        <f t="shared" ca="1" si="213"/>
        <v>#N/A</v>
      </c>
      <c r="AR423" s="2" t="e">
        <f t="shared" ca="1" si="214"/>
        <v>#N/A</v>
      </c>
      <c r="AS423" s="2" t="e">
        <f t="shared" ca="1" si="215"/>
        <v>#N/A</v>
      </c>
      <c r="AT423" s="9" t="e">
        <f t="shared" ca="1" si="216"/>
        <v>#N/A</v>
      </c>
      <c r="AU423" s="9" t="e">
        <f t="shared" ca="1" si="217"/>
        <v>#N/A</v>
      </c>
      <c r="AW423" s="2" t="e">
        <f t="shared" ca="1" si="239"/>
        <v>#N/A</v>
      </c>
      <c r="AX423" s="2" t="e">
        <f t="shared" ca="1" si="240"/>
        <v>#N/A</v>
      </c>
      <c r="AY423" s="2" t="e">
        <f t="shared" ca="1" si="241"/>
        <v>#N/A</v>
      </c>
      <c r="AZ423" s="2" t="e">
        <f t="shared" ca="1" si="242"/>
        <v>#N/A</v>
      </c>
      <c r="BA423" s="2" t="e">
        <f t="shared" ca="1" si="243"/>
        <v>#N/A</v>
      </c>
      <c r="BB423" s="2" t="e">
        <f t="shared" ca="1" si="244"/>
        <v>#N/A</v>
      </c>
      <c r="BC423" s="9" t="e">
        <f t="shared" ca="1" si="245"/>
        <v>#N/A</v>
      </c>
      <c r="BD423" s="9" t="e">
        <f t="shared" ca="1" si="246"/>
        <v>#N/A</v>
      </c>
    </row>
    <row r="424" spans="1:56" ht="15" x14ac:dyDescent="0.25">
      <c r="A424" s="63"/>
      <c r="B424" s="63"/>
      <c r="C424" s="64"/>
      <c r="D424" s="64"/>
      <c r="E424" s="64"/>
      <c r="F424" s="64"/>
      <c r="G424" s="64"/>
      <c r="H424" s="64"/>
      <c r="I424" s="64"/>
      <c r="J424" s="64"/>
      <c r="K424" s="64"/>
      <c r="L424" s="64"/>
      <c r="M424" s="64"/>
      <c r="O424" s="11">
        <f t="shared" ca="1" si="232"/>
        <v>-3.9378682616450625E-4</v>
      </c>
      <c r="P424" s="11">
        <f t="shared" ca="1" si="233"/>
        <v>-1.6358405771021967E-4</v>
      </c>
      <c r="Q424" s="11">
        <f t="shared" ca="1" si="234"/>
        <v>-1.614029402377854E-3</v>
      </c>
      <c r="R424" s="11">
        <f t="shared" ca="1" si="235"/>
        <v>-1.4853760121635622E-5</v>
      </c>
      <c r="S424" s="11">
        <f t="shared" ca="1" si="236"/>
        <v>-1.1458026838550334E-3</v>
      </c>
      <c r="T424" s="11">
        <f t="shared" ca="1" si="237"/>
        <v>-4.9053934342410677E-4</v>
      </c>
      <c r="U424" s="11">
        <f t="shared" ca="1" si="238"/>
        <v>-5.5074395654535931E-3</v>
      </c>
      <c r="V424" s="11"/>
      <c r="W424" s="11">
        <f t="shared" ca="1" si="218"/>
        <v>0</v>
      </c>
      <c r="X424" s="2">
        <f t="shared" ca="1" si="219"/>
        <v>-1.6358405771021967E-4</v>
      </c>
      <c r="Y424" s="2">
        <f t="shared" ca="1" si="220"/>
        <v>-1.614029402377854E-3</v>
      </c>
      <c r="Z424" s="11">
        <f t="shared" ca="1" si="221"/>
        <v>-1.4853760121635622E-5</v>
      </c>
      <c r="AA424" s="2">
        <f t="shared" ca="1" si="222"/>
        <v>-1.1458026838550334E-3</v>
      </c>
      <c r="AB424" s="11">
        <f t="shared" ca="1" si="223"/>
        <v>-4.9053934342410677E-4</v>
      </c>
      <c r="AC424" s="2">
        <f t="shared" ca="1" si="224"/>
        <v>-5.5074395654535931E-3</v>
      </c>
      <c r="AF424" s="11">
        <f t="shared" ca="1" si="225"/>
        <v>0</v>
      </c>
      <c r="AG424" s="2">
        <f t="shared" ca="1" si="226"/>
        <v>-1.6358405771021967E-4</v>
      </c>
      <c r="AH424" s="2">
        <f t="shared" ca="1" si="227"/>
        <v>-1.614029402377854E-3</v>
      </c>
      <c r="AI424" s="2">
        <f t="shared" ca="1" si="228"/>
        <v>-1.4853760121635622E-5</v>
      </c>
      <c r="AJ424" s="2">
        <f t="shared" ca="1" si="229"/>
        <v>-1.1458026838550334E-3</v>
      </c>
      <c r="AK424" s="2">
        <f t="shared" ca="1" si="230"/>
        <v>-4.9053934342410677E-4</v>
      </c>
      <c r="AL424" s="2">
        <f t="shared" ca="1" si="231"/>
        <v>-5.5074395654535931E-3</v>
      </c>
      <c r="AN424" s="2" t="e">
        <f t="shared" ca="1" si="210"/>
        <v>#N/A</v>
      </c>
      <c r="AO424" s="2" t="e">
        <f t="shared" ca="1" si="211"/>
        <v>#N/A</v>
      </c>
      <c r="AP424" s="2" t="e">
        <f t="shared" ca="1" si="212"/>
        <v>#N/A</v>
      </c>
      <c r="AQ424" s="2" t="e">
        <f t="shared" ca="1" si="213"/>
        <v>#N/A</v>
      </c>
      <c r="AR424" s="2" t="e">
        <f t="shared" ca="1" si="214"/>
        <v>#N/A</v>
      </c>
      <c r="AS424" s="2" t="e">
        <f t="shared" ca="1" si="215"/>
        <v>#N/A</v>
      </c>
      <c r="AT424" s="9" t="e">
        <f t="shared" ca="1" si="216"/>
        <v>#N/A</v>
      </c>
      <c r="AU424" s="9" t="e">
        <f t="shared" ca="1" si="217"/>
        <v>#N/A</v>
      </c>
      <c r="AW424" s="2" t="e">
        <f t="shared" ca="1" si="239"/>
        <v>#N/A</v>
      </c>
      <c r="AX424" s="2" t="e">
        <f t="shared" ca="1" si="240"/>
        <v>#N/A</v>
      </c>
      <c r="AY424" s="2" t="e">
        <f t="shared" ca="1" si="241"/>
        <v>#N/A</v>
      </c>
      <c r="AZ424" s="2" t="e">
        <f t="shared" ca="1" si="242"/>
        <v>#N/A</v>
      </c>
      <c r="BA424" s="2" t="e">
        <f t="shared" ca="1" si="243"/>
        <v>#N/A</v>
      </c>
      <c r="BB424" s="2" t="e">
        <f t="shared" ca="1" si="244"/>
        <v>#N/A</v>
      </c>
      <c r="BC424" s="9" t="e">
        <f t="shared" ca="1" si="245"/>
        <v>#N/A</v>
      </c>
      <c r="BD424" s="9" t="e">
        <f t="shared" ca="1" si="246"/>
        <v>#N/A</v>
      </c>
    </row>
    <row r="425" spans="1:56" ht="15" x14ac:dyDescent="0.25">
      <c r="A425" s="63"/>
      <c r="B425" s="63"/>
      <c r="C425" s="64"/>
      <c r="D425" s="64"/>
      <c r="E425" s="64"/>
      <c r="F425" s="64"/>
      <c r="G425" s="64"/>
      <c r="H425" s="64"/>
      <c r="I425" s="64"/>
      <c r="J425" s="64"/>
      <c r="K425" s="64"/>
      <c r="L425" s="64"/>
      <c r="M425" s="64"/>
      <c r="O425" s="11">
        <f t="shared" ca="1" si="232"/>
        <v>-3.9378682616450625E-4</v>
      </c>
      <c r="P425" s="11">
        <f t="shared" ca="1" si="233"/>
        <v>-1.6358405771021967E-4</v>
      </c>
      <c r="Q425" s="11">
        <f t="shared" ca="1" si="234"/>
        <v>-1.614029402377854E-3</v>
      </c>
      <c r="R425" s="11">
        <f t="shared" ca="1" si="235"/>
        <v>-1.4853760121635622E-5</v>
      </c>
      <c r="S425" s="11">
        <f t="shared" ca="1" si="236"/>
        <v>-1.1458026838550334E-3</v>
      </c>
      <c r="T425" s="11">
        <f t="shared" ca="1" si="237"/>
        <v>-4.9053934342410677E-4</v>
      </c>
      <c r="U425" s="11">
        <f t="shared" ca="1" si="238"/>
        <v>-5.5074395654535931E-3</v>
      </c>
      <c r="V425" s="11"/>
      <c r="W425" s="11">
        <f t="shared" ca="1" si="218"/>
        <v>0</v>
      </c>
      <c r="X425" s="2">
        <f t="shared" ca="1" si="219"/>
        <v>-1.6358405771021967E-4</v>
      </c>
      <c r="Y425" s="2">
        <f t="shared" ca="1" si="220"/>
        <v>-1.614029402377854E-3</v>
      </c>
      <c r="Z425" s="11">
        <f t="shared" ca="1" si="221"/>
        <v>-1.4853760121635622E-5</v>
      </c>
      <c r="AA425" s="2">
        <f t="shared" ca="1" si="222"/>
        <v>-1.1458026838550334E-3</v>
      </c>
      <c r="AB425" s="11">
        <f t="shared" ca="1" si="223"/>
        <v>-4.9053934342410677E-4</v>
      </c>
      <c r="AC425" s="2">
        <f t="shared" ca="1" si="224"/>
        <v>-5.5074395654535931E-3</v>
      </c>
      <c r="AF425" s="11">
        <f t="shared" ca="1" si="225"/>
        <v>0</v>
      </c>
      <c r="AG425" s="2">
        <f t="shared" ca="1" si="226"/>
        <v>-1.6358405771021967E-4</v>
      </c>
      <c r="AH425" s="2">
        <f t="shared" ca="1" si="227"/>
        <v>-1.614029402377854E-3</v>
      </c>
      <c r="AI425" s="2">
        <f t="shared" ca="1" si="228"/>
        <v>-1.4853760121635622E-5</v>
      </c>
      <c r="AJ425" s="2">
        <f t="shared" ca="1" si="229"/>
        <v>-1.1458026838550334E-3</v>
      </c>
      <c r="AK425" s="2">
        <f t="shared" ca="1" si="230"/>
        <v>-4.9053934342410677E-4</v>
      </c>
      <c r="AL425" s="2">
        <f t="shared" ca="1" si="231"/>
        <v>-5.5074395654535931E-3</v>
      </c>
      <c r="AN425" s="2" t="e">
        <f t="shared" ca="1" si="210"/>
        <v>#N/A</v>
      </c>
      <c r="AO425" s="2" t="e">
        <f t="shared" ca="1" si="211"/>
        <v>#N/A</v>
      </c>
      <c r="AP425" s="2" t="e">
        <f t="shared" ca="1" si="212"/>
        <v>#N/A</v>
      </c>
      <c r="AQ425" s="2" t="e">
        <f t="shared" ca="1" si="213"/>
        <v>#N/A</v>
      </c>
      <c r="AR425" s="2" t="e">
        <f t="shared" ca="1" si="214"/>
        <v>#N/A</v>
      </c>
      <c r="AS425" s="2" t="e">
        <f t="shared" ca="1" si="215"/>
        <v>#N/A</v>
      </c>
      <c r="AT425" s="9" t="e">
        <f t="shared" ca="1" si="216"/>
        <v>#N/A</v>
      </c>
      <c r="AU425" s="9" t="e">
        <f t="shared" ca="1" si="217"/>
        <v>#N/A</v>
      </c>
      <c r="AW425" s="2" t="e">
        <f t="shared" ca="1" si="239"/>
        <v>#N/A</v>
      </c>
      <c r="AX425" s="2" t="e">
        <f t="shared" ca="1" si="240"/>
        <v>#N/A</v>
      </c>
      <c r="AY425" s="2" t="e">
        <f t="shared" ca="1" si="241"/>
        <v>#N/A</v>
      </c>
      <c r="AZ425" s="2" t="e">
        <f t="shared" ca="1" si="242"/>
        <v>#N/A</v>
      </c>
      <c r="BA425" s="2" t="e">
        <f t="shared" ca="1" si="243"/>
        <v>#N/A</v>
      </c>
      <c r="BB425" s="2" t="e">
        <f t="shared" ca="1" si="244"/>
        <v>#N/A</v>
      </c>
      <c r="BC425" s="9" t="e">
        <f t="shared" ca="1" si="245"/>
        <v>#N/A</v>
      </c>
      <c r="BD425" s="9" t="e">
        <f t="shared" ca="1" si="246"/>
        <v>#N/A</v>
      </c>
    </row>
    <row r="426" spans="1:56" ht="15" x14ac:dyDescent="0.25">
      <c r="A426" s="63"/>
      <c r="B426" s="63"/>
      <c r="C426" s="64"/>
      <c r="D426" s="64"/>
      <c r="E426" s="64"/>
      <c r="F426" s="64"/>
      <c r="G426" s="64"/>
      <c r="H426" s="64"/>
      <c r="I426" s="64"/>
      <c r="J426" s="64"/>
      <c r="K426" s="64"/>
      <c r="L426" s="64"/>
      <c r="M426" s="64"/>
      <c r="O426" s="11">
        <f t="shared" ca="1" si="232"/>
        <v>-3.9378682616450625E-4</v>
      </c>
      <c r="P426" s="11">
        <f t="shared" ca="1" si="233"/>
        <v>-1.6358405771021967E-4</v>
      </c>
      <c r="Q426" s="11">
        <f t="shared" ca="1" si="234"/>
        <v>-1.614029402377854E-3</v>
      </c>
      <c r="R426" s="11">
        <f t="shared" ca="1" si="235"/>
        <v>-1.4853760121635622E-5</v>
      </c>
      <c r="S426" s="11">
        <f t="shared" ca="1" si="236"/>
        <v>-1.1458026838550334E-3</v>
      </c>
      <c r="T426" s="11">
        <f t="shared" ca="1" si="237"/>
        <v>-4.9053934342410677E-4</v>
      </c>
      <c r="U426" s="11">
        <f t="shared" ca="1" si="238"/>
        <v>-5.5074395654535931E-3</v>
      </c>
      <c r="V426" s="11"/>
      <c r="W426" s="11">
        <f t="shared" ca="1" si="218"/>
        <v>0</v>
      </c>
      <c r="X426" s="2">
        <f t="shared" ca="1" si="219"/>
        <v>-1.6358405771021967E-4</v>
      </c>
      <c r="Y426" s="2">
        <f t="shared" ca="1" si="220"/>
        <v>-1.614029402377854E-3</v>
      </c>
      <c r="Z426" s="11">
        <f t="shared" ca="1" si="221"/>
        <v>-1.4853760121635622E-5</v>
      </c>
      <c r="AA426" s="2">
        <f t="shared" ca="1" si="222"/>
        <v>-1.1458026838550334E-3</v>
      </c>
      <c r="AB426" s="11">
        <f t="shared" ca="1" si="223"/>
        <v>-4.9053934342410677E-4</v>
      </c>
      <c r="AC426" s="2">
        <f t="shared" ca="1" si="224"/>
        <v>-5.5074395654535931E-3</v>
      </c>
      <c r="AF426" s="11">
        <f t="shared" ca="1" si="225"/>
        <v>0</v>
      </c>
      <c r="AG426" s="2">
        <f t="shared" ca="1" si="226"/>
        <v>-1.6358405771021967E-4</v>
      </c>
      <c r="AH426" s="2">
        <f t="shared" ca="1" si="227"/>
        <v>-1.614029402377854E-3</v>
      </c>
      <c r="AI426" s="2">
        <f t="shared" ca="1" si="228"/>
        <v>-1.4853760121635622E-5</v>
      </c>
      <c r="AJ426" s="2">
        <f t="shared" ca="1" si="229"/>
        <v>-1.1458026838550334E-3</v>
      </c>
      <c r="AK426" s="2">
        <f t="shared" ca="1" si="230"/>
        <v>-4.9053934342410677E-4</v>
      </c>
      <c r="AL426" s="2">
        <f t="shared" ca="1" si="231"/>
        <v>-5.5074395654535931E-3</v>
      </c>
      <c r="AN426" s="2" t="e">
        <f t="shared" ca="1" si="210"/>
        <v>#N/A</v>
      </c>
      <c r="AO426" s="2" t="e">
        <f t="shared" ca="1" si="211"/>
        <v>#N/A</v>
      </c>
      <c r="AP426" s="2" t="e">
        <f t="shared" ca="1" si="212"/>
        <v>#N/A</v>
      </c>
      <c r="AQ426" s="2" t="e">
        <f t="shared" ca="1" si="213"/>
        <v>#N/A</v>
      </c>
      <c r="AR426" s="2" t="e">
        <f t="shared" ca="1" si="214"/>
        <v>#N/A</v>
      </c>
      <c r="AS426" s="2" t="e">
        <f t="shared" ca="1" si="215"/>
        <v>#N/A</v>
      </c>
      <c r="AT426" s="9" t="e">
        <f t="shared" ca="1" si="216"/>
        <v>#N/A</v>
      </c>
      <c r="AU426" s="9" t="e">
        <f t="shared" ca="1" si="217"/>
        <v>#N/A</v>
      </c>
      <c r="AW426" s="2" t="e">
        <f t="shared" ca="1" si="239"/>
        <v>#N/A</v>
      </c>
      <c r="AX426" s="2" t="e">
        <f t="shared" ca="1" si="240"/>
        <v>#N/A</v>
      </c>
      <c r="AY426" s="2" t="e">
        <f t="shared" ca="1" si="241"/>
        <v>#N/A</v>
      </c>
      <c r="AZ426" s="2" t="e">
        <f t="shared" ca="1" si="242"/>
        <v>#N/A</v>
      </c>
      <c r="BA426" s="2" t="e">
        <f t="shared" ca="1" si="243"/>
        <v>#N/A</v>
      </c>
      <c r="BB426" s="2" t="e">
        <f t="shared" ca="1" si="244"/>
        <v>#N/A</v>
      </c>
      <c r="BC426" s="9" t="e">
        <f t="shared" ca="1" si="245"/>
        <v>#N/A</v>
      </c>
      <c r="BD426" s="9" t="e">
        <f t="shared" ca="1" si="246"/>
        <v>#N/A</v>
      </c>
    </row>
    <row r="427" spans="1:56" ht="15" x14ac:dyDescent="0.25">
      <c r="A427" s="63"/>
      <c r="B427" s="63"/>
      <c r="C427" s="64"/>
      <c r="D427" s="64"/>
      <c r="E427" s="64"/>
      <c r="F427" s="64"/>
      <c r="G427" s="64"/>
      <c r="H427" s="64"/>
      <c r="I427" s="64"/>
      <c r="J427" s="64"/>
      <c r="K427" s="64"/>
      <c r="L427" s="64"/>
      <c r="M427" s="64"/>
      <c r="O427" s="11">
        <f t="shared" ca="1" si="232"/>
        <v>-3.9378682616450625E-4</v>
      </c>
      <c r="P427" s="11">
        <f t="shared" ca="1" si="233"/>
        <v>-1.6358405771021967E-4</v>
      </c>
      <c r="Q427" s="11">
        <f t="shared" ca="1" si="234"/>
        <v>-1.614029402377854E-3</v>
      </c>
      <c r="R427" s="11">
        <f t="shared" ca="1" si="235"/>
        <v>-1.4853760121635622E-5</v>
      </c>
      <c r="S427" s="11">
        <f t="shared" ca="1" si="236"/>
        <v>-1.1458026838550334E-3</v>
      </c>
      <c r="T427" s="11">
        <f t="shared" ca="1" si="237"/>
        <v>-4.9053934342410677E-4</v>
      </c>
      <c r="U427" s="11">
        <f t="shared" ca="1" si="238"/>
        <v>-5.5074395654535931E-3</v>
      </c>
      <c r="V427" s="11"/>
      <c r="W427" s="11">
        <f t="shared" ca="1" si="218"/>
        <v>0</v>
      </c>
      <c r="X427" s="2">
        <f t="shared" ca="1" si="219"/>
        <v>-1.6358405771021967E-4</v>
      </c>
      <c r="Y427" s="2">
        <f t="shared" ca="1" si="220"/>
        <v>-1.614029402377854E-3</v>
      </c>
      <c r="Z427" s="11">
        <f t="shared" ca="1" si="221"/>
        <v>-1.4853760121635622E-5</v>
      </c>
      <c r="AA427" s="2">
        <f t="shared" ca="1" si="222"/>
        <v>-1.1458026838550334E-3</v>
      </c>
      <c r="AB427" s="11">
        <f t="shared" ca="1" si="223"/>
        <v>-4.9053934342410677E-4</v>
      </c>
      <c r="AC427" s="2">
        <f t="shared" ca="1" si="224"/>
        <v>-5.5074395654535931E-3</v>
      </c>
      <c r="AF427" s="11">
        <f t="shared" ca="1" si="225"/>
        <v>0</v>
      </c>
      <c r="AG427" s="2">
        <f t="shared" ca="1" si="226"/>
        <v>-1.6358405771021967E-4</v>
      </c>
      <c r="AH427" s="2">
        <f t="shared" ca="1" si="227"/>
        <v>-1.614029402377854E-3</v>
      </c>
      <c r="AI427" s="2">
        <f t="shared" ca="1" si="228"/>
        <v>-1.4853760121635622E-5</v>
      </c>
      <c r="AJ427" s="2">
        <f t="shared" ca="1" si="229"/>
        <v>-1.1458026838550334E-3</v>
      </c>
      <c r="AK427" s="2">
        <f t="shared" ca="1" si="230"/>
        <v>-4.9053934342410677E-4</v>
      </c>
      <c r="AL427" s="2">
        <f t="shared" ca="1" si="231"/>
        <v>-5.5074395654535931E-3</v>
      </c>
      <c r="AN427" s="2" t="e">
        <f t="shared" ca="1" si="210"/>
        <v>#N/A</v>
      </c>
      <c r="AO427" s="2" t="e">
        <f t="shared" ca="1" si="211"/>
        <v>#N/A</v>
      </c>
      <c r="AP427" s="2" t="e">
        <f t="shared" ca="1" si="212"/>
        <v>#N/A</v>
      </c>
      <c r="AQ427" s="2" t="e">
        <f t="shared" ca="1" si="213"/>
        <v>#N/A</v>
      </c>
      <c r="AR427" s="2" t="e">
        <f t="shared" ca="1" si="214"/>
        <v>#N/A</v>
      </c>
      <c r="AS427" s="2" t="e">
        <f t="shared" ca="1" si="215"/>
        <v>#N/A</v>
      </c>
      <c r="AT427" s="9" t="e">
        <f t="shared" ca="1" si="216"/>
        <v>#N/A</v>
      </c>
      <c r="AU427" s="9" t="e">
        <f t="shared" ca="1" si="217"/>
        <v>#N/A</v>
      </c>
      <c r="AW427" s="2" t="e">
        <f t="shared" ca="1" si="239"/>
        <v>#N/A</v>
      </c>
      <c r="AX427" s="2" t="e">
        <f t="shared" ca="1" si="240"/>
        <v>#N/A</v>
      </c>
      <c r="AY427" s="2" t="e">
        <f t="shared" ca="1" si="241"/>
        <v>#N/A</v>
      </c>
      <c r="AZ427" s="2" t="e">
        <f t="shared" ca="1" si="242"/>
        <v>#N/A</v>
      </c>
      <c r="BA427" s="2" t="e">
        <f t="shared" ca="1" si="243"/>
        <v>#N/A</v>
      </c>
      <c r="BB427" s="2" t="e">
        <f t="shared" ca="1" si="244"/>
        <v>#N/A</v>
      </c>
      <c r="BC427" s="9" t="e">
        <f t="shared" ca="1" si="245"/>
        <v>#N/A</v>
      </c>
      <c r="BD427" s="9" t="e">
        <f t="shared" ca="1" si="246"/>
        <v>#N/A</v>
      </c>
    </row>
    <row r="428" spans="1:56" ht="15" x14ac:dyDescent="0.25">
      <c r="A428" s="63"/>
      <c r="B428" s="63"/>
      <c r="C428" s="64"/>
      <c r="D428" s="64"/>
      <c r="E428" s="64"/>
      <c r="F428" s="64"/>
      <c r="G428" s="64"/>
      <c r="H428" s="64"/>
      <c r="I428" s="64"/>
      <c r="J428" s="64"/>
      <c r="K428" s="64"/>
      <c r="L428" s="64"/>
      <c r="M428" s="64"/>
      <c r="O428" s="11">
        <f t="shared" ca="1" si="232"/>
        <v>-3.9378682616450625E-4</v>
      </c>
      <c r="P428" s="11">
        <f t="shared" ca="1" si="233"/>
        <v>-1.6358405771021967E-4</v>
      </c>
      <c r="Q428" s="11">
        <f t="shared" ca="1" si="234"/>
        <v>-1.614029402377854E-3</v>
      </c>
      <c r="R428" s="11">
        <f t="shared" ca="1" si="235"/>
        <v>-1.4853760121635622E-5</v>
      </c>
      <c r="S428" s="11">
        <f t="shared" ca="1" si="236"/>
        <v>-1.1458026838550334E-3</v>
      </c>
      <c r="T428" s="11">
        <f t="shared" ca="1" si="237"/>
        <v>-4.9053934342410677E-4</v>
      </c>
      <c r="U428" s="11">
        <f t="shared" ca="1" si="238"/>
        <v>-5.5074395654535931E-3</v>
      </c>
      <c r="V428" s="11"/>
      <c r="W428" s="11">
        <f t="shared" ca="1" si="218"/>
        <v>0</v>
      </c>
      <c r="X428" s="2">
        <f t="shared" ca="1" si="219"/>
        <v>-1.6358405771021967E-4</v>
      </c>
      <c r="Y428" s="2">
        <f t="shared" ca="1" si="220"/>
        <v>-1.614029402377854E-3</v>
      </c>
      <c r="Z428" s="11">
        <f t="shared" ca="1" si="221"/>
        <v>-1.4853760121635622E-5</v>
      </c>
      <c r="AA428" s="2">
        <f t="shared" ca="1" si="222"/>
        <v>-1.1458026838550334E-3</v>
      </c>
      <c r="AB428" s="11">
        <f t="shared" ca="1" si="223"/>
        <v>-4.9053934342410677E-4</v>
      </c>
      <c r="AC428" s="2">
        <f t="shared" ca="1" si="224"/>
        <v>-5.5074395654535931E-3</v>
      </c>
      <c r="AF428" s="11">
        <f t="shared" ca="1" si="225"/>
        <v>0</v>
      </c>
      <c r="AG428" s="2">
        <f t="shared" ca="1" si="226"/>
        <v>-1.6358405771021967E-4</v>
      </c>
      <c r="AH428" s="2">
        <f t="shared" ca="1" si="227"/>
        <v>-1.614029402377854E-3</v>
      </c>
      <c r="AI428" s="2">
        <f t="shared" ca="1" si="228"/>
        <v>-1.4853760121635622E-5</v>
      </c>
      <c r="AJ428" s="2">
        <f t="shared" ca="1" si="229"/>
        <v>-1.1458026838550334E-3</v>
      </c>
      <c r="AK428" s="2">
        <f t="shared" ca="1" si="230"/>
        <v>-4.9053934342410677E-4</v>
      </c>
      <c r="AL428" s="2">
        <f t="shared" ca="1" si="231"/>
        <v>-5.5074395654535931E-3</v>
      </c>
      <c r="AN428" s="2" t="e">
        <f t="shared" ca="1" si="210"/>
        <v>#N/A</v>
      </c>
      <c r="AO428" s="2" t="e">
        <f t="shared" ca="1" si="211"/>
        <v>#N/A</v>
      </c>
      <c r="AP428" s="2" t="e">
        <f t="shared" ca="1" si="212"/>
        <v>#N/A</v>
      </c>
      <c r="AQ428" s="2" t="e">
        <f t="shared" ca="1" si="213"/>
        <v>#N/A</v>
      </c>
      <c r="AR428" s="2" t="e">
        <f t="shared" ca="1" si="214"/>
        <v>#N/A</v>
      </c>
      <c r="AS428" s="2" t="e">
        <f t="shared" ca="1" si="215"/>
        <v>#N/A</v>
      </c>
      <c r="AT428" s="9" t="e">
        <f t="shared" ca="1" si="216"/>
        <v>#N/A</v>
      </c>
      <c r="AU428" s="9" t="e">
        <f t="shared" ca="1" si="217"/>
        <v>#N/A</v>
      </c>
      <c r="AW428" s="2" t="e">
        <f t="shared" ca="1" si="239"/>
        <v>#N/A</v>
      </c>
      <c r="AX428" s="2" t="e">
        <f t="shared" ca="1" si="240"/>
        <v>#N/A</v>
      </c>
      <c r="AY428" s="2" t="e">
        <f t="shared" ca="1" si="241"/>
        <v>#N/A</v>
      </c>
      <c r="AZ428" s="2" t="e">
        <f t="shared" ca="1" si="242"/>
        <v>#N/A</v>
      </c>
      <c r="BA428" s="2" t="e">
        <f t="shared" ca="1" si="243"/>
        <v>#N/A</v>
      </c>
      <c r="BB428" s="2" t="e">
        <f t="shared" ca="1" si="244"/>
        <v>#N/A</v>
      </c>
      <c r="BC428" s="9" t="e">
        <f t="shared" ca="1" si="245"/>
        <v>#N/A</v>
      </c>
      <c r="BD428" s="9" t="e">
        <f t="shared" ca="1" si="246"/>
        <v>#N/A</v>
      </c>
    </row>
    <row r="429" spans="1:56" ht="15" x14ac:dyDescent="0.25">
      <c r="A429" s="63"/>
      <c r="B429" s="63"/>
      <c r="C429" s="64"/>
      <c r="D429" s="64"/>
      <c r="E429" s="64"/>
      <c r="F429" s="64"/>
      <c r="G429" s="64"/>
      <c r="H429" s="64"/>
      <c r="I429" s="64"/>
      <c r="J429" s="64"/>
      <c r="K429" s="64"/>
      <c r="L429" s="64"/>
      <c r="M429" s="64"/>
      <c r="O429" s="11">
        <f t="shared" ca="1" si="232"/>
        <v>-3.9378682616450625E-4</v>
      </c>
      <c r="P429" s="11">
        <f t="shared" ca="1" si="233"/>
        <v>-1.6358405771021967E-4</v>
      </c>
      <c r="Q429" s="11">
        <f t="shared" ca="1" si="234"/>
        <v>-1.614029402377854E-3</v>
      </c>
      <c r="R429" s="11">
        <f t="shared" ca="1" si="235"/>
        <v>-1.4853760121635622E-5</v>
      </c>
      <c r="S429" s="11">
        <f t="shared" ca="1" si="236"/>
        <v>-1.1458026838550334E-3</v>
      </c>
      <c r="T429" s="11">
        <f t="shared" ca="1" si="237"/>
        <v>-4.9053934342410677E-4</v>
      </c>
      <c r="U429" s="11">
        <f t="shared" ca="1" si="238"/>
        <v>-5.5074395654535931E-3</v>
      </c>
      <c r="V429" s="11"/>
      <c r="W429" s="11">
        <f t="shared" ca="1" si="218"/>
        <v>0</v>
      </c>
      <c r="X429" s="2">
        <f t="shared" ca="1" si="219"/>
        <v>-1.6358405771021967E-4</v>
      </c>
      <c r="Y429" s="2">
        <f t="shared" ca="1" si="220"/>
        <v>-1.614029402377854E-3</v>
      </c>
      <c r="Z429" s="11">
        <f t="shared" ca="1" si="221"/>
        <v>-1.4853760121635622E-5</v>
      </c>
      <c r="AA429" s="2">
        <f t="shared" ca="1" si="222"/>
        <v>-1.1458026838550334E-3</v>
      </c>
      <c r="AB429" s="11">
        <f t="shared" ca="1" si="223"/>
        <v>-4.9053934342410677E-4</v>
      </c>
      <c r="AC429" s="2">
        <f t="shared" ca="1" si="224"/>
        <v>-5.5074395654535931E-3</v>
      </c>
      <c r="AF429" s="11">
        <f t="shared" ca="1" si="225"/>
        <v>0</v>
      </c>
      <c r="AG429" s="2">
        <f t="shared" ca="1" si="226"/>
        <v>-1.6358405771021967E-4</v>
      </c>
      <c r="AH429" s="2">
        <f t="shared" ca="1" si="227"/>
        <v>-1.614029402377854E-3</v>
      </c>
      <c r="AI429" s="2">
        <f t="shared" ca="1" si="228"/>
        <v>-1.4853760121635622E-5</v>
      </c>
      <c r="AJ429" s="2">
        <f t="shared" ca="1" si="229"/>
        <v>-1.1458026838550334E-3</v>
      </c>
      <c r="AK429" s="2">
        <f t="shared" ca="1" si="230"/>
        <v>-4.9053934342410677E-4</v>
      </c>
      <c r="AL429" s="2">
        <f t="shared" ca="1" si="231"/>
        <v>-5.5074395654535931E-3</v>
      </c>
      <c r="AN429" s="2" t="e">
        <f t="shared" ca="1" si="210"/>
        <v>#N/A</v>
      </c>
      <c r="AO429" s="2" t="e">
        <f t="shared" ca="1" si="211"/>
        <v>#N/A</v>
      </c>
      <c r="AP429" s="2" t="e">
        <f t="shared" ca="1" si="212"/>
        <v>#N/A</v>
      </c>
      <c r="AQ429" s="2" t="e">
        <f t="shared" ca="1" si="213"/>
        <v>#N/A</v>
      </c>
      <c r="AR429" s="2" t="e">
        <f t="shared" ca="1" si="214"/>
        <v>#N/A</v>
      </c>
      <c r="AS429" s="2" t="e">
        <f t="shared" ca="1" si="215"/>
        <v>#N/A</v>
      </c>
      <c r="AT429" s="9" t="e">
        <f t="shared" ca="1" si="216"/>
        <v>#N/A</v>
      </c>
      <c r="AU429" s="9" t="e">
        <f t="shared" ca="1" si="217"/>
        <v>#N/A</v>
      </c>
      <c r="AW429" s="2" t="e">
        <f t="shared" ca="1" si="239"/>
        <v>#N/A</v>
      </c>
      <c r="AX429" s="2" t="e">
        <f t="shared" ca="1" si="240"/>
        <v>#N/A</v>
      </c>
      <c r="AY429" s="2" t="e">
        <f t="shared" ca="1" si="241"/>
        <v>#N/A</v>
      </c>
      <c r="AZ429" s="2" t="e">
        <f t="shared" ca="1" si="242"/>
        <v>#N/A</v>
      </c>
      <c r="BA429" s="2" t="e">
        <f t="shared" ca="1" si="243"/>
        <v>#N/A</v>
      </c>
      <c r="BB429" s="2" t="e">
        <f t="shared" ca="1" si="244"/>
        <v>#N/A</v>
      </c>
      <c r="BC429" s="9" t="e">
        <f t="shared" ca="1" si="245"/>
        <v>#N/A</v>
      </c>
      <c r="BD429" s="9" t="e">
        <f t="shared" ca="1" si="246"/>
        <v>#N/A</v>
      </c>
    </row>
    <row r="430" spans="1:56" ht="15" x14ac:dyDescent="0.25">
      <c r="A430" s="63"/>
      <c r="B430" s="63"/>
      <c r="C430" s="64"/>
      <c r="D430" s="64"/>
      <c r="E430" s="64"/>
      <c r="F430" s="64"/>
      <c r="G430" s="64"/>
      <c r="H430" s="64"/>
      <c r="I430" s="64"/>
      <c r="J430" s="64"/>
      <c r="K430" s="64"/>
      <c r="L430" s="64"/>
      <c r="M430" s="64"/>
      <c r="O430" s="11">
        <f t="shared" ca="1" si="232"/>
        <v>-3.9378682616450625E-4</v>
      </c>
      <c r="P430" s="11">
        <f t="shared" ca="1" si="233"/>
        <v>-1.6358405771021967E-4</v>
      </c>
      <c r="Q430" s="11">
        <f t="shared" ca="1" si="234"/>
        <v>-1.614029402377854E-3</v>
      </c>
      <c r="R430" s="11">
        <f t="shared" ca="1" si="235"/>
        <v>-1.4853760121635622E-5</v>
      </c>
      <c r="S430" s="11">
        <f t="shared" ca="1" si="236"/>
        <v>-1.1458026838550334E-3</v>
      </c>
      <c r="T430" s="11">
        <f t="shared" ca="1" si="237"/>
        <v>-4.9053934342410677E-4</v>
      </c>
      <c r="U430" s="11">
        <f t="shared" ca="1" si="238"/>
        <v>-5.5074395654535931E-3</v>
      </c>
      <c r="V430" s="11"/>
      <c r="W430" s="11">
        <f t="shared" ca="1" si="218"/>
        <v>0</v>
      </c>
      <c r="X430" s="2">
        <f t="shared" ca="1" si="219"/>
        <v>-1.6358405771021967E-4</v>
      </c>
      <c r="Y430" s="2">
        <f t="shared" ca="1" si="220"/>
        <v>-1.614029402377854E-3</v>
      </c>
      <c r="Z430" s="11">
        <f t="shared" ca="1" si="221"/>
        <v>-1.4853760121635622E-5</v>
      </c>
      <c r="AA430" s="2">
        <f t="shared" ca="1" si="222"/>
        <v>-1.1458026838550334E-3</v>
      </c>
      <c r="AB430" s="11">
        <f t="shared" ca="1" si="223"/>
        <v>-4.9053934342410677E-4</v>
      </c>
      <c r="AC430" s="2">
        <f t="shared" ca="1" si="224"/>
        <v>-5.5074395654535931E-3</v>
      </c>
      <c r="AF430" s="11">
        <f t="shared" ca="1" si="225"/>
        <v>0</v>
      </c>
      <c r="AG430" s="2">
        <f t="shared" ca="1" si="226"/>
        <v>-1.6358405771021967E-4</v>
      </c>
      <c r="AH430" s="2">
        <f t="shared" ca="1" si="227"/>
        <v>-1.614029402377854E-3</v>
      </c>
      <c r="AI430" s="2">
        <f t="shared" ca="1" si="228"/>
        <v>-1.4853760121635622E-5</v>
      </c>
      <c r="AJ430" s="2">
        <f t="shared" ca="1" si="229"/>
        <v>-1.1458026838550334E-3</v>
      </c>
      <c r="AK430" s="2">
        <f t="shared" ca="1" si="230"/>
        <v>-4.9053934342410677E-4</v>
      </c>
      <c r="AL430" s="2">
        <f t="shared" ca="1" si="231"/>
        <v>-5.5074395654535931E-3</v>
      </c>
      <c r="AN430" s="2" t="e">
        <f t="shared" ca="1" si="210"/>
        <v>#N/A</v>
      </c>
      <c r="AO430" s="2" t="e">
        <f t="shared" ca="1" si="211"/>
        <v>#N/A</v>
      </c>
      <c r="AP430" s="2" t="e">
        <f t="shared" ca="1" si="212"/>
        <v>#N/A</v>
      </c>
      <c r="AQ430" s="2" t="e">
        <f t="shared" ca="1" si="213"/>
        <v>#N/A</v>
      </c>
      <c r="AR430" s="2" t="e">
        <f t="shared" ca="1" si="214"/>
        <v>#N/A</v>
      </c>
      <c r="AS430" s="2" t="e">
        <f t="shared" ca="1" si="215"/>
        <v>#N/A</v>
      </c>
      <c r="AT430" s="9" t="e">
        <f t="shared" ca="1" si="216"/>
        <v>#N/A</v>
      </c>
      <c r="AU430" s="9" t="e">
        <f t="shared" ca="1" si="217"/>
        <v>#N/A</v>
      </c>
      <c r="AW430" s="2" t="e">
        <f t="shared" ca="1" si="239"/>
        <v>#N/A</v>
      </c>
      <c r="AX430" s="2" t="e">
        <f t="shared" ca="1" si="240"/>
        <v>#N/A</v>
      </c>
      <c r="AY430" s="2" t="e">
        <f t="shared" ca="1" si="241"/>
        <v>#N/A</v>
      </c>
      <c r="AZ430" s="2" t="e">
        <f t="shared" ca="1" si="242"/>
        <v>#N/A</v>
      </c>
      <c r="BA430" s="2" t="e">
        <f t="shared" ca="1" si="243"/>
        <v>#N/A</v>
      </c>
      <c r="BB430" s="2" t="e">
        <f t="shared" ca="1" si="244"/>
        <v>#N/A</v>
      </c>
      <c r="BC430" s="9" t="e">
        <f t="shared" ca="1" si="245"/>
        <v>#N/A</v>
      </c>
      <c r="BD430" s="9" t="e">
        <f t="shared" ca="1" si="246"/>
        <v>#N/A</v>
      </c>
    </row>
    <row r="431" spans="1:56" ht="15" x14ac:dyDescent="0.25">
      <c r="A431" s="63"/>
      <c r="B431" s="63"/>
      <c r="C431" s="64"/>
      <c r="D431" s="64"/>
      <c r="E431" s="64"/>
      <c r="F431" s="64"/>
      <c r="G431" s="64"/>
      <c r="H431" s="64"/>
      <c r="I431" s="64"/>
      <c r="J431" s="64"/>
      <c r="K431" s="64"/>
      <c r="L431" s="64"/>
      <c r="M431" s="64"/>
      <c r="O431" s="11">
        <f t="shared" ca="1" si="232"/>
        <v>-3.9378682616450625E-4</v>
      </c>
      <c r="P431" s="11">
        <f t="shared" ca="1" si="233"/>
        <v>-1.6358405771021967E-4</v>
      </c>
      <c r="Q431" s="11">
        <f t="shared" ca="1" si="234"/>
        <v>-1.614029402377854E-3</v>
      </c>
      <c r="R431" s="11">
        <f t="shared" ca="1" si="235"/>
        <v>-1.4853760121635622E-5</v>
      </c>
      <c r="S431" s="11">
        <f t="shared" ca="1" si="236"/>
        <v>-1.1458026838550334E-3</v>
      </c>
      <c r="T431" s="11">
        <f t="shared" ca="1" si="237"/>
        <v>-4.9053934342410677E-4</v>
      </c>
      <c r="U431" s="11">
        <f t="shared" ca="1" si="238"/>
        <v>-5.5074395654535931E-3</v>
      </c>
      <c r="V431" s="11"/>
      <c r="W431" s="11">
        <f t="shared" ca="1" si="218"/>
        <v>0</v>
      </c>
      <c r="X431" s="2">
        <f t="shared" ca="1" si="219"/>
        <v>-1.6358405771021967E-4</v>
      </c>
      <c r="Y431" s="2">
        <f t="shared" ca="1" si="220"/>
        <v>-1.614029402377854E-3</v>
      </c>
      <c r="Z431" s="11">
        <f t="shared" ca="1" si="221"/>
        <v>-1.4853760121635622E-5</v>
      </c>
      <c r="AA431" s="2">
        <f t="shared" ca="1" si="222"/>
        <v>-1.1458026838550334E-3</v>
      </c>
      <c r="AB431" s="11">
        <f t="shared" ca="1" si="223"/>
        <v>-4.9053934342410677E-4</v>
      </c>
      <c r="AC431" s="2">
        <f t="shared" ca="1" si="224"/>
        <v>-5.5074395654535931E-3</v>
      </c>
      <c r="AF431" s="11">
        <f t="shared" ca="1" si="225"/>
        <v>0</v>
      </c>
      <c r="AG431" s="2">
        <f t="shared" ca="1" si="226"/>
        <v>-1.6358405771021967E-4</v>
      </c>
      <c r="AH431" s="2">
        <f t="shared" ca="1" si="227"/>
        <v>-1.614029402377854E-3</v>
      </c>
      <c r="AI431" s="2">
        <f t="shared" ca="1" si="228"/>
        <v>-1.4853760121635622E-5</v>
      </c>
      <c r="AJ431" s="2">
        <f t="shared" ca="1" si="229"/>
        <v>-1.1458026838550334E-3</v>
      </c>
      <c r="AK431" s="2">
        <f t="shared" ca="1" si="230"/>
        <v>-4.9053934342410677E-4</v>
      </c>
      <c r="AL431" s="2">
        <f t="shared" ca="1" si="231"/>
        <v>-5.5074395654535931E-3</v>
      </c>
      <c r="AN431" s="2" t="e">
        <f t="shared" ca="1" si="210"/>
        <v>#N/A</v>
      </c>
      <c r="AO431" s="2" t="e">
        <f t="shared" ca="1" si="211"/>
        <v>#N/A</v>
      </c>
      <c r="AP431" s="2" t="e">
        <f t="shared" ca="1" si="212"/>
        <v>#N/A</v>
      </c>
      <c r="AQ431" s="2" t="e">
        <f t="shared" ca="1" si="213"/>
        <v>#N/A</v>
      </c>
      <c r="AR431" s="2" t="e">
        <f t="shared" ca="1" si="214"/>
        <v>#N/A</v>
      </c>
      <c r="AS431" s="2" t="e">
        <f t="shared" ca="1" si="215"/>
        <v>#N/A</v>
      </c>
      <c r="AT431" s="9" t="e">
        <f t="shared" ca="1" si="216"/>
        <v>#N/A</v>
      </c>
      <c r="AU431" s="9" t="e">
        <f t="shared" ca="1" si="217"/>
        <v>#N/A</v>
      </c>
      <c r="AW431" s="2" t="e">
        <f t="shared" ca="1" si="239"/>
        <v>#N/A</v>
      </c>
      <c r="AX431" s="2" t="e">
        <f t="shared" ca="1" si="240"/>
        <v>#N/A</v>
      </c>
      <c r="AY431" s="2" t="e">
        <f t="shared" ca="1" si="241"/>
        <v>#N/A</v>
      </c>
      <c r="AZ431" s="2" t="e">
        <f t="shared" ca="1" si="242"/>
        <v>#N/A</v>
      </c>
      <c r="BA431" s="2" t="e">
        <f t="shared" ca="1" si="243"/>
        <v>#N/A</v>
      </c>
      <c r="BB431" s="2" t="e">
        <f t="shared" ca="1" si="244"/>
        <v>#N/A</v>
      </c>
      <c r="BC431" s="9" t="e">
        <f t="shared" ca="1" si="245"/>
        <v>#N/A</v>
      </c>
      <c r="BD431" s="9" t="e">
        <f t="shared" ca="1" si="246"/>
        <v>#N/A</v>
      </c>
    </row>
    <row r="432" spans="1:56" ht="15" x14ac:dyDescent="0.25">
      <c r="A432" s="63"/>
      <c r="B432" s="63"/>
      <c r="C432" s="64"/>
      <c r="D432" s="64"/>
      <c r="E432" s="64"/>
      <c r="F432" s="64"/>
      <c r="G432" s="64"/>
      <c r="H432" s="64"/>
      <c r="I432" s="64"/>
      <c r="J432" s="64"/>
      <c r="K432" s="64"/>
      <c r="L432" s="64"/>
      <c r="M432" s="64"/>
      <c r="O432" s="11">
        <f t="shared" ca="1" si="232"/>
        <v>-3.9378682616450625E-4</v>
      </c>
      <c r="P432" s="11">
        <f t="shared" ca="1" si="233"/>
        <v>-1.6358405771021967E-4</v>
      </c>
      <c r="Q432" s="11">
        <f t="shared" ca="1" si="234"/>
        <v>-1.614029402377854E-3</v>
      </c>
      <c r="R432" s="11">
        <f t="shared" ca="1" si="235"/>
        <v>-1.4853760121635622E-5</v>
      </c>
      <c r="S432" s="11">
        <f t="shared" ca="1" si="236"/>
        <v>-1.1458026838550334E-3</v>
      </c>
      <c r="T432" s="11">
        <f t="shared" ca="1" si="237"/>
        <v>-4.9053934342410677E-4</v>
      </c>
      <c r="U432" s="11">
        <f t="shared" ca="1" si="238"/>
        <v>-5.5074395654535931E-3</v>
      </c>
      <c r="V432" s="11"/>
      <c r="W432" s="11">
        <f t="shared" ca="1" si="218"/>
        <v>0</v>
      </c>
      <c r="X432" s="2">
        <f t="shared" ca="1" si="219"/>
        <v>-1.6358405771021967E-4</v>
      </c>
      <c r="Y432" s="2">
        <f t="shared" ca="1" si="220"/>
        <v>-1.614029402377854E-3</v>
      </c>
      <c r="Z432" s="11">
        <f t="shared" ca="1" si="221"/>
        <v>-1.4853760121635622E-5</v>
      </c>
      <c r="AA432" s="2">
        <f t="shared" ca="1" si="222"/>
        <v>-1.1458026838550334E-3</v>
      </c>
      <c r="AB432" s="11">
        <f t="shared" ca="1" si="223"/>
        <v>-4.9053934342410677E-4</v>
      </c>
      <c r="AC432" s="2">
        <f t="shared" ca="1" si="224"/>
        <v>-5.5074395654535931E-3</v>
      </c>
      <c r="AF432" s="11">
        <f t="shared" ca="1" si="225"/>
        <v>0</v>
      </c>
      <c r="AG432" s="2">
        <f t="shared" ca="1" si="226"/>
        <v>-1.6358405771021967E-4</v>
      </c>
      <c r="AH432" s="2">
        <f t="shared" ca="1" si="227"/>
        <v>-1.614029402377854E-3</v>
      </c>
      <c r="AI432" s="2">
        <f t="shared" ca="1" si="228"/>
        <v>-1.4853760121635622E-5</v>
      </c>
      <c r="AJ432" s="2">
        <f t="shared" ca="1" si="229"/>
        <v>-1.1458026838550334E-3</v>
      </c>
      <c r="AK432" s="2">
        <f t="shared" ca="1" si="230"/>
        <v>-4.9053934342410677E-4</v>
      </c>
      <c r="AL432" s="2">
        <f t="shared" ca="1" si="231"/>
        <v>-5.5074395654535931E-3</v>
      </c>
      <c r="AN432" s="2" t="e">
        <f t="shared" ca="1" si="210"/>
        <v>#N/A</v>
      </c>
      <c r="AO432" s="2" t="e">
        <f t="shared" ca="1" si="211"/>
        <v>#N/A</v>
      </c>
      <c r="AP432" s="2" t="e">
        <f t="shared" ca="1" si="212"/>
        <v>#N/A</v>
      </c>
      <c r="AQ432" s="2" t="e">
        <f t="shared" ca="1" si="213"/>
        <v>#N/A</v>
      </c>
      <c r="AR432" s="2" t="e">
        <f t="shared" ca="1" si="214"/>
        <v>#N/A</v>
      </c>
      <c r="AS432" s="2" t="e">
        <f t="shared" ca="1" si="215"/>
        <v>#N/A</v>
      </c>
      <c r="AT432" s="9" t="e">
        <f t="shared" ca="1" si="216"/>
        <v>#N/A</v>
      </c>
      <c r="AU432" s="9" t="e">
        <f t="shared" ca="1" si="217"/>
        <v>#N/A</v>
      </c>
      <c r="AW432" s="2" t="e">
        <f t="shared" ca="1" si="239"/>
        <v>#N/A</v>
      </c>
      <c r="AX432" s="2" t="e">
        <f t="shared" ca="1" si="240"/>
        <v>#N/A</v>
      </c>
      <c r="AY432" s="2" t="e">
        <f t="shared" ca="1" si="241"/>
        <v>#N/A</v>
      </c>
      <c r="AZ432" s="2" t="e">
        <f t="shared" ca="1" si="242"/>
        <v>#N/A</v>
      </c>
      <c r="BA432" s="2" t="e">
        <f t="shared" ca="1" si="243"/>
        <v>#N/A</v>
      </c>
      <c r="BB432" s="2" t="e">
        <f t="shared" ca="1" si="244"/>
        <v>#N/A</v>
      </c>
      <c r="BC432" s="9" t="e">
        <f t="shared" ca="1" si="245"/>
        <v>#N/A</v>
      </c>
      <c r="BD432" s="9" t="e">
        <f t="shared" ca="1" si="246"/>
        <v>#N/A</v>
      </c>
    </row>
    <row r="433" spans="1:56" ht="15" x14ac:dyDescent="0.25">
      <c r="A433" s="63"/>
      <c r="B433" s="63"/>
      <c r="C433" s="64"/>
      <c r="D433" s="64"/>
      <c r="E433" s="64"/>
      <c r="F433" s="64"/>
      <c r="G433" s="64"/>
      <c r="H433" s="64"/>
      <c r="I433" s="64"/>
      <c r="J433" s="64"/>
      <c r="K433" s="64"/>
      <c r="L433" s="64"/>
      <c r="M433" s="64"/>
      <c r="O433" s="11">
        <f t="shared" ca="1" si="232"/>
        <v>-3.9378682616450625E-4</v>
      </c>
      <c r="P433" s="11">
        <f t="shared" ca="1" si="233"/>
        <v>-1.6358405771021967E-4</v>
      </c>
      <c r="Q433" s="11">
        <f t="shared" ca="1" si="234"/>
        <v>-1.614029402377854E-3</v>
      </c>
      <c r="R433" s="11">
        <f t="shared" ca="1" si="235"/>
        <v>-1.4853760121635622E-5</v>
      </c>
      <c r="S433" s="11">
        <f t="shared" ca="1" si="236"/>
        <v>-1.1458026838550334E-3</v>
      </c>
      <c r="T433" s="11">
        <f t="shared" ca="1" si="237"/>
        <v>-4.9053934342410677E-4</v>
      </c>
      <c r="U433" s="11">
        <f t="shared" ca="1" si="238"/>
        <v>-5.5074395654535931E-3</v>
      </c>
      <c r="V433" s="11"/>
      <c r="W433" s="11">
        <f t="shared" ca="1" si="218"/>
        <v>0</v>
      </c>
      <c r="X433" s="2">
        <f t="shared" ca="1" si="219"/>
        <v>-1.6358405771021967E-4</v>
      </c>
      <c r="Y433" s="2">
        <f t="shared" ca="1" si="220"/>
        <v>-1.614029402377854E-3</v>
      </c>
      <c r="Z433" s="11">
        <f t="shared" ca="1" si="221"/>
        <v>-1.4853760121635622E-5</v>
      </c>
      <c r="AA433" s="2">
        <f t="shared" ca="1" si="222"/>
        <v>-1.1458026838550334E-3</v>
      </c>
      <c r="AB433" s="11">
        <f t="shared" ca="1" si="223"/>
        <v>-4.9053934342410677E-4</v>
      </c>
      <c r="AC433" s="2">
        <f t="shared" ca="1" si="224"/>
        <v>-5.5074395654535931E-3</v>
      </c>
      <c r="AF433" s="11">
        <f t="shared" ca="1" si="225"/>
        <v>0</v>
      </c>
      <c r="AG433" s="2">
        <f t="shared" ca="1" si="226"/>
        <v>-1.6358405771021967E-4</v>
      </c>
      <c r="AH433" s="2">
        <f t="shared" ca="1" si="227"/>
        <v>-1.614029402377854E-3</v>
      </c>
      <c r="AI433" s="2">
        <f t="shared" ca="1" si="228"/>
        <v>-1.4853760121635622E-5</v>
      </c>
      <c r="AJ433" s="2">
        <f t="shared" ca="1" si="229"/>
        <v>-1.1458026838550334E-3</v>
      </c>
      <c r="AK433" s="2">
        <f t="shared" ca="1" si="230"/>
        <v>-4.9053934342410677E-4</v>
      </c>
      <c r="AL433" s="2">
        <f t="shared" ca="1" si="231"/>
        <v>-5.5074395654535931E-3</v>
      </c>
      <c r="AN433" s="2" t="e">
        <f t="shared" ca="1" si="210"/>
        <v>#N/A</v>
      </c>
      <c r="AO433" s="2" t="e">
        <f t="shared" ca="1" si="211"/>
        <v>#N/A</v>
      </c>
      <c r="AP433" s="2" t="e">
        <f t="shared" ca="1" si="212"/>
        <v>#N/A</v>
      </c>
      <c r="AQ433" s="2" t="e">
        <f t="shared" ca="1" si="213"/>
        <v>#N/A</v>
      </c>
      <c r="AR433" s="2" t="e">
        <f t="shared" ca="1" si="214"/>
        <v>#N/A</v>
      </c>
      <c r="AS433" s="2" t="e">
        <f t="shared" ca="1" si="215"/>
        <v>#N/A</v>
      </c>
      <c r="AT433" s="9" t="e">
        <f t="shared" ca="1" si="216"/>
        <v>#N/A</v>
      </c>
      <c r="AU433" s="9" t="e">
        <f t="shared" ca="1" si="217"/>
        <v>#N/A</v>
      </c>
      <c r="AW433" s="2" t="e">
        <f t="shared" ca="1" si="239"/>
        <v>#N/A</v>
      </c>
      <c r="AX433" s="2" t="e">
        <f t="shared" ca="1" si="240"/>
        <v>#N/A</v>
      </c>
      <c r="AY433" s="2" t="e">
        <f t="shared" ca="1" si="241"/>
        <v>#N/A</v>
      </c>
      <c r="AZ433" s="2" t="e">
        <f t="shared" ca="1" si="242"/>
        <v>#N/A</v>
      </c>
      <c r="BA433" s="2" t="e">
        <f t="shared" ca="1" si="243"/>
        <v>#N/A</v>
      </c>
      <c r="BB433" s="2" t="e">
        <f t="shared" ca="1" si="244"/>
        <v>#N/A</v>
      </c>
      <c r="BC433" s="9" t="e">
        <f t="shared" ca="1" si="245"/>
        <v>#N/A</v>
      </c>
      <c r="BD433" s="9" t="e">
        <f t="shared" ca="1" si="246"/>
        <v>#N/A</v>
      </c>
    </row>
    <row r="434" spans="1:56" ht="15" x14ac:dyDescent="0.25">
      <c r="A434" s="63"/>
      <c r="B434" s="63"/>
      <c r="C434" s="64"/>
      <c r="D434" s="64"/>
      <c r="E434" s="64"/>
      <c r="F434" s="64"/>
      <c r="G434" s="64"/>
      <c r="H434" s="64"/>
      <c r="I434" s="64"/>
      <c r="J434" s="64"/>
      <c r="K434" s="64"/>
      <c r="L434" s="64"/>
      <c r="M434" s="64"/>
      <c r="O434" s="11">
        <f t="shared" ca="1" si="232"/>
        <v>-3.9378682616450625E-4</v>
      </c>
      <c r="P434" s="11">
        <f t="shared" ca="1" si="233"/>
        <v>-1.6358405771021967E-4</v>
      </c>
      <c r="Q434" s="11">
        <f t="shared" ca="1" si="234"/>
        <v>-1.614029402377854E-3</v>
      </c>
      <c r="R434" s="11">
        <f t="shared" ca="1" si="235"/>
        <v>-1.4853760121635622E-5</v>
      </c>
      <c r="S434" s="11">
        <f t="shared" ca="1" si="236"/>
        <v>-1.1458026838550334E-3</v>
      </c>
      <c r="T434" s="11">
        <f t="shared" ca="1" si="237"/>
        <v>-4.9053934342410677E-4</v>
      </c>
      <c r="U434" s="11">
        <f t="shared" ca="1" si="238"/>
        <v>-5.5074395654535931E-3</v>
      </c>
      <c r="V434" s="11"/>
      <c r="W434" s="11">
        <f t="shared" ca="1" si="218"/>
        <v>0</v>
      </c>
      <c r="X434" s="2">
        <f t="shared" ca="1" si="219"/>
        <v>-1.6358405771021967E-4</v>
      </c>
      <c r="Y434" s="2">
        <f t="shared" ca="1" si="220"/>
        <v>-1.614029402377854E-3</v>
      </c>
      <c r="Z434" s="11">
        <f t="shared" ca="1" si="221"/>
        <v>-1.4853760121635622E-5</v>
      </c>
      <c r="AA434" s="2">
        <f t="shared" ca="1" si="222"/>
        <v>-1.1458026838550334E-3</v>
      </c>
      <c r="AB434" s="11">
        <f t="shared" ca="1" si="223"/>
        <v>-4.9053934342410677E-4</v>
      </c>
      <c r="AC434" s="2">
        <f t="shared" ca="1" si="224"/>
        <v>-5.5074395654535931E-3</v>
      </c>
      <c r="AF434" s="11">
        <f t="shared" ca="1" si="225"/>
        <v>0</v>
      </c>
      <c r="AG434" s="2">
        <f t="shared" ca="1" si="226"/>
        <v>-1.6358405771021967E-4</v>
      </c>
      <c r="AH434" s="2">
        <f t="shared" ca="1" si="227"/>
        <v>-1.614029402377854E-3</v>
      </c>
      <c r="AI434" s="2">
        <f t="shared" ca="1" si="228"/>
        <v>-1.4853760121635622E-5</v>
      </c>
      <c r="AJ434" s="2">
        <f t="shared" ca="1" si="229"/>
        <v>-1.1458026838550334E-3</v>
      </c>
      <c r="AK434" s="2">
        <f t="shared" ca="1" si="230"/>
        <v>-4.9053934342410677E-4</v>
      </c>
      <c r="AL434" s="2">
        <f t="shared" ca="1" si="231"/>
        <v>-5.5074395654535931E-3</v>
      </c>
      <c r="AN434" s="2" t="e">
        <f t="shared" ca="1" si="210"/>
        <v>#N/A</v>
      </c>
      <c r="AO434" s="2" t="e">
        <f t="shared" ca="1" si="211"/>
        <v>#N/A</v>
      </c>
      <c r="AP434" s="2" t="e">
        <f t="shared" ca="1" si="212"/>
        <v>#N/A</v>
      </c>
      <c r="AQ434" s="2" t="e">
        <f t="shared" ca="1" si="213"/>
        <v>#N/A</v>
      </c>
      <c r="AR434" s="2" t="e">
        <f t="shared" ca="1" si="214"/>
        <v>#N/A</v>
      </c>
      <c r="AS434" s="2" t="e">
        <f t="shared" ca="1" si="215"/>
        <v>#N/A</v>
      </c>
      <c r="AT434" s="9" t="e">
        <f t="shared" ca="1" si="216"/>
        <v>#N/A</v>
      </c>
      <c r="AU434" s="9" t="e">
        <f t="shared" ca="1" si="217"/>
        <v>#N/A</v>
      </c>
      <c r="AW434" s="2" t="e">
        <f t="shared" ca="1" si="239"/>
        <v>#N/A</v>
      </c>
      <c r="AX434" s="2" t="e">
        <f t="shared" ca="1" si="240"/>
        <v>#N/A</v>
      </c>
      <c r="AY434" s="2" t="e">
        <f t="shared" ca="1" si="241"/>
        <v>#N/A</v>
      </c>
      <c r="AZ434" s="2" t="e">
        <f t="shared" ca="1" si="242"/>
        <v>#N/A</v>
      </c>
      <c r="BA434" s="2" t="e">
        <f t="shared" ca="1" si="243"/>
        <v>#N/A</v>
      </c>
      <c r="BB434" s="2" t="e">
        <f t="shared" ca="1" si="244"/>
        <v>#N/A</v>
      </c>
      <c r="BC434" s="9" t="e">
        <f t="shared" ca="1" si="245"/>
        <v>#N/A</v>
      </c>
      <c r="BD434" s="9" t="e">
        <f t="shared" ca="1" si="246"/>
        <v>#N/A</v>
      </c>
    </row>
    <row r="435" spans="1:56" ht="15" x14ac:dyDescent="0.25">
      <c r="A435" s="63"/>
      <c r="B435" s="63"/>
      <c r="C435" s="64"/>
      <c r="D435" s="64"/>
      <c r="E435" s="64"/>
      <c r="F435" s="64"/>
      <c r="G435" s="64"/>
      <c r="H435" s="64"/>
      <c r="I435" s="64"/>
      <c r="J435" s="64"/>
      <c r="K435" s="64"/>
      <c r="L435" s="64"/>
      <c r="M435" s="64"/>
      <c r="O435" s="11">
        <f t="shared" ca="1" si="232"/>
        <v>-3.9378682616450625E-4</v>
      </c>
      <c r="P435" s="11">
        <f t="shared" ca="1" si="233"/>
        <v>-1.6358405771021967E-4</v>
      </c>
      <c r="Q435" s="11">
        <f t="shared" ca="1" si="234"/>
        <v>-1.614029402377854E-3</v>
      </c>
      <c r="R435" s="11">
        <f t="shared" ca="1" si="235"/>
        <v>-1.4853760121635622E-5</v>
      </c>
      <c r="S435" s="11">
        <f t="shared" ca="1" si="236"/>
        <v>-1.1458026838550334E-3</v>
      </c>
      <c r="T435" s="11">
        <f t="shared" ca="1" si="237"/>
        <v>-4.9053934342410677E-4</v>
      </c>
      <c r="U435" s="11">
        <f t="shared" ca="1" si="238"/>
        <v>-5.5074395654535931E-3</v>
      </c>
      <c r="V435" s="11"/>
      <c r="W435" s="11">
        <f t="shared" ca="1" si="218"/>
        <v>0</v>
      </c>
      <c r="X435" s="2">
        <f t="shared" ca="1" si="219"/>
        <v>-1.6358405771021967E-4</v>
      </c>
      <c r="Y435" s="2">
        <f t="shared" ca="1" si="220"/>
        <v>-1.614029402377854E-3</v>
      </c>
      <c r="Z435" s="11">
        <f t="shared" ca="1" si="221"/>
        <v>-1.4853760121635622E-5</v>
      </c>
      <c r="AA435" s="2">
        <f t="shared" ca="1" si="222"/>
        <v>-1.1458026838550334E-3</v>
      </c>
      <c r="AB435" s="11">
        <f t="shared" ca="1" si="223"/>
        <v>-4.9053934342410677E-4</v>
      </c>
      <c r="AC435" s="2">
        <f t="shared" ca="1" si="224"/>
        <v>-5.5074395654535931E-3</v>
      </c>
      <c r="AF435" s="11">
        <f t="shared" ca="1" si="225"/>
        <v>0</v>
      </c>
      <c r="AG435" s="2">
        <f t="shared" ca="1" si="226"/>
        <v>-1.6358405771021967E-4</v>
      </c>
      <c r="AH435" s="2">
        <f t="shared" ca="1" si="227"/>
        <v>-1.614029402377854E-3</v>
      </c>
      <c r="AI435" s="2">
        <f t="shared" ca="1" si="228"/>
        <v>-1.4853760121635622E-5</v>
      </c>
      <c r="AJ435" s="2">
        <f t="shared" ca="1" si="229"/>
        <v>-1.1458026838550334E-3</v>
      </c>
      <c r="AK435" s="2">
        <f t="shared" ca="1" si="230"/>
        <v>-4.9053934342410677E-4</v>
      </c>
      <c r="AL435" s="2">
        <f t="shared" ca="1" si="231"/>
        <v>-5.5074395654535931E-3</v>
      </c>
      <c r="AN435" s="2" t="e">
        <f t="shared" ca="1" si="210"/>
        <v>#N/A</v>
      </c>
      <c r="AO435" s="2" t="e">
        <f t="shared" ca="1" si="211"/>
        <v>#N/A</v>
      </c>
      <c r="AP435" s="2" t="e">
        <f t="shared" ca="1" si="212"/>
        <v>#N/A</v>
      </c>
      <c r="AQ435" s="2" t="e">
        <f t="shared" ca="1" si="213"/>
        <v>#N/A</v>
      </c>
      <c r="AR435" s="2" t="e">
        <f t="shared" ca="1" si="214"/>
        <v>#N/A</v>
      </c>
      <c r="AS435" s="2" t="e">
        <f t="shared" ca="1" si="215"/>
        <v>#N/A</v>
      </c>
      <c r="AT435" s="9" t="e">
        <f t="shared" ca="1" si="216"/>
        <v>#N/A</v>
      </c>
      <c r="AU435" s="9" t="e">
        <f t="shared" ca="1" si="217"/>
        <v>#N/A</v>
      </c>
      <c r="AW435" s="2" t="e">
        <f t="shared" ca="1" si="239"/>
        <v>#N/A</v>
      </c>
      <c r="AX435" s="2" t="e">
        <f t="shared" ca="1" si="240"/>
        <v>#N/A</v>
      </c>
      <c r="AY435" s="2" t="e">
        <f t="shared" ca="1" si="241"/>
        <v>#N/A</v>
      </c>
      <c r="AZ435" s="2" t="e">
        <f t="shared" ca="1" si="242"/>
        <v>#N/A</v>
      </c>
      <c r="BA435" s="2" t="e">
        <f t="shared" ca="1" si="243"/>
        <v>#N/A</v>
      </c>
      <c r="BB435" s="2" t="e">
        <f t="shared" ca="1" si="244"/>
        <v>#N/A</v>
      </c>
      <c r="BC435" s="9" t="e">
        <f t="shared" ca="1" si="245"/>
        <v>#N/A</v>
      </c>
      <c r="BD435" s="9" t="e">
        <f t="shared" ca="1" si="246"/>
        <v>#N/A</v>
      </c>
    </row>
    <row r="436" spans="1:56" ht="15" x14ac:dyDescent="0.25">
      <c r="A436" s="63"/>
      <c r="B436" s="63"/>
      <c r="C436" s="64"/>
      <c r="D436" s="64"/>
      <c r="E436" s="64"/>
      <c r="F436" s="64"/>
      <c r="G436" s="64"/>
      <c r="H436" s="64"/>
      <c r="I436" s="64"/>
      <c r="J436" s="64"/>
      <c r="K436" s="64"/>
      <c r="L436" s="64"/>
      <c r="M436" s="64"/>
      <c r="O436" s="11">
        <f t="shared" ca="1" si="232"/>
        <v>-3.9378682616450625E-4</v>
      </c>
      <c r="P436" s="11">
        <f t="shared" ca="1" si="233"/>
        <v>-1.6358405771021967E-4</v>
      </c>
      <c r="Q436" s="11">
        <f t="shared" ca="1" si="234"/>
        <v>-1.614029402377854E-3</v>
      </c>
      <c r="R436" s="11">
        <f t="shared" ca="1" si="235"/>
        <v>-1.4853760121635622E-5</v>
      </c>
      <c r="S436" s="11">
        <f t="shared" ca="1" si="236"/>
        <v>-1.1458026838550334E-3</v>
      </c>
      <c r="T436" s="11">
        <f t="shared" ca="1" si="237"/>
        <v>-4.9053934342410677E-4</v>
      </c>
      <c r="U436" s="11">
        <f t="shared" ca="1" si="238"/>
        <v>-5.5074395654535931E-3</v>
      </c>
      <c r="V436" s="11"/>
      <c r="W436" s="11">
        <f t="shared" ca="1" si="218"/>
        <v>0</v>
      </c>
      <c r="X436" s="2">
        <f t="shared" ca="1" si="219"/>
        <v>-1.6358405771021967E-4</v>
      </c>
      <c r="Y436" s="2">
        <f t="shared" ca="1" si="220"/>
        <v>-1.614029402377854E-3</v>
      </c>
      <c r="Z436" s="11">
        <f t="shared" ca="1" si="221"/>
        <v>-1.4853760121635622E-5</v>
      </c>
      <c r="AA436" s="2">
        <f t="shared" ca="1" si="222"/>
        <v>-1.1458026838550334E-3</v>
      </c>
      <c r="AB436" s="11">
        <f t="shared" ca="1" si="223"/>
        <v>-4.9053934342410677E-4</v>
      </c>
      <c r="AC436" s="2">
        <f t="shared" ca="1" si="224"/>
        <v>-5.5074395654535931E-3</v>
      </c>
      <c r="AF436" s="11">
        <f t="shared" ca="1" si="225"/>
        <v>0</v>
      </c>
      <c r="AG436" s="2">
        <f t="shared" ca="1" si="226"/>
        <v>-1.6358405771021967E-4</v>
      </c>
      <c r="AH436" s="2">
        <f t="shared" ca="1" si="227"/>
        <v>-1.614029402377854E-3</v>
      </c>
      <c r="AI436" s="2">
        <f t="shared" ca="1" si="228"/>
        <v>-1.4853760121635622E-5</v>
      </c>
      <c r="AJ436" s="2">
        <f t="shared" ca="1" si="229"/>
        <v>-1.1458026838550334E-3</v>
      </c>
      <c r="AK436" s="2">
        <f t="shared" ca="1" si="230"/>
        <v>-4.9053934342410677E-4</v>
      </c>
      <c r="AL436" s="2">
        <f t="shared" ca="1" si="231"/>
        <v>-5.5074395654535931E-3</v>
      </c>
      <c r="AN436" s="2" t="e">
        <f t="shared" ca="1" si="210"/>
        <v>#N/A</v>
      </c>
      <c r="AO436" s="2" t="e">
        <f t="shared" ca="1" si="211"/>
        <v>#N/A</v>
      </c>
      <c r="AP436" s="2" t="e">
        <f t="shared" ca="1" si="212"/>
        <v>#N/A</v>
      </c>
      <c r="AQ436" s="2" t="e">
        <f t="shared" ca="1" si="213"/>
        <v>#N/A</v>
      </c>
      <c r="AR436" s="2" t="e">
        <f t="shared" ca="1" si="214"/>
        <v>#N/A</v>
      </c>
      <c r="AS436" s="2" t="e">
        <f t="shared" ca="1" si="215"/>
        <v>#N/A</v>
      </c>
      <c r="AT436" s="9" t="e">
        <f t="shared" ca="1" si="216"/>
        <v>#N/A</v>
      </c>
      <c r="AU436" s="9" t="e">
        <f t="shared" ca="1" si="217"/>
        <v>#N/A</v>
      </c>
      <c r="AW436" s="2" t="e">
        <f t="shared" ca="1" si="239"/>
        <v>#N/A</v>
      </c>
      <c r="AX436" s="2" t="e">
        <f t="shared" ca="1" si="240"/>
        <v>#N/A</v>
      </c>
      <c r="AY436" s="2" t="e">
        <f t="shared" ca="1" si="241"/>
        <v>#N/A</v>
      </c>
      <c r="AZ436" s="2" t="e">
        <f t="shared" ca="1" si="242"/>
        <v>#N/A</v>
      </c>
      <c r="BA436" s="2" t="e">
        <f t="shared" ca="1" si="243"/>
        <v>#N/A</v>
      </c>
      <c r="BB436" s="2" t="e">
        <f t="shared" ca="1" si="244"/>
        <v>#N/A</v>
      </c>
      <c r="BC436" s="9" t="e">
        <f t="shared" ca="1" si="245"/>
        <v>#N/A</v>
      </c>
      <c r="BD436" s="9" t="e">
        <f t="shared" ca="1" si="246"/>
        <v>#N/A</v>
      </c>
    </row>
    <row r="437" spans="1:56" ht="15" x14ac:dyDescent="0.25">
      <c r="A437" s="63"/>
      <c r="B437" s="63"/>
      <c r="C437" s="64"/>
      <c r="D437" s="64"/>
      <c r="E437" s="64"/>
      <c r="F437" s="64"/>
      <c r="G437" s="64"/>
      <c r="H437" s="64"/>
      <c r="I437" s="64"/>
      <c r="J437" s="64"/>
      <c r="K437" s="64"/>
      <c r="L437" s="64"/>
      <c r="M437" s="64"/>
      <c r="O437" s="11">
        <f t="shared" ca="1" si="232"/>
        <v>-3.9378682616450625E-4</v>
      </c>
      <c r="P437" s="11">
        <f t="shared" ca="1" si="233"/>
        <v>-1.6358405771021967E-4</v>
      </c>
      <c r="Q437" s="11">
        <f t="shared" ca="1" si="234"/>
        <v>-1.614029402377854E-3</v>
      </c>
      <c r="R437" s="11">
        <f t="shared" ca="1" si="235"/>
        <v>-1.4853760121635622E-5</v>
      </c>
      <c r="S437" s="11">
        <f t="shared" ca="1" si="236"/>
        <v>-1.1458026838550334E-3</v>
      </c>
      <c r="T437" s="11">
        <f t="shared" ca="1" si="237"/>
        <v>-4.9053934342410677E-4</v>
      </c>
      <c r="U437" s="11">
        <f t="shared" ca="1" si="238"/>
        <v>-5.5074395654535931E-3</v>
      </c>
      <c r="V437" s="11"/>
      <c r="W437" s="11">
        <f t="shared" ca="1" si="218"/>
        <v>0</v>
      </c>
      <c r="X437" s="2">
        <f t="shared" ca="1" si="219"/>
        <v>-1.6358405771021967E-4</v>
      </c>
      <c r="Y437" s="2">
        <f t="shared" ca="1" si="220"/>
        <v>-1.614029402377854E-3</v>
      </c>
      <c r="Z437" s="11">
        <f t="shared" ca="1" si="221"/>
        <v>-1.4853760121635622E-5</v>
      </c>
      <c r="AA437" s="2">
        <f t="shared" ca="1" si="222"/>
        <v>-1.1458026838550334E-3</v>
      </c>
      <c r="AB437" s="11">
        <f t="shared" ca="1" si="223"/>
        <v>-4.9053934342410677E-4</v>
      </c>
      <c r="AC437" s="2">
        <f t="shared" ca="1" si="224"/>
        <v>-5.5074395654535931E-3</v>
      </c>
      <c r="AF437" s="11">
        <f t="shared" ca="1" si="225"/>
        <v>0</v>
      </c>
      <c r="AG437" s="2">
        <f t="shared" ca="1" si="226"/>
        <v>-1.6358405771021967E-4</v>
      </c>
      <c r="AH437" s="2">
        <f t="shared" ca="1" si="227"/>
        <v>-1.614029402377854E-3</v>
      </c>
      <c r="AI437" s="2">
        <f t="shared" ca="1" si="228"/>
        <v>-1.4853760121635622E-5</v>
      </c>
      <c r="AJ437" s="2">
        <f t="shared" ca="1" si="229"/>
        <v>-1.1458026838550334E-3</v>
      </c>
      <c r="AK437" s="2">
        <f t="shared" ca="1" si="230"/>
        <v>-4.9053934342410677E-4</v>
      </c>
      <c r="AL437" s="2">
        <f t="shared" ca="1" si="231"/>
        <v>-5.5074395654535931E-3</v>
      </c>
      <c r="AN437" s="2" t="e">
        <f t="shared" ca="1" si="210"/>
        <v>#N/A</v>
      </c>
      <c r="AO437" s="2" t="e">
        <f t="shared" ca="1" si="211"/>
        <v>#N/A</v>
      </c>
      <c r="AP437" s="2" t="e">
        <f t="shared" ca="1" si="212"/>
        <v>#N/A</v>
      </c>
      <c r="AQ437" s="2" t="e">
        <f t="shared" ca="1" si="213"/>
        <v>#N/A</v>
      </c>
      <c r="AR437" s="2" t="e">
        <f t="shared" ca="1" si="214"/>
        <v>#N/A</v>
      </c>
      <c r="AS437" s="2" t="e">
        <f t="shared" ca="1" si="215"/>
        <v>#N/A</v>
      </c>
      <c r="AT437" s="9" t="e">
        <f t="shared" ca="1" si="216"/>
        <v>#N/A</v>
      </c>
      <c r="AU437" s="9" t="e">
        <f t="shared" ca="1" si="217"/>
        <v>#N/A</v>
      </c>
      <c r="AW437" s="2" t="e">
        <f t="shared" ca="1" si="239"/>
        <v>#N/A</v>
      </c>
      <c r="AX437" s="2" t="e">
        <f t="shared" ca="1" si="240"/>
        <v>#N/A</v>
      </c>
      <c r="AY437" s="2" t="e">
        <f t="shared" ca="1" si="241"/>
        <v>#N/A</v>
      </c>
      <c r="AZ437" s="2" t="e">
        <f t="shared" ca="1" si="242"/>
        <v>#N/A</v>
      </c>
      <c r="BA437" s="2" t="e">
        <f t="shared" ca="1" si="243"/>
        <v>#N/A</v>
      </c>
      <c r="BB437" s="2" t="e">
        <f t="shared" ca="1" si="244"/>
        <v>#N/A</v>
      </c>
      <c r="BC437" s="9" t="e">
        <f t="shared" ca="1" si="245"/>
        <v>#N/A</v>
      </c>
      <c r="BD437" s="9" t="e">
        <f t="shared" ca="1" si="246"/>
        <v>#N/A</v>
      </c>
    </row>
    <row r="438" spans="1:56" ht="15" x14ac:dyDescent="0.25">
      <c r="A438" s="63"/>
      <c r="B438" s="63"/>
      <c r="C438" s="64"/>
      <c r="D438" s="64"/>
      <c r="E438" s="64"/>
      <c r="F438" s="64"/>
      <c r="G438" s="64"/>
      <c r="H438" s="64"/>
      <c r="I438" s="64"/>
      <c r="J438" s="64"/>
      <c r="K438" s="64"/>
      <c r="L438" s="64"/>
      <c r="M438" s="64"/>
      <c r="O438" s="11">
        <f t="shared" ca="1" si="232"/>
        <v>-3.9378682616450625E-4</v>
      </c>
      <c r="P438" s="11">
        <f t="shared" ca="1" si="233"/>
        <v>-1.6358405771021967E-4</v>
      </c>
      <c r="Q438" s="11">
        <f t="shared" ca="1" si="234"/>
        <v>-1.614029402377854E-3</v>
      </c>
      <c r="R438" s="11">
        <f t="shared" ca="1" si="235"/>
        <v>-1.4853760121635622E-5</v>
      </c>
      <c r="S438" s="11">
        <f t="shared" ca="1" si="236"/>
        <v>-1.1458026838550334E-3</v>
      </c>
      <c r="T438" s="11">
        <f t="shared" ca="1" si="237"/>
        <v>-4.9053934342410677E-4</v>
      </c>
      <c r="U438" s="11">
        <f t="shared" ca="1" si="238"/>
        <v>-5.5074395654535931E-3</v>
      </c>
      <c r="V438" s="11"/>
      <c r="W438" s="11">
        <f t="shared" ca="1" si="218"/>
        <v>0</v>
      </c>
      <c r="X438" s="2">
        <f t="shared" ca="1" si="219"/>
        <v>-1.6358405771021967E-4</v>
      </c>
      <c r="Y438" s="2">
        <f t="shared" ca="1" si="220"/>
        <v>-1.614029402377854E-3</v>
      </c>
      <c r="Z438" s="11">
        <f t="shared" ca="1" si="221"/>
        <v>-1.4853760121635622E-5</v>
      </c>
      <c r="AA438" s="2">
        <f t="shared" ca="1" si="222"/>
        <v>-1.1458026838550334E-3</v>
      </c>
      <c r="AB438" s="11">
        <f t="shared" ca="1" si="223"/>
        <v>-4.9053934342410677E-4</v>
      </c>
      <c r="AC438" s="2">
        <f t="shared" ca="1" si="224"/>
        <v>-5.5074395654535931E-3</v>
      </c>
      <c r="AF438" s="11">
        <f t="shared" ca="1" si="225"/>
        <v>0</v>
      </c>
      <c r="AG438" s="2">
        <f t="shared" ca="1" si="226"/>
        <v>-1.6358405771021967E-4</v>
      </c>
      <c r="AH438" s="2">
        <f t="shared" ca="1" si="227"/>
        <v>-1.614029402377854E-3</v>
      </c>
      <c r="AI438" s="2">
        <f t="shared" ca="1" si="228"/>
        <v>-1.4853760121635622E-5</v>
      </c>
      <c r="AJ438" s="2">
        <f t="shared" ca="1" si="229"/>
        <v>-1.1458026838550334E-3</v>
      </c>
      <c r="AK438" s="2">
        <f t="shared" ca="1" si="230"/>
        <v>-4.9053934342410677E-4</v>
      </c>
      <c r="AL438" s="2">
        <f t="shared" ca="1" si="231"/>
        <v>-5.5074395654535931E-3</v>
      </c>
      <c r="AN438" s="2" t="e">
        <f t="shared" ca="1" si="210"/>
        <v>#N/A</v>
      </c>
      <c r="AO438" s="2" t="e">
        <f t="shared" ca="1" si="211"/>
        <v>#N/A</v>
      </c>
      <c r="AP438" s="2" t="e">
        <f t="shared" ca="1" si="212"/>
        <v>#N/A</v>
      </c>
      <c r="AQ438" s="2" t="e">
        <f t="shared" ca="1" si="213"/>
        <v>#N/A</v>
      </c>
      <c r="AR438" s="2" t="e">
        <f t="shared" ca="1" si="214"/>
        <v>#N/A</v>
      </c>
      <c r="AS438" s="2" t="e">
        <f t="shared" ca="1" si="215"/>
        <v>#N/A</v>
      </c>
      <c r="AT438" s="9" t="e">
        <f t="shared" ca="1" si="216"/>
        <v>#N/A</v>
      </c>
      <c r="AU438" s="9" t="e">
        <f t="shared" ca="1" si="217"/>
        <v>#N/A</v>
      </c>
      <c r="AW438" s="2" t="e">
        <f t="shared" ca="1" si="239"/>
        <v>#N/A</v>
      </c>
      <c r="AX438" s="2" t="e">
        <f t="shared" ca="1" si="240"/>
        <v>#N/A</v>
      </c>
      <c r="AY438" s="2" t="e">
        <f t="shared" ca="1" si="241"/>
        <v>#N/A</v>
      </c>
      <c r="AZ438" s="2" t="e">
        <f t="shared" ca="1" si="242"/>
        <v>#N/A</v>
      </c>
      <c r="BA438" s="2" t="e">
        <f t="shared" ca="1" si="243"/>
        <v>#N/A</v>
      </c>
      <c r="BB438" s="2" t="e">
        <f t="shared" ca="1" si="244"/>
        <v>#N/A</v>
      </c>
      <c r="BC438" s="9" t="e">
        <f t="shared" ca="1" si="245"/>
        <v>#N/A</v>
      </c>
      <c r="BD438" s="9" t="e">
        <f t="shared" ca="1" si="246"/>
        <v>#N/A</v>
      </c>
    </row>
    <row r="439" spans="1:56" ht="15" x14ac:dyDescent="0.25">
      <c r="A439" s="63"/>
      <c r="B439" s="63"/>
      <c r="C439" s="64"/>
      <c r="D439" s="64"/>
      <c r="E439" s="64"/>
      <c r="F439" s="64"/>
      <c r="G439" s="64"/>
      <c r="H439" s="64"/>
      <c r="I439" s="64"/>
      <c r="J439" s="64"/>
      <c r="K439" s="64"/>
      <c r="L439" s="64"/>
      <c r="M439" s="64"/>
      <c r="O439" s="11">
        <f t="shared" ca="1" si="232"/>
        <v>-3.9378682616450625E-4</v>
      </c>
      <c r="P439" s="11">
        <f t="shared" ca="1" si="233"/>
        <v>-1.6358405771021967E-4</v>
      </c>
      <c r="Q439" s="11">
        <f t="shared" ca="1" si="234"/>
        <v>-1.614029402377854E-3</v>
      </c>
      <c r="R439" s="11">
        <f t="shared" ca="1" si="235"/>
        <v>-1.4853760121635622E-5</v>
      </c>
      <c r="S439" s="11">
        <f t="shared" ca="1" si="236"/>
        <v>-1.1458026838550334E-3</v>
      </c>
      <c r="T439" s="11">
        <f t="shared" ca="1" si="237"/>
        <v>-4.9053934342410677E-4</v>
      </c>
      <c r="U439" s="11">
        <f t="shared" ca="1" si="238"/>
        <v>-5.5074395654535931E-3</v>
      </c>
      <c r="V439" s="11"/>
      <c r="W439" s="11">
        <f t="shared" ca="1" si="218"/>
        <v>0</v>
      </c>
      <c r="X439" s="2">
        <f t="shared" ca="1" si="219"/>
        <v>-1.6358405771021967E-4</v>
      </c>
      <c r="Y439" s="2">
        <f t="shared" ca="1" si="220"/>
        <v>-1.614029402377854E-3</v>
      </c>
      <c r="Z439" s="11">
        <f t="shared" ca="1" si="221"/>
        <v>-1.4853760121635622E-5</v>
      </c>
      <c r="AA439" s="2">
        <f t="shared" ca="1" si="222"/>
        <v>-1.1458026838550334E-3</v>
      </c>
      <c r="AB439" s="11">
        <f t="shared" ca="1" si="223"/>
        <v>-4.9053934342410677E-4</v>
      </c>
      <c r="AC439" s="2">
        <f t="shared" ca="1" si="224"/>
        <v>-5.5074395654535931E-3</v>
      </c>
      <c r="AF439" s="11">
        <f t="shared" ca="1" si="225"/>
        <v>0</v>
      </c>
      <c r="AG439" s="2">
        <f t="shared" ca="1" si="226"/>
        <v>-1.6358405771021967E-4</v>
      </c>
      <c r="AH439" s="2">
        <f t="shared" ca="1" si="227"/>
        <v>-1.614029402377854E-3</v>
      </c>
      <c r="AI439" s="2">
        <f t="shared" ca="1" si="228"/>
        <v>-1.4853760121635622E-5</v>
      </c>
      <c r="AJ439" s="2">
        <f t="shared" ca="1" si="229"/>
        <v>-1.1458026838550334E-3</v>
      </c>
      <c r="AK439" s="2">
        <f t="shared" ca="1" si="230"/>
        <v>-4.9053934342410677E-4</v>
      </c>
      <c r="AL439" s="2">
        <f t="shared" ca="1" si="231"/>
        <v>-5.5074395654535931E-3</v>
      </c>
      <c r="AN439" s="2" t="e">
        <f t="shared" ca="1" si="210"/>
        <v>#N/A</v>
      </c>
      <c r="AO439" s="2" t="e">
        <f t="shared" ca="1" si="211"/>
        <v>#N/A</v>
      </c>
      <c r="AP439" s="2" t="e">
        <f t="shared" ca="1" si="212"/>
        <v>#N/A</v>
      </c>
      <c r="AQ439" s="2" t="e">
        <f t="shared" ca="1" si="213"/>
        <v>#N/A</v>
      </c>
      <c r="AR439" s="2" t="e">
        <f t="shared" ca="1" si="214"/>
        <v>#N/A</v>
      </c>
      <c r="AS439" s="2" t="e">
        <f t="shared" ca="1" si="215"/>
        <v>#N/A</v>
      </c>
      <c r="AT439" s="9" t="e">
        <f t="shared" ca="1" si="216"/>
        <v>#N/A</v>
      </c>
      <c r="AU439" s="9" t="e">
        <f t="shared" ca="1" si="217"/>
        <v>#N/A</v>
      </c>
      <c r="AW439" s="2" t="e">
        <f t="shared" ca="1" si="239"/>
        <v>#N/A</v>
      </c>
      <c r="AX439" s="2" t="e">
        <f t="shared" ca="1" si="240"/>
        <v>#N/A</v>
      </c>
      <c r="AY439" s="2" t="e">
        <f t="shared" ca="1" si="241"/>
        <v>#N/A</v>
      </c>
      <c r="AZ439" s="2" t="e">
        <f t="shared" ca="1" si="242"/>
        <v>#N/A</v>
      </c>
      <c r="BA439" s="2" t="e">
        <f t="shared" ca="1" si="243"/>
        <v>#N/A</v>
      </c>
      <c r="BB439" s="2" t="e">
        <f t="shared" ca="1" si="244"/>
        <v>#N/A</v>
      </c>
      <c r="BC439" s="9" t="e">
        <f t="shared" ca="1" si="245"/>
        <v>#N/A</v>
      </c>
      <c r="BD439" s="9" t="e">
        <f t="shared" ca="1" si="246"/>
        <v>#N/A</v>
      </c>
    </row>
    <row r="440" spans="1:56" ht="15" x14ac:dyDescent="0.25">
      <c r="A440" s="63"/>
      <c r="B440" s="63"/>
      <c r="C440" s="64"/>
      <c r="D440" s="64"/>
      <c r="E440" s="64"/>
      <c r="F440" s="64"/>
      <c r="G440" s="64"/>
      <c r="H440" s="64"/>
      <c r="I440" s="64"/>
      <c r="J440" s="64"/>
      <c r="K440" s="64"/>
      <c r="L440" s="64"/>
      <c r="M440" s="64"/>
      <c r="O440" s="11">
        <f t="shared" ca="1" si="232"/>
        <v>-3.9378682616450625E-4</v>
      </c>
      <c r="P440" s="11">
        <f t="shared" ca="1" si="233"/>
        <v>-1.6358405771021967E-4</v>
      </c>
      <c r="Q440" s="11">
        <f t="shared" ca="1" si="234"/>
        <v>-1.614029402377854E-3</v>
      </c>
      <c r="R440" s="11">
        <f t="shared" ca="1" si="235"/>
        <v>-1.4853760121635622E-5</v>
      </c>
      <c r="S440" s="11">
        <f t="shared" ca="1" si="236"/>
        <v>-1.1458026838550334E-3</v>
      </c>
      <c r="T440" s="11">
        <f t="shared" ca="1" si="237"/>
        <v>-4.9053934342410677E-4</v>
      </c>
      <c r="U440" s="11">
        <f t="shared" ca="1" si="238"/>
        <v>-5.5074395654535931E-3</v>
      </c>
      <c r="V440" s="11"/>
      <c r="W440" s="11">
        <f t="shared" ca="1" si="218"/>
        <v>0</v>
      </c>
      <c r="X440" s="2">
        <f t="shared" ca="1" si="219"/>
        <v>-1.6358405771021967E-4</v>
      </c>
      <c r="Y440" s="2">
        <f t="shared" ca="1" si="220"/>
        <v>-1.614029402377854E-3</v>
      </c>
      <c r="Z440" s="11">
        <f t="shared" ca="1" si="221"/>
        <v>-1.4853760121635622E-5</v>
      </c>
      <c r="AA440" s="2">
        <f t="shared" ca="1" si="222"/>
        <v>-1.1458026838550334E-3</v>
      </c>
      <c r="AB440" s="11">
        <f t="shared" ca="1" si="223"/>
        <v>-4.9053934342410677E-4</v>
      </c>
      <c r="AC440" s="2">
        <f t="shared" ca="1" si="224"/>
        <v>-5.5074395654535931E-3</v>
      </c>
      <c r="AF440" s="11">
        <f t="shared" ca="1" si="225"/>
        <v>0</v>
      </c>
      <c r="AG440" s="2">
        <f t="shared" ca="1" si="226"/>
        <v>-1.6358405771021967E-4</v>
      </c>
      <c r="AH440" s="2">
        <f t="shared" ca="1" si="227"/>
        <v>-1.614029402377854E-3</v>
      </c>
      <c r="AI440" s="2">
        <f t="shared" ca="1" si="228"/>
        <v>-1.4853760121635622E-5</v>
      </c>
      <c r="AJ440" s="2">
        <f t="shared" ca="1" si="229"/>
        <v>-1.1458026838550334E-3</v>
      </c>
      <c r="AK440" s="2">
        <f t="shared" ca="1" si="230"/>
        <v>-4.9053934342410677E-4</v>
      </c>
      <c r="AL440" s="2">
        <f t="shared" ca="1" si="231"/>
        <v>-5.5074395654535931E-3</v>
      </c>
      <c r="AN440" s="2" t="e">
        <f t="shared" ca="1" si="210"/>
        <v>#N/A</v>
      </c>
      <c r="AO440" s="2" t="e">
        <f t="shared" ca="1" si="211"/>
        <v>#N/A</v>
      </c>
      <c r="AP440" s="2" t="e">
        <f t="shared" ca="1" si="212"/>
        <v>#N/A</v>
      </c>
      <c r="AQ440" s="2" t="e">
        <f t="shared" ca="1" si="213"/>
        <v>#N/A</v>
      </c>
      <c r="AR440" s="2" t="e">
        <f t="shared" ca="1" si="214"/>
        <v>#N/A</v>
      </c>
      <c r="AS440" s="2" t="e">
        <f t="shared" ca="1" si="215"/>
        <v>#N/A</v>
      </c>
      <c r="AT440" s="9" t="e">
        <f t="shared" ca="1" si="216"/>
        <v>#N/A</v>
      </c>
      <c r="AU440" s="9" t="e">
        <f t="shared" ca="1" si="217"/>
        <v>#N/A</v>
      </c>
      <c r="AW440" s="2" t="e">
        <f t="shared" ca="1" si="239"/>
        <v>#N/A</v>
      </c>
      <c r="AX440" s="2" t="e">
        <f t="shared" ca="1" si="240"/>
        <v>#N/A</v>
      </c>
      <c r="AY440" s="2" t="e">
        <f t="shared" ca="1" si="241"/>
        <v>#N/A</v>
      </c>
      <c r="AZ440" s="2" t="e">
        <f t="shared" ca="1" si="242"/>
        <v>#N/A</v>
      </c>
      <c r="BA440" s="2" t="e">
        <f t="shared" ca="1" si="243"/>
        <v>#N/A</v>
      </c>
      <c r="BB440" s="2" t="e">
        <f t="shared" ca="1" si="244"/>
        <v>#N/A</v>
      </c>
      <c r="BC440" s="9" t="e">
        <f t="shared" ca="1" si="245"/>
        <v>#N/A</v>
      </c>
      <c r="BD440" s="9" t="e">
        <f t="shared" ca="1" si="246"/>
        <v>#N/A</v>
      </c>
    </row>
    <row r="441" spans="1:56" ht="15" x14ac:dyDescent="0.25">
      <c r="A441" s="63"/>
      <c r="B441" s="63"/>
      <c r="C441" s="64"/>
      <c r="D441" s="64"/>
      <c r="E441" s="64"/>
      <c r="F441" s="64"/>
      <c r="G441" s="64"/>
      <c r="H441" s="64"/>
      <c r="I441" s="64"/>
      <c r="J441" s="64"/>
      <c r="K441" s="64"/>
      <c r="L441" s="64"/>
      <c r="M441" s="64"/>
      <c r="O441" s="11">
        <f t="shared" ca="1" si="232"/>
        <v>-3.9378682616450625E-4</v>
      </c>
      <c r="P441" s="11">
        <f t="shared" ca="1" si="233"/>
        <v>-1.6358405771021967E-4</v>
      </c>
      <c r="Q441" s="11">
        <f t="shared" ca="1" si="234"/>
        <v>-1.614029402377854E-3</v>
      </c>
      <c r="R441" s="11">
        <f t="shared" ca="1" si="235"/>
        <v>-1.4853760121635622E-5</v>
      </c>
      <c r="S441" s="11">
        <f t="shared" ca="1" si="236"/>
        <v>-1.1458026838550334E-3</v>
      </c>
      <c r="T441" s="11">
        <f t="shared" ca="1" si="237"/>
        <v>-4.9053934342410677E-4</v>
      </c>
      <c r="U441" s="11">
        <f t="shared" ca="1" si="238"/>
        <v>-5.5074395654535931E-3</v>
      </c>
      <c r="V441" s="11"/>
      <c r="W441" s="11">
        <f t="shared" ca="1" si="218"/>
        <v>0</v>
      </c>
      <c r="X441" s="2">
        <f t="shared" ca="1" si="219"/>
        <v>-1.6358405771021967E-4</v>
      </c>
      <c r="Y441" s="2">
        <f t="shared" ca="1" si="220"/>
        <v>-1.614029402377854E-3</v>
      </c>
      <c r="Z441" s="11">
        <f t="shared" ca="1" si="221"/>
        <v>-1.4853760121635622E-5</v>
      </c>
      <c r="AA441" s="2">
        <f t="shared" ca="1" si="222"/>
        <v>-1.1458026838550334E-3</v>
      </c>
      <c r="AB441" s="11">
        <f t="shared" ca="1" si="223"/>
        <v>-4.9053934342410677E-4</v>
      </c>
      <c r="AC441" s="2">
        <f t="shared" ca="1" si="224"/>
        <v>-5.5074395654535931E-3</v>
      </c>
      <c r="AF441" s="11">
        <f t="shared" ca="1" si="225"/>
        <v>0</v>
      </c>
      <c r="AG441" s="2">
        <f t="shared" ca="1" si="226"/>
        <v>-1.6358405771021967E-4</v>
      </c>
      <c r="AH441" s="2">
        <f t="shared" ca="1" si="227"/>
        <v>-1.614029402377854E-3</v>
      </c>
      <c r="AI441" s="2">
        <f t="shared" ca="1" si="228"/>
        <v>-1.4853760121635622E-5</v>
      </c>
      <c r="AJ441" s="2">
        <f t="shared" ca="1" si="229"/>
        <v>-1.1458026838550334E-3</v>
      </c>
      <c r="AK441" s="2">
        <f t="shared" ca="1" si="230"/>
        <v>-4.9053934342410677E-4</v>
      </c>
      <c r="AL441" s="2">
        <f t="shared" ca="1" si="231"/>
        <v>-5.5074395654535931E-3</v>
      </c>
      <c r="AN441" s="2" t="e">
        <f t="shared" ca="1" si="210"/>
        <v>#N/A</v>
      </c>
      <c r="AO441" s="2" t="e">
        <f t="shared" ca="1" si="211"/>
        <v>#N/A</v>
      </c>
      <c r="AP441" s="2" t="e">
        <f t="shared" ca="1" si="212"/>
        <v>#N/A</v>
      </c>
      <c r="AQ441" s="2" t="e">
        <f t="shared" ca="1" si="213"/>
        <v>#N/A</v>
      </c>
      <c r="AR441" s="2" t="e">
        <f t="shared" ca="1" si="214"/>
        <v>#N/A</v>
      </c>
      <c r="AS441" s="2" t="e">
        <f t="shared" ca="1" si="215"/>
        <v>#N/A</v>
      </c>
      <c r="AT441" s="9" t="e">
        <f t="shared" ca="1" si="216"/>
        <v>#N/A</v>
      </c>
      <c r="AU441" s="9" t="e">
        <f t="shared" ca="1" si="217"/>
        <v>#N/A</v>
      </c>
      <c r="AW441" s="2" t="e">
        <f t="shared" ca="1" si="239"/>
        <v>#N/A</v>
      </c>
      <c r="AX441" s="2" t="e">
        <f t="shared" ca="1" si="240"/>
        <v>#N/A</v>
      </c>
      <c r="AY441" s="2" t="e">
        <f t="shared" ca="1" si="241"/>
        <v>#N/A</v>
      </c>
      <c r="AZ441" s="2" t="e">
        <f t="shared" ca="1" si="242"/>
        <v>#N/A</v>
      </c>
      <c r="BA441" s="2" t="e">
        <f t="shared" ca="1" si="243"/>
        <v>#N/A</v>
      </c>
      <c r="BB441" s="2" t="e">
        <f t="shared" ca="1" si="244"/>
        <v>#N/A</v>
      </c>
      <c r="BC441" s="9" t="e">
        <f t="shared" ca="1" si="245"/>
        <v>#N/A</v>
      </c>
      <c r="BD441" s="9" t="e">
        <f t="shared" ca="1" si="246"/>
        <v>#N/A</v>
      </c>
    </row>
    <row r="442" spans="1:56" ht="15" x14ac:dyDescent="0.25">
      <c r="A442" s="63"/>
      <c r="B442" s="63"/>
      <c r="C442" s="64"/>
      <c r="D442" s="64"/>
      <c r="E442" s="64"/>
      <c r="F442" s="64"/>
      <c r="G442" s="64"/>
      <c r="H442" s="64"/>
      <c r="I442" s="64"/>
      <c r="J442" s="64"/>
      <c r="K442" s="64"/>
      <c r="L442" s="64"/>
      <c r="M442" s="64"/>
      <c r="O442" s="11">
        <f t="shared" ca="1" si="232"/>
        <v>-3.9378682616450625E-4</v>
      </c>
      <c r="P442" s="11">
        <f t="shared" ca="1" si="233"/>
        <v>-1.6358405771021967E-4</v>
      </c>
      <c r="Q442" s="11">
        <f t="shared" ca="1" si="234"/>
        <v>-1.614029402377854E-3</v>
      </c>
      <c r="R442" s="11">
        <f t="shared" ca="1" si="235"/>
        <v>-1.4853760121635622E-5</v>
      </c>
      <c r="S442" s="11">
        <f t="shared" ca="1" si="236"/>
        <v>-1.1458026838550334E-3</v>
      </c>
      <c r="T442" s="11">
        <f t="shared" ca="1" si="237"/>
        <v>-4.9053934342410677E-4</v>
      </c>
      <c r="U442" s="11">
        <f t="shared" ca="1" si="238"/>
        <v>-5.5074395654535931E-3</v>
      </c>
      <c r="V442" s="11"/>
      <c r="W442" s="11">
        <f t="shared" ca="1" si="218"/>
        <v>0</v>
      </c>
      <c r="X442" s="2">
        <f t="shared" ca="1" si="219"/>
        <v>-1.6358405771021967E-4</v>
      </c>
      <c r="Y442" s="2">
        <f t="shared" ca="1" si="220"/>
        <v>-1.614029402377854E-3</v>
      </c>
      <c r="Z442" s="11">
        <f t="shared" ca="1" si="221"/>
        <v>-1.4853760121635622E-5</v>
      </c>
      <c r="AA442" s="2">
        <f t="shared" ca="1" si="222"/>
        <v>-1.1458026838550334E-3</v>
      </c>
      <c r="AB442" s="11">
        <f t="shared" ca="1" si="223"/>
        <v>-4.9053934342410677E-4</v>
      </c>
      <c r="AC442" s="2">
        <f t="shared" ca="1" si="224"/>
        <v>-5.5074395654535931E-3</v>
      </c>
      <c r="AF442" s="11">
        <f t="shared" ca="1" si="225"/>
        <v>0</v>
      </c>
      <c r="AG442" s="2">
        <f t="shared" ca="1" si="226"/>
        <v>-1.6358405771021967E-4</v>
      </c>
      <c r="AH442" s="2">
        <f t="shared" ca="1" si="227"/>
        <v>-1.614029402377854E-3</v>
      </c>
      <c r="AI442" s="2">
        <f t="shared" ca="1" si="228"/>
        <v>-1.4853760121635622E-5</v>
      </c>
      <c r="AJ442" s="2">
        <f t="shared" ca="1" si="229"/>
        <v>-1.1458026838550334E-3</v>
      </c>
      <c r="AK442" s="2">
        <f t="shared" ca="1" si="230"/>
        <v>-4.9053934342410677E-4</v>
      </c>
      <c r="AL442" s="2">
        <f t="shared" ca="1" si="231"/>
        <v>-5.5074395654535931E-3</v>
      </c>
      <c r="AN442" s="2" t="e">
        <f t="shared" ca="1" si="210"/>
        <v>#N/A</v>
      </c>
      <c r="AO442" s="2" t="e">
        <f t="shared" ca="1" si="211"/>
        <v>#N/A</v>
      </c>
      <c r="AP442" s="2" t="e">
        <f t="shared" ca="1" si="212"/>
        <v>#N/A</v>
      </c>
      <c r="AQ442" s="2" t="e">
        <f t="shared" ca="1" si="213"/>
        <v>#N/A</v>
      </c>
      <c r="AR442" s="2" t="e">
        <f t="shared" ca="1" si="214"/>
        <v>#N/A</v>
      </c>
      <c r="AS442" s="2" t="e">
        <f t="shared" ca="1" si="215"/>
        <v>#N/A</v>
      </c>
      <c r="AT442" s="9" t="e">
        <f t="shared" ca="1" si="216"/>
        <v>#N/A</v>
      </c>
      <c r="AU442" s="9" t="e">
        <f t="shared" ca="1" si="217"/>
        <v>#N/A</v>
      </c>
      <c r="AW442" s="2" t="e">
        <f t="shared" ca="1" si="239"/>
        <v>#N/A</v>
      </c>
      <c r="AX442" s="2" t="e">
        <f t="shared" ca="1" si="240"/>
        <v>#N/A</v>
      </c>
      <c r="AY442" s="2" t="e">
        <f t="shared" ca="1" si="241"/>
        <v>#N/A</v>
      </c>
      <c r="AZ442" s="2" t="e">
        <f t="shared" ca="1" si="242"/>
        <v>#N/A</v>
      </c>
      <c r="BA442" s="2" t="e">
        <f t="shared" ca="1" si="243"/>
        <v>#N/A</v>
      </c>
      <c r="BB442" s="2" t="e">
        <f t="shared" ca="1" si="244"/>
        <v>#N/A</v>
      </c>
      <c r="BC442" s="9" t="e">
        <f t="shared" ca="1" si="245"/>
        <v>#N/A</v>
      </c>
      <c r="BD442" s="9" t="e">
        <f t="shared" ca="1" si="246"/>
        <v>#N/A</v>
      </c>
    </row>
    <row r="443" spans="1:56" ht="15" x14ac:dyDescent="0.25">
      <c r="A443" s="63"/>
      <c r="B443" s="63"/>
      <c r="C443" s="64"/>
      <c r="D443" s="64"/>
      <c r="E443" s="64"/>
      <c r="F443" s="64"/>
      <c r="G443" s="64"/>
      <c r="H443" s="64"/>
      <c r="I443" s="64"/>
      <c r="J443" s="64"/>
      <c r="K443" s="64"/>
      <c r="L443" s="64"/>
      <c r="M443" s="64"/>
      <c r="O443" s="11">
        <f t="shared" ca="1" si="232"/>
        <v>-3.9378682616450625E-4</v>
      </c>
      <c r="P443" s="11">
        <f t="shared" ca="1" si="233"/>
        <v>-1.6358405771021967E-4</v>
      </c>
      <c r="Q443" s="11">
        <f t="shared" ca="1" si="234"/>
        <v>-1.614029402377854E-3</v>
      </c>
      <c r="R443" s="11">
        <f t="shared" ca="1" si="235"/>
        <v>-1.4853760121635622E-5</v>
      </c>
      <c r="S443" s="11">
        <f t="shared" ca="1" si="236"/>
        <v>-1.1458026838550334E-3</v>
      </c>
      <c r="T443" s="11">
        <f t="shared" ca="1" si="237"/>
        <v>-4.9053934342410677E-4</v>
      </c>
      <c r="U443" s="11">
        <f t="shared" ca="1" si="238"/>
        <v>-5.5074395654535931E-3</v>
      </c>
      <c r="V443" s="11"/>
      <c r="W443" s="11">
        <f t="shared" ca="1" si="218"/>
        <v>0</v>
      </c>
      <c r="X443" s="2">
        <f t="shared" ca="1" si="219"/>
        <v>-1.6358405771021967E-4</v>
      </c>
      <c r="Y443" s="2">
        <f t="shared" ca="1" si="220"/>
        <v>-1.614029402377854E-3</v>
      </c>
      <c r="Z443" s="11">
        <f t="shared" ca="1" si="221"/>
        <v>-1.4853760121635622E-5</v>
      </c>
      <c r="AA443" s="2">
        <f t="shared" ca="1" si="222"/>
        <v>-1.1458026838550334E-3</v>
      </c>
      <c r="AB443" s="11">
        <f t="shared" ca="1" si="223"/>
        <v>-4.9053934342410677E-4</v>
      </c>
      <c r="AC443" s="2">
        <f t="shared" ca="1" si="224"/>
        <v>-5.5074395654535931E-3</v>
      </c>
      <c r="AF443" s="11">
        <f t="shared" ca="1" si="225"/>
        <v>0</v>
      </c>
      <c r="AG443" s="2">
        <f t="shared" ca="1" si="226"/>
        <v>-1.6358405771021967E-4</v>
      </c>
      <c r="AH443" s="2">
        <f t="shared" ca="1" si="227"/>
        <v>-1.614029402377854E-3</v>
      </c>
      <c r="AI443" s="2">
        <f t="shared" ca="1" si="228"/>
        <v>-1.4853760121635622E-5</v>
      </c>
      <c r="AJ443" s="2">
        <f t="shared" ca="1" si="229"/>
        <v>-1.1458026838550334E-3</v>
      </c>
      <c r="AK443" s="2">
        <f t="shared" ca="1" si="230"/>
        <v>-4.9053934342410677E-4</v>
      </c>
      <c r="AL443" s="2">
        <f t="shared" ca="1" si="231"/>
        <v>-5.5074395654535931E-3</v>
      </c>
      <c r="AN443" s="2" t="e">
        <f t="shared" ca="1" si="210"/>
        <v>#N/A</v>
      </c>
      <c r="AO443" s="2" t="e">
        <f t="shared" ca="1" si="211"/>
        <v>#N/A</v>
      </c>
      <c r="AP443" s="2" t="e">
        <f t="shared" ca="1" si="212"/>
        <v>#N/A</v>
      </c>
      <c r="AQ443" s="2" t="e">
        <f t="shared" ca="1" si="213"/>
        <v>#N/A</v>
      </c>
      <c r="AR443" s="2" t="e">
        <f t="shared" ca="1" si="214"/>
        <v>#N/A</v>
      </c>
      <c r="AS443" s="2" t="e">
        <f t="shared" ca="1" si="215"/>
        <v>#N/A</v>
      </c>
      <c r="AT443" s="9" t="e">
        <f t="shared" ca="1" si="216"/>
        <v>#N/A</v>
      </c>
      <c r="AU443" s="9" t="e">
        <f t="shared" ca="1" si="217"/>
        <v>#N/A</v>
      </c>
      <c r="AW443" s="2" t="e">
        <f t="shared" ca="1" si="239"/>
        <v>#N/A</v>
      </c>
      <c r="AX443" s="2" t="e">
        <f t="shared" ca="1" si="240"/>
        <v>#N/A</v>
      </c>
      <c r="AY443" s="2" t="e">
        <f t="shared" ca="1" si="241"/>
        <v>#N/A</v>
      </c>
      <c r="AZ443" s="2" t="e">
        <f t="shared" ca="1" si="242"/>
        <v>#N/A</v>
      </c>
      <c r="BA443" s="2" t="e">
        <f t="shared" ca="1" si="243"/>
        <v>#N/A</v>
      </c>
      <c r="BB443" s="2" t="e">
        <f t="shared" ca="1" si="244"/>
        <v>#N/A</v>
      </c>
      <c r="BC443" s="9" t="e">
        <f t="shared" ca="1" si="245"/>
        <v>#N/A</v>
      </c>
      <c r="BD443" s="9" t="e">
        <f t="shared" ca="1" si="246"/>
        <v>#N/A</v>
      </c>
    </row>
    <row r="444" spans="1:56" ht="15" x14ac:dyDescent="0.25">
      <c r="A444" s="63"/>
      <c r="B444" s="63"/>
      <c r="C444" s="64"/>
      <c r="D444" s="64"/>
      <c r="E444" s="64"/>
      <c r="F444" s="64"/>
      <c r="G444" s="64"/>
      <c r="H444" s="64"/>
      <c r="I444" s="64"/>
      <c r="J444" s="64"/>
      <c r="K444" s="64"/>
      <c r="L444" s="64"/>
      <c r="M444" s="64"/>
      <c r="O444" s="11">
        <f t="shared" ca="1" si="232"/>
        <v>-3.9378682616450625E-4</v>
      </c>
      <c r="P444" s="11">
        <f t="shared" ca="1" si="233"/>
        <v>-1.6358405771021967E-4</v>
      </c>
      <c r="Q444" s="11">
        <f t="shared" ca="1" si="234"/>
        <v>-1.614029402377854E-3</v>
      </c>
      <c r="R444" s="11">
        <f t="shared" ca="1" si="235"/>
        <v>-1.4853760121635622E-5</v>
      </c>
      <c r="S444" s="11">
        <f t="shared" ca="1" si="236"/>
        <v>-1.1458026838550334E-3</v>
      </c>
      <c r="T444" s="11">
        <f t="shared" ca="1" si="237"/>
        <v>-4.9053934342410677E-4</v>
      </c>
      <c r="U444" s="11">
        <f t="shared" ca="1" si="238"/>
        <v>-5.5074395654535931E-3</v>
      </c>
      <c r="V444" s="11"/>
      <c r="W444" s="11">
        <f t="shared" ca="1" si="218"/>
        <v>0</v>
      </c>
      <c r="X444" s="2">
        <f t="shared" ca="1" si="219"/>
        <v>-1.6358405771021967E-4</v>
      </c>
      <c r="Y444" s="2">
        <f t="shared" ca="1" si="220"/>
        <v>-1.614029402377854E-3</v>
      </c>
      <c r="Z444" s="11">
        <f t="shared" ca="1" si="221"/>
        <v>-1.4853760121635622E-5</v>
      </c>
      <c r="AA444" s="2">
        <f t="shared" ca="1" si="222"/>
        <v>-1.1458026838550334E-3</v>
      </c>
      <c r="AB444" s="11">
        <f t="shared" ca="1" si="223"/>
        <v>-4.9053934342410677E-4</v>
      </c>
      <c r="AC444" s="2">
        <f t="shared" ca="1" si="224"/>
        <v>-5.5074395654535931E-3</v>
      </c>
      <c r="AF444" s="11">
        <f t="shared" ca="1" si="225"/>
        <v>0</v>
      </c>
      <c r="AG444" s="2">
        <f t="shared" ca="1" si="226"/>
        <v>-1.6358405771021967E-4</v>
      </c>
      <c r="AH444" s="2">
        <f t="shared" ca="1" si="227"/>
        <v>-1.614029402377854E-3</v>
      </c>
      <c r="AI444" s="2">
        <f t="shared" ca="1" si="228"/>
        <v>-1.4853760121635622E-5</v>
      </c>
      <c r="AJ444" s="2">
        <f t="shared" ca="1" si="229"/>
        <v>-1.1458026838550334E-3</v>
      </c>
      <c r="AK444" s="2">
        <f t="shared" ca="1" si="230"/>
        <v>-4.9053934342410677E-4</v>
      </c>
      <c r="AL444" s="2">
        <f t="shared" ca="1" si="231"/>
        <v>-5.5074395654535931E-3</v>
      </c>
      <c r="AN444" s="2" t="e">
        <f t="shared" ca="1" si="210"/>
        <v>#N/A</v>
      </c>
      <c r="AO444" s="2" t="e">
        <f t="shared" ca="1" si="211"/>
        <v>#N/A</v>
      </c>
      <c r="AP444" s="2" t="e">
        <f t="shared" ca="1" si="212"/>
        <v>#N/A</v>
      </c>
      <c r="AQ444" s="2" t="e">
        <f t="shared" ca="1" si="213"/>
        <v>#N/A</v>
      </c>
      <c r="AR444" s="2" t="e">
        <f t="shared" ca="1" si="214"/>
        <v>#N/A</v>
      </c>
      <c r="AS444" s="2" t="e">
        <f t="shared" ca="1" si="215"/>
        <v>#N/A</v>
      </c>
      <c r="AT444" s="9" t="e">
        <f t="shared" ca="1" si="216"/>
        <v>#N/A</v>
      </c>
      <c r="AU444" s="9" t="e">
        <f t="shared" ca="1" si="217"/>
        <v>#N/A</v>
      </c>
      <c r="AW444" s="2" t="e">
        <f t="shared" ca="1" si="239"/>
        <v>#N/A</v>
      </c>
      <c r="AX444" s="2" t="e">
        <f t="shared" ca="1" si="240"/>
        <v>#N/A</v>
      </c>
      <c r="AY444" s="2" t="e">
        <f t="shared" ca="1" si="241"/>
        <v>#N/A</v>
      </c>
      <c r="AZ444" s="2" t="e">
        <f t="shared" ca="1" si="242"/>
        <v>#N/A</v>
      </c>
      <c r="BA444" s="2" t="e">
        <f t="shared" ca="1" si="243"/>
        <v>#N/A</v>
      </c>
      <c r="BB444" s="2" t="e">
        <f t="shared" ca="1" si="244"/>
        <v>#N/A</v>
      </c>
      <c r="BC444" s="9" t="e">
        <f t="shared" ca="1" si="245"/>
        <v>#N/A</v>
      </c>
      <c r="BD444" s="9" t="e">
        <f t="shared" ca="1" si="246"/>
        <v>#N/A</v>
      </c>
    </row>
    <row r="445" spans="1:56" ht="15" x14ac:dyDescent="0.25">
      <c r="A445" s="63"/>
      <c r="B445" s="63"/>
      <c r="C445" s="64"/>
      <c r="D445" s="64"/>
      <c r="E445" s="64"/>
      <c r="F445" s="64"/>
      <c r="G445" s="64"/>
      <c r="H445" s="64"/>
      <c r="I445" s="64"/>
      <c r="J445" s="64"/>
      <c r="K445" s="64"/>
      <c r="L445" s="64"/>
      <c r="M445" s="64"/>
      <c r="O445" s="11">
        <f t="shared" ca="1" si="232"/>
        <v>-3.9378682616450625E-4</v>
      </c>
      <c r="P445" s="11">
        <f t="shared" ca="1" si="233"/>
        <v>-1.6358405771021967E-4</v>
      </c>
      <c r="Q445" s="11">
        <f t="shared" ca="1" si="234"/>
        <v>-1.614029402377854E-3</v>
      </c>
      <c r="R445" s="11">
        <f t="shared" ca="1" si="235"/>
        <v>-1.4853760121635622E-5</v>
      </c>
      <c r="S445" s="11">
        <f t="shared" ca="1" si="236"/>
        <v>-1.1458026838550334E-3</v>
      </c>
      <c r="T445" s="11">
        <f t="shared" ca="1" si="237"/>
        <v>-4.9053934342410677E-4</v>
      </c>
      <c r="U445" s="11">
        <f t="shared" ca="1" si="238"/>
        <v>-5.5074395654535931E-3</v>
      </c>
      <c r="V445" s="11"/>
      <c r="W445" s="11">
        <f t="shared" ca="1" si="218"/>
        <v>0</v>
      </c>
      <c r="X445" s="2">
        <f t="shared" ca="1" si="219"/>
        <v>-1.6358405771021967E-4</v>
      </c>
      <c r="Y445" s="2">
        <f t="shared" ca="1" si="220"/>
        <v>-1.614029402377854E-3</v>
      </c>
      <c r="Z445" s="11">
        <f t="shared" ca="1" si="221"/>
        <v>-1.4853760121635622E-5</v>
      </c>
      <c r="AA445" s="2">
        <f t="shared" ca="1" si="222"/>
        <v>-1.1458026838550334E-3</v>
      </c>
      <c r="AB445" s="11">
        <f t="shared" ca="1" si="223"/>
        <v>-4.9053934342410677E-4</v>
      </c>
      <c r="AC445" s="2">
        <f t="shared" ca="1" si="224"/>
        <v>-5.5074395654535931E-3</v>
      </c>
      <c r="AF445" s="11">
        <f t="shared" ca="1" si="225"/>
        <v>0</v>
      </c>
      <c r="AG445" s="2">
        <f t="shared" ca="1" si="226"/>
        <v>-1.6358405771021967E-4</v>
      </c>
      <c r="AH445" s="2">
        <f t="shared" ca="1" si="227"/>
        <v>-1.614029402377854E-3</v>
      </c>
      <c r="AI445" s="2">
        <f t="shared" ca="1" si="228"/>
        <v>-1.4853760121635622E-5</v>
      </c>
      <c r="AJ445" s="2">
        <f t="shared" ca="1" si="229"/>
        <v>-1.1458026838550334E-3</v>
      </c>
      <c r="AK445" s="2">
        <f t="shared" ca="1" si="230"/>
        <v>-4.9053934342410677E-4</v>
      </c>
      <c r="AL445" s="2">
        <f t="shared" ca="1" si="231"/>
        <v>-5.5074395654535931E-3</v>
      </c>
      <c r="AN445" s="2" t="e">
        <f t="shared" ca="1" si="210"/>
        <v>#N/A</v>
      </c>
      <c r="AO445" s="2" t="e">
        <f t="shared" ca="1" si="211"/>
        <v>#N/A</v>
      </c>
      <c r="AP445" s="2" t="e">
        <f t="shared" ca="1" si="212"/>
        <v>#N/A</v>
      </c>
      <c r="AQ445" s="2" t="e">
        <f t="shared" ca="1" si="213"/>
        <v>#N/A</v>
      </c>
      <c r="AR445" s="2" t="e">
        <f t="shared" ca="1" si="214"/>
        <v>#N/A</v>
      </c>
      <c r="AS445" s="2" t="e">
        <f t="shared" ca="1" si="215"/>
        <v>#N/A</v>
      </c>
      <c r="AT445" s="9" t="e">
        <f t="shared" ca="1" si="216"/>
        <v>#N/A</v>
      </c>
      <c r="AU445" s="9" t="e">
        <f t="shared" ca="1" si="217"/>
        <v>#N/A</v>
      </c>
      <c r="AW445" s="2" t="e">
        <f t="shared" ca="1" si="239"/>
        <v>#N/A</v>
      </c>
      <c r="AX445" s="2" t="e">
        <f t="shared" ca="1" si="240"/>
        <v>#N/A</v>
      </c>
      <c r="AY445" s="2" t="e">
        <f t="shared" ca="1" si="241"/>
        <v>#N/A</v>
      </c>
      <c r="AZ445" s="2" t="e">
        <f t="shared" ca="1" si="242"/>
        <v>#N/A</v>
      </c>
      <c r="BA445" s="2" t="e">
        <f t="shared" ca="1" si="243"/>
        <v>#N/A</v>
      </c>
      <c r="BB445" s="2" t="e">
        <f t="shared" ca="1" si="244"/>
        <v>#N/A</v>
      </c>
      <c r="BC445" s="9" t="e">
        <f t="shared" ca="1" si="245"/>
        <v>#N/A</v>
      </c>
      <c r="BD445" s="9" t="e">
        <f t="shared" ca="1" si="246"/>
        <v>#N/A</v>
      </c>
    </row>
    <row r="446" spans="1:56" ht="15" x14ac:dyDescent="0.25">
      <c r="A446" s="63"/>
      <c r="B446" s="63"/>
      <c r="C446" s="64"/>
      <c r="D446" s="64"/>
      <c r="E446" s="64"/>
      <c r="F446" s="64"/>
      <c r="G446" s="64"/>
      <c r="H446" s="64"/>
      <c r="I446" s="64"/>
      <c r="J446" s="64"/>
      <c r="K446" s="64"/>
      <c r="L446" s="64"/>
      <c r="M446" s="64"/>
      <c r="O446" s="11">
        <f t="shared" ca="1" si="232"/>
        <v>-3.9378682616450625E-4</v>
      </c>
      <c r="P446" s="11">
        <f t="shared" ca="1" si="233"/>
        <v>-1.6358405771021967E-4</v>
      </c>
      <c r="Q446" s="11">
        <f t="shared" ca="1" si="234"/>
        <v>-1.614029402377854E-3</v>
      </c>
      <c r="R446" s="11">
        <f t="shared" ca="1" si="235"/>
        <v>-1.4853760121635622E-5</v>
      </c>
      <c r="S446" s="11">
        <f t="shared" ca="1" si="236"/>
        <v>-1.1458026838550334E-3</v>
      </c>
      <c r="T446" s="11">
        <f t="shared" ca="1" si="237"/>
        <v>-4.9053934342410677E-4</v>
      </c>
      <c r="U446" s="11">
        <f t="shared" ca="1" si="238"/>
        <v>-5.5074395654535931E-3</v>
      </c>
      <c r="V446" s="11"/>
      <c r="W446" s="11">
        <f t="shared" ca="1" si="218"/>
        <v>0</v>
      </c>
      <c r="X446" s="2">
        <f t="shared" ca="1" si="219"/>
        <v>-1.6358405771021967E-4</v>
      </c>
      <c r="Y446" s="2">
        <f t="shared" ca="1" si="220"/>
        <v>-1.614029402377854E-3</v>
      </c>
      <c r="Z446" s="11">
        <f t="shared" ca="1" si="221"/>
        <v>-1.4853760121635622E-5</v>
      </c>
      <c r="AA446" s="2">
        <f t="shared" ca="1" si="222"/>
        <v>-1.1458026838550334E-3</v>
      </c>
      <c r="AB446" s="11">
        <f t="shared" ca="1" si="223"/>
        <v>-4.9053934342410677E-4</v>
      </c>
      <c r="AC446" s="2">
        <f t="shared" ca="1" si="224"/>
        <v>-5.5074395654535931E-3</v>
      </c>
      <c r="AF446" s="11">
        <f t="shared" ca="1" si="225"/>
        <v>0</v>
      </c>
      <c r="AG446" s="2">
        <f t="shared" ca="1" si="226"/>
        <v>-1.6358405771021967E-4</v>
      </c>
      <c r="AH446" s="2">
        <f t="shared" ca="1" si="227"/>
        <v>-1.614029402377854E-3</v>
      </c>
      <c r="AI446" s="2">
        <f t="shared" ca="1" si="228"/>
        <v>-1.4853760121635622E-5</v>
      </c>
      <c r="AJ446" s="2">
        <f t="shared" ca="1" si="229"/>
        <v>-1.1458026838550334E-3</v>
      </c>
      <c r="AK446" s="2">
        <f t="shared" ca="1" si="230"/>
        <v>-4.9053934342410677E-4</v>
      </c>
      <c r="AL446" s="2">
        <f t="shared" ca="1" si="231"/>
        <v>-5.5074395654535931E-3</v>
      </c>
      <c r="AN446" s="2" t="e">
        <f t="shared" ca="1" si="210"/>
        <v>#N/A</v>
      </c>
      <c r="AO446" s="2" t="e">
        <f t="shared" ca="1" si="211"/>
        <v>#N/A</v>
      </c>
      <c r="AP446" s="2" t="e">
        <f t="shared" ca="1" si="212"/>
        <v>#N/A</v>
      </c>
      <c r="AQ446" s="2" t="e">
        <f t="shared" ca="1" si="213"/>
        <v>#N/A</v>
      </c>
      <c r="AR446" s="2" t="e">
        <f t="shared" ca="1" si="214"/>
        <v>#N/A</v>
      </c>
      <c r="AS446" s="2" t="e">
        <f t="shared" ca="1" si="215"/>
        <v>#N/A</v>
      </c>
      <c r="AT446" s="9" t="e">
        <f t="shared" ca="1" si="216"/>
        <v>#N/A</v>
      </c>
      <c r="AU446" s="9" t="e">
        <f t="shared" ca="1" si="217"/>
        <v>#N/A</v>
      </c>
      <c r="AW446" s="2" t="e">
        <f t="shared" ca="1" si="239"/>
        <v>#N/A</v>
      </c>
      <c r="AX446" s="2" t="e">
        <f t="shared" ca="1" si="240"/>
        <v>#N/A</v>
      </c>
      <c r="AY446" s="2" t="e">
        <f t="shared" ca="1" si="241"/>
        <v>#N/A</v>
      </c>
      <c r="AZ446" s="2" t="e">
        <f t="shared" ca="1" si="242"/>
        <v>#N/A</v>
      </c>
      <c r="BA446" s="2" t="e">
        <f t="shared" ca="1" si="243"/>
        <v>#N/A</v>
      </c>
      <c r="BB446" s="2" t="e">
        <f t="shared" ca="1" si="244"/>
        <v>#N/A</v>
      </c>
      <c r="BC446" s="9" t="e">
        <f t="shared" ca="1" si="245"/>
        <v>#N/A</v>
      </c>
      <c r="BD446" s="9" t="e">
        <f t="shared" ca="1" si="246"/>
        <v>#N/A</v>
      </c>
    </row>
    <row r="447" spans="1:56" ht="15" x14ac:dyDescent="0.25">
      <c r="A447" s="63"/>
      <c r="B447" s="63"/>
      <c r="C447" s="64"/>
      <c r="D447" s="64"/>
      <c r="E447" s="64"/>
      <c r="F447" s="64"/>
      <c r="G447" s="64"/>
      <c r="H447" s="64"/>
      <c r="I447" s="64"/>
      <c r="J447" s="64"/>
      <c r="K447" s="64"/>
      <c r="L447" s="64"/>
      <c r="M447" s="64"/>
      <c r="O447" s="11">
        <f t="shared" ca="1" si="232"/>
        <v>-3.9378682616450625E-4</v>
      </c>
      <c r="P447" s="11">
        <f t="shared" ca="1" si="233"/>
        <v>-1.6358405771021967E-4</v>
      </c>
      <c r="Q447" s="11">
        <f t="shared" ca="1" si="234"/>
        <v>-1.614029402377854E-3</v>
      </c>
      <c r="R447" s="11">
        <f t="shared" ca="1" si="235"/>
        <v>-1.4853760121635622E-5</v>
      </c>
      <c r="S447" s="11">
        <f t="shared" ca="1" si="236"/>
        <v>-1.1458026838550334E-3</v>
      </c>
      <c r="T447" s="11">
        <f t="shared" ca="1" si="237"/>
        <v>-4.9053934342410677E-4</v>
      </c>
      <c r="U447" s="11">
        <f t="shared" ca="1" si="238"/>
        <v>-5.5074395654535931E-3</v>
      </c>
      <c r="V447" s="11"/>
      <c r="W447" s="11">
        <f t="shared" ca="1" si="218"/>
        <v>0</v>
      </c>
      <c r="X447" s="2">
        <f t="shared" ca="1" si="219"/>
        <v>-1.6358405771021967E-4</v>
      </c>
      <c r="Y447" s="2">
        <f t="shared" ca="1" si="220"/>
        <v>-1.614029402377854E-3</v>
      </c>
      <c r="Z447" s="11">
        <f t="shared" ca="1" si="221"/>
        <v>-1.4853760121635622E-5</v>
      </c>
      <c r="AA447" s="2">
        <f t="shared" ca="1" si="222"/>
        <v>-1.1458026838550334E-3</v>
      </c>
      <c r="AB447" s="11">
        <f t="shared" ca="1" si="223"/>
        <v>-4.9053934342410677E-4</v>
      </c>
      <c r="AC447" s="2">
        <f t="shared" ca="1" si="224"/>
        <v>-5.5074395654535931E-3</v>
      </c>
      <c r="AF447" s="11">
        <f t="shared" ca="1" si="225"/>
        <v>0</v>
      </c>
      <c r="AG447" s="2">
        <f t="shared" ca="1" si="226"/>
        <v>-1.6358405771021967E-4</v>
      </c>
      <c r="AH447" s="2">
        <f t="shared" ca="1" si="227"/>
        <v>-1.614029402377854E-3</v>
      </c>
      <c r="AI447" s="2">
        <f t="shared" ca="1" si="228"/>
        <v>-1.4853760121635622E-5</v>
      </c>
      <c r="AJ447" s="2">
        <f t="shared" ca="1" si="229"/>
        <v>-1.1458026838550334E-3</v>
      </c>
      <c r="AK447" s="2">
        <f t="shared" ca="1" si="230"/>
        <v>-4.9053934342410677E-4</v>
      </c>
      <c r="AL447" s="2">
        <f t="shared" ca="1" si="231"/>
        <v>-5.5074395654535931E-3</v>
      </c>
      <c r="AN447" s="2" t="e">
        <f t="shared" ca="1" si="210"/>
        <v>#N/A</v>
      </c>
      <c r="AO447" s="2" t="e">
        <f t="shared" ca="1" si="211"/>
        <v>#N/A</v>
      </c>
      <c r="AP447" s="2" t="e">
        <f t="shared" ca="1" si="212"/>
        <v>#N/A</v>
      </c>
      <c r="AQ447" s="2" t="e">
        <f t="shared" ca="1" si="213"/>
        <v>#N/A</v>
      </c>
      <c r="AR447" s="2" t="e">
        <f t="shared" ca="1" si="214"/>
        <v>#N/A</v>
      </c>
      <c r="AS447" s="2" t="e">
        <f t="shared" ca="1" si="215"/>
        <v>#N/A</v>
      </c>
      <c r="AT447" s="9" t="e">
        <f t="shared" ca="1" si="216"/>
        <v>#N/A</v>
      </c>
      <c r="AU447" s="9" t="e">
        <f t="shared" ca="1" si="217"/>
        <v>#N/A</v>
      </c>
      <c r="AW447" s="2" t="e">
        <f t="shared" ca="1" si="239"/>
        <v>#N/A</v>
      </c>
      <c r="AX447" s="2" t="e">
        <f t="shared" ca="1" si="240"/>
        <v>#N/A</v>
      </c>
      <c r="AY447" s="2" t="e">
        <f t="shared" ca="1" si="241"/>
        <v>#N/A</v>
      </c>
      <c r="AZ447" s="2" t="e">
        <f t="shared" ca="1" si="242"/>
        <v>#N/A</v>
      </c>
      <c r="BA447" s="2" t="e">
        <f t="shared" ca="1" si="243"/>
        <v>#N/A</v>
      </c>
      <c r="BB447" s="2" t="e">
        <f t="shared" ca="1" si="244"/>
        <v>#N/A</v>
      </c>
      <c r="BC447" s="9" t="e">
        <f t="shared" ca="1" si="245"/>
        <v>#N/A</v>
      </c>
      <c r="BD447" s="9" t="e">
        <f t="shared" ca="1" si="246"/>
        <v>#N/A</v>
      </c>
    </row>
    <row r="448" spans="1:56" ht="15" x14ac:dyDescent="0.25">
      <c r="A448" s="63"/>
      <c r="B448" s="63"/>
      <c r="C448" s="64"/>
      <c r="D448" s="64"/>
      <c r="E448" s="64"/>
      <c r="F448" s="64"/>
      <c r="G448" s="64"/>
      <c r="H448" s="64"/>
      <c r="I448" s="64"/>
      <c r="J448" s="64"/>
      <c r="K448" s="64"/>
      <c r="L448" s="64"/>
      <c r="M448" s="64"/>
      <c r="O448" s="11">
        <f t="shared" ca="1" si="232"/>
        <v>-3.9378682616450625E-4</v>
      </c>
      <c r="P448" s="11">
        <f t="shared" ca="1" si="233"/>
        <v>-1.6358405771021967E-4</v>
      </c>
      <c r="Q448" s="11">
        <f t="shared" ca="1" si="234"/>
        <v>-1.614029402377854E-3</v>
      </c>
      <c r="R448" s="11">
        <f t="shared" ca="1" si="235"/>
        <v>-1.4853760121635622E-5</v>
      </c>
      <c r="S448" s="11">
        <f t="shared" ca="1" si="236"/>
        <v>-1.1458026838550334E-3</v>
      </c>
      <c r="T448" s="11">
        <f t="shared" ca="1" si="237"/>
        <v>-4.9053934342410677E-4</v>
      </c>
      <c r="U448" s="11">
        <f t="shared" ca="1" si="238"/>
        <v>-5.5074395654535931E-3</v>
      </c>
      <c r="V448" s="11"/>
      <c r="W448" s="11">
        <f t="shared" ca="1" si="218"/>
        <v>0</v>
      </c>
      <c r="X448" s="2">
        <f t="shared" ca="1" si="219"/>
        <v>-1.6358405771021967E-4</v>
      </c>
      <c r="Y448" s="2">
        <f t="shared" ca="1" si="220"/>
        <v>-1.614029402377854E-3</v>
      </c>
      <c r="Z448" s="11">
        <f t="shared" ca="1" si="221"/>
        <v>-1.4853760121635622E-5</v>
      </c>
      <c r="AA448" s="2">
        <f t="shared" ca="1" si="222"/>
        <v>-1.1458026838550334E-3</v>
      </c>
      <c r="AB448" s="11">
        <f t="shared" ca="1" si="223"/>
        <v>-4.9053934342410677E-4</v>
      </c>
      <c r="AC448" s="2">
        <f t="shared" ca="1" si="224"/>
        <v>-5.5074395654535931E-3</v>
      </c>
      <c r="AF448" s="11">
        <f t="shared" ca="1" si="225"/>
        <v>0</v>
      </c>
      <c r="AG448" s="2">
        <f t="shared" ca="1" si="226"/>
        <v>-1.6358405771021967E-4</v>
      </c>
      <c r="AH448" s="2">
        <f t="shared" ca="1" si="227"/>
        <v>-1.614029402377854E-3</v>
      </c>
      <c r="AI448" s="2">
        <f t="shared" ca="1" si="228"/>
        <v>-1.4853760121635622E-5</v>
      </c>
      <c r="AJ448" s="2">
        <f t="shared" ca="1" si="229"/>
        <v>-1.1458026838550334E-3</v>
      </c>
      <c r="AK448" s="2">
        <f t="shared" ca="1" si="230"/>
        <v>-4.9053934342410677E-4</v>
      </c>
      <c r="AL448" s="2">
        <f t="shared" ca="1" si="231"/>
        <v>-5.5074395654535931E-3</v>
      </c>
      <c r="AN448" s="2" t="e">
        <f t="shared" ca="1" si="210"/>
        <v>#N/A</v>
      </c>
      <c r="AO448" s="2" t="e">
        <f t="shared" ca="1" si="211"/>
        <v>#N/A</v>
      </c>
      <c r="AP448" s="2" t="e">
        <f t="shared" ca="1" si="212"/>
        <v>#N/A</v>
      </c>
      <c r="AQ448" s="2" t="e">
        <f t="shared" ca="1" si="213"/>
        <v>#N/A</v>
      </c>
      <c r="AR448" s="2" t="e">
        <f t="shared" ca="1" si="214"/>
        <v>#N/A</v>
      </c>
      <c r="AS448" s="2" t="e">
        <f t="shared" ca="1" si="215"/>
        <v>#N/A</v>
      </c>
      <c r="AT448" s="9" t="e">
        <f t="shared" ca="1" si="216"/>
        <v>#N/A</v>
      </c>
      <c r="AU448" s="9" t="e">
        <f t="shared" ca="1" si="217"/>
        <v>#N/A</v>
      </c>
      <c r="AW448" s="2" t="e">
        <f t="shared" ca="1" si="239"/>
        <v>#N/A</v>
      </c>
      <c r="AX448" s="2" t="e">
        <f t="shared" ca="1" si="240"/>
        <v>#N/A</v>
      </c>
      <c r="AY448" s="2" t="e">
        <f t="shared" ca="1" si="241"/>
        <v>#N/A</v>
      </c>
      <c r="AZ448" s="2" t="e">
        <f t="shared" ca="1" si="242"/>
        <v>#N/A</v>
      </c>
      <c r="BA448" s="2" t="e">
        <f t="shared" ca="1" si="243"/>
        <v>#N/A</v>
      </c>
      <c r="BB448" s="2" t="e">
        <f t="shared" ca="1" si="244"/>
        <v>#N/A</v>
      </c>
      <c r="BC448" s="9" t="e">
        <f t="shared" ca="1" si="245"/>
        <v>#N/A</v>
      </c>
      <c r="BD448" s="9" t="e">
        <f t="shared" ca="1" si="246"/>
        <v>#N/A</v>
      </c>
    </row>
    <row r="449" spans="1:56" ht="15" x14ac:dyDescent="0.25">
      <c r="A449" s="63"/>
      <c r="B449" s="63"/>
      <c r="C449" s="64"/>
      <c r="D449" s="64"/>
      <c r="E449" s="64"/>
      <c r="F449" s="64"/>
      <c r="G449" s="64"/>
      <c r="H449" s="64"/>
      <c r="I449" s="64"/>
      <c r="J449" s="64"/>
      <c r="K449" s="64"/>
      <c r="L449" s="64"/>
      <c r="M449" s="64"/>
      <c r="O449" s="11">
        <f t="shared" ca="1" si="232"/>
        <v>-3.9378682616450625E-4</v>
      </c>
      <c r="P449" s="11">
        <f t="shared" ca="1" si="233"/>
        <v>-1.6358405771021967E-4</v>
      </c>
      <c r="Q449" s="11">
        <f t="shared" ca="1" si="234"/>
        <v>-1.614029402377854E-3</v>
      </c>
      <c r="R449" s="11">
        <f t="shared" ca="1" si="235"/>
        <v>-1.4853760121635622E-5</v>
      </c>
      <c r="S449" s="11">
        <f t="shared" ca="1" si="236"/>
        <v>-1.1458026838550334E-3</v>
      </c>
      <c r="T449" s="11">
        <f t="shared" ca="1" si="237"/>
        <v>-4.9053934342410677E-4</v>
      </c>
      <c r="U449" s="11">
        <f t="shared" ca="1" si="238"/>
        <v>-5.5074395654535931E-3</v>
      </c>
      <c r="V449" s="11"/>
      <c r="W449" s="11">
        <f t="shared" ca="1" si="218"/>
        <v>0</v>
      </c>
      <c r="X449" s="2">
        <f t="shared" ca="1" si="219"/>
        <v>-1.6358405771021967E-4</v>
      </c>
      <c r="Y449" s="2">
        <f t="shared" ca="1" si="220"/>
        <v>-1.614029402377854E-3</v>
      </c>
      <c r="Z449" s="11">
        <f t="shared" ca="1" si="221"/>
        <v>-1.4853760121635622E-5</v>
      </c>
      <c r="AA449" s="2">
        <f t="shared" ca="1" si="222"/>
        <v>-1.1458026838550334E-3</v>
      </c>
      <c r="AB449" s="11">
        <f t="shared" ca="1" si="223"/>
        <v>-4.9053934342410677E-4</v>
      </c>
      <c r="AC449" s="2">
        <f t="shared" ca="1" si="224"/>
        <v>-5.5074395654535931E-3</v>
      </c>
      <c r="AF449" s="11">
        <f t="shared" ca="1" si="225"/>
        <v>0</v>
      </c>
      <c r="AG449" s="2">
        <f t="shared" ca="1" si="226"/>
        <v>-1.6358405771021967E-4</v>
      </c>
      <c r="AH449" s="2">
        <f t="shared" ca="1" si="227"/>
        <v>-1.614029402377854E-3</v>
      </c>
      <c r="AI449" s="2">
        <f t="shared" ca="1" si="228"/>
        <v>-1.4853760121635622E-5</v>
      </c>
      <c r="AJ449" s="2">
        <f t="shared" ca="1" si="229"/>
        <v>-1.1458026838550334E-3</v>
      </c>
      <c r="AK449" s="2">
        <f t="shared" ca="1" si="230"/>
        <v>-4.9053934342410677E-4</v>
      </c>
      <c r="AL449" s="2">
        <f t="shared" ca="1" si="231"/>
        <v>-5.5074395654535931E-3</v>
      </c>
      <c r="AN449" s="2" t="e">
        <f t="shared" ca="1" si="210"/>
        <v>#N/A</v>
      </c>
      <c r="AO449" s="2" t="e">
        <f t="shared" ca="1" si="211"/>
        <v>#N/A</v>
      </c>
      <c r="AP449" s="2" t="e">
        <f t="shared" ca="1" si="212"/>
        <v>#N/A</v>
      </c>
      <c r="AQ449" s="2" t="e">
        <f t="shared" ca="1" si="213"/>
        <v>#N/A</v>
      </c>
      <c r="AR449" s="2" t="e">
        <f t="shared" ca="1" si="214"/>
        <v>#N/A</v>
      </c>
      <c r="AS449" s="2" t="e">
        <f t="shared" ca="1" si="215"/>
        <v>#N/A</v>
      </c>
      <c r="AT449" s="9" t="e">
        <f t="shared" ca="1" si="216"/>
        <v>#N/A</v>
      </c>
      <c r="AU449" s="9" t="e">
        <f t="shared" ca="1" si="217"/>
        <v>#N/A</v>
      </c>
      <c r="AW449" s="2" t="e">
        <f t="shared" ca="1" si="239"/>
        <v>#N/A</v>
      </c>
      <c r="AX449" s="2" t="e">
        <f t="shared" ca="1" si="240"/>
        <v>#N/A</v>
      </c>
      <c r="AY449" s="2" t="e">
        <f t="shared" ca="1" si="241"/>
        <v>#N/A</v>
      </c>
      <c r="AZ449" s="2" t="e">
        <f t="shared" ca="1" si="242"/>
        <v>#N/A</v>
      </c>
      <c r="BA449" s="2" t="e">
        <f t="shared" ca="1" si="243"/>
        <v>#N/A</v>
      </c>
      <c r="BB449" s="2" t="e">
        <f t="shared" ca="1" si="244"/>
        <v>#N/A</v>
      </c>
      <c r="BC449" s="9" t="e">
        <f t="shared" ca="1" si="245"/>
        <v>#N/A</v>
      </c>
      <c r="BD449" s="9" t="e">
        <f t="shared" ca="1" si="246"/>
        <v>#N/A</v>
      </c>
    </row>
    <row r="450" spans="1:56" ht="15" x14ac:dyDescent="0.25">
      <c r="A450" s="63"/>
      <c r="B450" s="63"/>
      <c r="C450" s="64"/>
      <c r="D450" s="64"/>
      <c r="E450" s="64"/>
      <c r="F450" s="64"/>
      <c r="G450" s="64"/>
      <c r="H450" s="64"/>
      <c r="I450" s="64"/>
      <c r="J450" s="64"/>
      <c r="K450" s="64"/>
      <c r="L450" s="64"/>
      <c r="M450" s="64"/>
      <c r="O450" s="11">
        <f t="shared" ca="1" si="232"/>
        <v>-3.9378682616450625E-4</v>
      </c>
      <c r="P450" s="11">
        <f t="shared" ca="1" si="233"/>
        <v>-1.6358405771021967E-4</v>
      </c>
      <c r="Q450" s="11">
        <f t="shared" ca="1" si="234"/>
        <v>-1.614029402377854E-3</v>
      </c>
      <c r="R450" s="11">
        <f t="shared" ca="1" si="235"/>
        <v>-1.4853760121635622E-5</v>
      </c>
      <c r="S450" s="11">
        <f t="shared" ca="1" si="236"/>
        <v>-1.1458026838550334E-3</v>
      </c>
      <c r="T450" s="11">
        <f t="shared" ca="1" si="237"/>
        <v>-4.9053934342410677E-4</v>
      </c>
      <c r="U450" s="11">
        <f t="shared" ca="1" si="238"/>
        <v>-5.5074395654535931E-3</v>
      </c>
      <c r="V450" s="11"/>
      <c r="W450" s="11">
        <f t="shared" ca="1" si="218"/>
        <v>0</v>
      </c>
      <c r="X450" s="2">
        <f t="shared" ca="1" si="219"/>
        <v>-1.6358405771021967E-4</v>
      </c>
      <c r="Y450" s="2">
        <f t="shared" ca="1" si="220"/>
        <v>-1.614029402377854E-3</v>
      </c>
      <c r="Z450" s="11">
        <f t="shared" ca="1" si="221"/>
        <v>-1.4853760121635622E-5</v>
      </c>
      <c r="AA450" s="2">
        <f t="shared" ca="1" si="222"/>
        <v>-1.1458026838550334E-3</v>
      </c>
      <c r="AB450" s="11">
        <f t="shared" ca="1" si="223"/>
        <v>-4.9053934342410677E-4</v>
      </c>
      <c r="AC450" s="2">
        <f t="shared" ca="1" si="224"/>
        <v>-5.5074395654535931E-3</v>
      </c>
      <c r="AF450" s="11">
        <f t="shared" ca="1" si="225"/>
        <v>0</v>
      </c>
      <c r="AG450" s="2">
        <f t="shared" ca="1" si="226"/>
        <v>-1.6358405771021967E-4</v>
      </c>
      <c r="AH450" s="2">
        <f t="shared" ca="1" si="227"/>
        <v>-1.614029402377854E-3</v>
      </c>
      <c r="AI450" s="2">
        <f t="shared" ca="1" si="228"/>
        <v>-1.4853760121635622E-5</v>
      </c>
      <c r="AJ450" s="2">
        <f t="shared" ca="1" si="229"/>
        <v>-1.1458026838550334E-3</v>
      </c>
      <c r="AK450" s="2">
        <f t="shared" ca="1" si="230"/>
        <v>-4.9053934342410677E-4</v>
      </c>
      <c r="AL450" s="2">
        <f t="shared" ca="1" si="231"/>
        <v>-5.5074395654535931E-3</v>
      </c>
      <c r="AN450" s="2" t="e">
        <f t="shared" ca="1" si="210"/>
        <v>#N/A</v>
      </c>
      <c r="AO450" s="2" t="e">
        <f t="shared" ca="1" si="211"/>
        <v>#N/A</v>
      </c>
      <c r="AP450" s="2" t="e">
        <f t="shared" ca="1" si="212"/>
        <v>#N/A</v>
      </c>
      <c r="AQ450" s="2" t="e">
        <f t="shared" ca="1" si="213"/>
        <v>#N/A</v>
      </c>
      <c r="AR450" s="2" t="e">
        <f t="shared" ca="1" si="214"/>
        <v>#N/A</v>
      </c>
      <c r="AS450" s="2" t="e">
        <f t="shared" ca="1" si="215"/>
        <v>#N/A</v>
      </c>
      <c r="AT450" s="9" t="e">
        <f t="shared" ca="1" si="216"/>
        <v>#N/A</v>
      </c>
      <c r="AU450" s="9" t="e">
        <f t="shared" ca="1" si="217"/>
        <v>#N/A</v>
      </c>
      <c r="AW450" s="2" t="e">
        <f t="shared" ca="1" si="239"/>
        <v>#N/A</v>
      </c>
      <c r="AX450" s="2" t="e">
        <f t="shared" ca="1" si="240"/>
        <v>#N/A</v>
      </c>
      <c r="AY450" s="2" t="e">
        <f t="shared" ca="1" si="241"/>
        <v>#N/A</v>
      </c>
      <c r="AZ450" s="2" t="e">
        <f t="shared" ca="1" si="242"/>
        <v>#N/A</v>
      </c>
      <c r="BA450" s="2" t="e">
        <f t="shared" ca="1" si="243"/>
        <v>#N/A</v>
      </c>
      <c r="BB450" s="2" t="e">
        <f t="shared" ca="1" si="244"/>
        <v>#N/A</v>
      </c>
      <c r="BC450" s="9" t="e">
        <f t="shared" ca="1" si="245"/>
        <v>#N/A</v>
      </c>
      <c r="BD450" s="9" t="e">
        <f t="shared" ca="1" si="246"/>
        <v>#N/A</v>
      </c>
    </row>
    <row r="451" spans="1:56" ht="15" x14ac:dyDescent="0.25">
      <c r="A451" s="63"/>
      <c r="B451" s="63"/>
      <c r="C451" s="64"/>
      <c r="D451" s="64"/>
      <c r="E451" s="64"/>
      <c r="F451" s="64"/>
      <c r="G451" s="64"/>
      <c r="H451" s="64"/>
      <c r="I451" s="64"/>
      <c r="J451" s="64"/>
      <c r="K451" s="64"/>
      <c r="L451" s="64"/>
      <c r="M451" s="64"/>
      <c r="O451" s="11">
        <f t="shared" ca="1" si="232"/>
        <v>-3.9378682616450625E-4</v>
      </c>
      <c r="P451" s="11">
        <f t="shared" ca="1" si="233"/>
        <v>-1.6358405771021967E-4</v>
      </c>
      <c r="Q451" s="11">
        <f t="shared" ca="1" si="234"/>
        <v>-1.614029402377854E-3</v>
      </c>
      <c r="R451" s="11">
        <f t="shared" ca="1" si="235"/>
        <v>-1.4853760121635622E-5</v>
      </c>
      <c r="S451" s="11">
        <f t="shared" ca="1" si="236"/>
        <v>-1.1458026838550334E-3</v>
      </c>
      <c r="T451" s="11">
        <f t="shared" ca="1" si="237"/>
        <v>-4.9053934342410677E-4</v>
      </c>
      <c r="U451" s="11">
        <f t="shared" ca="1" si="238"/>
        <v>-5.5074395654535931E-3</v>
      </c>
      <c r="V451" s="11"/>
      <c r="W451" s="11">
        <f t="shared" ca="1" si="218"/>
        <v>0</v>
      </c>
      <c r="X451" s="2">
        <f t="shared" ca="1" si="219"/>
        <v>-1.6358405771021967E-4</v>
      </c>
      <c r="Y451" s="2">
        <f t="shared" ca="1" si="220"/>
        <v>-1.614029402377854E-3</v>
      </c>
      <c r="Z451" s="11">
        <f t="shared" ca="1" si="221"/>
        <v>-1.4853760121635622E-5</v>
      </c>
      <c r="AA451" s="2">
        <f t="shared" ca="1" si="222"/>
        <v>-1.1458026838550334E-3</v>
      </c>
      <c r="AB451" s="11">
        <f t="shared" ca="1" si="223"/>
        <v>-4.9053934342410677E-4</v>
      </c>
      <c r="AC451" s="2">
        <f t="shared" ca="1" si="224"/>
        <v>-5.5074395654535931E-3</v>
      </c>
      <c r="AF451" s="11">
        <f t="shared" ca="1" si="225"/>
        <v>0</v>
      </c>
      <c r="AG451" s="2">
        <f t="shared" ca="1" si="226"/>
        <v>-1.6358405771021967E-4</v>
      </c>
      <c r="AH451" s="2">
        <f t="shared" ca="1" si="227"/>
        <v>-1.614029402377854E-3</v>
      </c>
      <c r="AI451" s="2">
        <f t="shared" ca="1" si="228"/>
        <v>-1.4853760121635622E-5</v>
      </c>
      <c r="AJ451" s="2">
        <f t="shared" ca="1" si="229"/>
        <v>-1.1458026838550334E-3</v>
      </c>
      <c r="AK451" s="2">
        <f t="shared" ca="1" si="230"/>
        <v>-4.9053934342410677E-4</v>
      </c>
      <c r="AL451" s="2">
        <f t="shared" ca="1" si="231"/>
        <v>-5.5074395654535931E-3</v>
      </c>
      <c r="AN451" s="2" t="e">
        <f t="shared" ref="AN451:AN514" ca="1" si="247">IF(AND(S451&gt;0,U451&gt;0),U451/S451, #N/A)</f>
        <v>#N/A</v>
      </c>
      <c r="AO451" s="2" t="e">
        <f t="shared" ref="AO451:AO514" ca="1" si="248">$B$8*((AN451/$B$10)^$B$11)</f>
        <v>#N/A</v>
      </c>
      <c r="AP451" s="2" t="e">
        <f t="shared" ref="AP451:AP514" ca="1" si="249">AO451*R451</f>
        <v>#N/A</v>
      </c>
      <c r="AQ451" s="2" t="e">
        <f t="shared" ref="AQ451:AQ514" ca="1" si="250">T451-AP451</f>
        <v>#N/A</v>
      </c>
      <c r="AR451" s="2" t="e">
        <f t="shared" ref="AR451:AR514" ca="1" si="251">(AQ451/S451)/((AN451/$B$10)^$B$12)</f>
        <v>#N/A</v>
      </c>
      <c r="AS451" s="2" t="e">
        <f t="shared" ref="AS451:AS514" ca="1" si="252">(Q451/S451)/((AN451/$B$10)^$B$13)</f>
        <v>#N/A</v>
      </c>
      <c r="AT451" s="9" t="e">
        <f t="shared" ref="AT451:AT514" ca="1" si="253">IF(AND(AR451&lt;$M$3,AR451&gt;$M$4),AR451,"rejected")</f>
        <v>#N/A</v>
      </c>
      <c r="AU451" s="9" t="e">
        <f t="shared" ref="AU451:AU514" ca="1" si="254">IF(AND(AR451&lt;$M$3,AR451&gt;$M$4),AR451,#N/A)</f>
        <v>#N/A</v>
      </c>
      <c r="AW451" s="2" t="e">
        <f t="shared" ca="1" si="239"/>
        <v>#N/A</v>
      </c>
      <c r="AX451" s="2" t="e">
        <f t="shared" ca="1" si="240"/>
        <v>#N/A</v>
      </c>
      <c r="AY451" s="2" t="e">
        <f t="shared" ca="1" si="241"/>
        <v>#N/A</v>
      </c>
      <c r="AZ451" s="2" t="e">
        <f t="shared" ca="1" si="242"/>
        <v>#N/A</v>
      </c>
      <c r="BA451" s="2" t="e">
        <f t="shared" ca="1" si="243"/>
        <v>#N/A</v>
      </c>
      <c r="BB451" s="2" t="e">
        <f t="shared" ca="1" si="244"/>
        <v>#N/A</v>
      </c>
      <c r="BC451" s="9" t="e">
        <f t="shared" ca="1" si="245"/>
        <v>#N/A</v>
      </c>
      <c r="BD451" s="9" t="e">
        <f t="shared" ca="1" si="246"/>
        <v>#N/A</v>
      </c>
    </row>
    <row r="452" spans="1:56" ht="15" x14ac:dyDescent="0.25">
      <c r="A452" s="63"/>
      <c r="B452" s="63"/>
      <c r="C452" s="64"/>
      <c r="D452" s="64"/>
      <c r="E452" s="64"/>
      <c r="F452" s="64"/>
      <c r="G452" s="64"/>
      <c r="H452" s="64"/>
      <c r="I452" s="64"/>
      <c r="J452" s="64"/>
      <c r="K452" s="64"/>
      <c r="L452" s="64"/>
      <c r="M452" s="64"/>
      <c r="O452" s="11">
        <f t="shared" ca="1" si="232"/>
        <v>-3.9378682616450625E-4</v>
      </c>
      <c r="P452" s="11">
        <f t="shared" ca="1" si="233"/>
        <v>-1.6358405771021967E-4</v>
      </c>
      <c r="Q452" s="11">
        <f t="shared" ca="1" si="234"/>
        <v>-1.614029402377854E-3</v>
      </c>
      <c r="R452" s="11">
        <f t="shared" ca="1" si="235"/>
        <v>-1.4853760121635622E-5</v>
      </c>
      <c r="S452" s="11">
        <f t="shared" ca="1" si="236"/>
        <v>-1.1458026838550334E-3</v>
      </c>
      <c r="T452" s="11">
        <f t="shared" ca="1" si="237"/>
        <v>-4.9053934342410677E-4</v>
      </c>
      <c r="U452" s="11">
        <f t="shared" ca="1" si="238"/>
        <v>-5.5074395654535931E-3</v>
      </c>
      <c r="V452" s="11"/>
      <c r="W452" s="11">
        <f t="shared" ref="W452:W515" ca="1" si="255">O452-O452</f>
        <v>0</v>
      </c>
      <c r="X452" s="2">
        <f t="shared" ref="X452:X515" ca="1" si="256">IF(O452&gt;0,P452-(O452*$X$63/$W$63), P452)</f>
        <v>-1.6358405771021967E-4</v>
      </c>
      <c r="Y452" s="2">
        <f t="shared" ref="Y452:Y515" ca="1" si="257">IF(O452&gt;0,Q452-(O452*$Y$63/$W$63),Q452)</f>
        <v>-1.614029402377854E-3</v>
      </c>
      <c r="Z452" s="11">
        <f t="shared" ref="Z452:Z515" ca="1" si="258">R452</f>
        <v>-1.4853760121635622E-5</v>
      </c>
      <c r="AA452" s="2">
        <f t="shared" ref="AA452:AA515" ca="1" si="259">IF(O452&gt;0,S452-(O452*$AA$63/$W$63),S452)</f>
        <v>-1.1458026838550334E-3</v>
      </c>
      <c r="AB452" s="11">
        <f t="shared" ref="AB452:AB515" ca="1" si="260">T452</f>
        <v>-4.9053934342410677E-4</v>
      </c>
      <c r="AC452" s="2">
        <f t="shared" ref="AC452:AC515" ca="1" si="261">IF(O452&gt;0,U452-(O452*$AC$63/$W$63),U452)</f>
        <v>-5.5074395654535931E-3</v>
      </c>
      <c r="AF452" s="11">
        <f t="shared" ref="AF452:AF515" ca="1" si="262">W452</f>
        <v>0</v>
      </c>
      <c r="AG452" s="2">
        <f t="shared" ref="AG452:AG515" ca="1" si="263">IF(O452&gt;0, X452-(O452*$AG$63/$AF$63), X452)</f>
        <v>-1.6358405771021967E-4</v>
      </c>
      <c r="AH452" s="2">
        <f t="shared" ref="AH452:AH515" ca="1" si="264">IF(O452&gt;0, Y452-(O452*$AH$63/$AF$63), Y452)</f>
        <v>-1.614029402377854E-3</v>
      </c>
      <c r="AI452" s="2">
        <f t="shared" ref="AI452:AI515" ca="1" si="265">IF(O452&gt;0, Z452-(O452*$AI$63/$AF$63), Z452)</f>
        <v>-1.4853760121635622E-5</v>
      </c>
      <c r="AJ452" s="2">
        <f t="shared" ref="AJ452:AJ515" ca="1" si="266">IF(O452&gt;0, AA452-(O452*$AJ$63/$AF$63), AA452)</f>
        <v>-1.1458026838550334E-3</v>
      </c>
      <c r="AK452" s="2">
        <f t="shared" ref="AK452:AK515" ca="1" si="267">IF(P452&gt;0, AB452-(P452*$AK$63/$AG$63), AB452)</f>
        <v>-4.9053934342410677E-4</v>
      </c>
      <c r="AL452" s="2">
        <f t="shared" ref="AL452:AL515" ca="1" si="268">IF(O452&gt;0, AC452-(O452*$AL$63/$AF$63), AC452)</f>
        <v>-5.5074395654535931E-3</v>
      </c>
      <c r="AN452" s="2" t="e">
        <f t="shared" ca="1" si="247"/>
        <v>#N/A</v>
      </c>
      <c r="AO452" s="2" t="e">
        <f t="shared" ca="1" si="248"/>
        <v>#N/A</v>
      </c>
      <c r="AP452" s="2" t="e">
        <f t="shared" ca="1" si="249"/>
        <v>#N/A</v>
      </c>
      <c r="AQ452" s="2" t="e">
        <f t="shared" ca="1" si="250"/>
        <v>#N/A</v>
      </c>
      <c r="AR452" s="2" t="e">
        <f t="shared" ca="1" si="251"/>
        <v>#N/A</v>
      </c>
      <c r="AS452" s="2" t="e">
        <f t="shared" ca="1" si="252"/>
        <v>#N/A</v>
      </c>
      <c r="AT452" s="9" t="e">
        <f t="shared" ca="1" si="253"/>
        <v>#N/A</v>
      </c>
      <c r="AU452" s="9" t="e">
        <f t="shared" ca="1" si="254"/>
        <v>#N/A</v>
      </c>
      <c r="AW452" s="2" t="e">
        <f t="shared" ca="1" si="239"/>
        <v>#N/A</v>
      </c>
      <c r="AX452" s="2" t="e">
        <f t="shared" ca="1" si="240"/>
        <v>#N/A</v>
      </c>
      <c r="AY452" s="2" t="e">
        <f t="shared" ca="1" si="241"/>
        <v>#N/A</v>
      </c>
      <c r="AZ452" s="2" t="e">
        <f t="shared" ca="1" si="242"/>
        <v>#N/A</v>
      </c>
      <c r="BA452" s="2" t="e">
        <f t="shared" ca="1" si="243"/>
        <v>#N/A</v>
      </c>
      <c r="BB452" s="2" t="e">
        <f t="shared" ca="1" si="244"/>
        <v>#N/A</v>
      </c>
      <c r="BC452" s="9" t="e">
        <f t="shared" ca="1" si="245"/>
        <v>#N/A</v>
      </c>
      <c r="BD452" s="9" t="e">
        <f t="shared" ca="1" si="246"/>
        <v>#N/A</v>
      </c>
    </row>
    <row r="453" spans="1:56" ht="15" x14ac:dyDescent="0.25">
      <c r="A453" s="63"/>
      <c r="B453" s="63"/>
      <c r="C453" s="64"/>
      <c r="D453" s="64"/>
      <c r="E453" s="64"/>
      <c r="F453" s="64"/>
      <c r="G453" s="64"/>
      <c r="H453" s="64"/>
      <c r="I453" s="64"/>
      <c r="J453" s="64"/>
      <c r="K453" s="64"/>
      <c r="L453" s="64"/>
      <c r="M453" s="64"/>
      <c r="O453" s="11">
        <f t="shared" ca="1" si="232"/>
        <v>-3.9378682616450625E-4</v>
      </c>
      <c r="P453" s="11">
        <f t="shared" ca="1" si="233"/>
        <v>-1.6358405771021967E-4</v>
      </c>
      <c r="Q453" s="11">
        <f t="shared" ca="1" si="234"/>
        <v>-1.614029402377854E-3</v>
      </c>
      <c r="R453" s="11">
        <f t="shared" ca="1" si="235"/>
        <v>-1.4853760121635622E-5</v>
      </c>
      <c r="S453" s="11">
        <f t="shared" ca="1" si="236"/>
        <v>-1.1458026838550334E-3</v>
      </c>
      <c r="T453" s="11">
        <f t="shared" ca="1" si="237"/>
        <v>-4.9053934342410677E-4</v>
      </c>
      <c r="U453" s="11">
        <f t="shared" ca="1" si="238"/>
        <v>-5.5074395654535931E-3</v>
      </c>
      <c r="V453" s="11"/>
      <c r="W453" s="11">
        <f t="shared" ca="1" si="255"/>
        <v>0</v>
      </c>
      <c r="X453" s="2">
        <f t="shared" ca="1" si="256"/>
        <v>-1.6358405771021967E-4</v>
      </c>
      <c r="Y453" s="2">
        <f t="shared" ca="1" si="257"/>
        <v>-1.614029402377854E-3</v>
      </c>
      <c r="Z453" s="11">
        <f t="shared" ca="1" si="258"/>
        <v>-1.4853760121635622E-5</v>
      </c>
      <c r="AA453" s="2">
        <f t="shared" ca="1" si="259"/>
        <v>-1.1458026838550334E-3</v>
      </c>
      <c r="AB453" s="11">
        <f t="shared" ca="1" si="260"/>
        <v>-4.9053934342410677E-4</v>
      </c>
      <c r="AC453" s="2">
        <f t="shared" ca="1" si="261"/>
        <v>-5.5074395654535931E-3</v>
      </c>
      <c r="AF453" s="11">
        <f t="shared" ca="1" si="262"/>
        <v>0</v>
      </c>
      <c r="AG453" s="2">
        <f t="shared" ca="1" si="263"/>
        <v>-1.6358405771021967E-4</v>
      </c>
      <c r="AH453" s="2">
        <f t="shared" ca="1" si="264"/>
        <v>-1.614029402377854E-3</v>
      </c>
      <c r="AI453" s="2">
        <f t="shared" ca="1" si="265"/>
        <v>-1.4853760121635622E-5</v>
      </c>
      <c r="AJ453" s="2">
        <f t="shared" ca="1" si="266"/>
        <v>-1.1458026838550334E-3</v>
      </c>
      <c r="AK453" s="2">
        <f t="shared" ca="1" si="267"/>
        <v>-4.9053934342410677E-4</v>
      </c>
      <c r="AL453" s="2">
        <f t="shared" ca="1" si="268"/>
        <v>-5.5074395654535931E-3</v>
      </c>
      <c r="AN453" s="2" t="e">
        <f t="shared" ca="1" si="247"/>
        <v>#N/A</v>
      </c>
      <c r="AO453" s="2" t="e">
        <f t="shared" ca="1" si="248"/>
        <v>#N/A</v>
      </c>
      <c r="AP453" s="2" t="e">
        <f t="shared" ca="1" si="249"/>
        <v>#N/A</v>
      </c>
      <c r="AQ453" s="2" t="e">
        <f t="shared" ca="1" si="250"/>
        <v>#N/A</v>
      </c>
      <c r="AR453" s="2" t="e">
        <f t="shared" ca="1" si="251"/>
        <v>#N/A</v>
      </c>
      <c r="AS453" s="2" t="e">
        <f t="shared" ca="1" si="252"/>
        <v>#N/A</v>
      </c>
      <c r="AT453" s="9" t="e">
        <f t="shared" ca="1" si="253"/>
        <v>#N/A</v>
      </c>
      <c r="AU453" s="9" t="e">
        <f t="shared" ca="1" si="254"/>
        <v>#N/A</v>
      </c>
      <c r="AW453" s="2" t="e">
        <f t="shared" ca="1" si="239"/>
        <v>#N/A</v>
      </c>
      <c r="AX453" s="2" t="e">
        <f t="shared" ca="1" si="240"/>
        <v>#N/A</v>
      </c>
      <c r="AY453" s="2" t="e">
        <f t="shared" ca="1" si="241"/>
        <v>#N/A</v>
      </c>
      <c r="AZ453" s="2" t="e">
        <f t="shared" ca="1" si="242"/>
        <v>#N/A</v>
      </c>
      <c r="BA453" s="2" t="e">
        <f t="shared" ca="1" si="243"/>
        <v>#N/A</v>
      </c>
      <c r="BB453" s="2" t="e">
        <f t="shared" ca="1" si="244"/>
        <v>#N/A</v>
      </c>
      <c r="BC453" s="9" t="e">
        <f t="shared" ca="1" si="245"/>
        <v>#N/A</v>
      </c>
      <c r="BD453" s="9" t="e">
        <f t="shared" ca="1" si="246"/>
        <v>#N/A</v>
      </c>
    </row>
    <row r="454" spans="1:56" ht="15" x14ac:dyDescent="0.25">
      <c r="A454" s="63"/>
      <c r="B454" s="63"/>
      <c r="C454" s="64"/>
      <c r="D454" s="64"/>
      <c r="E454" s="64"/>
      <c r="F454" s="64"/>
      <c r="G454" s="64"/>
      <c r="H454" s="64"/>
      <c r="I454" s="64"/>
      <c r="J454" s="64"/>
      <c r="K454" s="64"/>
      <c r="L454" s="64"/>
      <c r="M454" s="64"/>
      <c r="O454" s="11">
        <f t="shared" ca="1" si="232"/>
        <v>-3.9378682616450625E-4</v>
      </c>
      <c r="P454" s="11">
        <f t="shared" ca="1" si="233"/>
        <v>-1.6358405771021967E-4</v>
      </c>
      <c r="Q454" s="11">
        <f t="shared" ca="1" si="234"/>
        <v>-1.614029402377854E-3</v>
      </c>
      <c r="R454" s="11">
        <f t="shared" ca="1" si="235"/>
        <v>-1.4853760121635622E-5</v>
      </c>
      <c r="S454" s="11">
        <f t="shared" ca="1" si="236"/>
        <v>-1.1458026838550334E-3</v>
      </c>
      <c r="T454" s="11">
        <f t="shared" ca="1" si="237"/>
        <v>-4.9053934342410677E-4</v>
      </c>
      <c r="U454" s="11">
        <f t="shared" ca="1" si="238"/>
        <v>-5.5074395654535931E-3</v>
      </c>
      <c r="V454" s="11"/>
      <c r="W454" s="11">
        <f t="shared" ca="1" si="255"/>
        <v>0</v>
      </c>
      <c r="X454" s="2">
        <f t="shared" ca="1" si="256"/>
        <v>-1.6358405771021967E-4</v>
      </c>
      <c r="Y454" s="2">
        <f t="shared" ca="1" si="257"/>
        <v>-1.614029402377854E-3</v>
      </c>
      <c r="Z454" s="11">
        <f t="shared" ca="1" si="258"/>
        <v>-1.4853760121635622E-5</v>
      </c>
      <c r="AA454" s="2">
        <f t="shared" ca="1" si="259"/>
        <v>-1.1458026838550334E-3</v>
      </c>
      <c r="AB454" s="11">
        <f t="shared" ca="1" si="260"/>
        <v>-4.9053934342410677E-4</v>
      </c>
      <c r="AC454" s="2">
        <f t="shared" ca="1" si="261"/>
        <v>-5.5074395654535931E-3</v>
      </c>
      <c r="AF454" s="11">
        <f t="shared" ca="1" si="262"/>
        <v>0</v>
      </c>
      <c r="AG454" s="2">
        <f t="shared" ca="1" si="263"/>
        <v>-1.6358405771021967E-4</v>
      </c>
      <c r="AH454" s="2">
        <f t="shared" ca="1" si="264"/>
        <v>-1.614029402377854E-3</v>
      </c>
      <c r="AI454" s="2">
        <f t="shared" ca="1" si="265"/>
        <v>-1.4853760121635622E-5</v>
      </c>
      <c r="AJ454" s="2">
        <f t="shared" ca="1" si="266"/>
        <v>-1.1458026838550334E-3</v>
      </c>
      <c r="AK454" s="2">
        <f t="shared" ca="1" si="267"/>
        <v>-4.9053934342410677E-4</v>
      </c>
      <c r="AL454" s="2">
        <f t="shared" ca="1" si="268"/>
        <v>-5.5074395654535931E-3</v>
      </c>
      <c r="AN454" s="2" t="e">
        <f t="shared" ca="1" si="247"/>
        <v>#N/A</v>
      </c>
      <c r="AO454" s="2" t="e">
        <f t="shared" ca="1" si="248"/>
        <v>#N/A</v>
      </c>
      <c r="AP454" s="2" t="e">
        <f t="shared" ca="1" si="249"/>
        <v>#N/A</v>
      </c>
      <c r="AQ454" s="2" t="e">
        <f t="shared" ca="1" si="250"/>
        <v>#N/A</v>
      </c>
      <c r="AR454" s="2" t="e">
        <f t="shared" ca="1" si="251"/>
        <v>#N/A</v>
      </c>
      <c r="AS454" s="2" t="e">
        <f t="shared" ca="1" si="252"/>
        <v>#N/A</v>
      </c>
      <c r="AT454" s="9" t="e">
        <f t="shared" ca="1" si="253"/>
        <v>#N/A</v>
      </c>
      <c r="AU454" s="9" t="e">
        <f t="shared" ca="1" si="254"/>
        <v>#N/A</v>
      </c>
      <c r="AW454" s="2" t="e">
        <f t="shared" ca="1" si="239"/>
        <v>#N/A</v>
      </c>
      <c r="AX454" s="2" t="e">
        <f t="shared" ca="1" si="240"/>
        <v>#N/A</v>
      </c>
      <c r="AY454" s="2" t="e">
        <f t="shared" ca="1" si="241"/>
        <v>#N/A</v>
      </c>
      <c r="AZ454" s="2" t="e">
        <f t="shared" ca="1" si="242"/>
        <v>#N/A</v>
      </c>
      <c r="BA454" s="2" t="e">
        <f t="shared" ca="1" si="243"/>
        <v>#N/A</v>
      </c>
      <c r="BB454" s="2" t="e">
        <f t="shared" ca="1" si="244"/>
        <v>#N/A</v>
      </c>
      <c r="BC454" s="9" t="e">
        <f t="shared" ca="1" si="245"/>
        <v>#N/A</v>
      </c>
      <c r="BD454" s="9" t="e">
        <f t="shared" ca="1" si="246"/>
        <v>#N/A</v>
      </c>
    </row>
    <row r="455" spans="1:56" ht="15" x14ac:dyDescent="0.25">
      <c r="A455" s="63"/>
      <c r="B455" s="63"/>
      <c r="C455" s="64"/>
      <c r="D455" s="64"/>
      <c r="E455" s="64"/>
      <c r="F455" s="64"/>
      <c r="G455" s="64"/>
      <c r="H455" s="64"/>
      <c r="I455" s="64"/>
      <c r="J455" s="64"/>
      <c r="K455" s="64"/>
      <c r="L455" s="64"/>
      <c r="M455" s="64"/>
      <c r="O455" s="11">
        <f t="shared" ca="1" si="232"/>
        <v>-3.9378682616450625E-4</v>
      </c>
      <c r="P455" s="11">
        <f t="shared" ca="1" si="233"/>
        <v>-1.6358405771021967E-4</v>
      </c>
      <c r="Q455" s="11">
        <f t="shared" ca="1" si="234"/>
        <v>-1.614029402377854E-3</v>
      </c>
      <c r="R455" s="11">
        <f t="shared" ca="1" si="235"/>
        <v>-1.4853760121635622E-5</v>
      </c>
      <c r="S455" s="11">
        <f t="shared" ca="1" si="236"/>
        <v>-1.1458026838550334E-3</v>
      </c>
      <c r="T455" s="11">
        <f t="shared" ca="1" si="237"/>
        <v>-4.9053934342410677E-4</v>
      </c>
      <c r="U455" s="11">
        <f t="shared" ca="1" si="238"/>
        <v>-5.5074395654535931E-3</v>
      </c>
      <c r="V455" s="11"/>
      <c r="W455" s="11">
        <f t="shared" ca="1" si="255"/>
        <v>0</v>
      </c>
      <c r="X455" s="2">
        <f t="shared" ca="1" si="256"/>
        <v>-1.6358405771021967E-4</v>
      </c>
      <c r="Y455" s="2">
        <f t="shared" ca="1" si="257"/>
        <v>-1.614029402377854E-3</v>
      </c>
      <c r="Z455" s="11">
        <f t="shared" ca="1" si="258"/>
        <v>-1.4853760121635622E-5</v>
      </c>
      <c r="AA455" s="2">
        <f t="shared" ca="1" si="259"/>
        <v>-1.1458026838550334E-3</v>
      </c>
      <c r="AB455" s="11">
        <f t="shared" ca="1" si="260"/>
        <v>-4.9053934342410677E-4</v>
      </c>
      <c r="AC455" s="2">
        <f t="shared" ca="1" si="261"/>
        <v>-5.5074395654535931E-3</v>
      </c>
      <c r="AF455" s="11">
        <f t="shared" ca="1" si="262"/>
        <v>0</v>
      </c>
      <c r="AG455" s="2">
        <f t="shared" ca="1" si="263"/>
        <v>-1.6358405771021967E-4</v>
      </c>
      <c r="AH455" s="2">
        <f t="shared" ca="1" si="264"/>
        <v>-1.614029402377854E-3</v>
      </c>
      <c r="AI455" s="2">
        <f t="shared" ca="1" si="265"/>
        <v>-1.4853760121635622E-5</v>
      </c>
      <c r="AJ455" s="2">
        <f t="shared" ca="1" si="266"/>
        <v>-1.1458026838550334E-3</v>
      </c>
      <c r="AK455" s="2">
        <f t="shared" ca="1" si="267"/>
        <v>-4.9053934342410677E-4</v>
      </c>
      <c r="AL455" s="2">
        <f t="shared" ca="1" si="268"/>
        <v>-5.5074395654535931E-3</v>
      </c>
      <c r="AN455" s="2" t="e">
        <f t="shared" ca="1" si="247"/>
        <v>#N/A</v>
      </c>
      <c r="AO455" s="2" t="e">
        <f t="shared" ca="1" si="248"/>
        <v>#N/A</v>
      </c>
      <c r="AP455" s="2" t="e">
        <f t="shared" ca="1" si="249"/>
        <v>#N/A</v>
      </c>
      <c r="AQ455" s="2" t="e">
        <f t="shared" ca="1" si="250"/>
        <v>#N/A</v>
      </c>
      <c r="AR455" s="2" t="e">
        <f t="shared" ca="1" si="251"/>
        <v>#N/A</v>
      </c>
      <c r="AS455" s="2" t="e">
        <f t="shared" ca="1" si="252"/>
        <v>#N/A</v>
      </c>
      <c r="AT455" s="9" t="e">
        <f t="shared" ca="1" si="253"/>
        <v>#N/A</v>
      </c>
      <c r="AU455" s="9" t="e">
        <f t="shared" ca="1" si="254"/>
        <v>#N/A</v>
      </c>
      <c r="AW455" s="2" t="e">
        <f t="shared" ca="1" si="239"/>
        <v>#N/A</v>
      </c>
      <c r="AX455" s="2" t="e">
        <f t="shared" ca="1" si="240"/>
        <v>#N/A</v>
      </c>
      <c r="AY455" s="2" t="e">
        <f t="shared" ca="1" si="241"/>
        <v>#N/A</v>
      </c>
      <c r="AZ455" s="2" t="e">
        <f t="shared" ca="1" si="242"/>
        <v>#N/A</v>
      </c>
      <c r="BA455" s="2" t="e">
        <f t="shared" ca="1" si="243"/>
        <v>#N/A</v>
      </c>
      <c r="BB455" s="2" t="e">
        <f t="shared" ca="1" si="244"/>
        <v>#N/A</v>
      </c>
      <c r="BC455" s="9" t="e">
        <f t="shared" ca="1" si="245"/>
        <v>#N/A</v>
      </c>
      <c r="BD455" s="9" t="e">
        <f t="shared" ca="1" si="246"/>
        <v>#N/A</v>
      </c>
    </row>
    <row r="456" spans="1:56" ht="15" x14ac:dyDescent="0.25">
      <c r="A456" s="63"/>
      <c r="B456" s="63"/>
      <c r="C456" s="64"/>
      <c r="D456" s="64"/>
      <c r="E456" s="64"/>
      <c r="F456" s="64"/>
      <c r="G456" s="64"/>
      <c r="H456" s="64"/>
      <c r="I456" s="64"/>
      <c r="J456" s="64"/>
      <c r="K456" s="64"/>
      <c r="L456" s="64"/>
      <c r="M456" s="64"/>
      <c r="O456" s="11">
        <f t="shared" ca="1" si="232"/>
        <v>-3.9378682616450625E-4</v>
      </c>
      <c r="P456" s="11">
        <f t="shared" ca="1" si="233"/>
        <v>-1.6358405771021967E-4</v>
      </c>
      <c r="Q456" s="11">
        <f t="shared" ca="1" si="234"/>
        <v>-1.614029402377854E-3</v>
      </c>
      <c r="R456" s="11">
        <f t="shared" ca="1" si="235"/>
        <v>-1.4853760121635622E-5</v>
      </c>
      <c r="S456" s="11">
        <f t="shared" ca="1" si="236"/>
        <v>-1.1458026838550334E-3</v>
      </c>
      <c r="T456" s="11">
        <f t="shared" ca="1" si="237"/>
        <v>-4.9053934342410677E-4</v>
      </c>
      <c r="U456" s="11">
        <f t="shared" ca="1" si="238"/>
        <v>-5.5074395654535931E-3</v>
      </c>
      <c r="V456" s="11"/>
      <c r="W456" s="11">
        <f t="shared" ca="1" si="255"/>
        <v>0</v>
      </c>
      <c r="X456" s="2">
        <f t="shared" ca="1" si="256"/>
        <v>-1.6358405771021967E-4</v>
      </c>
      <c r="Y456" s="2">
        <f t="shared" ca="1" si="257"/>
        <v>-1.614029402377854E-3</v>
      </c>
      <c r="Z456" s="11">
        <f t="shared" ca="1" si="258"/>
        <v>-1.4853760121635622E-5</v>
      </c>
      <c r="AA456" s="2">
        <f t="shared" ca="1" si="259"/>
        <v>-1.1458026838550334E-3</v>
      </c>
      <c r="AB456" s="11">
        <f t="shared" ca="1" si="260"/>
        <v>-4.9053934342410677E-4</v>
      </c>
      <c r="AC456" s="2">
        <f t="shared" ca="1" si="261"/>
        <v>-5.5074395654535931E-3</v>
      </c>
      <c r="AF456" s="11">
        <f t="shared" ca="1" si="262"/>
        <v>0</v>
      </c>
      <c r="AG456" s="2">
        <f t="shared" ca="1" si="263"/>
        <v>-1.6358405771021967E-4</v>
      </c>
      <c r="AH456" s="2">
        <f t="shared" ca="1" si="264"/>
        <v>-1.614029402377854E-3</v>
      </c>
      <c r="AI456" s="2">
        <f t="shared" ca="1" si="265"/>
        <v>-1.4853760121635622E-5</v>
      </c>
      <c r="AJ456" s="2">
        <f t="shared" ca="1" si="266"/>
        <v>-1.1458026838550334E-3</v>
      </c>
      <c r="AK456" s="2">
        <f t="shared" ca="1" si="267"/>
        <v>-4.9053934342410677E-4</v>
      </c>
      <c r="AL456" s="2">
        <f t="shared" ca="1" si="268"/>
        <v>-5.5074395654535931E-3</v>
      </c>
      <c r="AN456" s="2" t="e">
        <f t="shared" ca="1" si="247"/>
        <v>#N/A</v>
      </c>
      <c r="AO456" s="2" t="e">
        <f t="shared" ca="1" si="248"/>
        <v>#N/A</v>
      </c>
      <c r="AP456" s="2" t="e">
        <f t="shared" ca="1" si="249"/>
        <v>#N/A</v>
      </c>
      <c r="AQ456" s="2" t="e">
        <f t="shared" ca="1" si="250"/>
        <v>#N/A</v>
      </c>
      <c r="AR456" s="2" t="e">
        <f t="shared" ca="1" si="251"/>
        <v>#N/A</v>
      </c>
      <c r="AS456" s="2" t="e">
        <f t="shared" ca="1" si="252"/>
        <v>#N/A</v>
      </c>
      <c r="AT456" s="9" t="e">
        <f t="shared" ca="1" si="253"/>
        <v>#N/A</v>
      </c>
      <c r="AU456" s="9" t="e">
        <f t="shared" ca="1" si="254"/>
        <v>#N/A</v>
      </c>
      <c r="AW456" s="2" t="e">
        <f t="shared" ca="1" si="239"/>
        <v>#N/A</v>
      </c>
      <c r="AX456" s="2" t="e">
        <f t="shared" ca="1" si="240"/>
        <v>#N/A</v>
      </c>
      <c r="AY456" s="2" t="e">
        <f t="shared" ca="1" si="241"/>
        <v>#N/A</v>
      </c>
      <c r="AZ456" s="2" t="e">
        <f t="shared" ca="1" si="242"/>
        <v>#N/A</v>
      </c>
      <c r="BA456" s="2" t="e">
        <f t="shared" ca="1" si="243"/>
        <v>#N/A</v>
      </c>
      <c r="BB456" s="2" t="e">
        <f t="shared" ca="1" si="244"/>
        <v>#N/A</v>
      </c>
      <c r="BC456" s="9" t="e">
        <f t="shared" ca="1" si="245"/>
        <v>#N/A</v>
      </c>
      <c r="BD456" s="9" t="e">
        <f t="shared" ca="1" si="246"/>
        <v>#N/A</v>
      </c>
    </row>
    <row r="457" spans="1:56" ht="15" x14ac:dyDescent="0.25">
      <c r="A457" s="63"/>
      <c r="B457" s="63"/>
      <c r="C457" s="64"/>
      <c r="D457" s="64"/>
      <c r="E457" s="64"/>
      <c r="F457" s="64"/>
      <c r="G457" s="64"/>
      <c r="H457" s="64"/>
      <c r="I457" s="64"/>
      <c r="J457" s="64"/>
      <c r="K457" s="64"/>
      <c r="L457" s="64"/>
      <c r="M457" s="64"/>
      <c r="O457" s="11">
        <f t="shared" ca="1" si="232"/>
        <v>-3.9378682616450625E-4</v>
      </c>
      <c r="P457" s="11">
        <f t="shared" ca="1" si="233"/>
        <v>-1.6358405771021967E-4</v>
      </c>
      <c r="Q457" s="11">
        <f t="shared" ca="1" si="234"/>
        <v>-1.614029402377854E-3</v>
      </c>
      <c r="R457" s="11">
        <f t="shared" ca="1" si="235"/>
        <v>-1.4853760121635622E-5</v>
      </c>
      <c r="S457" s="11">
        <f t="shared" ca="1" si="236"/>
        <v>-1.1458026838550334E-3</v>
      </c>
      <c r="T457" s="11">
        <f t="shared" ca="1" si="237"/>
        <v>-4.9053934342410677E-4</v>
      </c>
      <c r="U457" s="11">
        <f t="shared" ca="1" si="238"/>
        <v>-5.5074395654535931E-3</v>
      </c>
      <c r="V457" s="11"/>
      <c r="W457" s="11">
        <f t="shared" ca="1" si="255"/>
        <v>0</v>
      </c>
      <c r="X457" s="2">
        <f t="shared" ca="1" si="256"/>
        <v>-1.6358405771021967E-4</v>
      </c>
      <c r="Y457" s="2">
        <f t="shared" ca="1" si="257"/>
        <v>-1.614029402377854E-3</v>
      </c>
      <c r="Z457" s="11">
        <f t="shared" ca="1" si="258"/>
        <v>-1.4853760121635622E-5</v>
      </c>
      <c r="AA457" s="2">
        <f t="shared" ca="1" si="259"/>
        <v>-1.1458026838550334E-3</v>
      </c>
      <c r="AB457" s="11">
        <f t="shared" ca="1" si="260"/>
        <v>-4.9053934342410677E-4</v>
      </c>
      <c r="AC457" s="2">
        <f t="shared" ca="1" si="261"/>
        <v>-5.5074395654535931E-3</v>
      </c>
      <c r="AF457" s="11">
        <f t="shared" ca="1" si="262"/>
        <v>0</v>
      </c>
      <c r="AG457" s="2">
        <f t="shared" ca="1" si="263"/>
        <v>-1.6358405771021967E-4</v>
      </c>
      <c r="AH457" s="2">
        <f t="shared" ca="1" si="264"/>
        <v>-1.614029402377854E-3</v>
      </c>
      <c r="AI457" s="2">
        <f t="shared" ca="1" si="265"/>
        <v>-1.4853760121635622E-5</v>
      </c>
      <c r="AJ457" s="2">
        <f t="shared" ca="1" si="266"/>
        <v>-1.1458026838550334E-3</v>
      </c>
      <c r="AK457" s="2">
        <f t="shared" ca="1" si="267"/>
        <v>-4.9053934342410677E-4</v>
      </c>
      <c r="AL457" s="2">
        <f t="shared" ca="1" si="268"/>
        <v>-5.5074395654535931E-3</v>
      </c>
      <c r="AN457" s="2" t="e">
        <f t="shared" ca="1" si="247"/>
        <v>#N/A</v>
      </c>
      <c r="AO457" s="2" t="e">
        <f t="shared" ca="1" si="248"/>
        <v>#N/A</v>
      </c>
      <c r="AP457" s="2" t="e">
        <f t="shared" ca="1" si="249"/>
        <v>#N/A</v>
      </c>
      <c r="AQ457" s="2" t="e">
        <f t="shared" ca="1" si="250"/>
        <v>#N/A</v>
      </c>
      <c r="AR457" s="2" t="e">
        <f t="shared" ca="1" si="251"/>
        <v>#N/A</v>
      </c>
      <c r="AS457" s="2" t="e">
        <f t="shared" ca="1" si="252"/>
        <v>#N/A</v>
      </c>
      <c r="AT457" s="9" t="e">
        <f t="shared" ca="1" si="253"/>
        <v>#N/A</v>
      </c>
      <c r="AU457" s="9" t="e">
        <f t="shared" ca="1" si="254"/>
        <v>#N/A</v>
      </c>
      <c r="AW457" s="2" t="e">
        <f t="shared" ca="1" si="239"/>
        <v>#N/A</v>
      </c>
      <c r="AX457" s="2" t="e">
        <f t="shared" ca="1" si="240"/>
        <v>#N/A</v>
      </c>
      <c r="AY457" s="2" t="e">
        <f t="shared" ca="1" si="241"/>
        <v>#N/A</v>
      </c>
      <c r="AZ457" s="2" t="e">
        <f t="shared" ca="1" si="242"/>
        <v>#N/A</v>
      </c>
      <c r="BA457" s="2" t="e">
        <f t="shared" ca="1" si="243"/>
        <v>#N/A</v>
      </c>
      <c r="BB457" s="2" t="e">
        <f t="shared" ca="1" si="244"/>
        <v>#N/A</v>
      </c>
      <c r="BC457" s="9" t="e">
        <f t="shared" ca="1" si="245"/>
        <v>#N/A</v>
      </c>
      <c r="BD457" s="9" t="e">
        <f t="shared" ca="1" si="246"/>
        <v>#N/A</v>
      </c>
    </row>
    <row r="458" spans="1:56" ht="15" x14ac:dyDescent="0.25">
      <c r="A458" s="63"/>
      <c r="B458" s="63"/>
      <c r="C458" s="64"/>
      <c r="D458" s="64"/>
      <c r="E458" s="64"/>
      <c r="F458" s="64"/>
      <c r="G458" s="64"/>
      <c r="H458" s="64"/>
      <c r="I458" s="64"/>
      <c r="J458" s="64"/>
      <c r="K458" s="64"/>
      <c r="L458" s="64"/>
      <c r="M458" s="64"/>
      <c r="O458" s="11">
        <f t="shared" ca="1" si="232"/>
        <v>-3.9378682616450625E-4</v>
      </c>
      <c r="P458" s="11">
        <f t="shared" ca="1" si="233"/>
        <v>-1.6358405771021967E-4</v>
      </c>
      <c r="Q458" s="11">
        <f t="shared" ca="1" si="234"/>
        <v>-1.614029402377854E-3</v>
      </c>
      <c r="R458" s="11">
        <f t="shared" ca="1" si="235"/>
        <v>-1.4853760121635622E-5</v>
      </c>
      <c r="S458" s="11">
        <f t="shared" ca="1" si="236"/>
        <v>-1.1458026838550334E-3</v>
      </c>
      <c r="T458" s="11">
        <f t="shared" ca="1" si="237"/>
        <v>-4.9053934342410677E-4</v>
      </c>
      <c r="U458" s="11">
        <f t="shared" ca="1" si="238"/>
        <v>-5.5074395654535931E-3</v>
      </c>
      <c r="V458" s="11"/>
      <c r="W458" s="11">
        <f t="shared" ca="1" si="255"/>
        <v>0</v>
      </c>
      <c r="X458" s="2">
        <f t="shared" ca="1" si="256"/>
        <v>-1.6358405771021967E-4</v>
      </c>
      <c r="Y458" s="2">
        <f t="shared" ca="1" si="257"/>
        <v>-1.614029402377854E-3</v>
      </c>
      <c r="Z458" s="11">
        <f t="shared" ca="1" si="258"/>
        <v>-1.4853760121635622E-5</v>
      </c>
      <c r="AA458" s="2">
        <f t="shared" ca="1" si="259"/>
        <v>-1.1458026838550334E-3</v>
      </c>
      <c r="AB458" s="11">
        <f t="shared" ca="1" si="260"/>
        <v>-4.9053934342410677E-4</v>
      </c>
      <c r="AC458" s="2">
        <f t="shared" ca="1" si="261"/>
        <v>-5.5074395654535931E-3</v>
      </c>
      <c r="AF458" s="11">
        <f t="shared" ca="1" si="262"/>
        <v>0</v>
      </c>
      <c r="AG458" s="2">
        <f t="shared" ca="1" si="263"/>
        <v>-1.6358405771021967E-4</v>
      </c>
      <c r="AH458" s="2">
        <f t="shared" ca="1" si="264"/>
        <v>-1.614029402377854E-3</v>
      </c>
      <c r="AI458" s="2">
        <f t="shared" ca="1" si="265"/>
        <v>-1.4853760121635622E-5</v>
      </c>
      <c r="AJ458" s="2">
        <f t="shared" ca="1" si="266"/>
        <v>-1.1458026838550334E-3</v>
      </c>
      <c r="AK458" s="2">
        <f t="shared" ca="1" si="267"/>
        <v>-4.9053934342410677E-4</v>
      </c>
      <c r="AL458" s="2">
        <f t="shared" ca="1" si="268"/>
        <v>-5.5074395654535931E-3</v>
      </c>
      <c r="AN458" s="2" t="e">
        <f t="shared" ca="1" si="247"/>
        <v>#N/A</v>
      </c>
      <c r="AO458" s="2" t="e">
        <f t="shared" ca="1" si="248"/>
        <v>#N/A</v>
      </c>
      <c r="AP458" s="2" t="e">
        <f t="shared" ca="1" si="249"/>
        <v>#N/A</v>
      </c>
      <c r="AQ458" s="2" t="e">
        <f t="shared" ca="1" si="250"/>
        <v>#N/A</v>
      </c>
      <c r="AR458" s="2" t="e">
        <f t="shared" ca="1" si="251"/>
        <v>#N/A</v>
      </c>
      <c r="AS458" s="2" t="e">
        <f t="shared" ca="1" si="252"/>
        <v>#N/A</v>
      </c>
      <c r="AT458" s="9" t="e">
        <f t="shared" ca="1" si="253"/>
        <v>#N/A</v>
      </c>
      <c r="AU458" s="9" t="e">
        <f t="shared" ca="1" si="254"/>
        <v>#N/A</v>
      </c>
      <c r="AW458" s="2" t="e">
        <f t="shared" ca="1" si="239"/>
        <v>#N/A</v>
      </c>
      <c r="AX458" s="2" t="e">
        <f t="shared" ca="1" si="240"/>
        <v>#N/A</v>
      </c>
      <c r="AY458" s="2" t="e">
        <f t="shared" ca="1" si="241"/>
        <v>#N/A</v>
      </c>
      <c r="AZ458" s="2" t="e">
        <f t="shared" ca="1" si="242"/>
        <v>#N/A</v>
      </c>
      <c r="BA458" s="2" t="e">
        <f t="shared" ca="1" si="243"/>
        <v>#N/A</v>
      </c>
      <c r="BB458" s="2" t="e">
        <f t="shared" ca="1" si="244"/>
        <v>#N/A</v>
      </c>
      <c r="BC458" s="9" t="e">
        <f t="shared" ca="1" si="245"/>
        <v>#N/A</v>
      </c>
      <c r="BD458" s="9" t="e">
        <f t="shared" ca="1" si="246"/>
        <v>#N/A</v>
      </c>
    </row>
    <row r="459" spans="1:56" ht="15" x14ac:dyDescent="0.25">
      <c r="A459" s="63"/>
      <c r="B459" s="63"/>
      <c r="C459" s="64"/>
      <c r="D459" s="64"/>
      <c r="E459" s="64"/>
      <c r="F459" s="64"/>
      <c r="G459" s="64"/>
      <c r="H459" s="64"/>
      <c r="I459" s="64"/>
      <c r="J459" s="64"/>
      <c r="K459" s="64"/>
      <c r="L459" s="64"/>
      <c r="M459" s="64"/>
      <c r="O459" s="11">
        <f t="shared" ca="1" si="232"/>
        <v>-3.9378682616450625E-4</v>
      </c>
      <c r="P459" s="11">
        <f t="shared" ca="1" si="233"/>
        <v>-1.6358405771021967E-4</v>
      </c>
      <c r="Q459" s="11">
        <f t="shared" ca="1" si="234"/>
        <v>-1.614029402377854E-3</v>
      </c>
      <c r="R459" s="11">
        <f t="shared" ca="1" si="235"/>
        <v>-1.4853760121635622E-5</v>
      </c>
      <c r="S459" s="11">
        <f t="shared" ca="1" si="236"/>
        <v>-1.1458026838550334E-3</v>
      </c>
      <c r="T459" s="11">
        <f t="shared" ca="1" si="237"/>
        <v>-4.9053934342410677E-4</v>
      </c>
      <c r="U459" s="11">
        <f t="shared" ca="1" si="238"/>
        <v>-5.5074395654535931E-3</v>
      </c>
      <c r="V459" s="11"/>
      <c r="W459" s="11">
        <f t="shared" ca="1" si="255"/>
        <v>0</v>
      </c>
      <c r="X459" s="2">
        <f t="shared" ca="1" si="256"/>
        <v>-1.6358405771021967E-4</v>
      </c>
      <c r="Y459" s="2">
        <f t="shared" ca="1" si="257"/>
        <v>-1.614029402377854E-3</v>
      </c>
      <c r="Z459" s="11">
        <f t="shared" ca="1" si="258"/>
        <v>-1.4853760121635622E-5</v>
      </c>
      <c r="AA459" s="2">
        <f t="shared" ca="1" si="259"/>
        <v>-1.1458026838550334E-3</v>
      </c>
      <c r="AB459" s="11">
        <f t="shared" ca="1" si="260"/>
        <v>-4.9053934342410677E-4</v>
      </c>
      <c r="AC459" s="2">
        <f t="shared" ca="1" si="261"/>
        <v>-5.5074395654535931E-3</v>
      </c>
      <c r="AF459" s="11">
        <f t="shared" ca="1" si="262"/>
        <v>0</v>
      </c>
      <c r="AG459" s="2">
        <f t="shared" ca="1" si="263"/>
        <v>-1.6358405771021967E-4</v>
      </c>
      <c r="AH459" s="2">
        <f t="shared" ca="1" si="264"/>
        <v>-1.614029402377854E-3</v>
      </c>
      <c r="AI459" s="2">
        <f t="shared" ca="1" si="265"/>
        <v>-1.4853760121635622E-5</v>
      </c>
      <c r="AJ459" s="2">
        <f t="shared" ca="1" si="266"/>
        <v>-1.1458026838550334E-3</v>
      </c>
      <c r="AK459" s="2">
        <f t="shared" ca="1" si="267"/>
        <v>-4.9053934342410677E-4</v>
      </c>
      <c r="AL459" s="2">
        <f t="shared" ca="1" si="268"/>
        <v>-5.5074395654535931E-3</v>
      </c>
      <c r="AN459" s="2" t="e">
        <f t="shared" ca="1" si="247"/>
        <v>#N/A</v>
      </c>
      <c r="AO459" s="2" t="e">
        <f t="shared" ca="1" si="248"/>
        <v>#N/A</v>
      </c>
      <c r="AP459" s="2" t="e">
        <f t="shared" ca="1" si="249"/>
        <v>#N/A</v>
      </c>
      <c r="AQ459" s="2" t="e">
        <f t="shared" ca="1" si="250"/>
        <v>#N/A</v>
      </c>
      <c r="AR459" s="2" t="e">
        <f t="shared" ca="1" si="251"/>
        <v>#N/A</v>
      </c>
      <c r="AS459" s="2" t="e">
        <f t="shared" ca="1" si="252"/>
        <v>#N/A</v>
      </c>
      <c r="AT459" s="9" t="e">
        <f t="shared" ca="1" si="253"/>
        <v>#N/A</v>
      </c>
      <c r="AU459" s="9" t="e">
        <f t="shared" ca="1" si="254"/>
        <v>#N/A</v>
      </c>
      <c r="AW459" s="2" t="e">
        <f t="shared" ca="1" si="239"/>
        <v>#N/A</v>
      </c>
      <c r="AX459" s="2" t="e">
        <f t="shared" ca="1" si="240"/>
        <v>#N/A</v>
      </c>
      <c r="AY459" s="2" t="e">
        <f t="shared" ca="1" si="241"/>
        <v>#N/A</v>
      </c>
      <c r="AZ459" s="2" t="e">
        <f t="shared" ca="1" si="242"/>
        <v>#N/A</v>
      </c>
      <c r="BA459" s="2" t="e">
        <f t="shared" ca="1" si="243"/>
        <v>#N/A</v>
      </c>
      <c r="BB459" s="2" t="e">
        <f t="shared" ca="1" si="244"/>
        <v>#N/A</v>
      </c>
      <c r="BC459" s="9" t="e">
        <f t="shared" ca="1" si="245"/>
        <v>#N/A</v>
      </c>
      <c r="BD459" s="9" t="e">
        <f t="shared" ca="1" si="246"/>
        <v>#N/A</v>
      </c>
    </row>
    <row r="460" spans="1:56" ht="15" x14ac:dyDescent="0.25">
      <c r="A460" s="63"/>
      <c r="B460" s="63"/>
      <c r="C460" s="64"/>
      <c r="D460" s="64"/>
      <c r="E460" s="64"/>
      <c r="F460" s="64"/>
      <c r="G460" s="64"/>
      <c r="H460" s="64"/>
      <c r="I460" s="64"/>
      <c r="J460" s="64"/>
      <c r="K460" s="64"/>
      <c r="L460" s="64"/>
      <c r="M460" s="64"/>
      <c r="O460" s="11">
        <f t="shared" ca="1" si="232"/>
        <v>-3.9378682616450625E-4</v>
      </c>
      <c r="P460" s="11">
        <f t="shared" ca="1" si="233"/>
        <v>-1.6358405771021967E-4</v>
      </c>
      <c r="Q460" s="11">
        <f t="shared" ca="1" si="234"/>
        <v>-1.614029402377854E-3</v>
      </c>
      <c r="R460" s="11">
        <f t="shared" ca="1" si="235"/>
        <v>-1.4853760121635622E-5</v>
      </c>
      <c r="S460" s="11">
        <f t="shared" ca="1" si="236"/>
        <v>-1.1458026838550334E-3</v>
      </c>
      <c r="T460" s="11">
        <f t="shared" ca="1" si="237"/>
        <v>-4.9053934342410677E-4</v>
      </c>
      <c r="U460" s="11">
        <f t="shared" ca="1" si="238"/>
        <v>-5.5074395654535931E-3</v>
      </c>
      <c r="V460" s="11"/>
      <c r="W460" s="11">
        <f t="shared" ca="1" si="255"/>
        <v>0</v>
      </c>
      <c r="X460" s="2">
        <f t="shared" ca="1" si="256"/>
        <v>-1.6358405771021967E-4</v>
      </c>
      <c r="Y460" s="2">
        <f t="shared" ca="1" si="257"/>
        <v>-1.614029402377854E-3</v>
      </c>
      <c r="Z460" s="11">
        <f t="shared" ca="1" si="258"/>
        <v>-1.4853760121635622E-5</v>
      </c>
      <c r="AA460" s="2">
        <f t="shared" ca="1" si="259"/>
        <v>-1.1458026838550334E-3</v>
      </c>
      <c r="AB460" s="11">
        <f t="shared" ca="1" si="260"/>
        <v>-4.9053934342410677E-4</v>
      </c>
      <c r="AC460" s="2">
        <f t="shared" ca="1" si="261"/>
        <v>-5.5074395654535931E-3</v>
      </c>
      <c r="AF460" s="11">
        <f t="shared" ca="1" si="262"/>
        <v>0</v>
      </c>
      <c r="AG460" s="2">
        <f t="shared" ca="1" si="263"/>
        <v>-1.6358405771021967E-4</v>
      </c>
      <c r="AH460" s="2">
        <f t="shared" ca="1" si="264"/>
        <v>-1.614029402377854E-3</v>
      </c>
      <c r="AI460" s="2">
        <f t="shared" ca="1" si="265"/>
        <v>-1.4853760121635622E-5</v>
      </c>
      <c r="AJ460" s="2">
        <f t="shared" ca="1" si="266"/>
        <v>-1.1458026838550334E-3</v>
      </c>
      <c r="AK460" s="2">
        <f t="shared" ca="1" si="267"/>
        <v>-4.9053934342410677E-4</v>
      </c>
      <c r="AL460" s="2">
        <f t="shared" ca="1" si="268"/>
        <v>-5.5074395654535931E-3</v>
      </c>
      <c r="AN460" s="2" t="e">
        <f t="shared" ca="1" si="247"/>
        <v>#N/A</v>
      </c>
      <c r="AO460" s="2" t="e">
        <f t="shared" ca="1" si="248"/>
        <v>#N/A</v>
      </c>
      <c r="AP460" s="2" t="e">
        <f t="shared" ca="1" si="249"/>
        <v>#N/A</v>
      </c>
      <c r="AQ460" s="2" t="e">
        <f t="shared" ca="1" si="250"/>
        <v>#N/A</v>
      </c>
      <c r="AR460" s="2" t="e">
        <f t="shared" ca="1" si="251"/>
        <v>#N/A</v>
      </c>
      <c r="AS460" s="2" t="e">
        <f t="shared" ca="1" si="252"/>
        <v>#N/A</v>
      </c>
      <c r="AT460" s="9" t="e">
        <f t="shared" ca="1" si="253"/>
        <v>#N/A</v>
      </c>
      <c r="AU460" s="9" t="e">
        <f t="shared" ca="1" si="254"/>
        <v>#N/A</v>
      </c>
      <c r="AW460" s="2" t="e">
        <f t="shared" ca="1" si="239"/>
        <v>#N/A</v>
      </c>
      <c r="AX460" s="2" t="e">
        <f t="shared" ca="1" si="240"/>
        <v>#N/A</v>
      </c>
      <c r="AY460" s="2" t="e">
        <f t="shared" ca="1" si="241"/>
        <v>#N/A</v>
      </c>
      <c r="AZ460" s="2" t="e">
        <f t="shared" ca="1" si="242"/>
        <v>#N/A</v>
      </c>
      <c r="BA460" s="2" t="e">
        <f t="shared" ca="1" si="243"/>
        <v>#N/A</v>
      </c>
      <c r="BB460" s="2" t="e">
        <f t="shared" ca="1" si="244"/>
        <v>#N/A</v>
      </c>
      <c r="BC460" s="9" t="e">
        <f t="shared" ca="1" si="245"/>
        <v>#N/A</v>
      </c>
      <c r="BD460" s="9" t="e">
        <f t="shared" ca="1" si="246"/>
        <v>#N/A</v>
      </c>
    </row>
    <row r="461" spans="1:56" ht="15" x14ac:dyDescent="0.25">
      <c r="A461" s="63"/>
      <c r="B461" s="63"/>
      <c r="C461" s="64"/>
      <c r="D461" s="64"/>
      <c r="E461" s="64"/>
      <c r="F461" s="64"/>
      <c r="G461" s="64"/>
      <c r="H461" s="64"/>
      <c r="I461" s="64"/>
      <c r="J461" s="64"/>
      <c r="K461" s="64"/>
      <c r="L461" s="64"/>
      <c r="M461" s="64"/>
      <c r="O461" s="11">
        <f t="shared" ca="1" si="232"/>
        <v>-3.9378682616450625E-4</v>
      </c>
      <c r="P461" s="11">
        <f t="shared" ca="1" si="233"/>
        <v>-1.6358405771021967E-4</v>
      </c>
      <c r="Q461" s="11">
        <f t="shared" ca="1" si="234"/>
        <v>-1.614029402377854E-3</v>
      </c>
      <c r="R461" s="11">
        <f t="shared" ca="1" si="235"/>
        <v>-1.4853760121635622E-5</v>
      </c>
      <c r="S461" s="11">
        <f t="shared" ca="1" si="236"/>
        <v>-1.1458026838550334E-3</v>
      </c>
      <c r="T461" s="11">
        <f t="shared" ca="1" si="237"/>
        <v>-4.9053934342410677E-4</v>
      </c>
      <c r="U461" s="11">
        <f t="shared" ca="1" si="238"/>
        <v>-5.5074395654535931E-3</v>
      </c>
      <c r="V461" s="11"/>
      <c r="W461" s="11">
        <f t="shared" ca="1" si="255"/>
        <v>0</v>
      </c>
      <c r="X461" s="2">
        <f t="shared" ca="1" si="256"/>
        <v>-1.6358405771021967E-4</v>
      </c>
      <c r="Y461" s="2">
        <f t="shared" ca="1" si="257"/>
        <v>-1.614029402377854E-3</v>
      </c>
      <c r="Z461" s="11">
        <f t="shared" ca="1" si="258"/>
        <v>-1.4853760121635622E-5</v>
      </c>
      <c r="AA461" s="2">
        <f t="shared" ca="1" si="259"/>
        <v>-1.1458026838550334E-3</v>
      </c>
      <c r="AB461" s="11">
        <f t="shared" ca="1" si="260"/>
        <v>-4.9053934342410677E-4</v>
      </c>
      <c r="AC461" s="2">
        <f t="shared" ca="1" si="261"/>
        <v>-5.5074395654535931E-3</v>
      </c>
      <c r="AF461" s="11">
        <f t="shared" ca="1" si="262"/>
        <v>0</v>
      </c>
      <c r="AG461" s="2">
        <f t="shared" ca="1" si="263"/>
        <v>-1.6358405771021967E-4</v>
      </c>
      <c r="AH461" s="2">
        <f t="shared" ca="1" si="264"/>
        <v>-1.614029402377854E-3</v>
      </c>
      <c r="AI461" s="2">
        <f t="shared" ca="1" si="265"/>
        <v>-1.4853760121635622E-5</v>
      </c>
      <c r="AJ461" s="2">
        <f t="shared" ca="1" si="266"/>
        <v>-1.1458026838550334E-3</v>
      </c>
      <c r="AK461" s="2">
        <f t="shared" ca="1" si="267"/>
        <v>-4.9053934342410677E-4</v>
      </c>
      <c r="AL461" s="2">
        <f t="shared" ca="1" si="268"/>
        <v>-5.5074395654535931E-3</v>
      </c>
      <c r="AN461" s="2" t="e">
        <f t="shared" ca="1" si="247"/>
        <v>#N/A</v>
      </c>
      <c r="AO461" s="2" t="e">
        <f t="shared" ca="1" si="248"/>
        <v>#N/A</v>
      </c>
      <c r="AP461" s="2" t="e">
        <f t="shared" ca="1" si="249"/>
        <v>#N/A</v>
      </c>
      <c r="AQ461" s="2" t="e">
        <f t="shared" ca="1" si="250"/>
        <v>#N/A</v>
      </c>
      <c r="AR461" s="2" t="e">
        <f t="shared" ca="1" si="251"/>
        <v>#N/A</v>
      </c>
      <c r="AS461" s="2" t="e">
        <f t="shared" ca="1" si="252"/>
        <v>#N/A</v>
      </c>
      <c r="AT461" s="9" t="e">
        <f t="shared" ca="1" si="253"/>
        <v>#N/A</v>
      </c>
      <c r="AU461" s="9" t="e">
        <f t="shared" ca="1" si="254"/>
        <v>#N/A</v>
      </c>
      <c r="AW461" s="2" t="e">
        <f t="shared" ca="1" si="239"/>
        <v>#N/A</v>
      </c>
      <c r="AX461" s="2" t="e">
        <f t="shared" ca="1" si="240"/>
        <v>#N/A</v>
      </c>
      <c r="AY461" s="2" t="e">
        <f t="shared" ca="1" si="241"/>
        <v>#N/A</v>
      </c>
      <c r="AZ461" s="2" t="e">
        <f t="shared" ca="1" si="242"/>
        <v>#N/A</v>
      </c>
      <c r="BA461" s="2" t="e">
        <f t="shared" ca="1" si="243"/>
        <v>#N/A</v>
      </c>
      <c r="BB461" s="2" t="e">
        <f t="shared" ca="1" si="244"/>
        <v>#N/A</v>
      </c>
      <c r="BC461" s="9" t="e">
        <f t="shared" ca="1" si="245"/>
        <v>#N/A</v>
      </c>
      <c r="BD461" s="9" t="e">
        <f t="shared" ca="1" si="246"/>
        <v>#N/A</v>
      </c>
    </row>
    <row r="462" spans="1:56" ht="15" x14ac:dyDescent="0.25">
      <c r="A462" s="63"/>
      <c r="B462" s="63"/>
      <c r="C462" s="64"/>
      <c r="D462" s="64"/>
      <c r="E462" s="64"/>
      <c r="F462" s="64"/>
      <c r="G462" s="64"/>
      <c r="H462" s="64"/>
      <c r="I462" s="64"/>
      <c r="J462" s="64"/>
      <c r="K462" s="64"/>
      <c r="L462" s="64"/>
      <c r="M462" s="64"/>
      <c r="O462" s="11">
        <f t="shared" ca="1" si="232"/>
        <v>-3.9378682616450625E-4</v>
      </c>
      <c r="P462" s="11">
        <f t="shared" ca="1" si="233"/>
        <v>-1.6358405771021967E-4</v>
      </c>
      <c r="Q462" s="11">
        <f t="shared" ca="1" si="234"/>
        <v>-1.614029402377854E-3</v>
      </c>
      <c r="R462" s="11">
        <f t="shared" ca="1" si="235"/>
        <v>-1.4853760121635622E-5</v>
      </c>
      <c r="S462" s="11">
        <f t="shared" ca="1" si="236"/>
        <v>-1.1458026838550334E-3</v>
      </c>
      <c r="T462" s="11">
        <f t="shared" ca="1" si="237"/>
        <v>-4.9053934342410677E-4</v>
      </c>
      <c r="U462" s="11">
        <f t="shared" ca="1" si="238"/>
        <v>-5.5074395654535931E-3</v>
      </c>
      <c r="V462" s="11"/>
      <c r="W462" s="11">
        <f t="shared" ca="1" si="255"/>
        <v>0</v>
      </c>
      <c r="X462" s="2">
        <f t="shared" ca="1" si="256"/>
        <v>-1.6358405771021967E-4</v>
      </c>
      <c r="Y462" s="2">
        <f t="shared" ca="1" si="257"/>
        <v>-1.614029402377854E-3</v>
      </c>
      <c r="Z462" s="11">
        <f t="shared" ca="1" si="258"/>
        <v>-1.4853760121635622E-5</v>
      </c>
      <c r="AA462" s="2">
        <f t="shared" ca="1" si="259"/>
        <v>-1.1458026838550334E-3</v>
      </c>
      <c r="AB462" s="11">
        <f t="shared" ca="1" si="260"/>
        <v>-4.9053934342410677E-4</v>
      </c>
      <c r="AC462" s="2">
        <f t="shared" ca="1" si="261"/>
        <v>-5.5074395654535931E-3</v>
      </c>
      <c r="AF462" s="11">
        <f t="shared" ca="1" si="262"/>
        <v>0</v>
      </c>
      <c r="AG462" s="2">
        <f t="shared" ca="1" si="263"/>
        <v>-1.6358405771021967E-4</v>
      </c>
      <c r="AH462" s="2">
        <f t="shared" ca="1" si="264"/>
        <v>-1.614029402377854E-3</v>
      </c>
      <c r="AI462" s="2">
        <f t="shared" ca="1" si="265"/>
        <v>-1.4853760121635622E-5</v>
      </c>
      <c r="AJ462" s="2">
        <f t="shared" ca="1" si="266"/>
        <v>-1.1458026838550334E-3</v>
      </c>
      <c r="AK462" s="2">
        <f t="shared" ca="1" si="267"/>
        <v>-4.9053934342410677E-4</v>
      </c>
      <c r="AL462" s="2">
        <f t="shared" ca="1" si="268"/>
        <v>-5.5074395654535931E-3</v>
      </c>
      <c r="AN462" s="2" t="e">
        <f t="shared" ca="1" si="247"/>
        <v>#N/A</v>
      </c>
      <c r="AO462" s="2" t="e">
        <f t="shared" ca="1" si="248"/>
        <v>#N/A</v>
      </c>
      <c r="AP462" s="2" t="e">
        <f t="shared" ca="1" si="249"/>
        <v>#N/A</v>
      </c>
      <c r="AQ462" s="2" t="e">
        <f t="shared" ca="1" si="250"/>
        <v>#N/A</v>
      </c>
      <c r="AR462" s="2" t="e">
        <f t="shared" ca="1" si="251"/>
        <v>#N/A</v>
      </c>
      <c r="AS462" s="2" t="e">
        <f t="shared" ca="1" si="252"/>
        <v>#N/A</v>
      </c>
      <c r="AT462" s="9" t="e">
        <f t="shared" ca="1" si="253"/>
        <v>#N/A</v>
      </c>
      <c r="AU462" s="9" t="e">
        <f t="shared" ca="1" si="254"/>
        <v>#N/A</v>
      </c>
      <c r="AW462" s="2" t="e">
        <f t="shared" ca="1" si="239"/>
        <v>#N/A</v>
      </c>
      <c r="AX462" s="2" t="e">
        <f t="shared" ca="1" si="240"/>
        <v>#N/A</v>
      </c>
      <c r="AY462" s="2" t="e">
        <f t="shared" ca="1" si="241"/>
        <v>#N/A</v>
      </c>
      <c r="AZ462" s="2" t="e">
        <f t="shared" ca="1" si="242"/>
        <v>#N/A</v>
      </c>
      <c r="BA462" s="2" t="e">
        <f t="shared" ca="1" si="243"/>
        <v>#N/A</v>
      </c>
      <c r="BB462" s="2" t="e">
        <f t="shared" ca="1" si="244"/>
        <v>#N/A</v>
      </c>
      <c r="BC462" s="9" t="e">
        <f t="shared" ca="1" si="245"/>
        <v>#N/A</v>
      </c>
      <c r="BD462" s="9" t="e">
        <f t="shared" ca="1" si="246"/>
        <v>#N/A</v>
      </c>
    </row>
    <row r="463" spans="1:56" ht="15" x14ac:dyDescent="0.25">
      <c r="A463" s="63"/>
      <c r="B463" s="63"/>
      <c r="C463" s="64"/>
      <c r="D463" s="64"/>
      <c r="E463" s="64"/>
      <c r="F463" s="64"/>
      <c r="G463" s="64"/>
      <c r="H463" s="64"/>
      <c r="I463" s="64"/>
      <c r="J463" s="64"/>
      <c r="K463" s="64"/>
      <c r="L463" s="64"/>
      <c r="M463" s="64"/>
      <c r="O463" s="11">
        <f t="shared" ca="1" si="232"/>
        <v>-3.9378682616450625E-4</v>
      </c>
      <c r="P463" s="11">
        <f t="shared" ca="1" si="233"/>
        <v>-1.6358405771021967E-4</v>
      </c>
      <c r="Q463" s="11">
        <f t="shared" ca="1" si="234"/>
        <v>-1.614029402377854E-3</v>
      </c>
      <c r="R463" s="11">
        <f t="shared" ca="1" si="235"/>
        <v>-1.4853760121635622E-5</v>
      </c>
      <c r="S463" s="11">
        <f t="shared" ca="1" si="236"/>
        <v>-1.1458026838550334E-3</v>
      </c>
      <c r="T463" s="11">
        <f t="shared" ca="1" si="237"/>
        <v>-4.9053934342410677E-4</v>
      </c>
      <c r="U463" s="11">
        <f t="shared" ca="1" si="238"/>
        <v>-5.5074395654535931E-3</v>
      </c>
      <c r="V463" s="11"/>
      <c r="W463" s="11">
        <f t="shared" ca="1" si="255"/>
        <v>0</v>
      </c>
      <c r="X463" s="2">
        <f t="shared" ca="1" si="256"/>
        <v>-1.6358405771021967E-4</v>
      </c>
      <c r="Y463" s="2">
        <f t="shared" ca="1" si="257"/>
        <v>-1.614029402377854E-3</v>
      </c>
      <c r="Z463" s="11">
        <f t="shared" ca="1" si="258"/>
        <v>-1.4853760121635622E-5</v>
      </c>
      <c r="AA463" s="2">
        <f t="shared" ca="1" si="259"/>
        <v>-1.1458026838550334E-3</v>
      </c>
      <c r="AB463" s="11">
        <f t="shared" ca="1" si="260"/>
        <v>-4.9053934342410677E-4</v>
      </c>
      <c r="AC463" s="2">
        <f t="shared" ca="1" si="261"/>
        <v>-5.5074395654535931E-3</v>
      </c>
      <c r="AF463" s="11">
        <f t="shared" ca="1" si="262"/>
        <v>0</v>
      </c>
      <c r="AG463" s="2">
        <f t="shared" ca="1" si="263"/>
        <v>-1.6358405771021967E-4</v>
      </c>
      <c r="AH463" s="2">
        <f t="shared" ca="1" si="264"/>
        <v>-1.614029402377854E-3</v>
      </c>
      <c r="AI463" s="2">
        <f t="shared" ca="1" si="265"/>
        <v>-1.4853760121635622E-5</v>
      </c>
      <c r="AJ463" s="2">
        <f t="shared" ca="1" si="266"/>
        <v>-1.1458026838550334E-3</v>
      </c>
      <c r="AK463" s="2">
        <f t="shared" ca="1" si="267"/>
        <v>-4.9053934342410677E-4</v>
      </c>
      <c r="AL463" s="2">
        <f t="shared" ca="1" si="268"/>
        <v>-5.5074395654535931E-3</v>
      </c>
      <c r="AN463" s="2" t="e">
        <f t="shared" ca="1" si="247"/>
        <v>#N/A</v>
      </c>
      <c r="AO463" s="2" t="e">
        <f t="shared" ca="1" si="248"/>
        <v>#N/A</v>
      </c>
      <c r="AP463" s="2" t="e">
        <f t="shared" ca="1" si="249"/>
        <v>#N/A</v>
      </c>
      <c r="AQ463" s="2" t="e">
        <f t="shared" ca="1" si="250"/>
        <v>#N/A</v>
      </c>
      <c r="AR463" s="2" t="e">
        <f t="shared" ca="1" si="251"/>
        <v>#N/A</v>
      </c>
      <c r="AS463" s="2" t="e">
        <f t="shared" ca="1" si="252"/>
        <v>#N/A</v>
      </c>
      <c r="AT463" s="9" t="e">
        <f t="shared" ca="1" si="253"/>
        <v>#N/A</v>
      </c>
      <c r="AU463" s="9" t="e">
        <f t="shared" ca="1" si="254"/>
        <v>#N/A</v>
      </c>
      <c r="AW463" s="2" t="e">
        <f t="shared" ca="1" si="239"/>
        <v>#N/A</v>
      </c>
      <c r="AX463" s="2" t="e">
        <f t="shared" ca="1" si="240"/>
        <v>#N/A</v>
      </c>
      <c r="AY463" s="2" t="e">
        <f t="shared" ca="1" si="241"/>
        <v>#N/A</v>
      </c>
      <c r="AZ463" s="2" t="e">
        <f t="shared" ca="1" si="242"/>
        <v>#N/A</v>
      </c>
      <c r="BA463" s="2" t="e">
        <f t="shared" ca="1" si="243"/>
        <v>#N/A</v>
      </c>
      <c r="BB463" s="2" t="e">
        <f t="shared" ca="1" si="244"/>
        <v>#N/A</v>
      </c>
      <c r="BC463" s="9" t="e">
        <f t="shared" ca="1" si="245"/>
        <v>#N/A</v>
      </c>
      <c r="BD463" s="9" t="e">
        <f t="shared" ca="1" si="246"/>
        <v>#N/A</v>
      </c>
    </row>
    <row r="464" spans="1:56" ht="15" x14ac:dyDescent="0.25">
      <c r="A464" s="63"/>
      <c r="B464" s="63"/>
      <c r="C464" s="64"/>
      <c r="D464" s="64"/>
      <c r="E464" s="64"/>
      <c r="F464" s="64"/>
      <c r="G464" s="64"/>
      <c r="H464" s="64"/>
      <c r="I464" s="64"/>
      <c r="J464" s="64"/>
      <c r="K464" s="64"/>
      <c r="L464" s="64"/>
      <c r="M464" s="64"/>
      <c r="O464" s="11">
        <f t="shared" ca="1" si="232"/>
        <v>-3.9378682616450625E-4</v>
      </c>
      <c r="P464" s="11">
        <f t="shared" ca="1" si="233"/>
        <v>-1.6358405771021967E-4</v>
      </c>
      <c r="Q464" s="11">
        <f t="shared" ca="1" si="234"/>
        <v>-1.614029402377854E-3</v>
      </c>
      <c r="R464" s="11">
        <f t="shared" ca="1" si="235"/>
        <v>-1.4853760121635622E-5</v>
      </c>
      <c r="S464" s="11">
        <f t="shared" ca="1" si="236"/>
        <v>-1.1458026838550334E-3</v>
      </c>
      <c r="T464" s="11">
        <f t="shared" ca="1" si="237"/>
        <v>-4.9053934342410677E-4</v>
      </c>
      <c r="U464" s="11">
        <f t="shared" ca="1" si="238"/>
        <v>-5.5074395654535931E-3</v>
      </c>
      <c r="V464" s="11"/>
      <c r="W464" s="11">
        <f t="shared" ca="1" si="255"/>
        <v>0</v>
      </c>
      <c r="X464" s="2">
        <f t="shared" ca="1" si="256"/>
        <v>-1.6358405771021967E-4</v>
      </c>
      <c r="Y464" s="2">
        <f t="shared" ca="1" si="257"/>
        <v>-1.614029402377854E-3</v>
      </c>
      <c r="Z464" s="11">
        <f t="shared" ca="1" si="258"/>
        <v>-1.4853760121635622E-5</v>
      </c>
      <c r="AA464" s="2">
        <f t="shared" ca="1" si="259"/>
        <v>-1.1458026838550334E-3</v>
      </c>
      <c r="AB464" s="11">
        <f t="shared" ca="1" si="260"/>
        <v>-4.9053934342410677E-4</v>
      </c>
      <c r="AC464" s="2">
        <f t="shared" ca="1" si="261"/>
        <v>-5.5074395654535931E-3</v>
      </c>
      <c r="AF464" s="11">
        <f t="shared" ca="1" si="262"/>
        <v>0</v>
      </c>
      <c r="AG464" s="2">
        <f t="shared" ca="1" si="263"/>
        <v>-1.6358405771021967E-4</v>
      </c>
      <c r="AH464" s="2">
        <f t="shared" ca="1" si="264"/>
        <v>-1.614029402377854E-3</v>
      </c>
      <c r="AI464" s="2">
        <f t="shared" ca="1" si="265"/>
        <v>-1.4853760121635622E-5</v>
      </c>
      <c r="AJ464" s="2">
        <f t="shared" ca="1" si="266"/>
        <v>-1.1458026838550334E-3</v>
      </c>
      <c r="AK464" s="2">
        <f t="shared" ca="1" si="267"/>
        <v>-4.9053934342410677E-4</v>
      </c>
      <c r="AL464" s="2">
        <f t="shared" ca="1" si="268"/>
        <v>-5.5074395654535931E-3</v>
      </c>
      <c r="AN464" s="2" t="e">
        <f t="shared" ca="1" si="247"/>
        <v>#N/A</v>
      </c>
      <c r="AO464" s="2" t="e">
        <f t="shared" ca="1" si="248"/>
        <v>#N/A</v>
      </c>
      <c r="AP464" s="2" t="e">
        <f t="shared" ca="1" si="249"/>
        <v>#N/A</v>
      </c>
      <c r="AQ464" s="2" t="e">
        <f t="shared" ca="1" si="250"/>
        <v>#N/A</v>
      </c>
      <c r="AR464" s="2" t="e">
        <f t="shared" ca="1" si="251"/>
        <v>#N/A</v>
      </c>
      <c r="AS464" s="2" t="e">
        <f t="shared" ca="1" si="252"/>
        <v>#N/A</v>
      </c>
      <c r="AT464" s="9" t="e">
        <f t="shared" ca="1" si="253"/>
        <v>#N/A</v>
      </c>
      <c r="AU464" s="9" t="e">
        <f t="shared" ca="1" si="254"/>
        <v>#N/A</v>
      </c>
      <c r="AW464" s="2" t="e">
        <f t="shared" ca="1" si="239"/>
        <v>#N/A</v>
      </c>
      <c r="AX464" s="2" t="e">
        <f t="shared" ca="1" si="240"/>
        <v>#N/A</v>
      </c>
      <c r="AY464" s="2" t="e">
        <f t="shared" ca="1" si="241"/>
        <v>#N/A</v>
      </c>
      <c r="AZ464" s="2" t="e">
        <f t="shared" ca="1" si="242"/>
        <v>#N/A</v>
      </c>
      <c r="BA464" s="2" t="e">
        <f t="shared" ca="1" si="243"/>
        <v>#N/A</v>
      </c>
      <c r="BB464" s="2" t="e">
        <f t="shared" ca="1" si="244"/>
        <v>#N/A</v>
      </c>
      <c r="BC464" s="9" t="e">
        <f t="shared" ca="1" si="245"/>
        <v>#N/A</v>
      </c>
      <c r="BD464" s="9" t="e">
        <f t="shared" ca="1" si="246"/>
        <v>#N/A</v>
      </c>
    </row>
    <row r="465" spans="1:56" ht="15" x14ac:dyDescent="0.25">
      <c r="A465" s="63"/>
      <c r="B465" s="63"/>
      <c r="C465" s="64"/>
      <c r="D465" s="64"/>
      <c r="E465" s="64"/>
      <c r="F465" s="64"/>
      <c r="G465" s="64"/>
      <c r="H465" s="64"/>
      <c r="I465" s="64"/>
      <c r="J465" s="64"/>
      <c r="K465" s="64"/>
      <c r="L465" s="64"/>
      <c r="M465" s="64"/>
      <c r="O465" s="11">
        <f t="shared" ca="1" si="232"/>
        <v>-3.9378682616450625E-4</v>
      </c>
      <c r="P465" s="11">
        <f t="shared" ca="1" si="233"/>
        <v>-1.6358405771021967E-4</v>
      </c>
      <c r="Q465" s="11">
        <f t="shared" ca="1" si="234"/>
        <v>-1.614029402377854E-3</v>
      </c>
      <c r="R465" s="11">
        <f t="shared" ca="1" si="235"/>
        <v>-1.4853760121635622E-5</v>
      </c>
      <c r="S465" s="11">
        <f t="shared" ca="1" si="236"/>
        <v>-1.1458026838550334E-3</v>
      </c>
      <c r="T465" s="11">
        <f t="shared" ca="1" si="237"/>
        <v>-4.9053934342410677E-4</v>
      </c>
      <c r="U465" s="11">
        <f t="shared" ca="1" si="238"/>
        <v>-5.5074395654535931E-3</v>
      </c>
      <c r="V465" s="11"/>
      <c r="W465" s="11">
        <f t="shared" ca="1" si="255"/>
        <v>0</v>
      </c>
      <c r="X465" s="2">
        <f t="shared" ca="1" si="256"/>
        <v>-1.6358405771021967E-4</v>
      </c>
      <c r="Y465" s="2">
        <f t="shared" ca="1" si="257"/>
        <v>-1.614029402377854E-3</v>
      </c>
      <c r="Z465" s="11">
        <f t="shared" ca="1" si="258"/>
        <v>-1.4853760121635622E-5</v>
      </c>
      <c r="AA465" s="2">
        <f t="shared" ca="1" si="259"/>
        <v>-1.1458026838550334E-3</v>
      </c>
      <c r="AB465" s="11">
        <f t="shared" ca="1" si="260"/>
        <v>-4.9053934342410677E-4</v>
      </c>
      <c r="AC465" s="2">
        <f t="shared" ca="1" si="261"/>
        <v>-5.5074395654535931E-3</v>
      </c>
      <c r="AF465" s="11">
        <f t="shared" ca="1" si="262"/>
        <v>0</v>
      </c>
      <c r="AG465" s="2">
        <f t="shared" ca="1" si="263"/>
        <v>-1.6358405771021967E-4</v>
      </c>
      <c r="AH465" s="2">
        <f t="shared" ca="1" si="264"/>
        <v>-1.614029402377854E-3</v>
      </c>
      <c r="AI465" s="2">
        <f t="shared" ca="1" si="265"/>
        <v>-1.4853760121635622E-5</v>
      </c>
      <c r="AJ465" s="2">
        <f t="shared" ca="1" si="266"/>
        <v>-1.1458026838550334E-3</v>
      </c>
      <c r="AK465" s="2">
        <f t="shared" ca="1" si="267"/>
        <v>-4.9053934342410677E-4</v>
      </c>
      <c r="AL465" s="2">
        <f t="shared" ca="1" si="268"/>
        <v>-5.5074395654535931E-3</v>
      </c>
      <c r="AN465" s="2" t="e">
        <f t="shared" ca="1" si="247"/>
        <v>#N/A</v>
      </c>
      <c r="AO465" s="2" t="e">
        <f t="shared" ca="1" si="248"/>
        <v>#N/A</v>
      </c>
      <c r="AP465" s="2" t="e">
        <f t="shared" ca="1" si="249"/>
        <v>#N/A</v>
      </c>
      <c r="AQ465" s="2" t="e">
        <f t="shared" ca="1" si="250"/>
        <v>#N/A</v>
      </c>
      <c r="AR465" s="2" t="e">
        <f t="shared" ca="1" si="251"/>
        <v>#N/A</v>
      </c>
      <c r="AS465" s="2" t="e">
        <f t="shared" ca="1" si="252"/>
        <v>#N/A</v>
      </c>
      <c r="AT465" s="9" t="e">
        <f t="shared" ca="1" si="253"/>
        <v>#N/A</v>
      </c>
      <c r="AU465" s="9" t="e">
        <f t="shared" ca="1" si="254"/>
        <v>#N/A</v>
      </c>
      <c r="AW465" s="2" t="e">
        <f t="shared" ca="1" si="239"/>
        <v>#N/A</v>
      </c>
      <c r="AX465" s="2" t="e">
        <f t="shared" ca="1" si="240"/>
        <v>#N/A</v>
      </c>
      <c r="AY465" s="2" t="e">
        <f t="shared" ca="1" si="241"/>
        <v>#N/A</v>
      </c>
      <c r="AZ465" s="2" t="e">
        <f t="shared" ca="1" si="242"/>
        <v>#N/A</v>
      </c>
      <c r="BA465" s="2" t="e">
        <f t="shared" ca="1" si="243"/>
        <v>#N/A</v>
      </c>
      <c r="BB465" s="2" t="e">
        <f t="shared" ca="1" si="244"/>
        <v>#N/A</v>
      </c>
      <c r="BC465" s="9" t="e">
        <f t="shared" ca="1" si="245"/>
        <v>#N/A</v>
      </c>
      <c r="BD465" s="9" t="e">
        <f t="shared" ca="1" si="246"/>
        <v>#N/A</v>
      </c>
    </row>
    <row r="466" spans="1:56" ht="15" x14ac:dyDescent="0.25">
      <c r="A466" s="63"/>
      <c r="B466" s="63"/>
      <c r="C466" s="64"/>
      <c r="D466" s="64"/>
      <c r="E466" s="64"/>
      <c r="F466" s="64"/>
      <c r="G466" s="64"/>
      <c r="H466" s="64"/>
      <c r="I466" s="64"/>
      <c r="J466" s="64"/>
      <c r="K466" s="64"/>
      <c r="L466" s="64"/>
      <c r="M466" s="64"/>
      <c r="O466" s="11">
        <f t="shared" ref="O466:O529" ca="1" si="269">C466-AVERAGE(OFFSET(C$67,$J$2,0,$J$3))</f>
        <v>-3.9378682616450625E-4</v>
      </c>
      <c r="P466" s="11">
        <f t="shared" ref="P466:P529" ca="1" si="270">D466-AVERAGE(OFFSET(D$67,$J$2,0,$J$3))</f>
        <v>-1.6358405771021967E-4</v>
      </c>
      <c r="Q466" s="11">
        <f t="shared" ref="Q466:Q529" ca="1" si="271">E466-AVERAGE(OFFSET(E$67,$J$2,0,$J$3))</f>
        <v>-1.614029402377854E-3</v>
      </c>
      <c r="R466" s="11">
        <f t="shared" ref="R466:R529" ca="1" si="272">F466-AVERAGE(OFFSET(F$67,$J$2,0,$J$3))</f>
        <v>-1.4853760121635622E-5</v>
      </c>
      <c r="S466" s="11">
        <f t="shared" ref="S466:S529" ca="1" si="273">G466-AVERAGE(OFFSET(G$67,$J$2,0,$J$3))</f>
        <v>-1.1458026838550334E-3</v>
      </c>
      <c r="T466" s="11">
        <f t="shared" ref="T466:T529" ca="1" si="274">H466-AVERAGE(OFFSET(H$67,$J$2,0,$J$3))</f>
        <v>-4.9053934342410677E-4</v>
      </c>
      <c r="U466" s="11">
        <f t="shared" ref="U466:U529" ca="1" si="275">I466-AVERAGE(OFFSET(I$67,$J$2,0,$J$3))</f>
        <v>-5.5074395654535931E-3</v>
      </c>
      <c r="V466" s="11"/>
      <c r="W466" s="11">
        <f t="shared" ca="1" si="255"/>
        <v>0</v>
      </c>
      <c r="X466" s="2">
        <f t="shared" ca="1" si="256"/>
        <v>-1.6358405771021967E-4</v>
      </c>
      <c r="Y466" s="2">
        <f t="shared" ca="1" si="257"/>
        <v>-1.614029402377854E-3</v>
      </c>
      <c r="Z466" s="11">
        <f t="shared" ca="1" si="258"/>
        <v>-1.4853760121635622E-5</v>
      </c>
      <c r="AA466" s="2">
        <f t="shared" ca="1" si="259"/>
        <v>-1.1458026838550334E-3</v>
      </c>
      <c r="AB466" s="11">
        <f t="shared" ca="1" si="260"/>
        <v>-4.9053934342410677E-4</v>
      </c>
      <c r="AC466" s="2">
        <f t="shared" ca="1" si="261"/>
        <v>-5.5074395654535931E-3</v>
      </c>
      <c r="AF466" s="11">
        <f t="shared" ca="1" si="262"/>
        <v>0</v>
      </c>
      <c r="AG466" s="2">
        <f t="shared" ca="1" si="263"/>
        <v>-1.6358405771021967E-4</v>
      </c>
      <c r="AH466" s="2">
        <f t="shared" ca="1" si="264"/>
        <v>-1.614029402377854E-3</v>
      </c>
      <c r="AI466" s="2">
        <f t="shared" ca="1" si="265"/>
        <v>-1.4853760121635622E-5</v>
      </c>
      <c r="AJ466" s="2">
        <f t="shared" ca="1" si="266"/>
        <v>-1.1458026838550334E-3</v>
      </c>
      <c r="AK466" s="2">
        <f t="shared" ca="1" si="267"/>
        <v>-4.9053934342410677E-4</v>
      </c>
      <c r="AL466" s="2">
        <f t="shared" ca="1" si="268"/>
        <v>-5.5074395654535931E-3</v>
      </c>
      <c r="AN466" s="2" t="e">
        <f t="shared" ca="1" si="247"/>
        <v>#N/A</v>
      </c>
      <c r="AO466" s="2" t="e">
        <f t="shared" ca="1" si="248"/>
        <v>#N/A</v>
      </c>
      <c r="AP466" s="2" t="e">
        <f t="shared" ca="1" si="249"/>
        <v>#N/A</v>
      </c>
      <c r="AQ466" s="2" t="e">
        <f t="shared" ca="1" si="250"/>
        <v>#N/A</v>
      </c>
      <c r="AR466" s="2" t="e">
        <f t="shared" ca="1" si="251"/>
        <v>#N/A</v>
      </c>
      <c r="AS466" s="2" t="e">
        <f t="shared" ca="1" si="252"/>
        <v>#N/A</v>
      </c>
      <c r="AT466" s="9" t="e">
        <f t="shared" ca="1" si="253"/>
        <v>#N/A</v>
      </c>
      <c r="AU466" s="9" t="e">
        <f t="shared" ca="1" si="254"/>
        <v>#N/A</v>
      </c>
      <c r="AW466" s="2" t="e">
        <f t="shared" ca="1" si="239"/>
        <v>#N/A</v>
      </c>
      <c r="AX466" s="2" t="e">
        <f t="shared" ca="1" si="240"/>
        <v>#N/A</v>
      </c>
      <c r="AY466" s="2" t="e">
        <f t="shared" ca="1" si="241"/>
        <v>#N/A</v>
      </c>
      <c r="AZ466" s="2" t="e">
        <f t="shared" ca="1" si="242"/>
        <v>#N/A</v>
      </c>
      <c r="BA466" s="2" t="e">
        <f t="shared" ca="1" si="243"/>
        <v>#N/A</v>
      </c>
      <c r="BB466" s="2" t="e">
        <f t="shared" ca="1" si="244"/>
        <v>#N/A</v>
      </c>
      <c r="BC466" s="9" t="e">
        <f t="shared" ca="1" si="245"/>
        <v>#N/A</v>
      </c>
      <c r="BD466" s="9" t="e">
        <f t="shared" ca="1" si="246"/>
        <v>#N/A</v>
      </c>
    </row>
    <row r="467" spans="1:56" ht="15" x14ac:dyDescent="0.25">
      <c r="A467" s="63"/>
      <c r="B467" s="63"/>
      <c r="C467" s="64"/>
      <c r="D467" s="64"/>
      <c r="E467" s="64"/>
      <c r="F467" s="64"/>
      <c r="G467" s="64"/>
      <c r="H467" s="64"/>
      <c r="I467" s="64"/>
      <c r="J467" s="64"/>
      <c r="K467" s="64"/>
      <c r="L467" s="64"/>
      <c r="M467" s="64"/>
      <c r="O467" s="11">
        <f t="shared" ca="1" si="269"/>
        <v>-3.9378682616450625E-4</v>
      </c>
      <c r="P467" s="11">
        <f t="shared" ca="1" si="270"/>
        <v>-1.6358405771021967E-4</v>
      </c>
      <c r="Q467" s="11">
        <f t="shared" ca="1" si="271"/>
        <v>-1.614029402377854E-3</v>
      </c>
      <c r="R467" s="11">
        <f t="shared" ca="1" si="272"/>
        <v>-1.4853760121635622E-5</v>
      </c>
      <c r="S467" s="11">
        <f t="shared" ca="1" si="273"/>
        <v>-1.1458026838550334E-3</v>
      </c>
      <c r="T467" s="11">
        <f t="shared" ca="1" si="274"/>
        <v>-4.9053934342410677E-4</v>
      </c>
      <c r="U467" s="11">
        <f t="shared" ca="1" si="275"/>
        <v>-5.5074395654535931E-3</v>
      </c>
      <c r="V467" s="11"/>
      <c r="W467" s="11">
        <f t="shared" ca="1" si="255"/>
        <v>0</v>
      </c>
      <c r="X467" s="2">
        <f t="shared" ca="1" si="256"/>
        <v>-1.6358405771021967E-4</v>
      </c>
      <c r="Y467" s="2">
        <f t="shared" ca="1" si="257"/>
        <v>-1.614029402377854E-3</v>
      </c>
      <c r="Z467" s="11">
        <f t="shared" ca="1" si="258"/>
        <v>-1.4853760121635622E-5</v>
      </c>
      <c r="AA467" s="2">
        <f t="shared" ca="1" si="259"/>
        <v>-1.1458026838550334E-3</v>
      </c>
      <c r="AB467" s="11">
        <f t="shared" ca="1" si="260"/>
        <v>-4.9053934342410677E-4</v>
      </c>
      <c r="AC467" s="2">
        <f t="shared" ca="1" si="261"/>
        <v>-5.5074395654535931E-3</v>
      </c>
      <c r="AF467" s="11">
        <f t="shared" ca="1" si="262"/>
        <v>0</v>
      </c>
      <c r="AG467" s="2">
        <f t="shared" ca="1" si="263"/>
        <v>-1.6358405771021967E-4</v>
      </c>
      <c r="AH467" s="2">
        <f t="shared" ca="1" si="264"/>
        <v>-1.614029402377854E-3</v>
      </c>
      <c r="AI467" s="2">
        <f t="shared" ca="1" si="265"/>
        <v>-1.4853760121635622E-5</v>
      </c>
      <c r="AJ467" s="2">
        <f t="shared" ca="1" si="266"/>
        <v>-1.1458026838550334E-3</v>
      </c>
      <c r="AK467" s="2">
        <f t="shared" ca="1" si="267"/>
        <v>-4.9053934342410677E-4</v>
      </c>
      <c r="AL467" s="2">
        <f t="shared" ca="1" si="268"/>
        <v>-5.5074395654535931E-3</v>
      </c>
      <c r="AN467" s="2" t="e">
        <f t="shared" ca="1" si="247"/>
        <v>#N/A</v>
      </c>
      <c r="AO467" s="2" t="e">
        <f t="shared" ca="1" si="248"/>
        <v>#N/A</v>
      </c>
      <c r="AP467" s="2" t="e">
        <f t="shared" ca="1" si="249"/>
        <v>#N/A</v>
      </c>
      <c r="AQ467" s="2" t="e">
        <f t="shared" ca="1" si="250"/>
        <v>#N/A</v>
      </c>
      <c r="AR467" s="2" t="e">
        <f t="shared" ca="1" si="251"/>
        <v>#N/A</v>
      </c>
      <c r="AS467" s="2" t="e">
        <f t="shared" ca="1" si="252"/>
        <v>#N/A</v>
      </c>
      <c r="AT467" s="9" t="e">
        <f t="shared" ca="1" si="253"/>
        <v>#N/A</v>
      </c>
      <c r="AU467" s="9" t="e">
        <f t="shared" ca="1" si="254"/>
        <v>#N/A</v>
      </c>
      <c r="AW467" s="2" t="e">
        <f t="shared" ca="1" si="239"/>
        <v>#N/A</v>
      </c>
      <c r="AX467" s="2" t="e">
        <f t="shared" ca="1" si="240"/>
        <v>#N/A</v>
      </c>
      <c r="AY467" s="2" t="e">
        <f t="shared" ca="1" si="241"/>
        <v>#N/A</v>
      </c>
      <c r="AZ467" s="2" t="e">
        <f t="shared" ca="1" si="242"/>
        <v>#N/A</v>
      </c>
      <c r="BA467" s="2" t="e">
        <f t="shared" ca="1" si="243"/>
        <v>#N/A</v>
      </c>
      <c r="BB467" s="2" t="e">
        <f t="shared" ca="1" si="244"/>
        <v>#N/A</v>
      </c>
      <c r="BC467" s="9" t="e">
        <f t="shared" ca="1" si="245"/>
        <v>#N/A</v>
      </c>
      <c r="BD467" s="9" t="e">
        <f t="shared" ca="1" si="246"/>
        <v>#N/A</v>
      </c>
    </row>
    <row r="468" spans="1:56" ht="15" x14ac:dyDescent="0.25">
      <c r="A468" s="63"/>
      <c r="B468" s="63"/>
      <c r="C468" s="64"/>
      <c r="D468" s="64"/>
      <c r="E468" s="64"/>
      <c r="F468" s="64"/>
      <c r="G468" s="64"/>
      <c r="H468" s="64"/>
      <c r="I468" s="64"/>
      <c r="J468" s="64"/>
      <c r="K468" s="64"/>
      <c r="L468" s="64"/>
      <c r="M468" s="64"/>
      <c r="O468" s="11">
        <f t="shared" ca="1" si="269"/>
        <v>-3.9378682616450625E-4</v>
      </c>
      <c r="P468" s="11">
        <f t="shared" ca="1" si="270"/>
        <v>-1.6358405771021967E-4</v>
      </c>
      <c r="Q468" s="11">
        <f t="shared" ca="1" si="271"/>
        <v>-1.614029402377854E-3</v>
      </c>
      <c r="R468" s="11">
        <f t="shared" ca="1" si="272"/>
        <v>-1.4853760121635622E-5</v>
      </c>
      <c r="S468" s="11">
        <f t="shared" ca="1" si="273"/>
        <v>-1.1458026838550334E-3</v>
      </c>
      <c r="T468" s="11">
        <f t="shared" ca="1" si="274"/>
        <v>-4.9053934342410677E-4</v>
      </c>
      <c r="U468" s="11">
        <f t="shared" ca="1" si="275"/>
        <v>-5.5074395654535931E-3</v>
      </c>
      <c r="V468" s="11"/>
      <c r="W468" s="11">
        <f t="shared" ca="1" si="255"/>
        <v>0</v>
      </c>
      <c r="X468" s="2">
        <f t="shared" ca="1" si="256"/>
        <v>-1.6358405771021967E-4</v>
      </c>
      <c r="Y468" s="2">
        <f t="shared" ca="1" si="257"/>
        <v>-1.614029402377854E-3</v>
      </c>
      <c r="Z468" s="11">
        <f t="shared" ca="1" si="258"/>
        <v>-1.4853760121635622E-5</v>
      </c>
      <c r="AA468" s="2">
        <f t="shared" ca="1" si="259"/>
        <v>-1.1458026838550334E-3</v>
      </c>
      <c r="AB468" s="11">
        <f t="shared" ca="1" si="260"/>
        <v>-4.9053934342410677E-4</v>
      </c>
      <c r="AC468" s="2">
        <f t="shared" ca="1" si="261"/>
        <v>-5.5074395654535931E-3</v>
      </c>
      <c r="AF468" s="11">
        <f t="shared" ca="1" si="262"/>
        <v>0</v>
      </c>
      <c r="AG468" s="2">
        <f t="shared" ca="1" si="263"/>
        <v>-1.6358405771021967E-4</v>
      </c>
      <c r="AH468" s="2">
        <f t="shared" ca="1" si="264"/>
        <v>-1.614029402377854E-3</v>
      </c>
      <c r="AI468" s="2">
        <f t="shared" ca="1" si="265"/>
        <v>-1.4853760121635622E-5</v>
      </c>
      <c r="AJ468" s="2">
        <f t="shared" ca="1" si="266"/>
        <v>-1.1458026838550334E-3</v>
      </c>
      <c r="AK468" s="2">
        <f t="shared" ca="1" si="267"/>
        <v>-4.9053934342410677E-4</v>
      </c>
      <c r="AL468" s="2">
        <f t="shared" ca="1" si="268"/>
        <v>-5.5074395654535931E-3</v>
      </c>
      <c r="AN468" s="2" t="e">
        <f t="shared" ca="1" si="247"/>
        <v>#N/A</v>
      </c>
      <c r="AO468" s="2" t="e">
        <f t="shared" ca="1" si="248"/>
        <v>#N/A</v>
      </c>
      <c r="AP468" s="2" t="e">
        <f t="shared" ca="1" si="249"/>
        <v>#N/A</v>
      </c>
      <c r="AQ468" s="2" t="e">
        <f t="shared" ca="1" si="250"/>
        <v>#N/A</v>
      </c>
      <c r="AR468" s="2" t="e">
        <f t="shared" ca="1" si="251"/>
        <v>#N/A</v>
      </c>
      <c r="AS468" s="2" t="e">
        <f t="shared" ca="1" si="252"/>
        <v>#N/A</v>
      </c>
      <c r="AT468" s="9" t="e">
        <f t="shared" ca="1" si="253"/>
        <v>#N/A</v>
      </c>
      <c r="AU468" s="9" t="e">
        <f t="shared" ca="1" si="254"/>
        <v>#N/A</v>
      </c>
      <c r="AW468" s="2" t="e">
        <f t="shared" ca="1" si="239"/>
        <v>#N/A</v>
      </c>
      <c r="AX468" s="2" t="e">
        <f t="shared" ca="1" si="240"/>
        <v>#N/A</v>
      </c>
      <c r="AY468" s="2" t="e">
        <f t="shared" ca="1" si="241"/>
        <v>#N/A</v>
      </c>
      <c r="AZ468" s="2" t="e">
        <f t="shared" ca="1" si="242"/>
        <v>#N/A</v>
      </c>
      <c r="BA468" s="2" t="e">
        <f t="shared" ca="1" si="243"/>
        <v>#N/A</v>
      </c>
      <c r="BB468" s="2" t="e">
        <f t="shared" ca="1" si="244"/>
        <v>#N/A</v>
      </c>
      <c r="BC468" s="9" t="e">
        <f t="shared" ca="1" si="245"/>
        <v>#N/A</v>
      </c>
      <c r="BD468" s="9" t="e">
        <f t="shared" ca="1" si="246"/>
        <v>#N/A</v>
      </c>
    </row>
    <row r="469" spans="1:56" ht="15" x14ac:dyDescent="0.25">
      <c r="A469" s="63"/>
      <c r="B469" s="63"/>
      <c r="C469" s="64"/>
      <c r="D469" s="64"/>
      <c r="E469" s="64"/>
      <c r="F469" s="64"/>
      <c r="G469" s="64"/>
      <c r="H469" s="64"/>
      <c r="I469" s="64"/>
      <c r="J469" s="64"/>
      <c r="K469" s="64"/>
      <c r="L469" s="64"/>
      <c r="M469" s="64"/>
      <c r="O469" s="11">
        <f t="shared" ca="1" si="269"/>
        <v>-3.9378682616450625E-4</v>
      </c>
      <c r="P469" s="11">
        <f t="shared" ca="1" si="270"/>
        <v>-1.6358405771021967E-4</v>
      </c>
      <c r="Q469" s="11">
        <f t="shared" ca="1" si="271"/>
        <v>-1.614029402377854E-3</v>
      </c>
      <c r="R469" s="11">
        <f t="shared" ca="1" si="272"/>
        <v>-1.4853760121635622E-5</v>
      </c>
      <c r="S469" s="11">
        <f t="shared" ca="1" si="273"/>
        <v>-1.1458026838550334E-3</v>
      </c>
      <c r="T469" s="11">
        <f t="shared" ca="1" si="274"/>
        <v>-4.9053934342410677E-4</v>
      </c>
      <c r="U469" s="11">
        <f t="shared" ca="1" si="275"/>
        <v>-5.5074395654535931E-3</v>
      </c>
      <c r="V469" s="11"/>
      <c r="W469" s="11">
        <f t="shared" ca="1" si="255"/>
        <v>0</v>
      </c>
      <c r="X469" s="2">
        <f t="shared" ca="1" si="256"/>
        <v>-1.6358405771021967E-4</v>
      </c>
      <c r="Y469" s="2">
        <f t="shared" ca="1" si="257"/>
        <v>-1.614029402377854E-3</v>
      </c>
      <c r="Z469" s="11">
        <f t="shared" ca="1" si="258"/>
        <v>-1.4853760121635622E-5</v>
      </c>
      <c r="AA469" s="2">
        <f t="shared" ca="1" si="259"/>
        <v>-1.1458026838550334E-3</v>
      </c>
      <c r="AB469" s="11">
        <f t="shared" ca="1" si="260"/>
        <v>-4.9053934342410677E-4</v>
      </c>
      <c r="AC469" s="2">
        <f t="shared" ca="1" si="261"/>
        <v>-5.5074395654535931E-3</v>
      </c>
      <c r="AF469" s="11">
        <f t="shared" ca="1" si="262"/>
        <v>0</v>
      </c>
      <c r="AG469" s="2">
        <f t="shared" ca="1" si="263"/>
        <v>-1.6358405771021967E-4</v>
      </c>
      <c r="AH469" s="2">
        <f t="shared" ca="1" si="264"/>
        <v>-1.614029402377854E-3</v>
      </c>
      <c r="AI469" s="2">
        <f t="shared" ca="1" si="265"/>
        <v>-1.4853760121635622E-5</v>
      </c>
      <c r="AJ469" s="2">
        <f t="shared" ca="1" si="266"/>
        <v>-1.1458026838550334E-3</v>
      </c>
      <c r="AK469" s="2">
        <f t="shared" ca="1" si="267"/>
        <v>-4.9053934342410677E-4</v>
      </c>
      <c r="AL469" s="2">
        <f t="shared" ca="1" si="268"/>
        <v>-5.5074395654535931E-3</v>
      </c>
      <c r="AN469" s="2" t="e">
        <f t="shared" ca="1" si="247"/>
        <v>#N/A</v>
      </c>
      <c r="AO469" s="2" t="e">
        <f t="shared" ca="1" si="248"/>
        <v>#N/A</v>
      </c>
      <c r="AP469" s="2" t="e">
        <f t="shared" ca="1" si="249"/>
        <v>#N/A</v>
      </c>
      <c r="AQ469" s="2" t="e">
        <f t="shared" ca="1" si="250"/>
        <v>#N/A</v>
      </c>
      <c r="AR469" s="2" t="e">
        <f t="shared" ca="1" si="251"/>
        <v>#N/A</v>
      </c>
      <c r="AS469" s="2" t="e">
        <f t="shared" ca="1" si="252"/>
        <v>#N/A</v>
      </c>
      <c r="AT469" s="9" t="e">
        <f t="shared" ca="1" si="253"/>
        <v>#N/A</v>
      </c>
      <c r="AU469" s="9" t="e">
        <f t="shared" ca="1" si="254"/>
        <v>#N/A</v>
      </c>
      <c r="AW469" s="2" t="e">
        <f t="shared" ca="1" si="239"/>
        <v>#N/A</v>
      </c>
      <c r="AX469" s="2" t="e">
        <f t="shared" ca="1" si="240"/>
        <v>#N/A</v>
      </c>
      <c r="AY469" s="2" t="e">
        <f t="shared" ca="1" si="241"/>
        <v>#N/A</v>
      </c>
      <c r="AZ469" s="2" t="e">
        <f t="shared" ca="1" si="242"/>
        <v>#N/A</v>
      </c>
      <c r="BA469" s="2" t="e">
        <f t="shared" ca="1" si="243"/>
        <v>#N/A</v>
      </c>
      <c r="BB469" s="2" t="e">
        <f t="shared" ca="1" si="244"/>
        <v>#N/A</v>
      </c>
      <c r="BC469" s="9" t="e">
        <f t="shared" ca="1" si="245"/>
        <v>#N/A</v>
      </c>
      <c r="BD469" s="9" t="e">
        <f t="shared" ca="1" si="246"/>
        <v>#N/A</v>
      </c>
    </row>
    <row r="470" spans="1:56" ht="15" x14ac:dyDescent="0.25">
      <c r="A470" s="63"/>
      <c r="B470" s="63"/>
      <c r="C470" s="64"/>
      <c r="D470" s="64"/>
      <c r="E470" s="64"/>
      <c r="F470" s="64"/>
      <c r="G470" s="64"/>
      <c r="H470" s="64"/>
      <c r="I470" s="64"/>
      <c r="J470" s="64"/>
      <c r="K470" s="64"/>
      <c r="L470" s="64"/>
      <c r="M470" s="64"/>
      <c r="O470" s="11">
        <f t="shared" ca="1" si="269"/>
        <v>-3.9378682616450625E-4</v>
      </c>
      <c r="P470" s="11">
        <f t="shared" ca="1" si="270"/>
        <v>-1.6358405771021967E-4</v>
      </c>
      <c r="Q470" s="11">
        <f t="shared" ca="1" si="271"/>
        <v>-1.614029402377854E-3</v>
      </c>
      <c r="R470" s="11">
        <f t="shared" ca="1" si="272"/>
        <v>-1.4853760121635622E-5</v>
      </c>
      <c r="S470" s="11">
        <f t="shared" ca="1" si="273"/>
        <v>-1.1458026838550334E-3</v>
      </c>
      <c r="T470" s="11">
        <f t="shared" ca="1" si="274"/>
        <v>-4.9053934342410677E-4</v>
      </c>
      <c r="U470" s="11">
        <f t="shared" ca="1" si="275"/>
        <v>-5.5074395654535931E-3</v>
      </c>
      <c r="V470" s="11"/>
      <c r="W470" s="11">
        <f t="shared" ca="1" si="255"/>
        <v>0</v>
      </c>
      <c r="X470" s="2">
        <f t="shared" ca="1" si="256"/>
        <v>-1.6358405771021967E-4</v>
      </c>
      <c r="Y470" s="2">
        <f t="shared" ca="1" si="257"/>
        <v>-1.614029402377854E-3</v>
      </c>
      <c r="Z470" s="11">
        <f t="shared" ca="1" si="258"/>
        <v>-1.4853760121635622E-5</v>
      </c>
      <c r="AA470" s="2">
        <f t="shared" ca="1" si="259"/>
        <v>-1.1458026838550334E-3</v>
      </c>
      <c r="AB470" s="11">
        <f t="shared" ca="1" si="260"/>
        <v>-4.9053934342410677E-4</v>
      </c>
      <c r="AC470" s="2">
        <f t="shared" ca="1" si="261"/>
        <v>-5.5074395654535931E-3</v>
      </c>
      <c r="AF470" s="11">
        <f t="shared" ca="1" si="262"/>
        <v>0</v>
      </c>
      <c r="AG470" s="2">
        <f t="shared" ca="1" si="263"/>
        <v>-1.6358405771021967E-4</v>
      </c>
      <c r="AH470" s="2">
        <f t="shared" ca="1" si="264"/>
        <v>-1.614029402377854E-3</v>
      </c>
      <c r="AI470" s="2">
        <f t="shared" ca="1" si="265"/>
        <v>-1.4853760121635622E-5</v>
      </c>
      <c r="AJ470" s="2">
        <f t="shared" ca="1" si="266"/>
        <v>-1.1458026838550334E-3</v>
      </c>
      <c r="AK470" s="2">
        <f t="shared" ca="1" si="267"/>
        <v>-4.9053934342410677E-4</v>
      </c>
      <c r="AL470" s="2">
        <f t="shared" ca="1" si="268"/>
        <v>-5.5074395654535931E-3</v>
      </c>
      <c r="AN470" s="2" t="e">
        <f t="shared" ca="1" si="247"/>
        <v>#N/A</v>
      </c>
      <c r="AO470" s="2" t="e">
        <f t="shared" ca="1" si="248"/>
        <v>#N/A</v>
      </c>
      <c r="AP470" s="2" t="e">
        <f t="shared" ca="1" si="249"/>
        <v>#N/A</v>
      </c>
      <c r="AQ470" s="2" t="e">
        <f t="shared" ca="1" si="250"/>
        <v>#N/A</v>
      </c>
      <c r="AR470" s="2" t="e">
        <f t="shared" ca="1" si="251"/>
        <v>#N/A</v>
      </c>
      <c r="AS470" s="2" t="e">
        <f t="shared" ca="1" si="252"/>
        <v>#N/A</v>
      </c>
      <c r="AT470" s="9" t="e">
        <f t="shared" ca="1" si="253"/>
        <v>#N/A</v>
      </c>
      <c r="AU470" s="9" t="e">
        <f t="shared" ca="1" si="254"/>
        <v>#N/A</v>
      </c>
      <c r="AW470" s="2" t="e">
        <f t="shared" ca="1" si="239"/>
        <v>#N/A</v>
      </c>
      <c r="AX470" s="2" t="e">
        <f t="shared" ca="1" si="240"/>
        <v>#N/A</v>
      </c>
      <c r="AY470" s="2" t="e">
        <f t="shared" ca="1" si="241"/>
        <v>#N/A</v>
      </c>
      <c r="AZ470" s="2" t="e">
        <f t="shared" ca="1" si="242"/>
        <v>#N/A</v>
      </c>
      <c r="BA470" s="2" t="e">
        <f t="shared" ca="1" si="243"/>
        <v>#N/A</v>
      </c>
      <c r="BB470" s="2" t="e">
        <f t="shared" ca="1" si="244"/>
        <v>#N/A</v>
      </c>
      <c r="BC470" s="9" t="e">
        <f t="shared" ca="1" si="245"/>
        <v>#N/A</v>
      </c>
      <c r="BD470" s="9" t="e">
        <f t="shared" ca="1" si="246"/>
        <v>#N/A</v>
      </c>
    </row>
    <row r="471" spans="1:56" ht="15" x14ac:dyDescent="0.25">
      <c r="A471" s="63"/>
      <c r="B471" s="63"/>
      <c r="C471" s="64"/>
      <c r="D471" s="64"/>
      <c r="E471" s="64"/>
      <c r="F471" s="64"/>
      <c r="G471" s="64"/>
      <c r="H471" s="64"/>
      <c r="I471" s="64"/>
      <c r="J471" s="64"/>
      <c r="K471" s="64"/>
      <c r="L471" s="64"/>
      <c r="M471" s="64"/>
      <c r="O471" s="11">
        <f t="shared" ca="1" si="269"/>
        <v>-3.9378682616450625E-4</v>
      </c>
      <c r="P471" s="11">
        <f t="shared" ca="1" si="270"/>
        <v>-1.6358405771021967E-4</v>
      </c>
      <c r="Q471" s="11">
        <f t="shared" ca="1" si="271"/>
        <v>-1.614029402377854E-3</v>
      </c>
      <c r="R471" s="11">
        <f t="shared" ca="1" si="272"/>
        <v>-1.4853760121635622E-5</v>
      </c>
      <c r="S471" s="11">
        <f t="shared" ca="1" si="273"/>
        <v>-1.1458026838550334E-3</v>
      </c>
      <c r="T471" s="11">
        <f t="shared" ca="1" si="274"/>
        <v>-4.9053934342410677E-4</v>
      </c>
      <c r="U471" s="11">
        <f t="shared" ca="1" si="275"/>
        <v>-5.5074395654535931E-3</v>
      </c>
      <c r="V471" s="11"/>
      <c r="W471" s="11">
        <f t="shared" ca="1" si="255"/>
        <v>0</v>
      </c>
      <c r="X471" s="2">
        <f t="shared" ca="1" si="256"/>
        <v>-1.6358405771021967E-4</v>
      </c>
      <c r="Y471" s="2">
        <f t="shared" ca="1" si="257"/>
        <v>-1.614029402377854E-3</v>
      </c>
      <c r="Z471" s="11">
        <f t="shared" ca="1" si="258"/>
        <v>-1.4853760121635622E-5</v>
      </c>
      <c r="AA471" s="2">
        <f t="shared" ca="1" si="259"/>
        <v>-1.1458026838550334E-3</v>
      </c>
      <c r="AB471" s="11">
        <f t="shared" ca="1" si="260"/>
        <v>-4.9053934342410677E-4</v>
      </c>
      <c r="AC471" s="2">
        <f t="shared" ca="1" si="261"/>
        <v>-5.5074395654535931E-3</v>
      </c>
      <c r="AF471" s="11">
        <f t="shared" ca="1" si="262"/>
        <v>0</v>
      </c>
      <c r="AG471" s="2">
        <f t="shared" ca="1" si="263"/>
        <v>-1.6358405771021967E-4</v>
      </c>
      <c r="AH471" s="2">
        <f t="shared" ca="1" si="264"/>
        <v>-1.614029402377854E-3</v>
      </c>
      <c r="AI471" s="2">
        <f t="shared" ca="1" si="265"/>
        <v>-1.4853760121635622E-5</v>
      </c>
      <c r="AJ471" s="2">
        <f t="shared" ca="1" si="266"/>
        <v>-1.1458026838550334E-3</v>
      </c>
      <c r="AK471" s="2">
        <f t="shared" ca="1" si="267"/>
        <v>-4.9053934342410677E-4</v>
      </c>
      <c r="AL471" s="2">
        <f t="shared" ca="1" si="268"/>
        <v>-5.5074395654535931E-3</v>
      </c>
      <c r="AN471" s="2" t="e">
        <f t="shared" ca="1" si="247"/>
        <v>#N/A</v>
      </c>
      <c r="AO471" s="2" t="e">
        <f t="shared" ca="1" si="248"/>
        <v>#N/A</v>
      </c>
      <c r="AP471" s="2" t="e">
        <f t="shared" ca="1" si="249"/>
        <v>#N/A</v>
      </c>
      <c r="AQ471" s="2" t="e">
        <f t="shared" ca="1" si="250"/>
        <v>#N/A</v>
      </c>
      <c r="AR471" s="2" t="e">
        <f t="shared" ca="1" si="251"/>
        <v>#N/A</v>
      </c>
      <c r="AS471" s="2" t="e">
        <f t="shared" ca="1" si="252"/>
        <v>#N/A</v>
      </c>
      <c r="AT471" s="9" t="e">
        <f t="shared" ca="1" si="253"/>
        <v>#N/A</v>
      </c>
      <c r="AU471" s="9" t="e">
        <f t="shared" ca="1" si="254"/>
        <v>#N/A</v>
      </c>
      <c r="AW471" s="2" t="e">
        <f t="shared" ref="AW471:AW534" ca="1" si="276">IF(AND(AL471&gt;0, AJ471&gt;0), AL471/AJ471, #N/A)</f>
        <v>#N/A</v>
      </c>
      <c r="AX471" s="2" t="e">
        <f t="shared" ref="AX471:AX534" ca="1" si="277">$B$8*((AW471/$B$10)^$B$11)</f>
        <v>#N/A</v>
      </c>
      <c r="AY471" s="2" t="e">
        <f t="shared" ref="AY471:AY534" ca="1" si="278">AX471*AI471</f>
        <v>#N/A</v>
      </c>
      <c r="AZ471" s="2" t="e">
        <f t="shared" ref="AZ471:AZ534" ca="1" si="279">AK471-AY471</f>
        <v>#N/A</v>
      </c>
      <c r="BA471" s="2" t="e">
        <f t="shared" ref="BA471:BA534" ca="1" si="280">(AZ471/AJ471)/((AW471/$B$10)^$B$12)</f>
        <v>#N/A</v>
      </c>
      <c r="BB471" s="2" t="e">
        <f t="shared" ref="BB471:BB534" ca="1" si="281">(AH471/AJ471)/((AW471/$B$10)^$B$13)</f>
        <v>#N/A</v>
      </c>
      <c r="BC471" s="9" t="e">
        <f t="shared" ref="BC471:BC534" ca="1" si="282">IF(AND(BA471&lt;$P$3,BA471&gt;$P$4),BA471,"rejected")</f>
        <v>#N/A</v>
      </c>
      <c r="BD471" s="9" t="e">
        <f t="shared" ref="BD471:BD534" ca="1" si="283">IF(AND(BA471&lt;$P$3,BA471&gt;$P$4),BA471,#N/A)</f>
        <v>#N/A</v>
      </c>
    </row>
    <row r="472" spans="1:56" ht="15" x14ac:dyDescent="0.25">
      <c r="A472" s="63"/>
      <c r="B472" s="63"/>
      <c r="C472" s="64"/>
      <c r="D472" s="64"/>
      <c r="E472" s="64"/>
      <c r="F472" s="64"/>
      <c r="G472" s="64"/>
      <c r="H472" s="64"/>
      <c r="I472" s="64"/>
      <c r="J472" s="64"/>
      <c r="K472" s="64"/>
      <c r="L472" s="64"/>
      <c r="M472" s="64"/>
      <c r="O472" s="11">
        <f t="shared" ca="1" si="269"/>
        <v>-3.9378682616450625E-4</v>
      </c>
      <c r="P472" s="11">
        <f t="shared" ca="1" si="270"/>
        <v>-1.6358405771021967E-4</v>
      </c>
      <c r="Q472" s="11">
        <f t="shared" ca="1" si="271"/>
        <v>-1.614029402377854E-3</v>
      </c>
      <c r="R472" s="11">
        <f t="shared" ca="1" si="272"/>
        <v>-1.4853760121635622E-5</v>
      </c>
      <c r="S472" s="11">
        <f t="shared" ca="1" si="273"/>
        <v>-1.1458026838550334E-3</v>
      </c>
      <c r="T472" s="11">
        <f t="shared" ca="1" si="274"/>
        <v>-4.9053934342410677E-4</v>
      </c>
      <c r="U472" s="11">
        <f t="shared" ca="1" si="275"/>
        <v>-5.5074395654535931E-3</v>
      </c>
      <c r="V472" s="11"/>
      <c r="W472" s="11">
        <f t="shared" ca="1" si="255"/>
        <v>0</v>
      </c>
      <c r="X472" s="2">
        <f t="shared" ca="1" si="256"/>
        <v>-1.6358405771021967E-4</v>
      </c>
      <c r="Y472" s="2">
        <f t="shared" ca="1" si="257"/>
        <v>-1.614029402377854E-3</v>
      </c>
      <c r="Z472" s="11">
        <f t="shared" ca="1" si="258"/>
        <v>-1.4853760121635622E-5</v>
      </c>
      <c r="AA472" s="2">
        <f t="shared" ca="1" si="259"/>
        <v>-1.1458026838550334E-3</v>
      </c>
      <c r="AB472" s="11">
        <f t="shared" ca="1" si="260"/>
        <v>-4.9053934342410677E-4</v>
      </c>
      <c r="AC472" s="2">
        <f t="shared" ca="1" si="261"/>
        <v>-5.5074395654535931E-3</v>
      </c>
      <c r="AF472" s="11">
        <f t="shared" ca="1" si="262"/>
        <v>0</v>
      </c>
      <c r="AG472" s="2">
        <f t="shared" ca="1" si="263"/>
        <v>-1.6358405771021967E-4</v>
      </c>
      <c r="AH472" s="2">
        <f t="shared" ca="1" si="264"/>
        <v>-1.614029402377854E-3</v>
      </c>
      <c r="AI472" s="2">
        <f t="shared" ca="1" si="265"/>
        <v>-1.4853760121635622E-5</v>
      </c>
      <c r="AJ472" s="2">
        <f t="shared" ca="1" si="266"/>
        <v>-1.1458026838550334E-3</v>
      </c>
      <c r="AK472" s="2">
        <f t="shared" ca="1" si="267"/>
        <v>-4.9053934342410677E-4</v>
      </c>
      <c r="AL472" s="2">
        <f t="shared" ca="1" si="268"/>
        <v>-5.5074395654535931E-3</v>
      </c>
      <c r="AN472" s="2" t="e">
        <f t="shared" ca="1" si="247"/>
        <v>#N/A</v>
      </c>
      <c r="AO472" s="2" t="e">
        <f t="shared" ca="1" si="248"/>
        <v>#N/A</v>
      </c>
      <c r="AP472" s="2" t="e">
        <f t="shared" ca="1" si="249"/>
        <v>#N/A</v>
      </c>
      <c r="AQ472" s="2" t="e">
        <f t="shared" ca="1" si="250"/>
        <v>#N/A</v>
      </c>
      <c r="AR472" s="2" t="e">
        <f t="shared" ca="1" si="251"/>
        <v>#N/A</v>
      </c>
      <c r="AS472" s="2" t="e">
        <f t="shared" ca="1" si="252"/>
        <v>#N/A</v>
      </c>
      <c r="AT472" s="9" t="e">
        <f t="shared" ca="1" si="253"/>
        <v>#N/A</v>
      </c>
      <c r="AU472" s="9" t="e">
        <f t="shared" ca="1" si="254"/>
        <v>#N/A</v>
      </c>
      <c r="AW472" s="2" t="e">
        <f t="shared" ca="1" si="276"/>
        <v>#N/A</v>
      </c>
      <c r="AX472" s="2" t="e">
        <f t="shared" ca="1" si="277"/>
        <v>#N/A</v>
      </c>
      <c r="AY472" s="2" t="e">
        <f t="shared" ca="1" si="278"/>
        <v>#N/A</v>
      </c>
      <c r="AZ472" s="2" t="e">
        <f t="shared" ca="1" si="279"/>
        <v>#N/A</v>
      </c>
      <c r="BA472" s="2" t="e">
        <f t="shared" ca="1" si="280"/>
        <v>#N/A</v>
      </c>
      <c r="BB472" s="2" t="e">
        <f t="shared" ca="1" si="281"/>
        <v>#N/A</v>
      </c>
      <c r="BC472" s="9" t="e">
        <f t="shared" ca="1" si="282"/>
        <v>#N/A</v>
      </c>
      <c r="BD472" s="9" t="e">
        <f t="shared" ca="1" si="283"/>
        <v>#N/A</v>
      </c>
    </row>
    <row r="473" spans="1:56" ht="15" x14ac:dyDescent="0.25">
      <c r="A473" s="63"/>
      <c r="B473" s="63"/>
      <c r="C473" s="64"/>
      <c r="D473" s="64"/>
      <c r="E473" s="64"/>
      <c r="F473" s="64"/>
      <c r="G473" s="64"/>
      <c r="H473" s="64"/>
      <c r="I473" s="64"/>
      <c r="J473" s="64"/>
      <c r="K473" s="64"/>
      <c r="L473" s="64"/>
      <c r="M473" s="64"/>
      <c r="O473" s="11">
        <f t="shared" ca="1" si="269"/>
        <v>-3.9378682616450625E-4</v>
      </c>
      <c r="P473" s="11">
        <f t="shared" ca="1" si="270"/>
        <v>-1.6358405771021967E-4</v>
      </c>
      <c r="Q473" s="11">
        <f t="shared" ca="1" si="271"/>
        <v>-1.614029402377854E-3</v>
      </c>
      <c r="R473" s="11">
        <f t="shared" ca="1" si="272"/>
        <v>-1.4853760121635622E-5</v>
      </c>
      <c r="S473" s="11">
        <f t="shared" ca="1" si="273"/>
        <v>-1.1458026838550334E-3</v>
      </c>
      <c r="T473" s="11">
        <f t="shared" ca="1" si="274"/>
        <v>-4.9053934342410677E-4</v>
      </c>
      <c r="U473" s="11">
        <f t="shared" ca="1" si="275"/>
        <v>-5.5074395654535931E-3</v>
      </c>
      <c r="V473" s="11"/>
      <c r="W473" s="11">
        <f t="shared" ca="1" si="255"/>
        <v>0</v>
      </c>
      <c r="X473" s="2">
        <f t="shared" ca="1" si="256"/>
        <v>-1.6358405771021967E-4</v>
      </c>
      <c r="Y473" s="2">
        <f t="shared" ca="1" si="257"/>
        <v>-1.614029402377854E-3</v>
      </c>
      <c r="Z473" s="11">
        <f t="shared" ca="1" si="258"/>
        <v>-1.4853760121635622E-5</v>
      </c>
      <c r="AA473" s="2">
        <f t="shared" ca="1" si="259"/>
        <v>-1.1458026838550334E-3</v>
      </c>
      <c r="AB473" s="11">
        <f t="shared" ca="1" si="260"/>
        <v>-4.9053934342410677E-4</v>
      </c>
      <c r="AC473" s="2">
        <f t="shared" ca="1" si="261"/>
        <v>-5.5074395654535931E-3</v>
      </c>
      <c r="AF473" s="11">
        <f t="shared" ca="1" si="262"/>
        <v>0</v>
      </c>
      <c r="AG473" s="2">
        <f t="shared" ca="1" si="263"/>
        <v>-1.6358405771021967E-4</v>
      </c>
      <c r="AH473" s="2">
        <f t="shared" ca="1" si="264"/>
        <v>-1.614029402377854E-3</v>
      </c>
      <c r="AI473" s="2">
        <f t="shared" ca="1" si="265"/>
        <v>-1.4853760121635622E-5</v>
      </c>
      <c r="AJ473" s="2">
        <f t="shared" ca="1" si="266"/>
        <v>-1.1458026838550334E-3</v>
      </c>
      <c r="AK473" s="2">
        <f t="shared" ca="1" si="267"/>
        <v>-4.9053934342410677E-4</v>
      </c>
      <c r="AL473" s="2">
        <f t="shared" ca="1" si="268"/>
        <v>-5.5074395654535931E-3</v>
      </c>
      <c r="AN473" s="2" t="e">
        <f t="shared" ca="1" si="247"/>
        <v>#N/A</v>
      </c>
      <c r="AO473" s="2" t="e">
        <f t="shared" ca="1" si="248"/>
        <v>#N/A</v>
      </c>
      <c r="AP473" s="2" t="e">
        <f t="shared" ca="1" si="249"/>
        <v>#N/A</v>
      </c>
      <c r="AQ473" s="2" t="e">
        <f t="shared" ca="1" si="250"/>
        <v>#N/A</v>
      </c>
      <c r="AR473" s="2" t="e">
        <f t="shared" ca="1" si="251"/>
        <v>#N/A</v>
      </c>
      <c r="AS473" s="2" t="e">
        <f t="shared" ca="1" si="252"/>
        <v>#N/A</v>
      </c>
      <c r="AT473" s="9" t="e">
        <f t="shared" ca="1" si="253"/>
        <v>#N/A</v>
      </c>
      <c r="AU473" s="9" t="e">
        <f t="shared" ca="1" si="254"/>
        <v>#N/A</v>
      </c>
      <c r="AW473" s="2" t="e">
        <f t="shared" ca="1" si="276"/>
        <v>#N/A</v>
      </c>
      <c r="AX473" s="2" t="e">
        <f t="shared" ca="1" si="277"/>
        <v>#N/A</v>
      </c>
      <c r="AY473" s="2" t="e">
        <f t="shared" ca="1" si="278"/>
        <v>#N/A</v>
      </c>
      <c r="AZ473" s="2" t="e">
        <f t="shared" ca="1" si="279"/>
        <v>#N/A</v>
      </c>
      <c r="BA473" s="2" t="e">
        <f t="shared" ca="1" si="280"/>
        <v>#N/A</v>
      </c>
      <c r="BB473" s="2" t="e">
        <f t="shared" ca="1" si="281"/>
        <v>#N/A</v>
      </c>
      <c r="BC473" s="9" t="e">
        <f t="shared" ca="1" si="282"/>
        <v>#N/A</v>
      </c>
      <c r="BD473" s="9" t="e">
        <f t="shared" ca="1" si="283"/>
        <v>#N/A</v>
      </c>
    </row>
    <row r="474" spans="1:56" ht="15" x14ac:dyDescent="0.25">
      <c r="A474" s="63"/>
      <c r="B474" s="63"/>
      <c r="C474" s="64"/>
      <c r="D474" s="64"/>
      <c r="E474" s="64"/>
      <c r="F474" s="64"/>
      <c r="G474" s="64"/>
      <c r="H474" s="64"/>
      <c r="I474" s="64"/>
      <c r="J474" s="64"/>
      <c r="K474" s="64"/>
      <c r="L474" s="64"/>
      <c r="M474" s="64"/>
      <c r="O474" s="11">
        <f t="shared" ca="1" si="269"/>
        <v>-3.9378682616450625E-4</v>
      </c>
      <c r="P474" s="11">
        <f t="shared" ca="1" si="270"/>
        <v>-1.6358405771021967E-4</v>
      </c>
      <c r="Q474" s="11">
        <f t="shared" ca="1" si="271"/>
        <v>-1.614029402377854E-3</v>
      </c>
      <c r="R474" s="11">
        <f t="shared" ca="1" si="272"/>
        <v>-1.4853760121635622E-5</v>
      </c>
      <c r="S474" s="11">
        <f t="shared" ca="1" si="273"/>
        <v>-1.1458026838550334E-3</v>
      </c>
      <c r="T474" s="11">
        <f t="shared" ca="1" si="274"/>
        <v>-4.9053934342410677E-4</v>
      </c>
      <c r="U474" s="11">
        <f t="shared" ca="1" si="275"/>
        <v>-5.5074395654535931E-3</v>
      </c>
      <c r="V474" s="11"/>
      <c r="W474" s="11">
        <f t="shared" ca="1" si="255"/>
        <v>0</v>
      </c>
      <c r="X474" s="2">
        <f t="shared" ca="1" si="256"/>
        <v>-1.6358405771021967E-4</v>
      </c>
      <c r="Y474" s="2">
        <f t="shared" ca="1" si="257"/>
        <v>-1.614029402377854E-3</v>
      </c>
      <c r="Z474" s="11">
        <f t="shared" ca="1" si="258"/>
        <v>-1.4853760121635622E-5</v>
      </c>
      <c r="AA474" s="2">
        <f t="shared" ca="1" si="259"/>
        <v>-1.1458026838550334E-3</v>
      </c>
      <c r="AB474" s="11">
        <f t="shared" ca="1" si="260"/>
        <v>-4.9053934342410677E-4</v>
      </c>
      <c r="AC474" s="2">
        <f t="shared" ca="1" si="261"/>
        <v>-5.5074395654535931E-3</v>
      </c>
      <c r="AF474" s="11">
        <f t="shared" ca="1" si="262"/>
        <v>0</v>
      </c>
      <c r="AG474" s="2">
        <f t="shared" ca="1" si="263"/>
        <v>-1.6358405771021967E-4</v>
      </c>
      <c r="AH474" s="2">
        <f t="shared" ca="1" si="264"/>
        <v>-1.614029402377854E-3</v>
      </c>
      <c r="AI474" s="2">
        <f t="shared" ca="1" si="265"/>
        <v>-1.4853760121635622E-5</v>
      </c>
      <c r="AJ474" s="2">
        <f t="shared" ca="1" si="266"/>
        <v>-1.1458026838550334E-3</v>
      </c>
      <c r="AK474" s="2">
        <f t="shared" ca="1" si="267"/>
        <v>-4.9053934342410677E-4</v>
      </c>
      <c r="AL474" s="2">
        <f t="shared" ca="1" si="268"/>
        <v>-5.5074395654535931E-3</v>
      </c>
      <c r="AN474" s="2" t="e">
        <f t="shared" ca="1" si="247"/>
        <v>#N/A</v>
      </c>
      <c r="AO474" s="2" t="e">
        <f t="shared" ca="1" si="248"/>
        <v>#N/A</v>
      </c>
      <c r="AP474" s="2" t="e">
        <f t="shared" ca="1" si="249"/>
        <v>#N/A</v>
      </c>
      <c r="AQ474" s="2" t="e">
        <f t="shared" ca="1" si="250"/>
        <v>#N/A</v>
      </c>
      <c r="AR474" s="2" t="e">
        <f t="shared" ca="1" si="251"/>
        <v>#N/A</v>
      </c>
      <c r="AS474" s="2" t="e">
        <f t="shared" ca="1" si="252"/>
        <v>#N/A</v>
      </c>
      <c r="AT474" s="9" t="e">
        <f t="shared" ca="1" si="253"/>
        <v>#N/A</v>
      </c>
      <c r="AU474" s="9" t="e">
        <f t="shared" ca="1" si="254"/>
        <v>#N/A</v>
      </c>
      <c r="AW474" s="2" t="e">
        <f t="shared" ca="1" si="276"/>
        <v>#N/A</v>
      </c>
      <c r="AX474" s="2" t="e">
        <f t="shared" ca="1" si="277"/>
        <v>#N/A</v>
      </c>
      <c r="AY474" s="2" t="e">
        <f t="shared" ca="1" si="278"/>
        <v>#N/A</v>
      </c>
      <c r="AZ474" s="2" t="e">
        <f t="shared" ca="1" si="279"/>
        <v>#N/A</v>
      </c>
      <c r="BA474" s="2" t="e">
        <f t="shared" ca="1" si="280"/>
        <v>#N/A</v>
      </c>
      <c r="BB474" s="2" t="e">
        <f t="shared" ca="1" si="281"/>
        <v>#N/A</v>
      </c>
      <c r="BC474" s="9" t="e">
        <f t="shared" ca="1" si="282"/>
        <v>#N/A</v>
      </c>
      <c r="BD474" s="9" t="e">
        <f t="shared" ca="1" si="283"/>
        <v>#N/A</v>
      </c>
    </row>
    <row r="475" spans="1:56" ht="15" x14ac:dyDescent="0.25">
      <c r="A475" s="63"/>
      <c r="B475" s="63"/>
      <c r="C475" s="64"/>
      <c r="D475" s="64"/>
      <c r="E475" s="64"/>
      <c r="F475" s="64"/>
      <c r="G475" s="64"/>
      <c r="H475" s="64"/>
      <c r="I475" s="64"/>
      <c r="J475" s="64"/>
      <c r="K475" s="64"/>
      <c r="L475" s="64"/>
      <c r="M475" s="64"/>
      <c r="O475" s="11">
        <f t="shared" ca="1" si="269"/>
        <v>-3.9378682616450625E-4</v>
      </c>
      <c r="P475" s="11">
        <f t="shared" ca="1" si="270"/>
        <v>-1.6358405771021967E-4</v>
      </c>
      <c r="Q475" s="11">
        <f t="shared" ca="1" si="271"/>
        <v>-1.614029402377854E-3</v>
      </c>
      <c r="R475" s="11">
        <f t="shared" ca="1" si="272"/>
        <v>-1.4853760121635622E-5</v>
      </c>
      <c r="S475" s="11">
        <f t="shared" ca="1" si="273"/>
        <v>-1.1458026838550334E-3</v>
      </c>
      <c r="T475" s="11">
        <f t="shared" ca="1" si="274"/>
        <v>-4.9053934342410677E-4</v>
      </c>
      <c r="U475" s="11">
        <f t="shared" ca="1" si="275"/>
        <v>-5.5074395654535931E-3</v>
      </c>
      <c r="V475" s="11"/>
      <c r="W475" s="11">
        <f t="shared" ca="1" si="255"/>
        <v>0</v>
      </c>
      <c r="X475" s="2">
        <f t="shared" ca="1" si="256"/>
        <v>-1.6358405771021967E-4</v>
      </c>
      <c r="Y475" s="2">
        <f t="shared" ca="1" si="257"/>
        <v>-1.614029402377854E-3</v>
      </c>
      <c r="Z475" s="11">
        <f t="shared" ca="1" si="258"/>
        <v>-1.4853760121635622E-5</v>
      </c>
      <c r="AA475" s="2">
        <f t="shared" ca="1" si="259"/>
        <v>-1.1458026838550334E-3</v>
      </c>
      <c r="AB475" s="11">
        <f t="shared" ca="1" si="260"/>
        <v>-4.9053934342410677E-4</v>
      </c>
      <c r="AC475" s="2">
        <f t="shared" ca="1" si="261"/>
        <v>-5.5074395654535931E-3</v>
      </c>
      <c r="AF475" s="11">
        <f t="shared" ca="1" si="262"/>
        <v>0</v>
      </c>
      <c r="AG475" s="2">
        <f t="shared" ca="1" si="263"/>
        <v>-1.6358405771021967E-4</v>
      </c>
      <c r="AH475" s="2">
        <f t="shared" ca="1" si="264"/>
        <v>-1.614029402377854E-3</v>
      </c>
      <c r="AI475" s="2">
        <f t="shared" ca="1" si="265"/>
        <v>-1.4853760121635622E-5</v>
      </c>
      <c r="AJ475" s="2">
        <f t="shared" ca="1" si="266"/>
        <v>-1.1458026838550334E-3</v>
      </c>
      <c r="AK475" s="2">
        <f t="shared" ca="1" si="267"/>
        <v>-4.9053934342410677E-4</v>
      </c>
      <c r="AL475" s="2">
        <f t="shared" ca="1" si="268"/>
        <v>-5.5074395654535931E-3</v>
      </c>
      <c r="AN475" s="2" t="e">
        <f t="shared" ca="1" si="247"/>
        <v>#N/A</v>
      </c>
      <c r="AO475" s="2" t="e">
        <f t="shared" ca="1" si="248"/>
        <v>#N/A</v>
      </c>
      <c r="AP475" s="2" t="e">
        <f t="shared" ca="1" si="249"/>
        <v>#N/A</v>
      </c>
      <c r="AQ475" s="2" t="e">
        <f t="shared" ca="1" si="250"/>
        <v>#N/A</v>
      </c>
      <c r="AR475" s="2" t="e">
        <f t="shared" ca="1" si="251"/>
        <v>#N/A</v>
      </c>
      <c r="AS475" s="2" t="e">
        <f t="shared" ca="1" si="252"/>
        <v>#N/A</v>
      </c>
      <c r="AT475" s="9" t="e">
        <f t="shared" ca="1" si="253"/>
        <v>#N/A</v>
      </c>
      <c r="AU475" s="9" t="e">
        <f t="shared" ca="1" si="254"/>
        <v>#N/A</v>
      </c>
      <c r="AW475" s="2" t="e">
        <f t="shared" ca="1" si="276"/>
        <v>#N/A</v>
      </c>
      <c r="AX475" s="2" t="e">
        <f t="shared" ca="1" si="277"/>
        <v>#N/A</v>
      </c>
      <c r="AY475" s="2" t="e">
        <f t="shared" ca="1" si="278"/>
        <v>#N/A</v>
      </c>
      <c r="AZ475" s="2" t="e">
        <f t="shared" ca="1" si="279"/>
        <v>#N/A</v>
      </c>
      <c r="BA475" s="2" t="e">
        <f t="shared" ca="1" si="280"/>
        <v>#N/A</v>
      </c>
      <c r="BB475" s="2" t="e">
        <f t="shared" ca="1" si="281"/>
        <v>#N/A</v>
      </c>
      <c r="BC475" s="9" t="e">
        <f t="shared" ca="1" si="282"/>
        <v>#N/A</v>
      </c>
      <c r="BD475" s="9" t="e">
        <f t="shared" ca="1" si="283"/>
        <v>#N/A</v>
      </c>
    </row>
    <row r="476" spans="1:56" ht="15" x14ac:dyDescent="0.25">
      <c r="A476" s="63"/>
      <c r="B476" s="63"/>
      <c r="C476" s="64"/>
      <c r="D476" s="64"/>
      <c r="E476" s="64"/>
      <c r="F476" s="64"/>
      <c r="G476" s="64"/>
      <c r="H476" s="64"/>
      <c r="I476" s="64"/>
      <c r="J476" s="64"/>
      <c r="K476" s="64"/>
      <c r="L476" s="64"/>
      <c r="M476" s="64"/>
      <c r="O476" s="11">
        <f t="shared" ca="1" si="269"/>
        <v>-3.9378682616450625E-4</v>
      </c>
      <c r="P476" s="11">
        <f t="shared" ca="1" si="270"/>
        <v>-1.6358405771021967E-4</v>
      </c>
      <c r="Q476" s="11">
        <f t="shared" ca="1" si="271"/>
        <v>-1.614029402377854E-3</v>
      </c>
      <c r="R476" s="11">
        <f t="shared" ca="1" si="272"/>
        <v>-1.4853760121635622E-5</v>
      </c>
      <c r="S476" s="11">
        <f t="shared" ca="1" si="273"/>
        <v>-1.1458026838550334E-3</v>
      </c>
      <c r="T476" s="11">
        <f t="shared" ca="1" si="274"/>
        <v>-4.9053934342410677E-4</v>
      </c>
      <c r="U476" s="11">
        <f t="shared" ca="1" si="275"/>
        <v>-5.5074395654535931E-3</v>
      </c>
      <c r="V476" s="11"/>
      <c r="W476" s="11">
        <f t="shared" ca="1" si="255"/>
        <v>0</v>
      </c>
      <c r="X476" s="2">
        <f t="shared" ca="1" si="256"/>
        <v>-1.6358405771021967E-4</v>
      </c>
      <c r="Y476" s="2">
        <f t="shared" ca="1" si="257"/>
        <v>-1.614029402377854E-3</v>
      </c>
      <c r="Z476" s="11">
        <f t="shared" ca="1" si="258"/>
        <v>-1.4853760121635622E-5</v>
      </c>
      <c r="AA476" s="2">
        <f t="shared" ca="1" si="259"/>
        <v>-1.1458026838550334E-3</v>
      </c>
      <c r="AB476" s="11">
        <f t="shared" ca="1" si="260"/>
        <v>-4.9053934342410677E-4</v>
      </c>
      <c r="AC476" s="2">
        <f t="shared" ca="1" si="261"/>
        <v>-5.5074395654535931E-3</v>
      </c>
      <c r="AF476" s="11">
        <f t="shared" ca="1" si="262"/>
        <v>0</v>
      </c>
      <c r="AG476" s="2">
        <f t="shared" ca="1" si="263"/>
        <v>-1.6358405771021967E-4</v>
      </c>
      <c r="AH476" s="2">
        <f t="shared" ca="1" si="264"/>
        <v>-1.614029402377854E-3</v>
      </c>
      <c r="AI476" s="2">
        <f t="shared" ca="1" si="265"/>
        <v>-1.4853760121635622E-5</v>
      </c>
      <c r="AJ476" s="2">
        <f t="shared" ca="1" si="266"/>
        <v>-1.1458026838550334E-3</v>
      </c>
      <c r="AK476" s="2">
        <f t="shared" ca="1" si="267"/>
        <v>-4.9053934342410677E-4</v>
      </c>
      <c r="AL476" s="2">
        <f t="shared" ca="1" si="268"/>
        <v>-5.5074395654535931E-3</v>
      </c>
      <c r="AN476" s="2" t="e">
        <f t="shared" ca="1" si="247"/>
        <v>#N/A</v>
      </c>
      <c r="AO476" s="2" t="e">
        <f t="shared" ca="1" si="248"/>
        <v>#N/A</v>
      </c>
      <c r="AP476" s="2" t="e">
        <f t="shared" ca="1" si="249"/>
        <v>#N/A</v>
      </c>
      <c r="AQ476" s="2" t="e">
        <f t="shared" ca="1" si="250"/>
        <v>#N/A</v>
      </c>
      <c r="AR476" s="2" t="e">
        <f t="shared" ca="1" si="251"/>
        <v>#N/A</v>
      </c>
      <c r="AS476" s="2" t="e">
        <f t="shared" ca="1" si="252"/>
        <v>#N/A</v>
      </c>
      <c r="AT476" s="9" t="e">
        <f t="shared" ca="1" si="253"/>
        <v>#N/A</v>
      </c>
      <c r="AU476" s="9" t="e">
        <f t="shared" ca="1" si="254"/>
        <v>#N/A</v>
      </c>
      <c r="AW476" s="2" t="e">
        <f t="shared" ca="1" si="276"/>
        <v>#N/A</v>
      </c>
      <c r="AX476" s="2" t="e">
        <f t="shared" ca="1" si="277"/>
        <v>#N/A</v>
      </c>
      <c r="AY476" s="2" t="e">
        <f t="shared" ca="1" si="278"/>
        <v>#N/A</v>
      </c>
      <c r="AZ476" s="2" t="e">
        <f t="shared" ca="1" si="279"/>
        <v>#N/A</v>
      </c>
      <c r="BA476" s="2" t="e">
        <f t="shared" ca="1" si="280"/>
        <v>#N/A</v>
      </c>
      <c r="BB476" s="2" t="e">
        <f t="shared" ca="1" si="281"/>
        <v>#N/A</v>
      </c>
      <c r="BC476" s="9" t="e">
        <f t="shared" ca="1" si="282"/>
        <v>#N/A</v>
      </c>
      <c r="BD476" s="9" t="e">
        <f t="shared" ca="1" si="283"/>
        <v>#N/A</v>
      </c>
    </row>
    <row r="477" spans="1:56" ht="15" x14ac:dyDescent="0.25">
      <c r="A477" s="63"/>
      <c r="B477" s="63"/>
      <c r="C477" s="64"/>
      <c r="D477" s="64"/>
      <c r="E477" s="64"/>
      <c r="F477" s="64"/>
      <c r="G477" s="64"/>
      <c r="H477" s="64"/>
      <c r="I477" s="64"/>
      <c r="J477" s="64"/>
      <c r="K477" s="64"/>
      <c r="L477" s="64"/>
      <c r="M477" s="64"/>
      <c r="O477" s="11">
        <f t="shared" ca="1" si="269"/>
        <v>-3.9378682616450625E-4</v>
      </c>
      <c r="P477" s="11">
        <f t="shared" ca="1" si="270"/>
        <v>-1.6358405771021967E-4</v>
      </c>
      <c r="Q477" s="11">
        <f t="shared" ca="1" si="271"/>
        <v>-1.614029402377854E-3</v>
      </c>
      <c r="R477" s="11">
        <f t="shared" ca="1" si="272"/>
        <v>-1.4853760121635622E-5</v>
      </c>
      <c r="S477" s="11">
        <f t="shared" ca="1" si="273"/>
        <v>-1.1458026838550334E-3</v>
      </c>
      <c r="T477" s="11">
        <f t="shared" ca="1" si="274"/>
        <v>-4.9053934342410677E-4</v>
      </c>
      <c r="U477" s="11">
        <f t="shared" ca="1" si="275"/>
        <v>-5.5074395654535931E-3</v>
      </c>
      <c r="V477" s="11"/>
      <c r="W477" s="11">
        <f t="shared" ca="1" si="255"/>
        <v>0</v>
      </c>
      <c r="X477" s="2">
        <f t="shared" ca="1" si="256"/>
        <v>-1.6358405771021967E-4</v>
      </c>
      <c r="Y477" s="2">
        <f t="shared" ca="1" si="257"/>
        <v>-1.614029402377854E-3</v>
      </c>
      <c r="Z477" s="11">
        <f t="shared" ca="1" si="258"/>
        <v>-1.4853760121635622E-5</v>
      </c>
      <c r="AA477" s="2">
        <f t="shared" ca="1" si="259"/>
        <v>-1.1458026838550334E-3</v>
      </c>
      <c r="AB477" s="11">
        <f t="shared" ca="1" si="260"/>
        <v>-4.9053934342410677E-4</v>
      </c>
      <c r="AC477" s="2">
        <f t="shared" ca="1" si="261"/>
        <v>-5.5074395654535931E-3</v>
      </c>
      <c r="AF477" s="11">
        <f t="shared" ca="1" si="262"/>
        <v>0</v>
      </c>
      <c r="AG477" s="2">
        <f t="shared" ca="1" si="263"/>
        <v>-1.6358405771021967E-4</v>
      </c>
      <c r="AH477" s="2">
        <f t="shared" ca="1" si="264"/>
        <v>-1.614029402377854E-3</v>
      </c>
      <c r="AI477" s="2">
        <f t="shared" ca="1" si="265"/>
        <v>-1.4853760121635622E-5</v>
      </c>
      <c r="AJ477" s="2">
        <f t="shared" ca="1" si="266"/>
        <v>-1.1458026838550334E-3</v>
      </c>
      <c r="AK477" s="2">
        <f t="shared" ca="1" si="267"/>
        <v>-4.9053934342410677E-4</v>
      </c>
      <c r="AL477" s="2">
        <f t="shared" ca="1" si="268"/>
        <v>-5.5074395654535931E-3</v>
      </c>
      <c r="AN477" s="2" t="e">
        <f t="shared" ca="1" si="247"/>
        <v>#N/A</v>
      </c>
      <c r="AO477" s="2" t="e">
        <f t="shared" ca="1" si="248"/>
        <v>#N/A</v>
      </c>
      <c r="AP477" s="2" t="e">
        <f t="shared" ca="1" si="249"/>
        <v>#N/A</v>
      </c>
      <c r="AQ477" s="2" t="e">
        <f t="shared" ca="1" si="250"/>
        <v>#N/A</v>
      </c>
      <c r="AR477" s="2" t="e">
        <f t="shared" ca="1" si="251"/>
        <v>#N/A</v>
      </c>
      <c r="AS477" s="2" t="e">
        <f t="shared" ca="1" si="252"/>
        <v>#N/A</v>
      </c>
      <c r="AT477" s="9" t="e">
        <f t="shared" ca="1" si="253"/>
        <v>#N/A</v>
      </c>
      <c r="AU477" s="9" t="e">
        <f t="shared" ca="1" si="254"/>
        <v>#N/A</v>
      </c>
      <c r="AW477" s="2" t="e">
        <f t="shared" ca="1" si="276"/>
        <v>#N/A</v>
      </c>
      <c r="AX477" s="2" t="e">
        <f t="shared" ca="1" si="277"/>
        <v>#N/A</v>
      </c>
      <c r="AY477" s="2" t="e">
        <f t="shared" ca="1" si="278"/>
        <v>#N/A</v>
      </c>
      <c r="AZ477" s="2" t="e">
        <f t="shared" ca="1" si="279"/>
        <v>#N/A</v>
      </c>
      <c r="BA477" s="2" t="e">
        <f t="shared" ca="1" si="280"/>
        <v>#N/A</v>
      </c>
      <c r="BB477" s="2" t="e">
        <f t="shared" ca="1" si="281"/>
        <v>#N/A</v>
      </c>
      <c r="BC477" s="9" t="e">
        <f t="shared" ca="1" si="282"/>
        <v>#N/A</v>
      </c>
      <c r="BD477" s="9" t="e">
        <f t="shared" ca="1" si="283"/>
        <v>#N/A</v>
      </c>
    </row>
    <row r="478" spans="1:56" ht="15" x14ac:dyDescent="0.25">
      <c r="A478" s="63"/>
      <c r="B478" s="63"/>
      <c r="C478" s="64"/>
      <c r="D478" s="64"/>
      <c r="E478" s="64"/>
      <c r="F478" s="64"/>
      <c r="G478" s="64"/>
      <c r="H478" s="64"/>
      <c r="I478" s="64"/>
      <c r="J478" s="64"/>
      <c r="K478" s="64"/>
      <c r="L478" s="64"/>
      <c r="M478" s="64"/>
      <c r="O478" s="11">
        <f t="shared" ca="1" si="269"/>
        <v>-3.9378682616450625E-4</v>
      </c>
      <c r="P478" s="11">
        <f t="shared" ca="1" si="270"/>
        <v>-1.6358405771021967E-4</v>
      </c>
      <c r="Q478" s="11">
        <f t="shared" ca="1" si="271"/>
        <v>-1.614029402377854E-3</v>
      </c>
      <c r="R478" s="11">
        <f t="shared" ca="1" si="272"/>
        <v>-1.4853760121635622E-5</v>
      </c>
      <c r="S478" s="11">
        <f t="shared" ca="1" si="273"/>
        <v>-1.1458026838550334E-3</v>
      </c>
      <c r="T478" s="11">
        <f t="shared" ca="1" si="274"/>
        <v>-4.9053934342410677E-4</v>
      </c>
      <c r="U478" s="11">
        <f t="shared" ca="1" si="275"/>
        <v>-5.5074395654535931E-3</v>
      </c>
      <c r="V478" s="11"/>
      <c r="W478" s="11">
        <f t="shared" ca="1" si="255"/>
        <v>0</v>
      </c>
      <c r="X478" s="2">
        <f t="shared" ca="1" si="256"/>
        <v>-1.6358405771021967E-4</v>
      </c>
      <c r="Y478" s="2">
        <f t="shared" ca="1" si="257"/>
        <v>-1.614029402377854E-3</v>
      </c>
      <c r="Z478" s="11">
        <f t="shared" ca="1" si="258"/>
        <v>-1.4853760121635622E-5</v>
      </c>
      <c r="AA478" s="2">
        <f t="shared" ca="1" si="259"/>
        <v>-1.1458026838550334E-3</v>
      </c>
      <c r="AB478" s="11">
        <f t="shared" ca="1" si="260"/>
        <v>-4.9053934342410677E-4</v>
      </c>
      <c r="AC478" s="2">
        <f t="shared" ca="1" si="261"/>
        <v>-5.5074395654535931E-3</v>
      </c>
      <c r="AF478" s="11">
        <f t="shared" ca="1" si="262"/>
        <v>0</v>
      </c>
      <c r="AG478" s="2">
        <f t="shared" ca="1" si="263"/>
        <v>-1.6358405771021967E-4</v>
      </c>
      <c r="AH478" s="2">
        <f t="shared" ca="1" si="264"/>
        <v>-1.614029402377854E-3</v>
      </c>
      <c r="AI478" s="2">
        <f t="shared" ca="1" si="265"/>
        <v>-1.4853760121635622E-5</v>
      </c>
      <c r="AJ478" s="2">
        <f t="shared" ca="1" si="266"/>
        <v>-1.1458026838550334E-3</v>
      </c>
      <c r="AK478" s="2">
        <f t="shared" ca="1" si="267"/>
        <v>-4.9053934342410677E-4</v>
      </c>
      <c r="AL478" s="2">
        <f t="shared" ca="1" si="268"/>
        <v>-5.5074395654535931E-3</v>
      </c>
      <c r="AN478" s="2" t="e">
        <f t="shared" ca="1" si="247"/>
        <v>#N/A</v>
      </c>
      <c r="AO478" s="2" t="e">
        <f t="shared" ca="1" si="248"/>
        <v>#N/A</v>
      </c>
      <c r="AP478" s="2" t="e">
        <f t="shared" ca="1" si="249"/>
        <v>#N/A</v>
      </c>
      <c r="AQ478" s="2" t="e">
        <f t="shared" ca="1" si="250"/>
        <v>#N/A</v>
      </c>
      <c r="AR478" s="2" t="e">
        <f t="shared" ca="1" si="251"/>
        <v>#N/A</v>
      </c>
      <c r="AS478" s="2" t="e">
        <f t="shared" ca="1" si="252"/>
        <v>#N/A</v>
      </c>
      <c r="AT478" s="9" t="e">
        <f t="shared" ca="1" si="253"/>
        <v>#N/A</v>
      </c>
      <c r="AU478" s="9" t="e">
        <f t="shared" ca="1" si="254"/>
        <v>#N/A</v>
      </c>
      <c r="AW478" s="2" t="e">
        <f t="shared" ca="1" si="276"/>
        <v>#N/A</v>
      </c>
      <c r="AX478" s="2" t="e">
        <f t="shared" ca="1" si="277"/>
        <v>#N/A</v>
      </c>
      <c r="AY478" s="2" t="e">
        <f t="shared" ca="1" si="278"/>
        <v>#N/A</v>
      </c>
      <c r="AZ478" s="2" t="e">
        <f t="shared" ca="1" si="279"/>
        <v>#N/A</v>
      </c>
      <c r="BA478" s="2" t="e">
        <f t="shared" ca="1" si="280"/>
        <v>#N/A</v>
      </c>
      <c r="BB478" s="2" t="e">
        <f t="shared" ca="1" si="281"/>
        <v>#N/A</v>
      </c>
      <c r="BC478" s="9" t="e">
        <f t="shared" ca="1" si="282"/>
        <v>#N/A</v>
      </c>
      <c r="BD478" s="9" t="e">
        <f t="shared" ca="1" si="283"/>
        <v>#N/A</v>
      </c>
    </row>
    <row r="479" spans="1:56" ht="15" x14ac:dyDescent="0.25">
      <c r="A479" s="63"/>
      <c r="B479" s="63"/>
      <c r="C479" s="64"/>
      <c r="D479" s="64"/>
      <c r="E479" s="64"/>
      <c r="F479" s="64"/>
      <c r="G479" s="64"/>
      <c r="H479" s="64"/>
      <c r="I479" s="64"/>
      <c r="J479" s="64"/>
      <c r="K479" s="64"/>
      <c r="L479" s="64"/>
      <c r="M479" s="64"/>
      <c r="O479" s="11">
        <f t="shared" ca="1" si="269"/>
        <v>-3.9378682616450625E-4</v>
      </c>
      <c r="P479" s="11">
        <f t="shared" ca="1" si="270"/>
        <v>-1.6358405771021967E-4</v>
      </c>
      <c r="Q479" s="11">
        <f t="shared" ca="1" si="271"/>
        <v>-1.614029402377854E-3</v>
      </c>
      <c r="R479" s="11">
        <f t="shared" ca="1" si="272"/>
        <v>-1.4853760121635622E-5</v>
      </c>
      <c r="S479" s="11">
        <f t="shared" ca="1" si="273"/>
        <v>-1.1458026838550334E-3</v>
      </c>
      <c r="T479" s="11">
        <f t="shared" ca="1" si="274"/>
        <v>-4.9053934342410677E-4</v>
      </c>
      <c r="U479" s="11">
        <f t="shared" ca="1" si="275"/>
        <v>-5.5074395654535931E-3</v>
      </c>
      <c r="V479" s="11"/>
      <c r="W479" s="11">
        <f t="shared" ca="1" si="255"/>
        <v>0</v>
      </c>
      <c r="X479" s="2">
        <f t="shared" ca="1" si="256"/>
        <v>-1.6358405771021967E-4</v>
      </c>
      <c r="Y479" s="2">
        <f t="shared" ca="1" si="257"/>
        <v>-1.614029402377854E-3</v>
      </c>
      <c r="Z479" s="11">
        <f t="shared" ca="1" si="258"/>
        <v>-1.4853760121635622E-5</v>
      </c>
      <c r="AA479" s="2">
        <f t="shared" ca="1" si="259"/>
        <v>-1.1458026838550334E-3</v>
      </c>
      <c r="AB479" s="11">
        <f t="shared" ca="1" si="260"/>
        <v>-4.9053934342410677E-4</v>
      </c>
      <c r="AC479" s="2">
        <f t="shared" ca="1" si="261"/>
        <v>-5.5074395654535931E-3</v>
      </c>
      <c r="AF479" s="11">
        <f t="shared" ca="1" si="262"/>
        <v>0</v>
      </c>
      <c r="AG479" s="2">
        <f t="shared" ca="1" si="263"/>
        <v>-1.6358405771021967E-4</v>
      </c>
      <c r="AH479" s="2">
        <f t="shared" ca="1" si="264"/>
        <v>-1.614029402377854E-3</v>
      </c>
      <c r="AI479" s="2">
        <f t="shared" ca="1" si="265"/>
        <v>-1.4853760121635622E-5</v>
      </c>
      <c r="AJ479" s="2">
        <f t="shared" ca="1" si="266"/>
        <v>-1.1458026838550334E-3</v>
      </c>
      <c r="AK479" s="2">
        <f t="shared" ca="1" si="267"/>
        <v>-4.9053934342410677E-4</v>
      </c>
      <c r="AL479" s="2">
        <f t="shared" ca="1" si="268"/>
        <v>-5.5074395654535931E-3</v>
      </c>
      <c r="AN479" s="2" t="e">
        <f t="shared" ca="1" si="247"/>
        <v>#N/A</v>
      </c>
      <c r="AO479" s="2" t="e">
        <f t="shared" ca="1" si="248"/>
        <v>#N/A</v>
      </c>
      <c r="AP479" s="2" t="e">
        <f t="shared" ca="1" si="249"/>
        <v>#N/A</v>
      </c>
      <c r="AQ479" s="2" t="e">
        <f t="shared" ca="1" si="250"/>
        <v>#N/A</v>
      </c>
      <c r="AR479" s="2" t="e">
        <f t="shared" ca="1" si="251"/>
        <v>#N/A</v>
      </c>
      <c r="AS479" s="2" t="e">
        <f t="shared" ca="1" si="252"/>
        <v>#N/A</v>
      </c>
      <c r="AT479" s="9" t="e">
        <f t="shared" ca="1" si="253"/>
        <v>#N/A</v>
      </c>
      <c r="AU479" s="9" t="e">
        <f t="shared" ca="1" si="254"/>
        <v>#N/A</v>
      </c>
      <c r="AW479" s="2" t="e">
        <f t="shared" ca="1" si="276"/>
        <v>#N/A</v>
      </c>
      <c r="AX479" s="2" t="e">
        <f t="shared" ca="1" si="277"/>
        <v>#N/A</v>
      </c>
      <c r="AY479" s="2" t="e">
        <f t="shared" ca="1" si="278"/>
        <v>#N/A</v>
      </c>
      <c r="AZ479" s="2" t="e">
        <f t="shared" ca="1" si="279"/>
        <v>#N/A</v>
      </c>
      <c r="BA479" s="2" t="e">
        <f t="shared" ca="1" si="280"/>
        <v>#N/A</v>
      </c>
      <c r="BB479" s="2" t="e">
        <f t="shared" ca="1" si="281"/>
        <v>#N/A</v>
      </c>
      <c r="BC479" s="9" t="e">
        <f t="shared" ca="1" si="282"/>
        <v>#N/A</v>
      </c>
      <c r="BD479" s="9" t="e">
        <f t="shared" ca="1" si="283"/>
        <v>#N/A</v>
      </c>
    </row>
    <row r="480" spans="1:56" ht="15" x14ac:dyDescent="0.25">
      <c r="A480" s="63"/>
      <c r="B480" s="63"/>
      <c r="C480" s="64"/>
      <c r="D480" s="64"/>
      <c r="E480" s="64"/>
      <c r="F480" s="64"/>
      <c r="G480" s="64"/>
      <c r="H480" s="64"/>
      <c r="I480" s="64"/>
      <c r="J480" s="64"/>
      <c r="K480" s="64"/>
      <c r="L480" s="64"/>
      <c r="M480" s="64"/>
      <c r="O480" s="11">
        <f t="shared" ca="1" si="269"/>
        <v>-3.9378682616450625E-4</v>
      </c>
      <c r="P480" s="11">
        <f t="shared" ca="1" si="270"/>
        <v>-1.6358405771021967E-4</v>
      </c>
      <c r="Q480" s="11">
        <f t="shared" ca="1" si="271"/>
        <v>-1.614029402377854E-3</v>
      </c>
      <c r="R480" s="11">
        <f t="shared" ca="1" si="272"/>
        <v>-1.4853760121635622E-5</v>
      </c>
      <c r="S480" s="11">
        <f t="shared" ca="1" si="273"/>
        <v>-1.1458026838550334E-3</v>
      </c>
      <c r="T480" s="11">
        <f t="shared" ca="1" si="274"/>
        <v>-4.9053934342410677E-4</v>
      </c>
      <c r="U480" s="11">
        <f t="shared" ca="1" si="275"/>
        <v>-5.5074395654535931E-3</v>
      </c>
      <c r="V480" s="11"/>
      <c r="W480" s="11">
        <f t="shared" ca="1" si="255"/>
        <v>0</v>
      </c>
      <c r="X480" s="2">
        <f t="shared" ca="1" si="256"/>
        <v>-1.6358405771021967E-4</v>
      </c>
      <c r="Y480" s="2">
        <f t="shared" ca="1" si="257"/>
        <v>-1.614029402377854E-3</v>
      </c>
      <c r="Z480" s="11">
        <f t="shared" ca="1" si="258"/>
        <v>-1.4853760121635622E-5</v>
      </c>
      <c r="AA480" s="2">
        <f t="shared" ca="1" si="259"/>
        <v>-1.1458026838550334E-3</v>
      </c>
      <c r="AB480" s="11">
        <f t="shared" ca="1" si="260"/>
        <v>-4.9053934342410677E-4</v>
      </c>
      <c r="AC480" s="2">
        <f t="shared" ca="1" si="261"/>
        <v>-5.5074395654535931E-3</v>
      </c>
      <c r="AF480" s="11">
        <f t="shared" ca="1" si="262"/>
        <v>0</v>
      </c>
      <c r="AG480" s="2">
        <f t="shared" ca="1" si="263"/>
        <v>-1.6358405771021967E-4</v>
      </c>
      <c r="AH480" s="2">
        <f t="shared" ca="1" si="264"/>
        <v>-1.614029402377854E-3</v>
      </c>
      <c r="AI480" s="2">
        <f t="shared" ca="1" si="265"/>
        <v>-1.4853760121635622E-5</v>
      </c>
      <c r="AJ480" s="2">
        <f t="shared" ca="1" si="266"/>
        <v>-1.1458026838550334E-3</v>
      </c>
      <c r="AK480" s="2">
        <f t="shared" ca="1" si="267"/>
        <v>-4.9053934342410677E-4</v>
      </c>
      <c r="AL480" s="2">
        <f t="shared" ca="1" si="268"/>
        <v>-5.5074395654535931E-3</v>
      </c>
      <c r="AN480" s="2" t="e">
        <f t="shared" ca="1" si="247"/>
        <v>#N/A</v>
      </c>
      <c r="AO480" s="2" t="e">
        <f t="shared" ca="1" si="248"/>
        <v>#N/A</v>
      </c>
      <c r="AP480" s="2" t="e">
        <f t="shared" ca="1" si="249"/>
        <v>#N/A</v>
      </c>
      <c r="AQ480" s="2" t="e">
        <f t="shared" ca="1" si="250"/>
        <v>#N/A</v>
      </c>
      <c r="AR480" s="2" t="e">
        <f t="shared" ca="1" si="251"/>
        <v>#N/A</v>
      </c>
      <c r="AS480" s="2" t="e">
        <f t="shared" ca="1" si="252"/>
        <v>#N/A</v>
      </c>
      <c r="AT480" s="9" t="e">
        <f t="shared" ca="1" si="253"/>
        <v>#N/A</v>
      </c>
      <c r="AU480" s="9" t="e">
        <f t="shared" ca="1" si="254"/>
        <v>#N/A</v>
      </c>
      <c r="AW480" s="2" t="e">
        <f t="shared" ca="1" si="276"/>
        <v>#N/A</v>
      </c>
      <c r="AX480" s="2" t="e">
        <f t="shared" ca="1" si="277"/>
        <v>#N/A</v>
      </c>
      <c r="AY480" s="2" t="e">
        <f t="shared" ca="1" si="278"/>
        <v>#N/A</v>
      </c>
      <c r="AZ480" s="2" t="e">
        <f t="shared" ca="1" si="279"/>
        <v>#N/A</v>
      </c>
      <c r="BA480" s="2" t="e">
        <f t="shared" ca="1" si="280"/>
        <v>#N/A</v>
      </c>
      <c r="BB480" s="2" t="e">
        <f t="shared" ca="1" si="281"/>
        <v>#N/A</v>
      </c>
      <c r="BC480" s="9" t="e">
        <f t="shared" ca="1" si="282"/>
        <v>#N/A</v>
      </c>
      <c r="BD480" s="9" t="e">
        <f t="shared" ca="1" si="283"/>
        <v>#N/A</v>
      </c>
    </row>
    <row r="481" spans="1:56" ht="15" x14ac:dyDescent="0.25">
      <c r="A481" s="63"/>
      <c r="B481" s="63"/>
      <c r="C481" s="64"/>
      <c r="D481" s="64"/>
      <c r="E481" s="64"/>
      <c r="F481" s="64"/>
      <c r="G481" s="64"/>
      <c r="H481" s="64"/>
      <c r="I481" s="64"/>
      <c r="J481" s="64"/>
      <c r="K481" s="64"/>
      <c r="L481" s="64"/>
      <c r="M481" s="64"/>
      <c r="O481" s="11">
        <f t="shared" ca="1" si="269"/>
        <v>-3.9378682616450625E-4</v>
      </c>
      <c r="P481" s="11">
        <f t="shared" ca="1" si="270"/>
        <v>-1.6358405771021967E-4</v>
      </c>
      <c r="Q481" s="11">
        <f t="shared" ca="1" si="271"/>
        <v>-1.614029402377854E-3</v>
      </c>
      <c r="R481" s="11">
        <f t="shared" ca="1" si="272"/>
        <v>-1.4853760121635622E-5</v>
      </c>
      <c r="S481" s="11">
        <f t="shared" ca="1" si="273"/>
        <v>-1.1458026838550334E-3</v>
      </c>
      <c r="T481" s="11">
        <f t="shared" ca="1" si="274"/>
        <v>-4.9053934342410677E-4</v>
      </c>
      <c r="U481" s="11">
        <f t="shared" ca="1" si="275"/>
        <v>-5.5074395654535931E-3</v>
      </c>
      <c r="V481" s="11"/>
      <c r="W481" s="11">
        <f t="shared" ca="1" si="255"/>
        <v>0</v>
      </c>
      <c r="X481" s="2">
        <f t="shared" ca="1" si="256"/>
        <v>-1.6358405771021967E-4</v>
      </c>
      <c r="Y481" s="2">
        <f t="shared" ca="1" si="257"/>
        <v>-1.614029402377854E-3</v>
      </c>
      <c r="Z481" s="11">
        <f t="shared" ca="1" si="258"/>
        <v>-1.4853760121635622E-5</v>
      </c>
      <c r="AA481" s="2">
        <f t="shared" ca="1" si="259"/>
        <v>-1.1458026838550334E-3</v>
      </c>
      <c r="AB481" s="11">
        <f t="shared" ca="1" si="260"/>
        <v>-4.9053934342410677E-4</v>
      </c>
      <c r="AC481" s="2">
        <f t="shared" ca="1" si="261"/>
        <v>-5.5074395654535931E-3</v>
      </c>
      <c r="AF481" s="11">
        <f t="shared" ca="1" si="262"/>
        <v>0</v>
      </c>
      <c r="AG481" s="2">
        <f t="shared" ca="1" si="263"/>
        <v>-1.6358405771021967E-4</v>
      </c>
      <c r="AH481" s="2">
        <f t="shared" ca="1" si="264"/>
        <v>-1.614029402377854E-3</v>
      </c>
      <c r="AI481" s="2">
        <f t="shared" ca="1" si="265"/>
        <v>-1.4853760121635622E-5</v>
      </c>
      <c r="AJ481" s="2">
        <f t="shared" ca="1" si="266"/>
        <v>-1.1458026838550334E-3</v>
      </c>
      <c r="AK481" s="2">
        <f t="shared" ca="1" si="267"/>
        <v>-4.9053934342410677E-4</v>
      </c>
      <c r="AL481" s="2">
        <f t="shared" ca="1" si="268"/>
        <v>-5.5074395654535931E-3</v>
      </c>
      <c r="AN481" s="2" t="e">
        <f t="shared" ca="1" si="247"/>
        <v>#N/A</v>
      </c>
      <c r="AO481" s="2" t="e">
        <f t="shared" ca="1" si="248"/>
        <v>#N/A</v>
      </c>
      <c r="AP481" s="2" t="e">
        <f t="shared" ca="1" si="249"/>
        <v>#N/A</v>
      </c>
      <c r="AQ481" s="2" t="e">
        <f t="shared" ca="1" si="250"/>
        <v>#N/A</v>
      </c>
      <c r="AR481" s="2" t="e">
        <f t="shared" ca="1" si="251"/>
        <v>#N/A</v>
      </c>
      <c r="AS481" s="2" t="e">
        <f t="shared" ca="1" si="252"/>
        <v>#N/A</v>
      </c>
      <c r="AT481" s="9" t="e">
        <f t="shared" ca="1" si="253"/>
        <v>#N/A</v>
      </c>
      <c r="AU481" s="9" t="e">
        <f t="shared" ca="1" si="254"/>
        <v>#N/A</v>
      </c>
      <c r="AW481" s="2" t="e">
        <f t="shared" ca="1" si="276"/>
        <v>#N/A</v>
      </c>
      <c r="AX481" s="2" t="e">
        <f t="shared" ca="1" si="277"/>
        <v>#N/A</v>
      </c>
      <c r="AY481" s="2" t="e">
        <f t="shared" ca="1" si="278"/>
        <v>#N/A</v>
      </c>
      <c r="AZ481" s="2" t="e">
        <f t="shared" ca="1" si="279"/>
        <v>#N/A</v>
      </c>
      <c r="BA481" s="2" t="e">
        <f t="shared" ca="1" si="280"/>
        <v>#N/A</v>
      </c>
      <c r="BB481" s="2" t="e">
        <f t="shared" ca="1" si="281"/>
        <v>#N/A</v>
      </c>
      <c r="BC481" s="9" t="e">
        <f t="shared" ca="1" si="282"/>
        <v>#N/A</v>
      </c>
      <c r="BD481" s="9" t="e">
        <f t="shared" ca="1" si="283"/>
        <v>#N/A</v>
      </c>
    </row>
    <row r="482" spans="1:56" ht="15" x14ac:dyDescent="0.25">
      <c r="A482" s="63"/>
      <c r="B482" s="63"/>
      <c r="C482" s="64"/>
      <c r="D482" s="64"/>
      <c r="E482" s="64"/>
      <c r="F482" s="64"/>
      <c r="G482" s="64"/>
      <c r="H482" s="64"/>
      <c r="I482" s="64"/>
      <c r="J482" s="64"/>
      <c r="K482" s="64"/>
      <c r="L482" s="64"/>
      <c r="M482" s="64"/>
      <c r="O482" s="11">
        <f t="shared" ca="1" si="269"/>
        <v>-3.9378682616450625E-4</v>
      </c>
      <c r="P482" s="11">
        <f t="shared" ca="1" si="270"/>
        <v>-1.6358405771021967E-4</v>
      </c>
      <c r="Q482" s="11">
        <f t="shared" ca="1" si="271"/>
        <v>-1.614029402377854E-3</v>
      </c>
      <c r="R482" s="11">
        <f t="shared" ca="1" si="272"/>
        <v>-1.4853760121635622E-5</v>
      </c>
      <c r="S482" s="11">
        <f t="shared" ca="1" si="273"/>
        <v>-1.1458026838550334E-3</v>
      </c>
      <c r="T482" s="11">
        <f t="shared" ca="1" si="274"/>
        <v>-4.9053934342410677E-4</v>
      </c>
      <c r="U482" s="11">
        <f t="shared" ca="1" si="275"/>
        <v>-5.5074395654535931E-3</v>
      </c>
      <c r="V482" s="11"/>
      <c r="W482" s="11">
        <f t="shared" ca="1" si="255"/>
        <v>0</v>
      </c>
      <c r="X482" s="2">
        <f t="shared" ca="1" si="256"/>
        <v>-1.6358405771021967E-4</v>
      </c>
      <c r="Y482" s="2">
        <f t="shared" ca="1" si="257"/>
        <v>-1.614029402377854E-3</v>
      </c>
      <c r="Z482" s="11">
        <f t="shared" ca="1" si="258"/>
        <v>-1.4853760121635622E-5</v>
      </c>
      <c r="AA482" s="2">
        <f t="shared" ca="1" si="259"/>
        <v>-1.1458026838550334E-3</v>
      </c>
      <c r="AB482" s="11">
        <f t="shared" ca="1" si="260"/>
        <v>-4.9053934342410677E-4</v>
      </c>
      <c r="AC482" s="2">
        <f t="shared" ca="1" si="261"/>
        <v>-5.5074395654535931E-3</v>
      </c>
      <c r="AF482" s="11">
        <f t="shared" ca="1" si="262"/>
        <v>0</v>
      </c>
      <c r="AG482" s="2">
        <f t="shared" ca="1" si="263"/>
        <v>-1.6358405771021967E-4</v>
      </c>
      <c r="AH482" s="2">
        <f t="shared" ca="1" si="264"/>
        <v>-1.614029402377854E-3</v>
      </c>
      <c r="AI482" s="2">
        <f t="shared" ca="1" si="265"/>
        <v>-1.4853760121635622E-5</v>
      </c>
      <c r="AJ482" s="2">
        <f t="shared" ca="1" si="266"/>
        <v>-1.1458026838550334E-3</v>
      </c>
      <c r="AK482" s="2">
        <f t="shared" ca="1" si="267"/>
        <v>-4.9053934342410677E-4</v>
      </c>
      <c r="AL482" s="2">
        <f t="shared" ca="1" si="268"/>
        <v>-5.5074395654535931E-3</v>
      </c>
      <c r="AN482" s="2" t="e">
        <f t="shared" ca="1" si="247"/>
        <v>#N/A</v>
      </c>
      <c r="AO482" s="2" t="e">
        <f t="shared" ca="1" si="248"/>
        <v>#N/A</v>
      </c>
      <c r="AP482" s="2" t="e">
        <f t="shared" ca="1" si="249"/>
        <v>#N/A</v>
      </c>
      <c r="AQ482" s="2" t="e">
        <f t="shared" ca="1" si="250"/>
        <v>#N/A</v>
      </c>
      <c r="AR482" s="2" t="e">
        <f t="shared" ca="1" si="251"/>
        <v>#N/A</v>
      </c>
      <c r="AS482" s="2" t="e">
        <f t="shared" ca="1" si="252"/>
        <v>#N/A</v>
      </c>
      <c r="AT482" s="9" t="e">
        <f t="shared" ca="1" si="253"/>
        <v>#N/A</v>
      </c>
      <c r="AU482" s="9" t="e">
        <f t="shared" ca="1" si="254"/>
        <v>#N/A</v>
      </c>
      <c r="AW482" s="2" t="e">
        <f t="shared" ca="1" si="276"/>
        <v>#N/A</v>
      </c>
      <c r="AX482" s="2" t="e">
        <f t="shared" ca="1" si="277"/>
        <v>#N/A</v>
      </c>
      <c r="AY482" s="2" t="e">
        <f t="shared" ca="1" si="278"/>
        <v>#N/A</v>
      </c>
      <c r="AZ482" s="2" t="e">
        <f t="shared" ca="1" si="279"/>
        <v>#N/A</v>
      </c>
      <c r="BA482" s="2" t="e">
        <f t="shared" ca="1" si="280"/>
        <v>#N/A</v>
      </c>
      <c r="BB482" s="2" t="e">
        <f t="shared" ca="1" si="281"/>
        <v>#N/A</v>
      </c>
      <c r="BC482" s="9" t="e">
        <f t="shared" ca="1" si="282"/>
        <v>#N/A</v>
      </c>
      <c r="BD482" s="9" t="e">
        <f t="shared" ca="1" si="283"/>
        <v>#N/A</v>
      </c>
    </row>
    <row r="483" spans="1:56" ht="15" x14ac:dyDescent="0.25">
      <c r="A483" s="63"/>
      <c r="B483" s="63"/>
      <c r="C483" s="64"/>
      <c r="D483" s="64"/>
      <c r="E483" s="64"/>
      <c r="F483" s="64"/>
      <c r="G483" s="64"/>
      <c r="H483" s="64"/>
      <c r="I483" s="64"/>
      <c r="J483" s="64"/>
      <c r="K483" s="64"/>
      <c r="L483" s="64"/>
      <c r="M483" s="64"/>
      <c r="O483" s="11">
        <f t="shared" ca="1" si="269"/>
        <v>-3.9378682616450625E-4</v>
      </c>
      <c r="P483" s="11">
        <f t="shared" ca="1" si="270"/>
        <v>-1.6358405771021967E-4</v>
      </c>
      <c r="Q483" s="11">
        <f t="shared" ca="1" si="271"/>
        <v>-1.614029402377854E-3</v>
      </c>
      <c r="R483" s="11">
        <f t="shared" ca="1" si="272"/>
        <v>-1.4853760121635622E-5</v>
      </c>
      <c r="S483" s="11">
        <f t="shared" ca="1" si="273"/>
        <v>-1.1458026838550334E-3</v>
      </c>
      <c r="T483" s="11">
        <f t="shared" ca="1" si="274"/>
        <v>-4.9053934342410677E-4</v>
      </c>
      <c r="U483" s="11">
        <f t="shared" ca="1" si="275"/>
        <v>-5.5074395654535931E-3</v>
      </c>
      <c r="V483" s="11"/>
      <c r="W483" s="11">
        <f t="shared" ca="1" si="255"/>
        <v>0</v>
      </c>
      <c r="X483" s="2">
        <f t="shared" ca="1" si="256"/>
        <v>-1.6358405771021967E-4</v>
      </c>
      <c r="Y483" s="2">
        <f t="shared" ca="1" si="257"/>
        <v>-1.614029402377854E-3</v>
      </c>
      <c r="Z483" s="11">
        <f t="shared" ca="1" si="258"/>
        <v>-1.4853760121635622E-5</v>
      </c>
      <c r="AA483" s="2">
        <f t="shared" ca="1" si="259"/>
        <v>-1.1458026838550334E-3</v>
      </c>
      <c r="AB483" s="11">
        <f t="shared" ca="1" si="260"/>
        <v>-4.9053934342410677E-4</v>
      </c>
      <c r="AC483" s="2">
        <f t="shared" ca="1" si="261"/>
        <v>-5.5074395654535931E-3</v>
      </c>
      <c r="AF483" s="11">
        <f t="shared" ca="1" si="262"/>
        <v>0</v>
      </c>
      <c r="AG483" s="2">
        <f t="shared" ca="1" si="263"/>
        <v>-1.6358405771021967E-4</v>
      </c>
      <c r="AH483" s="2">
        <f t="shared" ca="1" si="264"/>
        <v>-1.614029402377854E-3</v>
      </c>
      <c r="AI483" s="2">
        <f t="shared" ca="1" si="265"/>
        <v>-1.4853760121635622E-5</v>
      </c>
      <c r="AJ483" s="2">
        <f t="shared" ca="1" si="266"/>
        <v>-1.1458026838550334E-3</v>
      </c>
      <c r="AK483" s="2">
        <f t="shared" ca="1" si="267"/>
        <v>-4.9053934342410677E-4</v>
      </c>
      <c r="AL483" s="2">
        <f t="shared" ca="1" si="268"/>
        <v>-5.5074395654535931E-3</v>
      </c>
      <c r="AN483" s="2" t="e">
        <f t="shared" ca="1" si="247"/>
        <v>#N/A</v>
      </c>
      <c r="AO483" s="2" t="e">
        <f t="shared" ca="1" si="248"/>
        <v>#N/A</v>
      </c>
      <c r="AP483" s="2" t="e">
        <f t="shared" ca="1" si="249"/>
        <v>#N/A</v>
      </c>
      <c r="AQ483" s="2" t="e">
        <f t="shared" ca="1" si="250"/>
        <v>#N/A</v>
      </c>
      <c r="AR483" s="2" t="e">
        <f t="shared" ca="1" si="251"/>
        <v>#N/A</v>
      </c>
      <c r="AS483" s="2" t="e">
        <f t="shared" ca="1" si="252"/>
        <v>#N/A</v>
      </c>
      <c r="AT483" s="9" t="e">
        <f t="shared" ca="1" si="253"/>
        <v>#N/A</v>
      </c>
      <c r="AU483" s="9" t="e">
        <f t="shared" ca="1" si="254"/>
        <v>#N/A</v>
      </c>
      <c r="AW483" s="2" t="e">
        <f t="shared" ca="1" si="276"/>
        <v>#N/A</v>
      </c>
      <c r="AX483" s="2" t="e">
        <f t="shared" ca="1" si="277"/>
        <v>#N/A</v>
      </c>
      <c r="AY483" s="2" t="e">
        <f t="shared" ca="1" si="278"/>
        <v>#N/A</v>
      </c>
      <c r="AZ483" s="2" t="e">
        <f t="shared" ca="1" si="279"/>
        <v>#N/A</v>
      </c>
      <c r="BA483" s="2" t="e">
        <f t="shared" ca="1" si="280"/>
        <v>#N/A</v>
      </c>
      <c r="BB483" s="2" t="e">
        <f t="shared" ca="1" si="281"/>
        <v>#N/A</v>
      </c>
      <c r="BC483" s="9" t="e">
        <f t="shared" ca="1" si="282"/>
        <v>#N/A</v>
      </c>
      <c r="BD483" s="9" t="e">
        <f t="shared" ca="1" si="283"/>
        <v>#N/A</v>
      </c>
    </row>
    <row r="484" spans="1:56" ht="15" x14ac:dyDescent="0.25">
      <c r="A484" s="63"/>
      <c r="B484" s="63"/>
      <c r="C484" s="64"/>
      <c r="D484" s="64"/>
      <c r="E484" s="64"/>
      <c r="F484" s="64"/>
      <c r="G484" s="64"/>
      <c r="H484" s="64"/>
      <c r="I484" s="64"/>
      <c r="J484" s="64"/>
      <c r="K484" s="64"/>
      <c r="L484" s="64"/>
      <c r="M484" s="64"/>
      <c r="O484" s="11">
        <f t="shared" ca="1" si="269"/>
        <v>-3.9378682616450625E-4</v>
      </c>
      <c r="P484" s="11">
        <f t="shared" ca="1" si="270"/>
        <v>-1.6358405771021967E-4</v>
      </c>
      <c r="Q484" s="11">
        <f t="shared" ca="1" si="271"/>
        <v>-1.614029402377854E-3</v>
      </c>
      <c r="R484" s="11">
        <f t="shared" ca="1" si="272"/>
        <v>-1.4853760121635622E-5</v>
      </c>
      <c r="S484" s="11">
        <f t="shared" ca="1" si="273"/>
        <v>-1.1458026838550334E-3</v>
      </c>
      <c r="T484" s="11">
        <f t="shared" ca="1" si="274"/>
        <v>-4.9053934342410677E-4</v>
      </c>
      <c r="U484" s="11">
        <f t="shared" ca="1" si="275"/>
        <v>-5.5074395654535931E-3</v>
      </c>
      <c r="V484" s="11"/>
      <c r="W484" s="11">
        <f t="shared" ca="1" si="255"/>
        <v>0</v>
      </c>
      <c r="X484" s="2">
        <f t="shared" ca="1" si="256"/>
        <v>-1.6358405771021967E-4</v>
      </c>
      <c r="Y484" s="2">
        <f t="shared" ca="1" si="257"/>
        <v>-1.614029402377854E-3</v>
      </c>
      <c r="Z484" s="11">
        <f t="shared" ca="1" si="258"/>
        <v>-1.4853760121635622E-5</v>
      </c>
      <c r="AA484" s="2">
        <f t="shared" ca="1" si="259"/>
        <v>-1.1458026838550334E-3</v>
      </c>
      <c r="AB484" s="11">
        <f t="shared" ca="1" si="260"/>
        <v>-4.9053934342410677E-4</v>
      </c>
      <c r="AC484" s="2">
        <f t="shared" ca="1" si="261"/>
        <v>-5.5074395654535931E-3</v>
      </c>
      <c r="AF484" s="11">
        <f t="shared" ca="1" si="262"/>
        <v>0</v>
      </c>
      <c r="AG484" s="2">
        <f t="shared" ca="1" si="263"/>
        <v>-1.6358405771021967E-4</v>
      </c>
      <c r="AH484" s="2">
        <f t="shared" ca="1" si="264"/>
        <v>-1.614029402377854E-3</v>
      </c>
      <c r="AI484" s="2">
        <f t="shared" ca="1" si="265"/>
        <v>-1.4853760121635622E-5</v>
      </c>
      <c r="AJ484" s="2">
        <f t="shared" ca="1" si="266"/>
        <v>-1.1458026838550334E-3</v>
      </c>
      <c r="AK484" s="2">
        <f t="shared" ca="1" si="267"/>
        <v>-4.9053934342410677E-4</v>
      </c>
      <c r="AL484" s="2">
        <f t="shared" ca="1" si="268"/>
        <v>-5.5074395654535931E-3</v>
      </c>
      <c r="AN484" s="2" t="e">
        <f t="shared" ca="1" si="247"/>
        <v>#N/A</v>
      </c>
      <c r="AO484" s="2" t="e">
        <f t="shared" ca="1" si="248"/>
        <v>#N/A</v>
      </c>
      <c r="AP484" s="2" t="e">
        <f t="shared" ca="1" si="249"/>
        <v>#N/A</v>
      </c>
      <c r="AQ484" s="2" t="e">
        <f t="shared" ca="1" si="250"/>
        <v>#N/A</v>
      </c>
      <c r="AR484" s="2" t="e">
        <f t="shared" ca="1" si="251"/>
        <v>#N/A</v>
      </c>
      <c r="AS484" s="2" t="e">
        <f t="shared" ca="1" si="252"/>
        <v>#N/A</v>
      </c>
      <c r="AT484" s="9" t="e">
        <f t="shared" ca="1" si="253"/>
        <v>#N/A</v>
      </c>
      <c r="AU484" s="9" t="e">
        <f t="shared" ca="1" si="254"/>
        <v>#N/A</v>
      </c>
      <c r="AW484" s="2" t="e">
        <f t="shared" ca="1" si="276"/>
        <v>#N/A</v>
      </c>
      <c r="AX484" s="2" t="e">
        <f t="shared" ca="1" si="277"/>
        <v>#N/A</v>
      </c>
      <c r="AY484" s="2" t="e">
        <f t="shared" ca="1" si="278"/>
        <v>#N/A</v>
      </c>
      <c r="AZ484" s="2" t="e">
        <f t="shared" ca="1" si="279"/>
        <v>#N/A</v>
      </c>
      <c r="BA484" s="2" t="e">
        <f t="shared" ca="1" si="280"/>
        <v>#N/A</v>
      </c>
      <c r="BB484" s="2" t="e">
        <f t="shared" ca="1" si="281"/>
        <v>#N/A</v>
      </c>
      <c r="BC484" s="9" t="e">
        <f t="shared" ca="1" si="282"/>
        <v>#N/A</v>
      </c>
      <c r="BD484" s="9" t="e">
        <f t="shared" ca="1" si="283"/>
        <v>#N/A</v>
      </c>
    </row>
    <row r="485" spans="1:56" ht="15" x14ac:dyDescent="0.25">
      <c r="A485" s="63"/>
      <c r="B485" s="63"/>
      <c r="C485" s="64"/>
      <c r="D485" s="64"/>
      <c r="E485" s="64"/>
      <c r="F485" s="64"/>
      <c r="G485" s="64"/>
      <c r="H485" s="64"/>
      <c r="I485" s="64"/>
      <c r="J485" s="64"/>
      <c r="K485" s="64"/>
      <c r="L485" s="64"/>
      <c r="M485" s="64"/>
      <c r="O485" s="11">
        <f t="shared" ca="1" si="269"/>
        <v>-3.9378682616450625E-4</v>
      </c>
      <c r="P485" s="11">
        <f t="shared" ca="1" si="270"/>
        <v>-1.6358405771021967E-4</v>
      </c>
      <c r="Q485" s="11">
        <f t="shared" ca="1" si="271"/>
        <v>-1.614029402377854E-3</v>
      </c>
      <c r="R485" s="11">
        <f t="shared" ca="1" si="272"/>
        <v>-1.4853760121635622E-5</v>
      </c>
      <c r="S485" s="11">
        <f t="shared" ca="1" si="273"/>
        <v>-1.1458026838550334E-3</v>
      </c>
      <c r="T485" s="11">
        <f t="shared" ca="1" si="274"/>
        <v>-4.9053934342410677E-4</v>
      </c>
      <c r="U485" s="11">
        <f t="shared" ca="1" si="275"/>
        <v>-5.5074395654535931E-3</v>
      </c>
      <c r="V485" s="11"/>
      <c r="W485" s="11">
        <f t="shared" ca="1" si="255"/>
        <v>0</v>
      </c>
      <c r="X485" s="2">
        <f t="shared" ca="1" si="256"/>
        <v>-1.6358405771021967E-4</v>
      </c>
      <c r="Y485" s="2">
        <f t="shared" ca="1" si="257"/>
        <v>-1.614029402377854E-3</v>
      </c>
      <c r="Z485" s="11">
        <f t="shared" ca="1" si="258"/>
        <v>-1.4853760121635622E-5</v>
      </c>
      <c r="AA485" s="2">
        <f t="shared" ca="1" si="259"/>
        <v>-1.1458026838550334E-3</v>
      </c>
      <c r="AB485" s="11">
        <f t="shared" ca="1" si="260"/>
        <v>-4.9053934342410677E-4</v>
      </c>
      <c r="AC485" s="2">
        <f t="shared" ca="1" si="261"/>
        <v>-5.5074395654535931E-3</v>
      </c>
      <c r="AF485" s="11">
        <f t="shared" ca="1" si="262"/>
        <v>0</v>
      </c>
      <c r="AG485" s="2">
        <f t="shared" ca="1" si="263"/>
        <v>-1.6358405771021967E-4</v>
      </c>
      <c r="AH485" s="2">
        <f t="shared" ca="1" si="264"/>
        <v>-1.614029402377854E-3</v>
      </c>
      <c r="AI485" s="2">
        <f t="shared" ca="1" si="265"/>
        <v>-1.4853760121635622E-5</v>
      </c>
      <c r="AJ485" s="2">
        <f t="shared" ca="1" si="266"/>
        <v>-1.1458026838550334E-3</v>
      </c>
      <c r="AK485" s="2">
        <f t="shared" ca="1" si="267"/>
        <v>-4.9053934342410677E-4</v>
      </c>
      <c r="AL485" s="2">
        <f t="shared" ca="1" si="268"/>
        <v>-5.5074395654535931E-3</v>
      </c>
      <c r="AN485" s="2" t="e">
        <f t="shared" ca="1" si="247"/>
        <v>#N/A</v>
      </c>
      <c r="AO485" s="2" t="e">
        <f t="shared" ca="1" si="248"/>
        <v>#N/A</v>
      </c>
      <c r="AP485" s="2" t="e">
        <f t="shared" ca="1" si="249"/>
        <v>#N/A</v>
      </c>
      <c r="AQ485" s="2" t="e">
        <f t="shared" ca="1" si="250"/>
        <v>#N/A</v>
      </c>
      <c r="AR485" s="2" t="e">
        <f t="shared" ca="1" si="251"/>
        <v>#N/A</v>
      </c>
      <c r="AS485" s="2" t="e">
        <f t="shared" ca="1" si="252"/>
        <v>#N/A</v>
      </c>
      <c r="AT485" s="9" t="e">
        <f t="shared" ca="1" si="253"/>
        <v>#N/A</v>
      </c>
      <c r="AU485" s="9" t="e">
        <f t="shared" ca="1" si="254"/>
        <v>#N/A</v>
      </c>
      <c r="AW485" s="2" t="e">
        <f t="shared" ca="1" si="276"/>
        <v>#N/A</v>
      </c>
      <c r="AX485" s="2" t="e">
        <f t="shared" ca="1" si="277"/>
        <v>#N/A</v>
      </c>
      <c r="AY485" s="2" t="e">
        <f t="shared" ca="1" si="278"/>
        <v>#N/A</v>
      </c>
      <c r="AZ485" s="2" t="e">
        <f t="shared" ca="1" si="279"/>
        <v>#N/A</v>
      </c>
      <c r="BA485" s="2" t="e">
        <f t="shared" ca="1" si="280"/>
        <v>#N/A</v>
      </c>
      <c r="BB485" s="2" t="e">
        <f t="shared" ca="1" si="281"/>
        <v>#N/A</v>
      </c>
      <c r="BC485" s="9" t="e">
        <f t="shared" ca="1" si="282"/>
        <v>#N/A</v>
      </c>
      <c r="BD485" s="9" t="e">
        <f t="shared" ca="1" si="283"/>
        <v>#N/A</v>
      </c>
    </row>
    <row r="486" spans="1:56" ht="15" x14ac:dyDescent="0.25">
      <c r="A486" s="63"/>
      <c r="B486" s="63"/>
      <c r="C486" s="64"/>
      <c r="D486" s="64"/>
      <c r="E486" s="64"/>
      <c r="F486" s="64"/>
      <c r="G486" s="64"/>
      <c r="H486" s="64"/>
      <c r="I486" s="64"/>
      <c r="J486" s="64"/>
      <c r="K486" s="64"/>
      <c r="L486" s="64"/>
      <c r="M486" s="64"/>
      <c r="O486" s="11">
        <f t="shared" ca="1" si="269"/>
        <v>-3.9378682616450625E-4</v>
      </c>
      <c r="P486" s="11">
        <f t="shared" ca="1" si="270"/>
        <v>-1.6358405771021967E-4</v>
      </c>
      <c r="Q486" s="11">
        <f t="shared" ca="1" si="271"/>
        <v>-1.614029402377854E-3</v>
      </c>
      <c r="R486" s="11">
        <f t="shared" ca="1" si="272"/>
        <v>-1.4853760121635622E-5</v>
      </c>
      <c r="S486" s="11">
        <f t="shared" ca="1" si="273"/>
        <v>-1.1458026838550334E-3</v>
      </c>
      <c r="T486" s="11">
        <f t="shared" ca="1" si="274"/>
        <v>-4.9053934342410677E-4</v>
      </c>
      <c r="U486" s="11">
        <f t="shared" ca="1" si="275"/>
        <v>-5.5074395654535931E-3</v>
      </c>
      <c r="V486" s="11"/>
      <c r="W486" s="11">
        <f t="shared" ca="1" si="255"/>
        <v>0</v>
      </c>
      <c r="X486" s="2">
        <f t="shared" ca="1" si="256"/>
        <v>-1.6358405771021967E-4</v>
      </c>
      <c r="Y486" s="2">
        <f t="shared" ca="1" si="257"/>
        <v>-1.614029402377854E-3</v>
      </c>
      <c r="Z486" s="11">
        <f t="shared" ca="1" si="258"/>
        <v>-1.4853760121635622E-5</v>
      </c>
      <c r="AA486" s="2">
        <f t="shared" ca="1" si="259"/>
        <v>-1.1458026838550334E-3</v>
      </c>
      <c r="AB486" s="11">
        <f t="shared" ca="1" si="260"/>
        <v>-4.9053934342410677E-4</v>
      </c>
      <c r="AC486" s="2">
        <f t="shared" ca="1" si="261"/>
        <v>-5.5074395654535931E-3</v>
      </c>
      <c r="AF486" s="11">
        <f t="shared" ca="1" si="262"/>
        <v>0</v>
      </c>
      <c r="AG486" s="2">
        <f t="shared" ca="1" si="263"/>
        <v>-1.6358405771021967E-4</v>
      </c>
      <c r="AH486" s="2">
        <f t="shared" ca="1" si="264"/>
        <v>-1.614029402377854E-3</v>
      </c>
      <c r="AI486" s="2">
        <f t="shared" ca="1" si="265"/>
        <v>-1.4853760121635622E-5</v>
      </c>
      <c r="AJ486" s="2">
        <f t="shared" ca="1" si="266"/>
        <v>-1.1458026838550334E-3</v>
      </c>
      <c r="AK486" s="2">
        <f t="shared" ca="1" si="267"/>
        <v>-4.9053934342410677E-4</v>
      </c>
      <c r="AL486" s="2">
        <f t="shared" ca="1" si="268"/>
        <v>-5.5074395654535931E-3</v>
      </c>
      <c r="AN486" s="2" t="e">
        <f t="shared" ca="1" si="247"/>
        <v>#N/A</v>
      </c>
      <c r="AO486" s="2" t="e">
        <f t="shared" ca="1" si="248"/>
        <v>#N/A</v>
      </c>
      <c r="AP486" s="2" t="e">
        <f t="shared" ca="1" si="249"/>
        <v>#N/A</v>
      </c>
      <c r="AQ486" s="2" t="e">
        <f t="shared" ca="1" si="250"/>
        <v>#N/A</v>
      </c>
      <c r="AR486" s="2" t="e">
        <f t="shared" ca="1" si="251"/>
        <v>#N/A</v>
      </c>
      <c r="AS486" s="2" t="e">
        <f t="shared" ca="1" si="252"/>
        <v>#N/A</v>
      </c>
      <c r="AT486" s="9" t="e">
        <f t="shared" ca="1" si="253"/>
        <v>#N/A</v>
      </c>
      <c r="AU486" s="9" t="e">
        <f t="shared" ca="1" si="254"/>
        <v>#N/A</v>
      </c>
      <c r="AW486" s="2" t="e">
        <f t="shared" ca="1" si="276"/>
        <v>#N/A</v>
      </c>
      <c r="AX486" s="2" t="e">
        <f t="shared" ca="1" si="277"/>
        <v>#N/A</v>
      </c>
      <c r="AY486" s="2" t="e">
        <f t="shared" ca="1" si="278"/>
        <v>#N/A</v>
      </c>
      <c r="AZ486" s="2" t="e">
        <f t="shared" ca="1" si="279"/>
        <v>#N/A</v>
      </c>
      <c r="BA486" s="2" t="e">
        <f t="shared" ca="1" si="280"/>
        <v>#N/A</v>
      </c>
      <c r="BB486" s="2" t="e">
        <f t="shared" ca="1" si="281"/>
        <v>#N/A</v>
      </c>
      <c r="BC486" s="9" t="e">
        <f t="shared" ca="1" si="282"/>
        <v>#N/A</v>
      </c>
      <c r="BD486" s="9" t="e">
        <f t="shared" ca="1" si="283"/>
        <v>#N/A</v>
      </c>
    </row>
    <row r="487" spans="1:56" ht="15" x14ac:dyDescent="0.25">
      <c r="A487" s="63"/>
      <c r="B487" s="63"/>
      <c r="C487" s="64"/>
      <c r="D487" s="64"/>
      <c r="E487" s="64"/>
      <c r="F487" s="64"/>
      <c r="G487" s="64"/>
      <c r="H487" s="64"/>
      <c r="I487" s="64"/>
      <c r="J487" s="64"/>
      <c r="K487" s="64"/>
      <c r="L487" s="64"/>
      <c r="M487" s="64"/>
      <c r="O487" s="11">
        <f t="shared" ca="1" si="269"/>
        <v>-3.9378682616450625E-4</v>
      </c>
      <c r="P487" s="11">
        <f t="shared" ca="1" si="270"/>
        <v>-1.6358405771021967E-4</v>
      </c>
      <c r="Q487" s="11">
        <f t="shared" ca="1" si="271"/>
        <v>-1.614029402377854E-3</v>
      </c>
      <c r="R487" s="11">
        <f t="shared" ca="1" si="272"/>
        <v>-1.4853760121635622E-5</v>
      </c>
      <c r="S487" s="11">
        <f t="shared" ca="1" si="273"/>
        <v>-1.1458026838550334E-3</v>
      </c>
      <c r="T487" s="11">
        <f t="shared" ca="1" si="274"/>
        <v>-4.9053934342410677E-4</v>
      </c>
      <c r="U487" s="11">
        <f t="shared" ca="1" si="275"/>
        <v>-5.5074395654535931E-3</v>
      </c>
      <c r="V487" s="11"/>
      <c r="W487" s="11">
        <f t="shared" ca="1" si="255"/>
        <v>0</v>
      </c>
      <c r="X487" s="2">
        <f t="shared" ca="1" si="256"/>
        <v>-1.6358405771021967E-4</v>
      </c>
      <c r="Y487" s="2">
        <f t="shared" ca="1" si="257"/>
        <v>-1.614029402377854E-3</v>
      </c>
      <c r="Z487" s="11">
        <f t="shared" ca="1" si="258"/>
        <v>-1.4853760121635622E-5</v>
      </c>
      <c r="AA487" s="2">
        <f t="shared" ca="1" si="259"/>
        <v>-1.1458026838550334E-3</v>
      </c>
      <c r="AB487" s="11">
        <f t="shared" ca="1" si="260"/>
        <v>-4.9053934342410677E-4</v>
      </c>
      <c r="AC487" s="2">
        <f t="shared" ca="1" si="261"/>
        <v>-5.5074395654535931E-3</v>
      </c>
      <c r="AF487" s="11">
        <f t="shared" ca="1" si="262"/>
        <v>0</v>
      </c>
      <c r="AG487" s="2">
        <f t="shared" ca="1" si="263"/>
        <v>-1.6358405771021967E-4</v>
      </c>
      <c r="AH487" s="2">
        <f t="shared" ca="1" si="264"/>
        <v>-1.614029402377854E-3</v>
      </c>
      <c r="AI487" s="2">
        <f t="shared" ca="1" si="265"/>
        <v>-1.4853760121635622E-5</v>
      </c>
      <c r="AJ487" s="2">
        <f t="shared" ca="1" si="266"/>
        <v>-1.1458026838550334E-3</v>
      </c>
      <c r="AK487" s="2">
        <f t="shared" ca="1" si="267"/>
        <v>-4.9053934342410677E-4</v>
      </c>
      <c r="AL487" s="2">
        <f t="shared" ca="1" si="268"/>
        <v>-5.5074395654535931E-3</v>
      </c>
      <c r="AN487" s="2" t="e">
        <f t="shared" ca="1" si="247"/>
        <v>#N/A</v>
      </c>
      <c r="AO487" s="2" t="e">
        <f t="shared" ca="1" si="248"/>
        <v>#N/A</v>
      </c>
      <c r="AP487" s="2" t="e">
        <f t="shared" ca="1" si="249"/>
        <v>#N/A</v>
      </c>
      <c r="AQ487" s="2" t="e">
        <f t="shared" ca="1" si="250"/>
        <v>#N/A</v>
      </c>
      <c r="AR487" s="2" t="e">
        <f t="shared" ca="1" si="251"/>
        <v>#N/A</v>
      </c>
      <c r="AS487" s="2" t="e">
        <f t="shared" ca="1" si="252"/>
        <v>#N/A</v>
      </c>
      <c r="AT487" s="9" t="e">
        <f t="shared" ca="1" si="253"/>
        <v>#N/A</v>
      </c>
      <c r="AU487" s="9" t="e">
        <f t="shared" ca="1" si="254"/>
        <v>#N/A</v>
      </c>
      <c r="AW487" s="2" t="e">
        <f t="shared" ca="1" si="276"/>
        <v>#N/A</v>
      </c>
      <c r="AX487" s="2" t="e">
        <f t="shared" ca="1" si="277"/>
        <v>#N/A</v>
      </c>
      <c r="AY487" s="2" t="e">
        <f t="shared" ca="1" si="278"/>
        <v>#N/A</v>
      </c>
      <c r="AZ487" s="2" t="e">
        <f t="shared" ca="1" si="279"/>
        <v>#N/A</v>
      </c>
      <c r="BA487" s="2" t="e">
        <f t="shared" ca="1" si="280"/>
        <v>#N/A</v>
      </c>
      <c r="BB487" s="2" t="e">
        <f t="shared" ca="1" si="281"/>
        <v>#N/A</v>
      </c>
      <c r="BC487" s="9" t="e">
        <f t="shared" ca="1" si="282"/>
        <v>#N/A</v>
      </c>
      <c r="BD487" s="9" t="e">
        <f t="shared" ca="1" si="283"/>
        <v>#N/A</v>
      </c>
    </row>
    <row r="488" spans="1:56" ht="15" x14ac:dyDescent="0.25">
      <c r="A488" s="63"/>
      <c r="B488" s="63"/>
      <c r="C488" s="64"/>
      <c r="D488" s="64"/>
      <c r="E488" s="64"/>
      <c r="F488" s="64"/>
      <c r="G488" s="64"/>
      <c r="H488" s="64"/>
      <c r="I488" s="64"/>
      <c r="J488" s="64"/>
      <c r="K488" s="64"/>
      <c r="L488" s="64"/>
      <c r="M488" s="64"/>
      <c r="O488" s="11">
        <f t="shared" ca="1" si="269"/>
        <v>-3.9378682616450625E-4</v>
      </c>
      <c r="P488" s="11">
        <f t="shared" ca="1" si="270"/>
        <v>-1.6358405771021967E-4</v>
      </c>
      <c r="Q488" s="11">
        <f t="shared" ca="1" si="271"/>
        <v>-1.614029402377854E-3</v>
      </c>
      <c r="R488" s="11">
        <f t="shared" ca="1" si="272"/>
        <v>-1.4853760121635622E-5</v>
      </c>
      <c r="S488" s="11">
        <f t="shared" ca="1" si="273"/>
        <v>-1.1458026838550334E-3</v>
      </c>
      <c r="T488" s="11">
        <f t="shared" ca="1" si="274"/>
        <v>-4.9053934342410677E-4</v>
      </c>
      <c r="U488" s="11">
        <f t="shared" ca="1" si="275"/>
        <v>-5.5074395654535931E-3</v>
      </c>
      <c r="V488" s="11"/>
      <c r="W488" s="11">
        <f t="shared" ca="1" si="255"/>
        <v>0</v>
      </c>
      <c r="X488" s="2">
        <f t="shared" ca="1" si="256"/>
        <v>-1.6358405771021967E-4</v>
      </c>
      <c r="Y488" s="2">
        <f t="shared" ca="1" si="257"/>
        <v>-1.614029402377854E-3</v>
      </c>
      <c r="Z488" s="11">
        <f t="shared" ca="1" si="258"/>
        <v>-1.4853760121635622E-5</v>
      </c>
      <c r="AA488" s="2">
        <f t="shared" ca="1" si="259"/>
        <v>-1.1458026838550334E-3</v>
      </c>
      <c r="AB488" s="11">
        <f t="shared" ca="1" si="260"/>
        <v>-4.9053934342410677E-4</v>
      </c>
      <c r="AC488" s="2">
        <f t="shared" ca="1" si="261"/>
        <v>-5.5074395654535931E-3</v>
      </c>
      <c r="AF488" s="11">
        <f t="shared" ca="1" si="262"/>
        <v>0</v>
      </c>
      <c r="AG488" s="2">
        <f t="shared" ca="1" si="263"/>
        <v>-1.6358405771021967E-4</v>
      </c>
      <c r="AH488" s="2">
        <f t="shared" ca="1" si="264"/>
        <v>-1.614029402377854E-3</v>
      </c>
      <c r="AI488" s="2">
        <f t="shared" ca="1" si="265"/>
        <v>-1.4853760121635622E-5</v>
      </c>
      <c r="AJ488" s="2">
        <f t="shared" ca="1" si="266"/>
        <v>-1.1458026838550334E-3</v>
      </c>
      <c r="AK488" s="2">
        <f t="shared" ca="1" si="267"/>
        <v>-4.9053934342410677E-4</v>
      </c>
      <c r="AL488" s="2">
        <f t="shared" ca="1" si="268"/>
        <v>-5.5074395654535931E-3</v>
      </c>
      <c r="AN488" s="2" t="e">
        <f t="shared" ca="1" si="247"/>
        <v>#N/A</v>
      </c>
      <c r="AO488" s="2" t="e">
        <f t="shared" ca="1" si="248"/>
        <v>#N/A</v>
      </c>
      <c r="AP488" s="2" t="e">
        <f t="shared" ca="1" si="249"/>
        <v>#N/A</v>
      </c>
      <c r="AQ488" s="2" t="e">
        <f t="shared" ca="1" si="250"/>
        <v>#N/A</v>
      </c>
      <c r="AR488" s="2" t="e">
        <f t="shared" ca="1" si="251"/>
        <v>#N/A</v>
      </c>
      <c r="AS488" s="2" t="e">
        <f t="shared" ca="1" si="252"/>
        <v>#N/A</v>
      </c>
      <c r="AT488" s="9" t="e">
        <f t="shared" ca="1" si="253"/>
        <v>#N/A</v>
      </c>
      <c r="AU488" s="9" t="e">
        <f t="shared" ca="1" si="254"/>
        <v>#N/A</v>
      </c>
      <c r="AW488" s="2" t="e">
        <f t="shared" ca="1" si="276"/>
        <v>#N/A</v>
      </c>
      <c r="AX488" s="2" t="e">
        <f t="shared" ca="1" si="277"/>
        <v>#N/A</v>
      </c>
      <c r="AY488" s="2" t="e">
        <f t="shared" ca="1" si="278"/>
        <v>#N/A</v>
      </c>
      <c r="AZ488" s="2" t="e">
        <f t="shared" ca="1" si="279"/>
        <v>#N/A</v>
      </c>
      <c r="BA488" s="2" t="e">
        <f t="shared" ca="1" si="280"/>
        <v>#N/A</v>
      </c>
      <c r="BB488" s="2" t="e">
        <f t="shared" ca="1" si="281"/>
        <v>#N/A</v>
      </c>
      <c r="BC488" s="9" t="e">
        <f t="shared" ca="1" si="282"/>
        <v>#N/A</v>
      </c>
      <c r="BD488" s="9" t="e">
        <f t="shared" ca="1" si="283"/>
        <v>#N/A</v>
      </c>
    </row>
    <row r="489" spans="1:56" ht="15" x14ac:dyDescent="0.25">
      <c r="A489" s="63"/>
      <c r="B489" s="63"/>
      <c r="C489" s="64"/>
      <c r="D489" s="64"/>
      <c r="E489" s="64"/>
      <c r="F489" s="64"/>
      <c r="G489" s="64"/>
      <c r="H489" s="64"/>
      <c r="I489" s="64"/>
      <c r="J489" s="64"/>
      <c r="K489" s="64"/>
      <c r="L489" s="64"/>
      <c r="M489" s="64"/>
      <c r="O489" s="11">
        <f t="shared" ca="1" si="269"/>
        <v>-3.9378682616450625E-4</v>
      </c>
      <c r="P489" s="11">
        <f t="shared" ca="1" si="270"/>
        <v>-1.6358405771021967E-4</v>
      </c>
      <c r="Q489" s="11">
        <f t="shared" ca="1" si="271"/>
        <v>-1.614029402377854E-3</v>
      </c>
      <c r="R489" s="11">
        <f t="shared" ca="1" si="272"/>
        <v>-1.4853760121635622E-5</v>
      </c>
      <c r="S489" s="11">
        <f t="shared" ca="1" si="273"/>
        <v>-1.1458026838550334E-3</v>
      </c>
      <c r="T489" s="11">
        <f t="shared" ca="1" si="274"/>
        <v>-4.9053934342410677E-4</v>
      </c>
      <c r="U489" s="11">
        <f t="shared" ca="1" si="275"/>
        <v>-5.5074395654535931E-3</v>
      </c>
      <c r="V489" s="11"/>
      <c r="W489" s="11">
        <f t="shared" ca="1" si="255"/>
        <v>0</v>
      </c>
      <c r="X489" s="2">
        <f t="shared" ca="1" si="256"/>
        <v>-1.6358405771021967E-4</v>
      </c>
      <c r="Y489" s="2">
        <f t="shared" ca="1" si="257"/>
        <v>-1.614029402377854E-3</v>
      </c>
      <c r="Z489" s="11">
        <f t="shared" ca="1" si="258"/>
        <v>-1.4853760121635622E-5</v>
      </c>
      <c r="AA489" s="2">
        <f t="shared" ca="1" si="259"/>
        <v>-1.1458026838550334E-3</v>
      </c>
      <c r="AB489" s="11">
        <f t="shared" ca="1" si="260"/>
        <v>-4.9053934342410677E-4</v>
      </c>
      <c r="AC489" s="2">
        <f t="shared" ca="1" si="261"/>
        <v>-5.5074395654535931E-3</v>
      </c>
      <c r="AF489" s="11">
        <f t="shared" ca="1" si="262"/>
        <v>0</v>
      </c>
      <c r="AG489" s="2">
        <f t="shared" ca="1" si="263"/>
        <v>-1.6358405771021967E-4</v>
      </c>
      <c r="AH489" s="2">
        <f t="shared" ca="1" si="264"/>
        <v>-1.614029402377854E-3</v>
      </c>
      <c r="AI489" s="2">
        <f t="shared" ca="1" si="265"/>
        <v>-1.4853760121635622E-5</v>
      </c>
      <c r="AJ489" s="2">
        <f t="shared" ca="1" si="266"/>
        <v>-1.1458026838550334E-3</v>
      </c>
      <c r="AK489" s="2">
        <f t="shared" ca="1" si="267"/>
        <v>-4.9053934342410677E-4</v>
      </c>
      <c r="AL489" s="2">
        <f t="shared" ca="1" si="268"/>
        <v>-5.5074395654535931E-3</v>
      </c>
      <c r="AN489" s="2" t="e">
        <f t="shared" ca="1" si="247"/>
        <v>#N/A</v>
      </c>
      <c r="AO489" s="2" t="e">
        <f t="shared" ca="1" si="248"/>
        <v>#N/A</v>
      </c>
      <c r="AP489" s="2" t="e">
        <f t="shared" ca="1" si="249"/>
        <v>#N/A</v>
      </c>
      <c r="AQ489" s="2" t="e">
        <f t="shared" ca="1" si="250"/>
        <v>#N/A</v>
      </c>
      <c r="AR489" s="2" t="e">
        <f t="shared" ca="1" si="251"/>
        <v>#N/A</v>
      </c>
      <c r="AS489" s="2" t="e">
        <f t="shared" ca="1" si="252"/>
        <v>#N/A</v>
      </c>
      <c r="AT489" s="9" t="e">
        <f t="shared" ca="1" si="253"/>
        <v>#N/A</v>
      </c>
      <c r="AU489" s="9" t="e">
        <f t="shared" ca="1" si="254"/>
        <v>#N/A</v>
      </c>
      <c r="AW489" s="2" t="e">
        <f t="shared" ca="1" si="276"/>
        <v>#N/A</v>
      </c>
      <c r="AX489" s="2" t="e">
        <f t="shared" ca="1" si="277"/>
        <v>#N/A</v>
      </c>
      <c r="AY489" s="2" t="e">
        <f t="shared" ca="1" si="278"/>
        <v>#N/A</v>
      </c>
      <c r="AZ489" s="2" t="e">
        <f t="shared" ca="1" si="279"/>
        <v>#N/A</v>
      </c>
      <c r="BA489" s="2" t="e">
        <f t="shared" ca="1" si="280"/>
        <v>#N/A</v>
      </c>
      <c r="BB489" s="2" t="e">
        <f t="shared" ca="1" si="281"/>
        <v>#N/A</v>
      </c>
      <c r="BC489" s="9" t="e">
        <f t="shared" ca="1" si="282"/>
        <v>#N/A</v>
      </c>
      <c r="BD489" s="9" t="e">
        <f t="shared" ca="1" si="283"/>
        <v>#N/A</v>
      </c>
    </row>
    <row r="490" spans="1:56" ht="15" x14ac:dyDescent="0.25">
      <c r="A490" s="63"/>
      <c r="B490" s="63"/>
      <c r="C490" s="64"/>
      <c r="D490" s="64"/>
      <c r="E490" s="64"/>
      <c r="F490" s="64"/>
      <c r="G490" s="64"/>
      <c r="H490" s="64"/>
      <c r="I490" s="64"/>
      <c r="J490" s="64"/>
      <c r="K490" s="64"/>
      <c r="L490" s="64"/>
      <c r="M490" s="64"/>
      <c r="O490" s="11">
        <f t="shared" ca="1" si="269"/>
        <v>-3.9378682616450625E-4</v>
      </c>
      <c r="P490" s="11">
        <f t="shared" ca="1" si="270"/>
        <v>-1.6358405771021967E-4</v>
      </c>
      <c r="Q490" s="11">
        <f t="shared" ca="1" si="271"/>
        <v>-1.614029402377854E-3</v>
      </c>
      <c r="R490" s="11">
        <f t="shared" ca="1" si="272"/>
        <v>-1.4853760121635622E-5</v>
      </c>
      <c r="S490" s="11">
        <f t="shared" ca="1" si="273"/>
        <v>-1.1458026838550334E-3</v>
      </c>
      <c r="T490" s="11">
        <f t="shared" ca="1" si="274"/>
        <v>-4.9053934342410677E-4</v>
      </c>
      <c r="U490" s="11">
        <f t="shared" ca="1" si="275"/>
        <v>-5.5074395654535931E-3</v>
      </c>
      <c r="V490" s="11"/>
      <c r="W490" s="11">
        <f t="shared" ca="1" si="255"/>
        <v>0</v>
      </c>
      <c r="X490" s="2">
        <f t="shared" ca="1" si="256"/>
        <v>-1.6358405771021967E-4</v>
      </c>
      <c r="Y490" s="2">
        <f t="shared" ca="1" si="257"/>
        <v>-1.614029402377854E-3</v>
      </c>
      <c r="Z490" s="11">
        <f t="shared" ca="1" si="258"/>
        <v>-1.4853760121635622E-5</v>
      </c>
      <c r="AA490" s="2">
        <f t="shared" ca="1" si="259"/>
        <v>-1.1458026838550334E-3</v>
      </c>
      <c r="AB490" s="11">
        <f t="shared" ca="1" si="260"/>
        <v>-4.9053934342410677E-4</v>
      </c>
      <c r="AC490" s="2">
        <f t="shared" ca="1" si="261"/>
        <v>-5.5074395654535931E-3</v>
      </c>
      <c r="AF490" s="11">
        <f t="shared" ca="1" si="262"/>
        <v>0</v>
      </c>
      <c r="AG490" s="2">
        <f t="shared" ca="1" si="263"/>
        <v>-1.6358405771021967E-4</v>
      </c>
      <c r="AH490" s="2">
        <f t="shared" ca="1" si="264"/>
        <v>-1.614029402377854E-3</v>
      </c>
      <c r="AI490" s="2">
        <f t="shared" ca="1" si="265"/>
        <v>-1.4853760121635622E-5</v>
      </c>
      <c r="AJ490" s="2">
        <f t="shared" ca="1" si="266"/>
        <v>-1.1458026838550334E-3</v>
      </c>
      <c r="AK490" s="2">
        <f t="shared" ca="1" si="267"/>
        <v>-4.9053934342410677E-4</v>
      </c>
      <c r="AL490" s="2">
        <f t="shared" ca="1" si="268"/>
        <v>-5.5074395654535931E-3</v>
      </c>
      <c r="AN490" s="2" t="e">
        <f t="shared" ca="1" si="247"/>
        <v>#N/A</v>
      </c>
      <c r="AO490" s="2" t="e">
        <f t="shared" ca="1" si="248"/>
        <v>#N/A</v>
      </c>
      <c r="AP490" s="2" t="e">
        <f t="shared" ca="1" si="249"/>
        <v>#N/A</v>
      </c>
      <c r="AQ490" s="2" t="e">
        <f t="shared" ca="1" si="250"/>
        <v>#N/A</v>
      </c>
      <c r="AR490" s="2" t="e">
        <f t="shared" ca="1" si="251"/>
        <v>#N/A</v>
      </c>
      <c r="AS490" s="2" t="e">
        <f t="shared" ca="1" si="252"/>
        <v>#N/A</v>
      </c>
      <c r="AT490" s="9" t="e">
        <f t="shared" ca="1" si="253"/>
        <v>#N/A</v>
      </c>
      <c r="AU490" s="9" t="e">
        <f t="shared" ca="1" si="254"/>
        <v>#N/A</v>
      </c>
      <c r="AW490" s="2" t="e">
        <f t="shared" ca="1" si="276"/>
        <v>#N/A</v>
      </c>
      <c r="AX490" s="2" t="e">
        <f t="shared" ca="1" si="277"/>
        <v>#N/A</v>
      </c>
      <c r="AY490" s="2" t="e">
        <f t="shared" ca="1" si="278"/>
        <v>#N/A</v>
      </c>
      <c r="AZ490" s="2" t="e">
        <f t="shared" ca="1" si="279"/>
        <v>#N/A</v>
      </c>
      <c r="BA490" s="2" t="e">
        <f t="shared" ca="1" si="280"/>
        <v>#N/A</v>
      </c>
      <c r="BB490" s="2" t="e">
        <f t="shared" ca="1" si="281"/>
        <v>#N/A</v>
      </c>
      <c r="BC490" s="9" t="e">
        <f t="shared" ca="1" si="282"/>
        <v>#N/A</v>
      </c>
      <c r="BD490" s="9" t="e">
        <f t="shared" ca="1" si="283"/>
        <v>#N/A</v>
      </c>
    </row>
    <row r="491" spans="1:56" ht="15" x14ac:dyDescent="0.25">
      <c r="A491" s="63"/>
      <c r="B491" s="63"/>
      <c r="C491" s="64"/>
      <c r="D491" s="64"/>
      <c r="E491" s="64"/>
      <c r="F491" s="64"/>
      <c r="G491" s="64"/>
      <c r="H491" s="64"/>
      <c r="I491" s="64"/>
      <c r="J491" s="64"/>
      <c r="K491" s="64"/>
      <c r="L491" s="64"/>
      <c r="M491" s="64"/>
      <c r="O491" s="11">
        <f t="shared" ca="1" si="269"/>
        <v>-3.9378682616450625E-4</v>
      </c>
      <c r="P491" s="11">
        <f t="shared" ca="1" si="270"/>
        <v>-1.6358405771021967E-4</v>
      </c>
      <c r="Q491" s="11">
        <f t="shared" ca="1" si="271"/>
        <v>-1.614029402377854E-3</v>
      </c>
      <c r="R491" s="11">
        <f t="shared" ca="1" si="272"/>
        <v>-1.4853760121635622E-5</v>
      </c>
      <c r="S491" s="11">
        <f t="shared" ca="1" si="273"/>
        <v>-1.1458026838550334E-3</v>
      </c>
      <c r="T491" s="11">
        <f t="shared" ca="1" si="274"/>
        <v>-4.9053934342410677E-4</v>
      </c>
      <c r="U491" s="11">
        <f t="shared" ca="1" si="275"/>
        <v>-5.5074395654535931E-3</v>
      </c>
      <c r="V491" s="11"/>
      <c r="W491" s="11">
        <f t="shared" ca="1" si="255"/>
        <v>0</v>
      </c>
      <c r="X491" s="2">
        <f t="shared" ca="1" si="256"/>
        <v>-1.6358405771021967E-4</v>
      </c>
      <c r="Y491" s="2">
        <f t="shared" ca="1" si="257"/>
        <v>-1.614029402377854E-3</v>
      </c>
      <c r="Z491" s="11">
        <f t="shared" ca="1" si="258"/>
        <v>-1.4853760121635622E-5</v>
      </c>
      <c r="AA491" s="2">
        <f t="shared" ca="1" si="259"/>
        <v>-1.1458026838550334E-3</v>
      </c>
      <c r="AB491" s="11">
        <f t="shared" ca="1" si="260"/>
        <v>-4.9053934342410677E-4</v>
      </c>
      <c r="AC491" s="2">
        <f t="shared" ca="1" si="261"/>
        <v>-5.5074395654535931E-3</v>
      </c>
      <c r="AF491" s="11">
        <f t="shared" ca="1" si="262"/>
        <v>0</v>
      </c>
      <c r="AG491" s="2">
        <f t="shared" ca="1" si="263"/>
        <v>-1.6358405771021967E-4</v>
      </c>
      <c r="AH491" s="2">
        <f t="shared" ca="1" si="264"/>
        <v>-1.614029402377854E-3</v>
      </c>
      <c r="AI491" s="2">
        <f t="shared" ca="1" si="265"/>
        <v>-1.4853760121635622E-5</v>
      </c>
      <c r="AJ491" s="2">
        <f t="shared" ca="1" si="266"/>
        <v>-1.1458026838550334E-3</v>
      </c>
      <c r="AK491" s="2">
        <f t="shared" ca="1" si="267"/>
        <v>-4.9053934342410677E-4</v>
      </c>
      <c r="AL491" s="2">
        <f t="shared" ca="1" si="268"/>
        <v>-5.5074395654535931E-3</v>
      </c>
      <c r="AN491" s="2" t="e">
        <f t="shared" ca="1" si="247"/>
        <v>#N/A</v>
      </c>
      <c r="AO491" s="2" t="e">
        <f t="shared" ca="1" si="248"/>
        <v>#N/A</v>
      </c>
      <c r="AP491" s="2" t="e">
        <f t="shared" ca="1" si="249"/>
        <v>#N/A</v>
      </c>
      <c r="AQ491" s="2" t="e">
        <f t="shared" ca="1" si="250"/>
        <v>#N/A</v>
      </c>
      <c r="AR491" s="2" t="e">
        <f t="shared" ca="1" si="251"/>
        <v>#N/A</v>
      </c>
      <c r="AS491" s="2" t="e">
        <f t="shared" ca="1" si="252"/>
        <v>#N/A</v>
      </c>
      <c r="AT491" s="9" t="e">
        <f t="shared" ca="1" si="253"/>
        <v>#N/A</v>
      </c>
      <c r="AU491" s="9" t="e">
        <f t="shared" ca="1" si="254"/>
        <v>#N/A</v>
      </c>
      <c r="AW491" s="2" t="e">
        <f t="shared" ca="1" si="276"/>
        <v>#N/A</v>
      </c>
      <c r="AX491" s="2" t="e">
        <f t="shared" ca="1" si="277"/>
        <v>#N/A</v>
      </c>
      <c r="AY491" s="2" t="e">
        <f t="shared" ca="1" si="278"/>
        <v>#N/A</v>
      </c>
      <c r="AZ491" s="2" t="e">
        <f t="shared" ca="1" si="279"/>
        <v>#N/A</v>
      </c>
      <c r="BA491" s="2" t="e">
        <f t="shared" ca="1" si="280"/>
        <v>#N/A</v>
      </c>
      <c r="BB491" s="2" t="e">
        <f t="shared" ca="1" si="281"/>
        <v>#N/A</v>
      </c>
      <c r="BC491" s="9" t="e">
        <f t="shared" ca="1" si="282"/>
        <v>#N/A</v>
      </c>
      <c r="BD491" s="9" t="e">
        <f t="shared" ca="1" si="283"/>
        <v>#N/A</v>
      </c>
    </row>
    <row r="492" spans="1:56" ht="15" x14ac:dyDescent="0.25">
      <c r="A492" s="63"/>
      <c r="B492" s="63"/>
      <c r="C492" s="64"/>
      <c r="D492" s="64"/>
      <c r="E492" s="64"/>
      <c r="F492" s="64"/>
      <c r="G492" s="64"/>
      <c r="H492" s="64"/>
      <c r="I492" s="64"/>
      <c r="J492" s="64"/>
      <c r="K492" s="64"/>
      <c r="L492" s="64"/>
      <c r="M492" s="64"/>
      <c r="O492" s="11">
        <f t="shared" ca="1" si="269"/>
        <v>-3.9378682616450625E-4</v>
      </c>
      <c r="P492" s="11">
        <f t="shared" ca="1" si="270"/>
        <v>-1.6358405771021967E-4</v>
      </c>
      <c r="Q492" s="11">
        <f t="shared" ca="1" si="271"/>
        <v>-1.614029402377854E-3</v>
      </c>
      <c r="R492" s="11">
        <f t="shared" ca="1" si="272"/>
        <v>-1.4853760121635622E-5</v>
      </c>
      <c r="S492" s="11">
        <f t="shared" ca="1" si="273"/>
        <v>-1.1458026838550334E-3</v>
      </c>
      <c r="T492" s="11">
        <f t="shared" ca="1" si="274"/>
        <v>-4.9053934342410677E-4</v>
      </c>
      <c r="U492" s="11">
        <f t="shared" ca="1" si="275"/>
        <v>-5.5074395654535931E-3</v>
      </c>
      <c r="V492" s="11"/>
      <c r="W492" s="11">
        <f t="shared" ca="1" si="255"/>
        <v>0</v>
      </c>
      <c r="X492" s="2">
        <f t="shared" ca="1" si="256"/>
        <v>-1.6358405771021967E-4</v>
      </c>
      <c r="Y492" s="2">
        <f t="shared" ca="1" si="257"/>
        <v>-1.614029402377854E-3</v>
      </c>
      <c r="Z492" s="11">
        <f t="shared" ca="1" si="258"/>
        <v>-1.4853760121635622E-5</v>
      </c>
      <c r="AA492" s="2">
        <f t="shared" ca="1" si="259"/>
        <v>-1.1458026838550334E-3</v>
      </c>
      <c r="AB492" s="11">
        <f t="shared" ca="1" si="260"/>
        <v>-4.9053934342410677E-4</v>
      </c>
      <c r="AC492" s="2">
        <f t="shared" ca="1" si="261"/>
        <v>-5.5074395654535931E-3</v>
      </c>
      <c r="AF492" s="11">
        <f t="shared" ca="1" si="262"/>
        <v>0</v>
      </c>
      <c r="AG492" s="2">
        <f t="shared" ca="1" si="263"/>
        <v>-1.6358405771021967E-4</v>
      </c>
      <c r="AH492" s="2">
        <f t="shared" ca="1" si="264"/>
        <v>-1.614029402377854E-3</v>
      </c>
      <c r="AI492" s="2">
        <f t="shared" ca="1" si="265"/>
        <v>-1.4853760121635622E-5</v>
      </c>
      <c r="AJ492" s="2">
        <f t="shared" ca="1" si="266"/>
        <v>-1.1458026838550334E-3</v>
      </c>
      <c r="AK492" s="2">
        <f t="shared" ca="1" si="267"/>
        <v>-4.9053934342410677E-4</v>
      </c>
      <c r="AL492" s="2">
        <f t="shared" ca="1" si="268"/>
        <v>-5.5074395654535931E-3</v>
      </c>
      <c r="AN492" s="2" t="e">
        <f t="shared" ca="1" si="247"/>
        <v>#N/A</v>
      </c>
      <c r="AO492" s="2" t="e">
        <f t="shared" ca="1" si="248"/>
        <v>#N/A</v>
      </c>
      <c r="AP492" s="2" t="e">
        <f t="shared" ca="1" si="249"/>
        <v>#N/A</v>
      </c>
      <c r="AQ492" s="2" t="e">
        <f t="shared" ca="1" si="250"/>
        <v>#N/A</v>
      </c>
      <c r="AR492" s="2" t="e">
        <f t="shared" ca="1" si="251"/>
        <v>#N/A</v>
      </c>
      <c r="AS492" s="2" t="e">
        <f t="shared" ca="1" si="252"/>
        <v>#N/A</v>
      </c>
      <c r="AT492" s="9" t="e">
        <f t="shared" ca="1" si="253"/>
        <v>#N/A</v>
      </c>
      <c r="AU492" s="9" t="e">
        <f t="shared" ca="1" si="254"/>
        <v>#N/A</v>
      </c>
      <c r="AW492" s="2" t="e">
        <f t="shared" ca="1" si="276"/>
        <v>#N/A</v>
      </c>
      <c r="AX492" s="2" t="e">
        <f t="shared" ca="1" si="277"/>
        <v>#N/A</v>
      </c>
      <c r="AY492" s="2" t="e">
        <f t="shared" ca="1" si="278"/>
        <v>#N/A</v>
      </c>
      <c r="AZ492" s="2" t="e">
        <f t="shared" ca="1" si="279"/>
        <v>#N/A</v>
      </c>
      <c r="BA492" s="2" t="e">
        <f t="shared" ca="1" si="280"/>
        <v>#N/A</v>
      </c>
      <c r="BB492" s="2" t="e">
        <f t="shared" ca="1" si="281"/>
        <v>#N/A</v>
      </c>
      <c r="BC492" s="9" t="e">
        <f t="shared" ca="1" si="282"/>
        <v>#N/A</v>
      </c>
      <c r="BD492" s="9" t="e">
        <f t="shared" ca="1" si="283"/>
        <v>#N/A</v>
      </c>
    </row>
    <row r="493" spans="1:56" ht="15" x14ac:dyDescent="0.25">
      <c r="A493" s="63"/>
      <c r="B493" s="63"/>
      <c r="C493" s="64"/>
      <c r="D493" s="64"/>
      <c r="E493" s="64"/>
      <c r="F493" s="64"/>
      <c r="G493" s="64"/>
      <c r="H493" s="64"/>
      <c r="I493" s="64"/>
      <c r="J493" s="64"/>
      <c r="K493" s="64"/>
      <c r="L493" s="64"/>
      <c r="M493" s="64"/>
      <c r="O493" s="11">
        <f t="shared" ca="1" si="269"/>
        <v>-3.9378682616450625E-4</v>
      </c>
      <c r="P493" s="11">
        <f t="shared" ca="1" si="270"/>
        <v>-1.6358405771021967E-4</v>
      </c>
      <c r="Q493" s="11">
        <f t="shared" ca="1" si="271"/>
        <v>-1.614029402377854E-3</v>
      </c>
      <c r="R493" s="11">
        <f t="shared" ca="1" si="272"/>
        <v>-1.4853760121635622E-5</v>
      </c>
      <c r="S493" s="11">
        <f t="shared" ca="1" si="273"/>
        <v>-1.1458026838550334E-3</v>
      </c>
      <c r="T493" s="11">
        <f t="shared" ca="1" si="274"/>
        <v>-4.9053934342410677E-4</v>
      </c>
      <c r="U493" s="11">
        <f t="shared" ca="1" si="275"/>
        <v>-5.5074395654535931E-3</v>
      </c>
      <c r="V493" s="11"/>
      <c r="W493" s="11">
        <f t="shared" ca="1" si="255"/>
        <v>0</v>
      </c>
      <c r="X493" s="2">
        <f t="shared" ca="1" si="256"/>
        <v>-1.6358405771021967E-4</v>
      </c>
      <c r="Y493" s="2">
        <f t="shared" ca="1" si="257"/>
        <v>-1.614029402377854E-3</v>
      </c>
      <c r="Z493" s="11">
        <f t="shared" ca="1" si="258"/>
        <v>-1.4853760121635622E-5</v>
      </c>
      <c r="AA493" s="2">
        <f t="shared" ca="1" si="259"/>
        <v>-1.1458026838550334E-3</v>
      </c>
      <c r="AB493" s="11">
        <f t="shared" ca="1" si="260"/>
        <v>-4.9053934342410677E-4</v>
      </c>
      <c r="AC493" s="2">
        <f t="shared" ca="1" si="261"/>
        <v>-5.5074395654535931E-3</v>
      </c>
      <c r="AF493" s="11">
        <f t="shared" ca="1" si="262"/>
        <v>0</v>
      </c>
      <c r="AG493" s="2">
        <f t="shared" ca="1" si="263"/>
        <v>-1.6358405771021967E-4</v>
      </c>
      <c r="AH493" s="2">
        <f t="shared" ca="1" si="264"/>
        <v>-1.614029402377854E-3</v>
      </c>
      <c r="AI493" s="2">
        <f t="shared" ca="1" si="265"/>
        <v>-1.4853760121635622E-5</v>
      </c>
      <c r="AJ493" s="2">
        <f t="shared" ca="1" si="266"/>
        <v>-1.1458026838550334E-3</v>
      </c>
      <c r="AK493" s="2">
        <f t="shared" ca="1" si="267"/>
        <v>-4.9053934342410677E-4</v>
      </c>
      <c r="AL493" s="2">
        <f t="shared" ca="1" si="268"/>
        <v>-5.5074395654535931E-3</v>
      </c>
      <c r="AN493" s="2" t="e">
        <f t="shared" ca="1" si="247"/>
        <v>#N/A</v>
      </c>
      <c r="AO493" s="2" t="e">
        <f t="shared" ca="1" si="248"/>
        <v>#N/A</v>
      </c>
      <c r="AP493" s="2" t="e">
        <f t="shared" ca="1" si="249"/>
        <v>#N/A</v>
      </c>
      <c r="AQ493" s="2" t="e">
        <f t="shared" ca="1" si="250"/>
        <v>#N/A</v>
      </c>
      <c r="AR493" s="2" t="e">
        <f t="shared" ca="1" si="251"/>
        <v>#N/A</v>
      </c>
      <c r="AS493" s="2" t="e">
        <f t="shared" ca="1" si="252"/>
        <v>#N/A</v>
      </c>
      <c r="AT493" s="9" t="e">
        <f t="shared" ca="1" si="253"/>
        <v>#N/A</v>
      </c>
      <c r="AU493" s="9" t="e">
        <f t="shared" ca="1" si="254"/>
        <v>#N/A</v>
      </c>
      <c r="AW493" s="2" t="e">
        <f t="shared" ca="1" si="276"/>
        <v>#N/A</v>
      </c>
      <c r="AX493" s="2" t="e">
        <f t="shared" ca="1" si="277"/>
        <v>#N/A</v>
      </c>
      <c r="AY493" s="2" t="e">
        <f t="shared" ca="1" si="278"/>
        <v>#N/A</v>
      </c>
      <c r="AZ493" s="2" t="e">
        <f t="shared" ca="1" si="279"/>
        <v>#N/A</v>
      </c>
      <c r="BA493" s="2" t="e">
        <f t="shared" ca="1" si="280"/>
        <v>#N/A</v>
      </c>
      <c r="BB493" s="2" t="e">
        <f t="shared" ca="1" si="281"/>
        <v>#N/A</v>
      </c>
      <c r="BC493" s="9" t="e">
        <f t="shared" ca="1" si="282"/>
        <v>#N/A</v>
      </c>
      <c r="BD493" s="9" t="e">
        <f t="shared" ca="1" si="283"/>
        <v>#N/A</v>
      </c>
    </row>
    <row r="494" spans="1:56" ht="15" x14ac:dyDescent="0.25">
      <c r="A494" s="63"/>
      <c r="B494" s="63"/>
      <c r="C494" s="64"/>
      <c r="D494" s="64"/>
      <c r="E494" s="64"/>
      <c r="F494" s="64"/>
      <c r="G494" s="64"/>
      <c r="H494" s="64"/>
      <c r="I494" s="64"/>
      <c r="J494" s="64"/>
      <c r="K494" s="64"/>
      <c r="L494" s="64"/>
      <c r="M494" s="64"/>
      <c r="O494" s="11">
        <f t="shared" ca="1" si="269"/>
        <v>-3.9378682616450625E-4</v>
      </c>
      <c r="P494" s="11">
        <f t="shared" ca="1" si="270"/>
        <v>-1.6358405771021967E-4</v>
      </c>
      <c r="Q494" s="11">
        <f t="shared" ca="1" si="271"/>
        <v>-1.614029402377854E-3</v>
      </c>
      <c r="R494" s="11">
        <f t="shared" ca="1" si="272"/>
        <v>-1.4853760121635622E-5</v>
      </c>
      <c r="S494" s="11">
        <f t="shared" ca="1" si="273"/>
        <v>-1.1458026838550334E-3</v>
      </c>
      <c r="T494" s="11">
        <f t="shared" ca="1" si="274"/>
        <v>-4.9053934342410677E-4</v>
      </c>
      <c r="U494" s="11">
        <f t="shared" ca="1" si="275"/>
        <v>-5.5074395654535931E-3</v>
      </c>
      <c r="V494" s="11"/>
      <c r="W494" s="11">
        <f t="shared" ca="1" si="255"/>
        <v>0</v>
      </c>
      <c r="X494" s="2">
        <f t="shared" ca="1" si="256"/>
        <v>-1.6358405771021967E-4</v>
      </c>
      <c r="Y494" s="2">
        <f t="shared" ca="1" si="257"/>
        <v>-1.614029402377854E-3</v>
      </c>
      <c r="Z494" s="11">
        <f t="shared" ca="1" si="258"/>
        <v>-1.4853760121635622E-5</v>
      </c>
      <c r="AA494" s="2">
        <f t="shared" ca="1" si="259"/>
        <v>-1.1458026838550334E-3</v>
      </c>
      <c r="AB494" s="11">
        <f t="shared" ca="1" si="260"/>
        <v>-4.9053934342410677E-4</v>
      </c>
      <c r="AC494" s="2">
        <f t="shared" ca="1" si="261"/>
        <v>-5.5074395654535931E-3</v>
      </c>
      <c r="AF494" s="11">
        <f t="shared" ca="1" si="262"/>
        <v>0</v>
      </c>
      <c r="AG494" s="2">
        <f t="shared" ca="1" si="263"/>
        <v>-1.6358405771021967E-4</v>
      </c>
      <c r="AH494" s="2">
        <f t="shared" ca="1" si="264"/>
        <v>-1.614029402377854E-3</v>
      </c>
      <c r="AI494" s="2">
        <f t="shared" ca="1" si="265"/>
        <v>-1.4853760121635622E-5</v>
      </c>
      <c r="AJ494" s="2">
        <f t="shared" ca="1" si="266"/>
        <v>-1.1458026838550334E-3</v>
      </c>
      <c r="AK494" s="2">
        <f t="shared" ca="1" si="267"/>
        <v>-4.9053934342410677E-4</v>
      </c>
      <c r="AL494" s="2">
        <f t="shared" ca="1" si="268"/>
        <v>-5.5074395654535931E-3</v>
      </c>
      <c r="AN494" s="2" t="e">
        <f t="shared" ca="1" si="247"/>
        <v>#N/A</v>
      </c>
      <c r="AO494" s="2" t="e">
        <f t="shared" ca="1" si="248"/>
        <v>#N/A</v>
      </c>
      <c r="AP494" s="2" t="e">
        <f t="shared" ca="1" si="249"/>
        <v>#N/A</v>
      </c>
      <c r="AQ494" s="2" t="e">
        <f t="shared" ca="1" si="250"/>
        <v>#N/A</v>
      </c>
      <c r="AR494" s="2" t="e">
        <f t="shared" ca="1" si="251"/>
        <v>#N/A</v>
      </c>
      <c r="AS494" s="2" t="e">
        <f t="shared" ca="1" si="252"/>
        <v>#N/A</v>
      </c>
      <c r="AT494" s="9" t="e">
        <f t="shared" ca="1" si="253"/>
        <v>#N/A</v>
      </c>
      <c r="AU494" s="9" t="e">
        <f t="shared" ca="1" si="254"/>
        <v>#N/A</v>
      </c>
      <c r="AW494" s="2" t="e">
        <f t="shared" ca="1" si="276"/>
        <v>#N/A</v>
      </c>
      <c r="AX494" s="2" t="e">
        <f t="shared" ca="1" si="277"/>
        <v>#N/A</v>
      </c>
      <c r="AY494" s="2" t="e">
        <f t="shared" ca="1" si="278"/>
        <v>#N/A</v>
      </c>
      <c r="AZ494" s="2" t="e">
        <f t="shared" ca="1" si="279"/>
        <v>#N/A</v>
      </c>
      <c r="BA494" s="2" t="e">
        <f t="shared" ca="1" si="280"/>
        <v>#N/A</v>
      </c>
      <c r="BB494" s="2" t="e">
        <f t="shared" ca="1" si="281"/>
        <v>#N/A</v>
      </c>
      <c r="BC494" s="9" t="e">
        <f t="shared" ca="1" si="282"/>
        <v>#N/A</v>
      </c>
      <c r="BD494" s="9" t="e">
        <f t="shared" ca="1" si="283"/>
        <v>#N/A</v>
      </c>
    </row>
    <row r="495" spans="1:56" ht="15" x14ac:dyDescent="0.25">
      <c r="A495" s="63"/>
      <c r="B495" s="63"/>
      <c r="C495" s="64"/>
      <c r="D495" s="64"/>
      <c r="E495" s="64"/>
      <c r="F495" s="64"/>
      <c r="G495" s="64"/>
      <c r="H495" s="64"/>
      <c r="I495" s="64"/>
      <c r="J495" s="64"/>
      <c r="K495" s="64"/>
      <c r="L495" s="64"/>
      <c r="M495" s="64"/>
      <c r="O495" s="11">
        <f t="shared" ca="1" si="269"/>
        <v>-3.9378682616450625E-4</v>
      </c>
      <c r="P495" s="11">
        <f t="shared" ca="1" si="270"/>
        <v>-1.6358405771021967E-4</v>
      </c>
      <c r="Q495" s="11">
        <f t="shared" ca="1" si="271"/>
        <v>-1.614029402377854E-3</v>
      </c>
      <c r="R495" s="11">
        <f t="shared" ca="1" si="272"/>
        <v>-1.4853760121635622E-5</v>
      </c>
      <c r="S495" s="11">
        <f t="shared" ca="1" si="273"/>
        <v>-1.1458026838550334E-3</v>
      </c>
      <c r="T495" s="11">
        <f t="shared" ca="1" si="274"/>
        <v>-4.9053934342410677E-4</v>
      </c>
      <c r="U495" s="11">
        <f t="shared" ca="1" si="275"/>
        <v>-5.5074395654535931E-3</v>
      </c>
      <c r="V495" s="11"/>
      <c r="W495" s="11">
        <f t="shared" ca="1" si="255"/>
        <v>0</v>
      </c>
      <c r="X495" s="2">
        <f t="shared" ca="1" si="256"/>
        <v>-1.6358405771021967E-4</v>
      </c>
      <c r="Y495" s="2">
        <f t="shared" ca="1" si="257"/>
        <v>-1.614029402377854E-3</v>
      </c>
      <c r="Z495" s="11">
        <f t="shared" ca="1" si="258"/>
        <v>-1.4853760121635622E-5</v>
      </c>
      <c r="AA495" s="2">
        <f t="shared" ca="1" si="259"/>
        <v>-1.1458026838550334E-3</v>
      </c>
      <c r="AB495" s="11">
        <f t="shared" ca="1" si="260"/>
        <v>-4.9053934342410677E-4</v>
      </c>
      <c r="AC495" s="2">
        <f t="shared" ca="1" si="261"/>
        <v>-5.5074395654535931E-3</v>
      </c>
      <c r="AF495" s="11">
        <f t="shared" ca="1" si="262"/>
        <v>0</v>
      </c>
      <c r="AG495" s="2">
        <f t="shared" ca="1" si="263"/>
        <v>-1.6358405771021967E-4</v>
      </c>
      <c r="AH495" s="2">
        <f t="shared" ca="1" si="264"/>
        <v>-1.614029402377854E-3</v>
      </c>
      <c r="AI495" s="2">
        <f t="shared" ca="1" si="265"/>
        <v>-1.4853760121635622E-5</v>
      </c>
      <c r="AJ495" s="2">
        <f t="shared" ca="1" si="266"/>
        <v>-1.1458026838550334E-3</v>
      </c>
      <c r="AK495" s="2">
        <f t="shared" ca="1" si="267"/>
        <v>-4.9053934342410677E-4</v>
      </c>
      <c r="AL495" s="2">
        <f t="shared" ca="1" si="268"/>
        <v>-5.5074395654535931E-3</v>
      </c>
      <c r="AN495" s="2" t="e">
        <f t="shared" ca="1" si="247"/>
        <v>#N/A</v>
      </c>
      <c r="AO495" s="2" t="e">
        <f t="shared" ca="1" si="248"/>
        <v>#N/A</v>
      </c>
      <c r="AP495" s="2" t="e">
        <f t="shared" ca="1" si="249"/>
        <v>#N/A</v>
      </c>
      <c r="AQ495" s="2" t="e">
        <f t="shared" ca="1" si="250"/>
        <v>#N/A</v>
      </c>
      <c r="AR495" s="2" t="e">
        <f t="shared" ca="1" si="251"/>
        <v>#N/A</v>
      </c>
      <c r="AS495" s="2" t="e">
        <f t="shared" ca="1" si="252"/>
        <v>#N/A</v>
      </c>
      <c r="AT495" s="9" t="e">
        <f t="shared" ca="1" si="253"/>
        <v>#N/A</v>
      </c>
      <c r="AU495" s="9" t="e">
        <f t="shared" ca="1" si="254"/>
        <v>#N/A</v>
      </c>
      <c r="AW495" s="2" t="e">
        <f t="shared" ca="1" si="276"/>
        <v>#N/A</v>
      </c>
      <c r="AX495" s="2" t="e">
        <f t="shared" ca="1" si="277"/>
        <v>#N/A</v>
      </c>
      <c r="AY495" s="2" t="e">
        <f t="shared" ca="1" si="278"/>
        <v>#N/A</v>
      </c>
      <c r="AZ495" s="2" t="e">
        <f t="shared" ca="1" si="279"/>
        <v>#N/A</v>
      </c>
      <c r="BA495" s="2" t="e">
        <f t="shared" ca="1" si="280"/>
        <v>#N/A</v>
      </c>
      <c r="BB495" s="2" t="e">
        <f t="shared" ca="1" si="281"/>
        <v>#N/A</v>
      </c>
      <c r="BC495" s="9" t="e">
        <f t="shared" ca="1" si="282"/>
        <v>#N/A</v>
      </c>
      <c r="BD495" s="9" t="e">
        <f t="shared" ca="1" si="283"/>
        <v>#N/A</v>
      </c>
    </row>
    <row r="496" spans="1:56" ht="15" x14ac:dyDescent="0.25">
      <c r="A496" s="63"/>
      <c r="B496" s="63"/>
      <c r="C496" s="64"/>
      <c r="D496" s="64"/>
      <c r="E496" s="64"/>
      <c r="F496" s="64"/>
      <c r="G496" s="64"/>
      <c r="H496" s="64"/>
      <c r="I496" s="64"/>
      <c r="J496" s="64"/>
      <c r="K496" s="64"/>
      <c r="L496" s="64"/>
      <c r="M496" s="64"/>
      <c r="O496" s="11">
        <f t="shared" ca="1" si="269"/>
        <v>-3.9378682616450625E-4</v>
      </c>
      <c r="P496" s="11">
        <f t="shared" ca="1" si="270"/>
        <v>-1.6358405771021967E-4</v>
      </c>
      <c r="Q496" s="11">
        <f t="shared" ca="1" si="271"/>
        <v>-1.614029402377854E-3</v>
      </c>
      <c r="R496" s="11">
        <f t="shared" ca="1" si="272"/>
        <v>-1.4853760121635622E-5</v>
      </c>
      <c r="S496" s="11">
        <f t="shared" ca="1" si="273"/>
        <v>-1.1458026838550334E-3</v>
      </c>
      <c r="T496" s="11">
        <f t="shared" ca="1" si="274"/>
        <v>-4.9053934342410677E-4</v>
      </c>
      <c r="U496" s="11">
        <f t="shared" ca="1" si="275"/>
        <v>-5.5074395654535931E-3</v>
      </c>
      <c r="V496" s="11"/>
      <c r="W496" s="11">
        <f t="shared" ca="1" si="255"/>
        <v>0</v>
      </c>
      <c r="X496" s="2">
        <f t="shared" ca="1" si="256"/>
        <v>-1.6358405771021967E-4</v>
      </c>
      <c r="Y496" s="2">
        <f t="shared" ca="1" si="257"/>
        <v>-1.614029402377854E-3</v>
      </c>
      <c r="Z496" s="11">
        <f t="shared" ca="1" si="258"/>
        <v>-1.4853760121635622E-5</v>
      </c>
      <c r="AA496" s="2">
        <f t="shared" ca="1" si="259"/>
        <v>-1.1458026838550334E-3</v>
      </c>
      <c r="AB496" s="11">
        <f t="shared" ca="1" si="260"/>
        <v>-4.9053934342410677E-4</v>
      </c>
      <c r="AC496" s="2">
        <f t="shared" ca="1" si="261"/>
        <v>-5.5074395654535931E-3</v>
      </c>
      <c r="AF496" s="11">
        <f t="shared" ca="1" si="262"/>
        <v>0</v>
      </c>
      <c r="AG496" s="2">
        <f t="shared" ca="1" si="263"/>
        <v>-1.6358405771021967E-4</v>
      </c>
      <c r="AH496" s="2">
        <f t="shared" ca="1" si="264"/>
        <v>-1.614029402377854E-3</v>
      </c>
      <c r="AI496" s="2">
        <f t="shared" ca="1" si="265"/>
        <v>-1.4853760121635622E-5</v>
      </c>
      <c r="AJ496" s="2">
        <f t="shared" ca="1" si="266"/>
        <v>-1.1458026838550334E-3</v>
      </c>
      <c r="AK496" s="2">
        <f t="shared" ca="1" si="267"/>
        <v>-4.9053934342410677E-4</v>
      </c>
      <c r="AL496" s="2">
        <f t="shared" ca="1" si="268"/>
        <v>-5.5074395654535931E-3</v>
      </c>
      <c r="AN496" s="2" t="e">
        <f t="shared" ca="1" si="247"/>
        <v>#N/A</v>
      </c>
      <c r="AO496" s="2" t="e">
        <f t="shared" ca="1" si="248"/>
        <v>#N/A</v>
      </c>
      <c r="AP496" s="2" t="e">
        <f t="shared" ca="1" si="249"/>
        <v>#N/A</v>
      </c>
      <c r="AQ496" s="2" t="e">
        <f t="shared" ca="1" si="250"/>
        <v>#N/A</v>
      </c>
      <c r="AR496" s="2" t="e">
        <f t="shared" ca="1" si="251"/>
        <v>#N/A</v>
      </c>
      <c r="AS496" s="2" t="e">
        <f t="shared" ca="1" si="252"/>
        <v>#N/A</v>
      </c>
      <c r="AT496" s="9" t="e">
        <f t="shared" ca="1" si="253"/>
        <v>#N/A</v>
      </c>
      <c r="AU496" s="9" t="e">
        <f t="shared" ca="1" si="254"/>
        <v>#N/A</v>
      </c>
      <c r="AW496" s="2" t="e">
        <f t="shared" ca="1" si="276"/>
        <v>#N/A</v>
      </c>
      <c r="AX496" s="2" t="e">
        <f t="shared" ca="1" si="277"/>
        <v>#N/A</v>
      </c>
      <c r="AY496" s="2" t="e">
        <f t="shared" ca="1" si="278"/>
        <v>#N/A</v>
      </c>
      <c r="AZ496" s="2" t="e">
        <f t="shared" ca="1" si="279"/>
        <v>#N/A</v>
      </c>
      <c r="BA496" s="2" t="e">
        <f t="shared" ca="1" si="280"/>
        <v>#N/A</v>
      </c>
      <c r="BB496" s="2" t="e">
        <f t="shared" ca="1" si="281"/>
        <v>#N/A</v>
      </c>
      <c r="BC496" s="9" t="e">
        <f t="shared" ca="1" si="282"/>
        <v>#N/A</v>
      </c>
      <c r="BD496" s="9" t="e">
        <f t="shared" ca="1" si="283"/>
        <v>#N/A</v>
      </c>
    </row>
    <row r="497" spans="1:56" ht="15" x14ac:dyDescent="0.25">
      <c r="A497" s="63"/>
      <c r="B497" s="63"/>
      <c r="C497" s="64"/>
      <c r="D497" s="64"/>
      <c r="E497" s="64"/>
      <c r="F497" s="64"/>
      <c r="G497" s="64"/>
      <c r="H497" s="64"/>
      <c r="I497" s="64"/>
      <c r="J497" s="64"/>
      <c r="K497" s="64"/>
      <c r="L497" s="64"/>
      <c r="M497" s="64"/>
      <c r="O497" s="11">
        <f t="shared" ca="1" si="269"/>
        <v>-3.9378682616450625E-4</v>
      </c>
      <c r="P497" s="11">
        <f t="shared" ca="1" si="270"/>
        <v>-1.6358405771021967E-4</v>
      </c>
      <c r="Q497" s="11">
        <f t="shared" ca="1" si="271"/>
        <v>-1.614029402377854E-3</v>
      </c>
      <c r="R497" s="11">
        <f t="shared" ca="1" si="272"/>
        <v>-1.4853760121635622E-5</v>
      </c>
      <c r="S497" s="11">
        <f t="shared" ca="1" si="273"/>
        <v>-1.1458026838550334E-3</v>
      </c>
      <c r="T497" s="11">
        <f t="shared" ca="1" si="274"/>
        <v>-4.9053934342410677E-4</v>
      </c>
      <c r="U497" s="11">
        <f t="shared" ca="1" si="275"/>
        <v>-5.5074395654535931E-3</v>
      </c>
      <c r="V497" s="11"/>
      <c r="W497" s="11">
        <f t="shared" ca="1" si="255"/>
        <v>0</v>
      </c>
      <c r="X497" s="2">
        <f t="shared" ca="1" si="256"/>
        <v>-1.6358405771021967E-4</v>
      </c>
      <c r="Y497" s="2">
        <f t="shared" ca="1" si="257"/>
        <v>-1.614029402377854E-3</v>
      </c>
      <c r="Z497" s="11">
        <f t="shared" ca="1" si="258"/>
        <v>-1.4853760121635622E-5</v>
      </c>
      <c r="AA497" s="2">
        <f t="shared" ca="1" si="259"/>
        <v>-1.1458026838550334E-3</v>
      </c>
      <c r="AB497" s="11">
        <f t="shared" ca="1" si="260"/>
        <v>-4.9053934342410677E-4</v>
      </c>
      <c r="AC497" s="2">
        <f t="shared" ca="1" si="261"/>
        <v>-5.5074395654535931E-3</v>
      </c>
      <c r="AF497" s="11">
        <f t="shared" ca="1" si="262"/>
        <v>0</v>
      </c>
      <c r="AG497" s="2">
        <f t="shared" ca="1" si="263"/>
        <v>-1.6358405771021967E-4</v>
      </c>
      <c r="AH497" s="2">
        <f t="shared" ca="1" si="264"/>
        <v>-1.614029402377854E-3</v>
      </c>
      <c r="AI497" s="2">
        <f t="shared" ca="1" si="265"/>
        <v>-1.4853760121635622E-5</v>
      </c>
      <c r="AJ497" s="2">
        <f t="shared" ca="1" si="266"/>
        <v>-1.1458026838550334E-3</v>
      </c>
      <c r="AK497" s="2">
        <f t="shared" ca="1" si="267"/>
        <v>-4.9053934342410677E-4</v>
      </c>
      <c r="AL497" s="2">
        <f t="shared" ca="1" si="268"/>
        <v>-5.5074395654535931E-3</v>
      </c>
      <c r="AN497" s="2" t="e">
        <f t="shared" ca="1" si="247"/>
        <v>#N/A</v>
      </c>
      <c r="AO497" s="2" t="e">
        <f t="shared" ca="1" si="248"/>
        <v>#N/A</v>
      </c>
      <c r="AP497" s="2" t="e">
        <f t="shared" ca="1" si="249"/>
        <v>#N/A</v>
      </c>
      <c r="AQ497" s="2" t="e">
        <f t="shared" ca="1" si="250"/>
        <v>#N/A</v>
      </c>
      <c r="AR497" s="2" t="e">
        <f t="shared" ca="1" si="251"/>
        <v>#N/A</v>
      </c>
      <c r="AS497" s="2" t="e">
        <f t="shared" ca="1" si="252"/>
        <v>#N/A</v>
      </c>
      <c r="AT497" s="9" t="e">
        <f t="shared" ca="1" si="253"/>
        <v>#N/A</v>
      </c>
      <c r="AU497" s="9" t="e">
        <f t="shared" ca="1" si="254"/>
        <v>#N/A</v>
      </c>
      <c r="AW497" s="2" t="e">
        <f t="shared" ca="1" si="276"/>
        <v>#N/A</v>
      </c>
      <c r="AX497" s="2" t="e">
        <f t="shared" ca="1" si="277"/>
        <v>#N/A</v>
      </c>
      <c r="AY497" s="2" t="e">
        <f t="shared" ca="1" si="278"/>
        <v>#N/A</v>
      </c>
      <c r="AZ497" s="2" t="e">
        <f t="shared" ca="1" si="279"/>
        <v>#N/A</v>
      </c>
      <c r="BA497" s="2" t="e">
        <f t="shared" ca="1" si="280"/>
        <v>#N/A</v>
      </c>
      <c r="BB497" s="2" t="e">
        <f t="shared" ca="1" si="281"/>
        <v>#N/A</v>
      </c>
      <c r="BC497" s="9" t="e">
        <f t="shared" ca="1" si="282"/>
        <v>#N/A</v>
      </c>
      <c r="BD497" s="9" t="e">
        <f t="shared" ca="1" si="283"/>
        <v>#N/A</v>
      </c>
    </row>
    <row r="498" spans="1:56" ht="15" x14ac:dyDescent="0.25">
      <c r="A498" s="63"/>
      <c r="B498" s="63"/>
      <c r="C498" s="64"/>
      <c r="D498" s="64"/>
      <c r="E498" s="64"/>
      <c r="F498" s="64"/>
      <c r="G498" s="64"/>
      <c r="H498" s="64"/>
      <c r="I498" s="64"/>
      <c r="J498" s="64"/>
      <c r="K498" s="64"/>
      <c r="L498" s="64"/>
      <c r="M498" s="64"/>
      <c r="O498" s="11">
        <f t="shared" ca="1" si="269"/>
        <v>-3.9378682616450625E-4</v>
      </c>
      <c r="P498" s="11">
        <f t="shared" ca="1" si="270"/>
        <v>-1.6358405771021967E-4</v>
      </c>
      <c r="Q498" s="11">
        <f t="shared" ca="1" si="271"/>
        <v>-1.614029402377854E-3</v>
      </c>
      <c r="R498" s="11">
        <f t="shared" ca="1" si="272"/>
        <v>-1.4853760121635622E-5</v>
      </c>
      <c r="S498" s="11">
        <f t="shared" ca="1" si="273"/>
        <v>-1.1458026838550334E-3</v>
      </c>
      <c r="T498" s="11">
        <f t="shared" ca="1" si="274"/>
        <v>-4.9053934342410677E-4</v>
      </c>
      <c r="U498" s="11">
        <f t="shared" ca="1" si="275"/>
        <v>-5.5074395654535931E-3</v>
      </c>
      <c r="V498" s="11"/>
      <c r="W498" s="11">
        <f t="shared" ca="1" si="255"/>
        <v>0</v>
      </c>
      <c r="X498" s="2">
        <f t="shared" ca="1" si="256"/>
        <v>-1.6358405771021967E-4</v>
      </c>
      <c r="Y498" s="2">
        <f t="shared" ca="1" si="257"/>
        <v>-1.614029402377854E-3</v>
      </c>
      <c r="Z498" s="11">
        <f t="shared" ca="1" si="258"/>
        <v>-1.4853760121635622E-5</v>
      </c>
      <c r="AA498" s="2">
        <f t="shared" ca="1" si="259"/>
        <v>-1.1458026838550334E-3</v>
      </c>
      <c r="AB498" s="11">
        <f t="shared" ca="1" si="260"/>
        <v>-4.9053934342410677E-4</v>
      </c>
      <c r="AC498" s="2">
        <f t="shared" ca="1" si="261"/>
        <v>-5.5074395654535931E-3</v>
      </c>
      <c r="AF498" s="11">
        <f t="shared" ca="1" si="262"/>
        <v>0</v>
      </c>
      <c r="AG498" s="2">
        <f t="shared" ca="1" si="263"/>
        <v>-1.6358405771021967E-4</v>
      </c>
      <c r="AH498" s="2">
        <f t="shared" ca="1" si="264"/>
        <v>-1.614029402377854E-3</v>
      </c>
      <c r="AI498" s="2">
        <f t="shared" ca="1" si="265"/>
        <v>-1.4853760121635622E-5</v>
      </c>
      <c r="AJ498" s="2">
        <f t="shared" ca="1" si="266"/>
        <v>-1.1458026838550334E-3</v>
      </c>
      <c r="AK498" s="2">
        <f t="shared" ca="1" si="267"/>
        <v>-4.9053934342410677E-4</v>
      </c>
      <c r="AL498" s="2">
        <f t="shared" ca="1" si="268"/>
        <v>-5.5074395654535931E-3</v>
      </c>
      <c r="AN498" s="2" t="e">
        <f t="shared" ca="1" si="247"/>
        <v>#N/A</v>
      </c>
      <c r="AO498" s="2" t="e">
        <f t="shared" ca="1" si="248"/>
        <v>#N/A</v>
      </c>
      <c r="AP498" s="2" t="e">
        <f t="shared" ca="1" si="249"/>
        <v>#N/A</v>
      </c>
      <c r="AQ498" s="2" t="e">
        <f t="shared" ca="1" si="250"/>
        <v>#N/A</v>
      </c>
      <c r="AR498" s="2" t="e">
        <f t="shared" ca="1" si="251"/>
        <v>#N/A</v>
      </c>
      <c r="AS498" s="2" t="e">
        <f t="shared" ca="1" si="252"/>
        <v>#N/A</v>
      </c>
      <c r="AT498" s="9" t="e">
        <f t="shared" ca="1" si="253"/>
        <v>#N/A</v>
      </c>
      <c r="AU498" s="9" t="e">
        <f t="shared" ca="1" si="254"/>
        <v>#N/A</v>
      </c>
      <c r="AW498" s="2" t="e">
        <f t="shared" ca="1" si="276"/>
        <v>#N/A</v>
      </c>
      <c r="AX498" s="2" t="e">
        <f t="shared" ca="1" si="277"/>
        <v>#N/A</v>
      </c>
      <c r="AY498" s="2" t="e">
        <f t="shared" ca="1" si="278"/>
        <v>#N/A</v>
      </c>
      <c r="AZ498" s="2" t="e">
        <f t="shared" ca="1" si="279"/>
        <v>#N/A</v>
      </c>
      <c r="BA498" s="2" t="e">
        <f t="shared" ca="1" si="280"/>
        <v>#N/A</v>
      </c>
      <c r="BB498" s="2" t="e">
        <f t="shared" ca="1" si="281"/>
        <v>#N/A</v>
      </c>
      <c r="BC498" s="9" t="e">
        <f t="shared" ca="1" si="282"/>
        <v>#N/A</v>
      </c>
      <c r="BD498" s="9" t="e">
        <f t="shared" ca="1" si="283"/>
        <v>#N/A</v>
      </c>
    </row>
    <row r="499" spans="1:56" ht="15" x14ac:dyDescent="0.25">
      <c r="A499" s="63"/>
      <c r="B499" s="63"/>
      <c r="C499" s="64"/>
      <c r="D499" s="64"/>
      <c r="E499" s="64"/>
      <c r="F499" s="64"/>
      <c r="G499" s="64"/>
      <c r="H499" s="64"/>
      <c r="I499" s="64"/>
      <c r="J499" s="64"/>
      <c r="K499" s="64"/>
      <c r="L499" s="64"/>
      <c r="M499" s="64"/>
      <c r="O499" s="11">
        <f t="shared" ca="1" si="269"/>
        <v>-3.9378682616450625E-4</v>
      </c>
      <c r="P499" s="11">
        <f t="shared" ca="1" si="270"/>
        <v>-1.6358405771021967E-4</v>
      </c>
      <c r="Q499" s="11">
        <f t="shared" ca="1" si="271"/>
        <v>-1.614029402377854E-3</v>
      </c>
      <c r="R499" s="11">
        <f t="shared" ca="1" si="272"/>
        <v>-1.4853760121635622E-5</v>
      </c>
      <c r="S499" s="11">
        <f t="shared" ca="1" si="273"/>
        <v>-1.1458026838550334E-3</v>
      </c>
      <c r="T499" s="11">
        <f t="shared" ca="1" si="274"/>
        <v>-4.9053934342410677E-4</v>
      </c>
      <c r="U499" s="11">
        <f t="shared" ca="1" si="275"/>
        <v>-5.5074395654535931E-3</v>
      </c>
      <c r="V499" s="11"/>
      <c r="W499" s="11">
        <f t="shared" ca="1" si="255"/>
        <v>0</v>
      </c>
      <c r="X499" s="2">
        <f t="shared" ca="1" si="256"/>
        <v>-1.6358405771021967E-4</v>
      </c>
      <c r="Y499" s="2">
        <f t="shared" ca="1" si="257"/>
        <v>-1.614029402377854E-3</v>
      </c>
      <c r="Z499" s="11">
        <f t="shared" ca="1" si="258"/>
        <v>-1.4853760121635622E-5</v>
      </c>
      <c r="AA499" s="2">
        <f t="shared" ca="1" si="259"/>
        <v>-1.1458026838550334E-3</v>
      </c>
      <c r="AB499" s="11">
        <f t="shared" ca="1" si="260"/>
        <v>-4.9053934342410677E-4</v>
      </c>
      <c r="AC499" s="2">
        <f t="shared" ca="1" si="261"/>
        <v>-5.5074395654535931E-3</v>
      </c>
      <c r="AF499" s="11">
        <f t="shared" ca="1" si="262"/>
        <v>0</v>
      </c>
      <c r="AG499" s="2">
        <f t="shared" ca="1" si="263"/>
        <v>-1.6358405771021967E-4</v>
      </c>
      <c r="AH499" s="2">
        <f t="shared" ca="1" si="264"/>
        <v>-1.614029402377854E-3</v>
      </c>
      <c r="AI499" s="2">
        <f t="shared" ca="1" si="265"/>
        <v>-1.4853760121635622E-5</v>
      </c>
      <c r="AJ499" s="2">
        <f t="shared" ca="1" si="266"/>
        <v>-1.1458026838550334E-3</v>
      </c>
      <c r="AK499" s="2">
        <f t="shared" ca="1" si="267"/>
        <v>-4.9053934342410677E-4</v>
      </c>
      <c r="AL499" s="2">
        <f t="shared" ca="1" si="268"/>
        <v>-5.5074395654535931E-3</v>
      </c>
      <c r="AN499" s="2" t="e">
        <f t="shared" ca="1" si="247"/>
        <v>#N/A</v>
      </c>
      <c r="AO499" s="2" t="e">
        <f t="shared" ca="1" si="248"/>
        <v>#N/A</v>
      </c>
      <c r="AP499" s="2" t="e">
        <f t="shared" ca="1" si="249"/>
        <v>#N/A</v>
      </c>
      <c r="AQ499" s="2" t="e">
        <f t="shared" ca="1" si="250"/>
        <v>#N/A</v>
      </c>
      <c r="AR499" s="2" t="e">
        <f t="shared" ca="1" si="251"/>
        <v>#N/A</v>
      </c>
      <c r="AS499" s="2" t="e">
        <f t="shared" ca="1" si="252"/>
        <v>#N/A</v>
      </c>
      <c r="AT499" s="9" t="e">
        <f t="shared" ca="1" si="253"/>
        <v>#N/A</v>
      </c>
      <c r="AU499" s="9" t="e">
        <f t="shared" ca="1" si="254"/>
        <v>#N/A</v>
      </c>
      <c r="AW499" s="2" t="e">
        <f t="shared" ca="1" si="276"/>
        <v>#N/A</v>
      </c>
      <c r="AX499" s="2" t="e">
        <f t="shared" ca="1" si="277"/>
        <v>#N/A</v>
      </c>
      <c r="AY499" s="2" t="e">
        <f t="shared" ca="1" si="278"/>
        <v>#N/A</v>
      </c>
      <c r="AZ499" s="2" t="e">
        <f t="shared" ca="1" si="279"/>
        <v>#N/A</v>
      </c>
      <c r="BA499" s="2" t="e">
        <f t="shared" ca="1" si="280"/>
        <v>#N/A</v>
      </c>
      <c r="BB499" s="2" t="e">
        <f t="shared" ca="1" si="281"/>
        <v>#N/A</v>
      </c>
      <c r="BC499" s="9" t="e">
        <f t="shared" ca="1" si="282"/>
        <v>#N/A</v>
      </c>
      <c r="BD499" s="9" t="e">
        <f t="shared" ca="1" si="283"/>
        <v>#N/A</v>
      </c>
    </row>
    <row r="500" spans="1:56" ht="15" x14ac:dyDescent="0.25">
      <c r="A500" s="63"/>
      <c r="B500" s="63"/>
      <c r="C500" s="64"/>
      <c r="D500" s="64"/>
      <c r="E500" s="64"/>
      <c r="F500" s="64"/>
      <c r="G500" s="64"/>
      <c r="H500" s="64"/>
      <c r="I500" s="64"/>
      <c r="J500" s="64"/>
      <c r="K500" s="64"/>
      <c r="L500" s="64"/>
      <c r="M500" s="64"/>
      <c r="O500" s="11">
        <f t="shared" ca="1" si="269"/>
        <v>-3.9378682616450625E-4</v>
      </c>
      <c r="P500" s="11">
        <f t="shared" ca="1" si="270"/>
        <v>-1.6358405771021967E-4</v>
      </c>
      <c r="Q500" s="11">
        <f t="shared" ca="1" si="271"/>
        <v>-1.614029402377854E-3</v>
      </c>
      <c r="R500" s="11">
        <f t="shared" ca="1" si="272"/>
        <v>-1.4853760121635622E-5</v>
      </c>
      <c r="S500" s="11">
        <f t="shared" ca="1" si="273"/>
        <v>-1.1458026838550334E-3</v>
      </c>
      <c r="T500" s="11">
        <f t="shared" ca="1" si="274"/>
        <v>-4.9053934342410677E-4</v>
      </c>
      <c r="U500" s="11">
        <f t="shared" ca="1" si="275"/>
        <v>-5.5074395654535931E-3</v>
      </c>
      <c r="V500" s="11"/>
      <c r="W500" s="11">
        <f t="shared" ca="1" si="255"/>
        <v>0</v>
      </c>
      <c r="X500" s="2">
        <f t="shared" ca="1" si="256"/>
        <v>-1.6358405771021967E-4</v>
      </c>
      <c r="Y500" s="2">
        <f t="shared" ca="1" si="257"/>
        <v>-1.614029402377854E-3</v>
      </c>
      <c r="Z500" s="11">
        <f t="shared" ca="1" si="258"/>
        <v>-1.4853760121635622E-5</v>
      </c>
      <c r="AA500" s="2">
        <f t="shared" ca="1" si="259"/>
        <v>-1.1458026838550334E-3</v>
      </c>
      <c r="AB500" s="11">
        <f t="shared" ca="1" si="260"/>
        <v>-4.9053934342410677E-4</v>
      </c>
      <c r="AC500" s="2">
        <f t="shared" ca="1" si="261"/>
        <v>-5.5074395654535931E-3</v>
      </c>
      <c r="AF500" s="11">
        <f t="shared" ca="1" si="262"/>
        <v>0</v>
      </c>
      <c r="AG500" s="2">
        <f t="shared" ca="1" si="263"/>
        <v>-1.6358405771021967E-4</v>
      </c>
      <c r="AH500" s="2">
        <f t="shared" ca="1" si="264"/>
        <v>-1.614029402377854E-3</v>
      </c>
      <c r="AI500" s="2">
        <f t="shared" ca="1" si="265"/>
        <v>-1.4853760121635622E-5</v>
      </c>
      <c r="AJ500" s="2">
        <f t="shared" ca="1" si="266"/>
        <v>-1.1458026838550334E-3</v>
      </c>
      <c r="AK500" s="2">
        <f t="shared" ca="1" si="267"/>
        <v>-4.9053934342410677E-4</v>
      </c>
      <c r="AL500" s="2">
        <f t="shared" ca="1" si="268"/>
        <v>-5.5074395654535931E-3</v>
      </c>
      <c r="AN500" s="2" t="e">
        <f t="shared" ca="1" si="247"/>
        <v>#N/A</v>
      </c>
      <c r="AO500" s="2" t="e">
        <f t="shared" ca="1" si="248"/>
        <v>#N/A</v>
      </c>
      <c r="AP500" s="2" t="e">
        <f t="shared" ca="1" si="249"/>
        <v>#N/A</v>
      </c>
      <c r="AQ500" s="2" t="e">
        <f t="shared" ca="1" si="250"/>
        <v>#N/A</v>
      </c>
      <c r="AR500" s="2" t="e">
        <f t="shared" ca="1" si="251"/>
        <v>#N/A</v>
      </c>
      <c r="AS500" s="2" t="e">
        <f t="shared" ca="1" si="252"/>
        <v>#N/A</v>
      </c>
      <c r="AT500" s="9" t="e">
        <f t="shared" ca="1" si="253"/>
        <v>#N/A</v>
      </c>
      <c r="AU500" s="9" t="e">
        <f t="shared" ca="1" si="254"/>
        <v>#N/A</v>
      </c>
      <c r="AW500" s="2" t="e">
        <f t="shared" ca="1" si="276"/>
        <v>#N/A</v>
      </c>
      <c r="AX500" s="2" t="e">
        <f t="shared" ca="1" si="277"/>
        <v>#N/A</v>
      </c>
      <c r="AY500" s="2" t="e">
        <f t="shared" ca="1" si="278"/>
        <v>#N/A</v>
      </c>
      <c r="AZ500" s="2" t="e">
        <f t="shared" ca="1" si="279"/>
        <v>#N/A</v>
      </c>
      <c r="BA500" s="2" t="e">
        <f t="shared" ca="1" si="280"/>
        <v>#N/A</v>
      </c>
      <c r="BB500" s="2" t="e">
        <f t="shared" ca="1" si="281"/>
        <v>#N/A</v>
      </c>
      <c r="BC500" s="9" t="e">
        <f t="shared" ca="1" si="282"/>
        <v>#N/A</v>
      </c>
      <c r="BD500" s="9" t="e">
        <f t="shared" ca="1" si="283"/>
        <v>#N/A</v>
      </c>
    </row>
    <row r="501" spans="1:56" ht="15" x14ac:dyDescent="0.25">
      <c r="A501" s="63"/>
      <c r="B501" s="63"/>
      <c r="C501" s="64"/>
      <c r="D501" s="64"/>
      <c r="E501" s="64"/>
      <c r="F501" s="64"/>
      <c r="G501" s="64"/>
      <c r="H501" s="64"/>
      <c r="I501" s="64"/>
      <c r="J501" s="64"/>
      <c r="K501" s="64"/>
      <c r="L501" s="64"/>
      <c r="M501" s="64"/>
      <c r="O501" s="11">
        <f t="shared" ca="1" si="269"/>
        <v>-3.9378682616450625E-4</v>
      </c>
      <c r="P501" s="11">
        <f t="shared" ca="1" si="270"/>
        <v>-1.6358405771021967E-4</v>
      </c>
      <c r="Q501" s="11">
        <f t="shared" ca="1" si="271"/>
        <v>-1.614029402377854E-3</v>
      </c>
      <c r="R501" s="11">
        <f t="shared" ca="1" si="272"/>
        <v>-1.4853760121635622E-5</v>
      </c>
      <c r="S501" s="11">
        <f t="shared" ca="1" si="273"/>
        <v>-1.1458026838550334E-3</v>
      </c>
      <c r="T501" s="11">
        <f t="shared" ca="1" si="274"/>
        <v>-4.9053934342410677E-4</v>
      </c>
      <c r="U501" s="11">
        <f t="shared" ca="1" si="275"/>
        <v>-5.5074395654535931E-3</v>
      </c>
      <c r="V501" s="11"/>
      <c r="W501" s="11">
        <f t="shared" ca="1" si="255"/>
        <v>0</v>
      </c>
      <c r="X501" s="2">
        <f t="shared" ca="1" si="256"/>
        <v>-1.6358405771021967E-4</v>
      </c>
      <c r="Y501" s="2">
        <f t="shared" ca="1" si="257"/>
        <v>-1.614029402377854E-3</v>
      </c>
      <c r="Z501" s="11">
        <f t="shared" ca="1" si="258"/>
        <v>-1.4853760121635622E-5</v>
      </c>
      <c r="AA501" s="2">
        <f t="shared" ca="1" si="259"/>
        <v>-1.1458026838550334E-3</v>
      </c>
      <c r="AB501" s="11">
        <f t="shared" ca="1" si="260"/>
        <v>-4.9053934342410677E-4</v>
      </c>
      <c r="AC501" s="2">
        <f t="shared" ca="1" si="261"/>
        <v>-5.5074395654535931E-3</v>
      </c>
      <c r="AF501" s="11">
        <f t="shared" ca="1" si="262"/>
        <v>0</v>
      </c>
      <c r="AG501" s="2">
        <f t="shared" ca="1" si="263"/>
        <v>-1.6358405771021967E-4</v>
      </c>
      <c r="AH501" s="2">
        <f t="shared" ca="1" si="264"/>
        <v>-1.614029402377854E-3</v>
      </c>
      <c r="AI501" s="2">
        <f t="shared" ca="1" si="265"/>
        <v>-1.4853760121635622E-5</v>
      </c>
      <c r="AJ501" s="2">
        <f t="shared" ca="1" si="266"/>
        <v>-1.1458026838550334E-3</v>
      </c>
      <c r="AK501" s="2">
        <f t="shared" ca="1" si="267"/>
        <v>-4.9053934342410677E-4</v>
      </c>
      <c r="AL501" s="2">
        <f t="shared" ca="1" si="268"/>
        <v>-5.5074395654535931E-3</v>
      </c>
      <c r="AN501" s="2" t="e">
        <f t="shared" ca="1" si="247"/>
        <v>#N/A</v>
      </c>
      <c r="AO501" s="2" t="e">
        <f t="shared" ca="1" si="248"/>
        <v>#N/A</v>
      </c>
      <c r="AP501" s="2" t="e">
        <f t="shared" ca="1" si="249"/>
        <v>#N/A</v>
      </c>
      <c r="AQ501" s="2" t="e">
        <f t="shared" ca="1" si="250"/>
        <v>#N/A</v>
      </c>
      <c r="AR501" s="2" t="e">
        <f t="shared" ca="1" si="251"/>
        <v>#N/A</v>
      </c>
      <c r="AS501" s="2" t="e">
        <f t="shared" ca="1" si="252"/>
        <v>#N/A</v>
      </c>
      <c r="AT501" s="9" t="e">
        <f t="shared" ca="1" si="253"/>
        <v>#N/A</v>
      </c>
      <c r="AU501" s="9" t="e">
        <f t="shared" ca="1" si="254"/>
        <v>#N/A</v>
      </c>
      <c r="AW501" s="2" t="e">
        <f t="shared" ca="1" si="276"/>
        <v>#N/A</v>
      </c>
      <c r="AX501" s="2" t="e">
        <f t="shared" ca="1" si="277"/>
        <v>#N/A</v>
      </c>
      <c r="AY501" s="2" t="e">
        <f t="shared" ca="1" si="278"/>
        <v>#N/A</v>
      </c>
      <c r="AZ501" s="2" t="e">
        <f t="shared" ca="1" si="279"/>
        <v>#N/A</v>
      </c>
      <c r="BA501" s="2" t="e">
        <f t="shared" ca="1" si="280"/>
        <v>#N/A</v>
      </c>
      <c r="BB501" s="2" t="e">
        <f t="shared" ca="1" si="281"/>
        <v>#N/A</v>
      </c>
      <c r="BC501" s="9" t="e">
        <f t="shared" ca="1" si="282"/>
        <v>#N/A</v>
      </c>
      <c r="BD501" s="9" t="e">
        <f t="shared" ca="1" si="283"/>
        <v>#N/A</v>
      </c>
    </row>
    <row r="502" spans="1:56" ht="15" x14ac:dyDescent="0.25">
      <c r="A502" s="63"/>
      <c r="B502" s="63"/>
      <c r="C502" s="64"/>
      <c r="D502" s="64"/>
      <c r="E502" s="64"/>
      <c r="F502" s="64"/>
      <c r="G502" s="64"/>
      <c r="H502" s="64"/>
      <c r="I502" s="64"/>
      <c r="J502" s="64"/>
      <c r="K502" s="64"/>
      <c r="L502" s="64"/>
      <c r="M502" s="64"/>
      <c r="O502" s="11">
        <f t="shared" ca="1" si="269"/>
        <v>-3.9378682616450625E-4</v>
      </c>
      <c r="P502" s="11">
        <f t="shared" ca="1" si="270"/>
        <v>-1.6358405771021967E-4</v>
      </c>
      <c r="Q502" s="11">
        <f t="shared" ca="1" si="271"/>
        <v>-1.614029402377854E-3</v>
      </c>
      <c r="R502" s="11">
        <f t="shared" ca="1" si="272"/>
        <v>-1.4853760121635622E-5</v>
      </c>
      <c r="S502" s="11">
        <f t="shared" ca="1" si="273"/>
        <v>-1.1458026838550334E-3</v>
      </c>
      <c r="T502" s="11">
        <f t="shared" ca="1" si="274"/>
        <v>-4.9053934342410677E-4</v>
      </c>
      <c r="U502" s="11">
        <f t="shared" ca="1" si="275"/>
        <v>-5.5074395654535931E-3</v>
      </c>
      <c r="V502" s="11"/>
      <c r="W502" s="11">
        <f t="shared" ca="1" si="255"/>
        <v>0</v>
      </c>
      <c r="X502" s="2">
        <f t="shared" ca="1" si="256"/>
        <v>-1.6358405771021967E-4</v>
      </c>
      <c r="Y502" s="2">
        <f t="shared" ca="1" si="257"/>
        <v>-1.614029402377854E-3</v>
      </c>
      <c r="Z502" s="11">
        <f t="shared" ca="1" si="258"/>
        <v>-1.4853760121635622E-5</v>
      </c>
      <c r="AA502" s="2">
        <f t="shared" ca="1" si="259"/>
        <v>-1.1458026838550334E-3</v>
      </c>
      <c r="AB502" s="11">
        <f t="shared" ca="1" si="260"/>
        <v>-4.9053934342410677E-4</v>
      </c>
      <c r="AC502" s="2">
        <f t="shared" ca="1" si="261"/>
        <v>-5.5074395654535931E-3</v>
      </c>
      <c r="AF502" s="11">
        <f t="shared" ca="1" si="262"/>
        <v>0</v>
      </c>
      <c r="AG502" s="2">
        <f t="shared" ca="1" si="263"/>
        <v>-1.6358405771021967E-4</v>
      </c>
      <c r="AH502" s="2">
        <f t="shared" ca="1" si="264"/>
        <v>-1.614029402377854E-3</v>
      </c>
      <c r="AI502" s="2">
        <f t="shared" ca="1" si="265"/>
        <v>-1.4853760121635622E-5</v>
      </c>
      <c r="AJ502" s="2">
        <f t="shared" ca="1" si="266"/>
        <v>-1.1458026838550334E-3</v>
      </c>
      <c r="AK502" s="2">
        <f t="shared" ca="1" si="267"/>
        <v>-4.9053934342410677E-4</v>
      </c>
      <c r="AL502" s="2">
        <f t="shared" ca="1" si="268"/>
        <v>-5.5074395654535931E-3</v>
      </c>
      <c r="AN502" s="2" t="e">
        <f t="shared" ca="1" si="247"/>
        <v>#N/A</v>
      </c>
      <c r="AO502" s="2" t="e">
        <f t="shared" ca="1" si="248"/>
        <v>#N/A</v>
      </c>
      <c r="AP502" s="2" t="e">
        <f t="shared" ca="1" si="249"/>
        <v>#N/A</v>
      </c>
      <c r="AQ502" s="2" t="e">
        <f t="shared" ca="1" si="250"/>
        <v>#N/A</v>
      </c>
      <c r="AR502" s="2" t="e">
        <f t="shared" ca="1" si="251"/>
        <v>#N/A</v>
      </c>
      <c r="AS502" s="2" t="e">
        <f t="shared" ca="1" si="252"/>
        <v>#N/A</v>
      </c>
      <c r="AT502" s="9" t="e">
        <f t="shared" ca="1" si="253"/>
        <v>#N/A</v>
      </c>
      <c r="AU502" s="9" t="e">
        <f t="shared" ca="1" si="254"/>
        <v>#N/A</v>
      </c>
      <c r="AW502" s="2" t="e">
        <f t="shared" ca="1" si="276"/>
        <v>#N/A</v>
      </c>
      <c r="AX502" s="2" t="e">
        <f t="shared" ca="1" si="277"/>
        <v>#N/A</v>
      </c>
      <c r="AY502" s="2" t="e">
        <f t="shared" ca="1" si="278"/>
        <v>#N/A</v>
      </c>
      <c r="AZ502" s="2" t="e">
        <f t="shared" ca="1" si="279"/>
        <v>#N/A</v>
      </c>
      <c r="BA502" s="2" t="e">
        <f t="shared" ca="1" si="280"/>
        <v>#N/A</v>
      </c>
      <c r="BB502" s="2" t="e">
        <f t="shared" ca="1" si="281"/>
        <v>#N/A</v>
      </c>
      <c r="BC502" s="9" t="e">
        <f t="shared" ca="1" si="282"/>
        <v>#N/A</v>
      </c>
      <c r="BD502" s="9" t="e">
        <f t="shared" ca="1" si="283"/>
        <v>#N/A</v>
      </c>
    </row>
    <row r="503" spans="1:56" ht="15" x14ac:dyDescent="0.25">
      <c r="A503" s="63"/>
      <c r="B503" s="63"/>
      <c r="C503" s="64"/>
      <c r="D503" s="64"/>
      <c r="E503" s="64"/>
      <c r="F503" s="64"/>
      <c r="G503" s="64"/>
      <c r="H503" s="64"/>
      <c r="I503" s="64"/>
      <c r="J503" s="64"/>
      <c r="K503" s="64"/>
      <c r="L503" s="64"/>
      <c r="M503" s="64"/>
      <c r="O503" s="11">
        <f t="shared" ca="1" si="269"/>
        <v>-3.9378682616450625E-4</v>
      </c>
      <c r="P503" s="11">
        <f t="shared" ca="1" si="270"/>
        <v>-1.6358405771021967E-4</v>
      </c>
      <c r="Q503" s="11">
        <f t="shared" ca="1" si="271"/>
        <v>-1.614029402377854E-3</v>
      </c>
      <c r="R503" s="11">
        <f t="shared" ca="1" si="272"/>
        <v>-1.4853760121635622E-5</v>
      </c>
      <c r="S503" s="11">
        <f t="shared" ca="1" si="273"/>
        <v>-1.1458026838550334E-3</v>
      </c>
      <c r="T503" s="11">
        <f t="shared" ca="1" si="274"/>
        <v>-4.9053934342410677E-4</v>
      </c>
      <c r="U503" s="11">
        <f t="shared" ca="1" si="275"/>
        <v>-5.5074395654535931E-3</v>
      </c>
      <c r="V503" s="11"/>
      <c r="W503" s="11">
        <f t="shared" ca="1" si="255"/>
        <v>0</v>
      </c>
      <c r="X503" s="2">
        <f t="shared" ca="1" si="256"/>
        <v>-1.6358405771021967E-4</v>
      </c>
      <c r="Y503" s="2">
        <f t="shared" ca="1" si="257"/>
        <v>-1.614029402377854E-3</v>
      </c>
      <c r="Z503" s="11">
        <f t="shared" ca="1" si="258"/>
        <v>-1.4853760121635622E-5</v>
      </c>
      <c r="AA503" s="2">
        <f t="shared" ca="1" si="259"/>
        <v>-1.1458026838550334E-3</v>
      </c>
      <c r="AB503" s="11">
        <f t="shared" ca="1" si="260"/>
        <v>-4.9053934342410677E-4</v>
      </c>
      <c r="AC503" s="2">
        <f t="shared" ca="1" si="261"/>
        <v>-5.5074395654535931E-3</v>
      </c>
      <c r="AF503" s="11">
        <f t="shared" ca="1" si="262"/>
        <v>0</v>
      </c>
      <c r="AG503" s="2">
        <f t="shared" ca="1" si="263"/>
        <v>-1.6358405771021967E-4</v>
      </c>
      <c r="AH503" s="2">
        <f t="shared" ca="1" si="264"/>
        <v>-1.614029402377854E-3</v>
      </c>
      <c r="AI503" s="2">
        <f t="shared" ca="1" si="265"/>
        <v>-1.4853760121635622E-5</v>
      </c>
      <c r="AJ503" s="2">
        <f t="shared" ca="1" si="266"/>
        <v>-1.1458026838550334E-3</v>
      </c>
      <c r="AK503" s="2">
        <f t="shared" ca="1" si="267"/>
        <v>-4.9053934342410677E-4</v>
      </c>
      <c r="AL503" s="2">
        <f t="shared" ca="1" si="268"/>
        <v>-5.5074395654535931E-3</v>
      </c>
      <c r="AN503" s="2" t="e">
        <f t="shared" ca="1" si="247"/>
        <v>#N/A</v>
      </c>
      <c r="AO503" s="2" t="e">
        <f t="shared" ca="1" si="248"/>
        <v>#N/A</v>
      </c>
      <c r="AP503" s="2" t="e">
        <f t="shared" ca="1" si="249"/>
        <v>#N/A</v>
      </c>
      <c r="AQ503" s="2" t="e">
        <f t="shared" ca="1" si="250"/>
        <v>#N/A</v>
      </c>
      <c r="AR503" s="2" t="e">
        <f t="shared" ca="1" si="251"/>
        <v>#N/A</v>
      </c>
      <c r="AS503" s="2" t="e">
        <f t="shared" ca="1" si="252"/>
        <v>#N/A</v>
      </c>
      <c r="AT503" s="9" t="e">
        <f t="shared" ca="1" si="253"/>
        <v>#N/A</v>
      </c>
      <c r="AU503" s="9" t="e">
        <f t="shared" ca="1" si="254"/>
        <v>#N/A</v>
      </c>
      <c r="AW503" s="2" t="e">
        <f t="shared" ca="1" si="276"/>
        <v>#N/A</v>
      </c>
      <c r="AX503" s="2" t="e">
        <f t="shared" ca="1" si="277"/>
        <v>#N/A</v>
      </c>
      <c r="AY503" s="2" t="e">
        <f t="shared" ca="1" si="278"/>
        <v>#N/A</v>
      </c>
      <c r="AZ503" s="2" t="e">
        <f t="shared" ca="1" si="279"/>
        <v>#N/A</v>
      </c>
      <c r="BA503" s="2" t="e">
        <f t="shared" ca="1" si="280"/>
        <v>#N/A</v>
      </c>
      <c r="BB503" s="2" t="e">
        <f t="shared" ca="1" si="281"/>
        <v>#N/A</v>
      </c>
      <c r="BC503" s="9" t="e">
        <f t="shared" ca="1" si="282"/>
        <v>#N/A</v>
      </c>
      <c r="BD503" s="9" t="e">
        <f t="shared" ca="1" si="283"/>
        <v>#N/A</v>
      </c>
    </row>
    <row r="504" spans="1:56" ht="15" x14ac:dyDescent="0.25">
      <c r="A504" s="63"/>
      <c r="B504" s="63"/>
      <c r="C504" s="64"/>
      <c r="D504" s="64"/>
      <c r="E504" s="64"/>
      <c r="F504" s="64"/>
      <c r="G504" s="64"/>
      <c r="H504" s="64"/>
      <c r="I504" s="64"/>
      <c r="J504" s="64"/>
      <c r="K504" s="64"/>
      <c r="L504" s="64"/>
      <c r="M504" s="64"/>
      <c r="O504" s="11">
        <f t="shared" ca="1" si="269"/>
        <v>-3.9378682616450625E-4</v>
      </c>
      <c r="P504" s="11">
        <f t="shared" ca="1" si="270"/>
        <v>-1.6358405771021967E-4</v>
      </c>
      <c r="Q504" s="11">
        <f t="shared" ca="1" si="271"/>
        <v>-1.614029402377854E-3</v>
      </c>
      <c r="R504" s="11">
        <f t="shared" ca="1" si="272"/>
        <v>-1.4853760121635622E-5</v>
      </c>
      <c r="S504" s="11">
        <f t="shared" ca="1" si="273"/>
        <v>-1.1458026838550334E-3</v>
      </c>
      <c r="T504" s="11">
        <f t="shared" ca="1" si="274"/>
        <v>-4.9053934342410677E-4</v>
      </c>
      <c r="U504" s="11">
        <f t="shared" ca="1" si="275"/>
        <v>-5.5074395654535931E-3</v>
      </c>
      <c r="V504" s="11"/>
      <c r="W504" s="11">
        <f t="shared" ca="1" si="255"/>
        <v>0</v>
      </c>
      <c r="X504" s="2">
        <f t="shared" ca="1" si="256"/>
        <v>-1.6358405771021967E-4</v>
      </c>
      <c r="Y504" s="2">
        <f t="shared" ca="1" si="257"/>
        <v>-1.614029402377854E-3</v>
      </c>
      <c r="Z504" s="11">
        <f t="shared" ca="1" si="258"/>
        <v>-1.4853760121635622E-5</v>
      </c>
      <c r="AA504" s="2">
        <f t="shared" ca="1" si="259"/>
        <v>-1.1458026838550334E-3</v>
      </c>
      <c r="AB504" s="11">
        <f t="shared" ca="1" si="260"/>
        <v>-4.9053934342410677E-4</v>
      </c>
      <c r="AC504" s="2">
        <f t="shared" ca="1" si="261"/>
        <v>-5.5074395654535931E-3</v>
      </c>
      <c r="AF504" s="11">
        <f t="shared" ca="1" si="262"/>
        <v>0</v>
      </c>
      <c r="AG504" s="2">
        <f t="shared" ca="1" si="263"/>
        <v>-1.6358405771021967E-4</v>
      </c>
      <c r="AH504" s="2">
        <f t="shared" ca="1" si="264"/>
        <v>-1.614029402377854E-3</v>
      </c>
      <c r="AI504" s="2">
        <f t="shared" ca="1" si="265"/>
        <v>-1.4853760121635622E-5</v>
      </c>
      <c r="AJ504" s="2">
        <f t="shared" ca="1" si="266"/>
        <v>-1.1458026838550334E-3</v>
      </c>
      <c r="AK504" s="2">
        <f t="shared" ca="1" si="267"/>
        <v>-4.9053934342410677E-4</v>
      </c>
      <c r="AL504" s="2">
        <f t="shared" ca="1" si="268"/>
        <v>-5.5074395654535931E-3</v>
      </c>
      <c r="AN504" s="2" t="e">
        <f t="shared" ca="1" si="247"/>
        <v>#N/A</v>
      </c>
      <c r="AO504" s="2" t="e">
        <f t="shared" ca="1" si="248"/>
        <v>#N/A</v>
      </c>
      <c r="AP504" s="2" t="e">
        <f t="shared" ca="1" si="249"/>
        <v>#N/A</v>
      </c>
      <c r="AQ504" s="2" t="e">
        <f t="shared" ca="1" si="250"/>
        <v>#N/A</v>
      </c>
      <c r="AR504" s="2" t="e">
        <f t="shared" ca="1" si="251"/>
        <v>#N/A</v>
      </c>
      <c r="AS504" s="2" t="e">
        <f t="shared" ca="1" si="252"/>
        <v>#N/A</v>
      </c>
      <c r="AT504" s="9" t="e">
        <f t="shared" ca="1" si="253"/>
        <v>#N/A</v>
      </c>
      <c r="AU504" s="9" t="e">
        <f t="shared" ca="1" si="254"/>
        <v>#N/A</v>
      </c>
      <c r="AW504" s="2" t="e">
        <f t="shared" ca="1" si="276"/>
        <v>#N/A</v>
      </c>
      <c r="AX504" s="2" t="e">
        <f t="shared" ca="1" si="277"/>
        <v>#N/A</v>
      </c>
      <c r="AY504" s="2" t="e">
        <f t="shared" ca="1" si="278"/>
        <v>#N/A</v>
      </c>
      <c r="AZ504" s="2" t="e">
        <f t="shared" ca="1" si="279"/>
        <v>#N/A</v>
      </c>
      <c r="BA504" s="2" t="e">
        <f t="shared" ca="1" si="280"/>
        <v>#N/A</v>
      </c>
      <c r="BB504" s="2" t="e">
        <f t="shared" ca="1" si="281"/>
        <v>#N/A</v>
      </c>
      <c r="BC504" s="9" t="e">
        <f t="shared" ca="1" si="282"/>
        <v>#N/A</v>
      </c>
      <c r="BD504" s="9" t="e">
        <f t="shared" ca="1" si="283"/>
        <v>#N/A</v>
      </c>
    </row>
    <row r="505" spans="1:56" ht="15" x14ac:dyDescent="0.25">
      <c r="A505" s="63"/>
      <c r="B505" s="63"/>
      <c r="C505" s="64"/>
      <c r="D505" s="64"/>
      <c r="E505" s="64"/>
      <c r="F505" s="64"/>
      <c r="G505" s="64"/>
      <c r="H505" s="64"/>
      <c r="I505" s="64"/>
      <c r="J505" s="64"/>
      <c r="K505" s="64"/>
      <c r="L505" s="64"/>
      <c r="M505" s="64"/>
      <c r="O505" s="11">
        <f t="shared" ca="1" si="269"/>
        <v>-3.9378682616450625E-4</v>
      </c>
      <c r="P505" s="11">
        <f t="shared" ca="1" si="270"/>
        <v>-1.6358405771021967E-4</v>
      </c>
      <c r="Q505" s="11">
        <f t="shared" ca="1" si="271"/>
        <v>-1.614029402377854E-3</v>
      </c>
      <c r="R505" s="11">
        <f t="shared" ca="1" si="272"/>
        <v>-1.4853760121635622E-5</v>
      </c>
      <c r="S505" s="11">
        <f t="shared" ca="1" si="273"/>
        <v>-1.1458026838550334E-3</v>
      </c>
      <c r="T505" s="11">
        <f t="shared" ca="1" si="274"/>
        <v>-4.9053934342410677E-4</v>
      </c>
      <c r="U505" s="11">
        <f t="shared" ca="1" si="275"/>
        <v>-5.5074395654535931E-3</v>
      </c>
      <c r="V505" s="11"/>
      <c r="W505" s="11">
        <f t="shared" ca="1" si="255"/>
        <v>0</v>
      </c>
      <c r="X505" s="2">
        <f t="shared" ca="1" si="256"/>
        <v>-1.6358405771021967E-4</v>
      </c>
      <c r="Y505" s="2">
        <f t="shared" ca="1" si="257"/>
        <v>-1.614029402377854E-3</v>
      </c>
      <c r="Z505" s="11">
        <f t="shared" ca="1" si="258"/>
        <v>-1.4853760121635622E-5</v>
      </c>
      <c r="AA505" s="2">
        <f t="shared" ca="1" si="259"/>
        <v>-1.1458026838550334E-3</v>
      </c>
      <c r="AB505" s="11">
        <f t="shared" ca="1" si="260"/>
        <v>-4.9053934342410677E-4</v>
      </c>
      <c r="AC505" s="2">
        <f t="shared" ca="1" si="261"/>
        <v>-5.5074395654535931E-3</v>
      </c>
      <c r="AF505" s="11">
        <f t="shared" ca="1" si="262"/>
        <v>0</v>
      </c>
      <c r="AG505" s="2">
        <f t="shared" ca="1" si="263"/>
        <v>-1.6358405771021967E-4</v>
      </c>
      <c r="AH505" s="2">
        <f t="shared" ca="1" si="264"/>
        <v>-1.614029402377854E-3</v>
      </c>
      <c r="AI505" s="2">
        <f t="shared" ca="1" si="265"/>
        <v>-1.4853760121635622E-5</v>
      </c>
      <c r="AJ505" s="2">
        <f t="shared" ca="1" si="266"/>
        <v>-1.1458026838550334E-3</v>
      </c>
      <c r="AK505" s="2">
        <f t="shared" ca="1" si="267"/>
        <v>-4.9053934342410677E-4</v>
      </c>
      <c r="AL505" s="2">
        <f t="shared" ca="1" si="268"/>
        <v>-5.5074395654535931E-3</v>
      </c>
      <c r="AN505" s="2" t="e">
        <f t="shared" ca="1" si="247"/>
        <v>#N/A</v>
      </c>
      <c r="AO505" s="2" t="e">
        <f t="shared" ca="1" si="248"/>
        <v>#N/A</v>
      </c>
      <c r="AP505" s="2" t="e">
        <f t="shared" ca="1" si="249"/>
        <v>#N/A</v>
      </c>
      <c r="AQ505" s="2" t="e">
        <f t="shared" ca="1" si="250"/>
        <v>#N/A</v>
      </c>
      <c r="AR505" s="2" t="e">
        <f t="shared" ca="1" si="251"/>
        <v>#N/A</v>
      </c>
      <c r="AS505" s="2" t="e">
        <f t="shared" ca="1" si="252"/>
        <v>#N/A</v>
      </c>
      <c r="AT505" s="9" t="e">
        <f t="shared" ca="1" si="253"/>
        <v>#N/A</v>
      </c>
      <c r="AU505" s="9" t="e">
        <f t="shared" ca="1" si="254"/>
        <v>#N/A</v>
      </c>
      <c r="AW505" s="2" t="e">
        <f t="shared" ca="1" si="276"/>
        <v>#N/A</v>
      </c>
      <c r="AX505" s="2" t="e">
        <f t="shared" ca="1" si="277"/>
        <v>#N/A</v>
      </c>
      <c r="AY505" s="2" t="e">
        <f t="shared" ca="1" si="278"/>
        <v>#N/A</v>
      </c>
      <c r="AZ505" s="2" t="e">
        <f t="shared" ca="1" si="279"/>
        <v>#N/A</v>
      </c>
      <c r="BA505" s="2" t="e">
        <f t="shared" ca="1" si="280"/>
        <v>#N/A</v>
      </c>
      <c r="BB505" s="2" t="e">
        <f t="shared" ca="1" si="281"/>
        <v>#N/A</v>
      </c>
      <c r="BC505" s="9" t="e">
        <f t="shared" ca="1" si="282"/>
        <v>#N/A</v>
      </c>
      <c r="BD505" s="9" t="e">
        <f t="shared" ca="1" si="283"/>
        <v>#N/A</v>
      </c>
    </row>
    <row r="506" spans="1:56" ht="15" x14ac:dyDescent="0.25">
      <c r="A506" s="63"/>
      <c r="B506" s="63"/>
      <c r="C506" s="64"/>
      <c r="D506" s="64"/>
      <c r="E506" s="64"/>
      <c r="F506" s="64"/>
      <c r="G506" s="64"/>
      <c r="H506" s="64"/>
      <c r="I506" s="64"/>
      <c r="J506" s="64"/>
      <c r="K506" s="64"/>
      <c r="L506" s="64"/>
      <c r="M506" s="64"/>
      <c r="O506" s="11">
        <f t="shared" ca="1" si="269"/>
        <v>-3.9378682616450625E-4</v>
      </c>
      <c r="P506" s="11">
        <f t="shared" ca="1" si="270"/>
        <v>-1.6358405771021967E-4</v>
      </c>
      <c r="Q506" s="11">
        <f t="shared" ca="1" si="271"/>
        <v>-1.614029402377854E-3</v>
      </c>
      <c r="R506" s="11">
        <f t="shared" ca="1" si="272"/>
        <v>-1.4853760121635622E-5</v>
      </c>
      <c r="S506" s="11">
        <f t="shared" ca="1" si="273"/>
        <v>-1.1458026838550334E-3</v>
      </c>
      <c r="T506" s="11">
        <f t="shared" ca="1" si="274"/>
        <v>-4.9053934342410677E-4</v>
      </c>
      <c r="U506" s="11">
        <f t="shared" ca="1" si="275"/>
        <v>-5.5074395654535931E-3</v>
      </c>
      <c r="V506" s="11"/>
      <c r="W506" s="11">
        <f t="shared" ca="1" si="255"/>
        <v>0</v>
      </c>
      <c r="X506" s="2">
        <f t="shared" ca="1" si="256"/>
        <v>-1.6358405771021967E-4</v>
      </c>
      <c r="Y506" s="2">
        <f t="shared" ca="1" si="257"/>
        <v>-1.614029402377854E-3</v>
      </c>
      <c r="Z506" s="11">
        <f t="shared" ca="1" si="258"/>
        <v>-1.4853760121635622E-5</v>
      </c>
      <c r="AA506" s="2">
        <f t="shared" ca="1" si="259"/>
        <v>-1.1458026838550334E-3</v>
      </c>
      <c r="AB506" s="11">
        <f t="shared" ca="1" si="260"/>
        <v>-4.9053934342410677E-4</v>
      </c>
      <c r="AC506" s="2">
        <f t="shared" ca="1" si="261"/>
        <v>-5.5074395654535931E-3</v>
      </c>
      <c r="AF506" s="11">
        <f t="shared" ca="1" si="262"/>
        <v>0</v>
      </c>
      <c r="AG506" s="2">
        <f t="shared" ca="1" si="263"/>
        <v>-1.6358405771021967E-4</v>
      </c>
      <c r="AH506" s="2">
        <f t="shared" ca="1" si="264"/>
        <v>-1.614029402377854E-3</v>
      </c>
      <c r="AI506" s="2">
        <f t="shared" ca="1" si="265"/>
        <v>-1.4853760121635622E-5</v>
      </c>
      <c r="AJ506" s="2">
        <f t="shared" ca="1" si="266"/>
        <v>-1.1458026838550334E-3</v>
      </c>
      <c r="AK506" s="2">
        <f t="shared" ca="1" si="267"/>
        <v>-4.9053934342410677E-4</v>
      </c>
      <c r="AL506" s="2">
        <f t="shared" ca="1" si="268"/>
        <v>-5.5074395654535931E-3</v>
      </c>
      <c r="AN506" s="2" t="e">
        <f t="shared" ca="1" si="247"/>
        <v>#N/A</v>
      </c>
      <c r="AO506" s="2" t="e">
        <f t="shared" ca="1" si="248"/>
        <v>#N/A</v>
      </c>
      <c r="AP506" s="2" t="e">
        <f t="shared" ca="1" si="249"/>
        <v>#N/A</v>
      </c>
      <c r="AQ506" s="2" t="e">
        <f t="shared" ca="1" si="250"/>
        <v>#N/A</v>
      </c>
      <c r="AR506" s="2" t="e">
        <f t="shared" ca="1" si="251"/>
        <v>#N/A</v>
      </c>
      <c r="AS506" s="2" t="e">
        <f t="shared" ca="1" si="252"/>
        <v>#N/A</v>
      </c>
      <c r="AT506" s="9" t="e">
        <f t="shared" ca="1" si="253"/>
        <v>#N/A</v>
      </c>
      <c r="AU506" s="9" t="e">
        <f t="shared" ca="1" si="254"/>
        <v>#N/A</v>
      </c>
      <c r="AW506" s="2" t="e">
        <f t="shared" ca="1" si="276"/>
        <v>#N/A</v>
      </c>
      <c r="AX506" s="2" t="e">
        <f t="shared" ca="1" si="277"/>
        <v>#N/A</v>
      </c>
      <c r="AY506" s="2" t="e">
        <f t="shared" ca="1" si="278"/>
        <v>#N/A</v>
      </c>
      <c r="AZ506" s="2" t="e">
        <f t="shared" ca="1" si="279"/>
        <v>#N/A</v>
      </c>
      <c r="BA506" s="2" t="e">
        <f t="shared" ca="1" si="280"/>
        <v>#N/A</v>
      </c>
      <c r="BB506" s="2" t="e">
        <f t="shared" ca="1" si="281"/>
        <v>#N/A</v>
      </c>
      <c r="BC506" s="9" t="e">
        <f t="shared" ca="1" si="282"/>
        <v>#N/A</v>
      </c>
      <c r="BD506" s="9" t="e">
        <f t="shared" ca="1" si="283"/>
        <v>#N/A</v>
      </c>
    </row>
    <row r="507" spans="1:56" ht="15" x14ac:dyDescent="0.25">
      <c r="A507" s="63"/>
      <c r="B507" s="63"/>
      <c r="C507" s="64"/>
      <c r="D507" s="64"/>
      <c r="E507" s="64"/>
      <c r="F507" s="64"/>
      <c r="G507" s="64"/>
      <c r="H507" s="64"/>
      <c r="I507" s="64"/>
      <c r="J507" s="64"/>
      <c r="K507" s="64"/>
      <c r="L507" s="64"/>
      <c r="M507" s="64"/>
      <c r="O507" s="11">
        <f t="shared" ca="1" si="269"/>
        <v>-3.9378682616450625E-4</v>
      </c>
      <c r="P507" s="11">
        <f t="shared" ca="1" si="270"/>
        <v>-1.6358405771021967E-4</v>
      </c>
      <c r="Q507" s="11">
        <f t="shared" ca="1" si="271"/>
        <v>-1.614029402377854E-3</v>
      </c>
      <c r="R507" s="11">
        <f t="shared" ca="1" si="272"/>
        <v>-1.4853760121635622E-5</v>
      </c>
      <c r="S507" s="11">
        <f t="shared" ca="1" si="273"/>
        <v>-1.1458026838550334E-3</v>
      </c>
      <c r="T507" s="11">
        <f t="shared" ca="1" si="274"/>
        <v>-4.9053934342410677E-4</v>
      </c>
      <c r="U507" s="11">
        <f t="shared" ca="1" si="275"/>
        <v>-5.5074395654535931E-3</v>
      </c>
      <c r="V507" s="11"/>
      <c r="W507" s="11">
        <f t="shared" ca="1" si="255"/>
        <v>0</v>
      </c>
      <c r="X507" s="2">
        <f t="shared" ca="1" si="256"/>
        <v>-1.6358405771021967E-4</v>
      </c>
      <c r="Y507" s="2">
        <f t="shared" ca="1" si="257"/>
        <v>-1.614029402377854E-3</v>
      </c>
      <c r="Z507" s="11">
        <f t="shared" ca="1" si="258"/>
        <v>-1.4853760121635622E-5</v>
      </c>
      <c r="AA507" s="2">
        <f t="shared" ca="1" si="259"/>
        <v>-1.1458026838550334E-3</v>
      </c>
      <c r="AB507" s="11">
        <f t="shared" ca="1" si="260"/>
        <v>-4.9053934342410677E-4</v>
      </c>
      <c r="AC507" s="2">
        <f t="shared" ca="1" si="261"/>
        <v>-5.5074395654535931E-3</v>
      </c>
      <c r="AF507" s="11">
        <f t="shared" ca="1" si="262"/>
        <v>0</v>
      </c>
      <c r="AG507" s="2">
        <f t="shared" ca="1" si="263"/>
        <v>-1.6358405771021967E-4</v>
      </c>
      <c r="AH507" s="2">
        <f t="shared" ca="1" si="264"/>
        <v>-1.614029402377854E-3</v>
      </c>
      <c r="AI507" s="2">
        <f t="shared" ca="1" si="265"/>
        <v>-1.4853760121635622E-5</v>
      </c>
      <c r="AJ507" s="2">
        <f t="shared" ca="1" si="266"/>
        <v>-1.1458026838550334E-3</v>
      </c>
      <c r="AK507" s="2">
        <f t="shared" ca="1" si="267"/>
        <v>-4.9053934342410677E-4</v>
      </c>
      <c r="AL507" s="2">
        <f t="shared" ca="1" si="268"/>
        <v>-5.5074395654535931E-3</v>
      </c>
      <c r="AN507" s="2" t="e">
        <f t="shared" ca="1" si="247"/>
        <v>#N/A</v>
      </c>
      <c r="AO507" s="2" t="e">
        <f t="shared" ca="1" si="248"/>
        <v>#N/A</v>
      </c>
      <c r="AP507" s="2" t="e">
        <f t="shared" ca="1" si="249"/>
        <v>#N/A</v>
      </c>
      <c r="AQ507" s="2" t="e">
        <f t="shared" ca="1" si="250"/>
        <v>#N/A</v>
      </c>
      <c r="AR507" s="2" t="e">
        <f t="shared" ca="1" si="251"/>
        <v>#N/A</v>
      </c>
      <c r="AS507" s="2" t="e">
        <f t="shared" ca="1" si="252"/>
        <v>#N/A</v>
      </c>
      <c r="AT507" s="9" t="e">
        <f t="shared" ca="1" si="253"/>
        <v>#N/A</v>
      </c>
      <c r="AU507" s="9" t="e">
        <f t="shared" ca="1" si="254"/>
        <v>#N/A</v>
      </c>
      <c r="AW507" s="2" t="e">
        <f t="shared" ca="1" si="276"/>
        <v>#N/A</v>
      </c>
      <c r="AX507" s="2" t="e">
        <f t="shared" ca="1" si="277"/>
        <v>#N/A</v>
      </c>
      <c r="AY507" s="2" t="e">
        <f t="shared" ca="1" si="278"/>
        <v>#N/A</v>
      </c>
      <c r="AZ507" s="2" t="e">
        <f t="shared" ca="1" si="279"/>
        <v>#N/A</v>
      </c>
      <c r="BA507" s="2" t="e">
        <f t="shared" ca="1" si="280"/>
        <v>#N/A</v>
      </c>
      <c r="BB507" s="2" t="e">
        <f t="shared" ca="1" si="281"/>
        <v>#N/A</v>
      </c>
      <c r="BC507" s="9" t="e">
        <f t="shared" ca="1" si="282"/>
        <v>#N/A</v>
      </c>
      <c r="BD507" s="9" t="e">
        <f t="shared" ca="1" si="283"/>
        <v>#N/A</v>
      </c>
    </row>
    <row r="508" spans="1:56" ht="15" x14ac:dyDescent="0.25">
      <c r="A508" s="63"/>
      <c r="B508" s="63"/>
      <c r="C508" s="64"/>
      <c r="D508" s="64"/>
      <c r="E508" s="64"/>
      <c r="F508" s="64"/>
      <c r="G508" s="64"/>
      <c r="H508" s="64"/>
      <c r="I508" s="64"/>
      <c r="J508" s="64"/>
      <c r="K508" s="64"/>
      <c r="L508" s="64"/>
      <c r="M508" s="64"/>
      <c r="O508" s="11">
        <f t="shared" ca="1" si="269"/>
        <v>-3.9378682616450625E-4</v>
      </c>
      <c r="P508" s="11">
        <f t="shared" ca="1" si="270"/>
        <v>-1.6358405771021967E-4</v>
      </c>
      <c r="Q508" s="11">
        <f t="shared" ca="1" si="271"/>
        <v>-1.614029402377854E-3</v>
      </c>
      <c r="R508" s="11">
        <f t="shared" ca="1" si="272"/>
        <v>-1.4853760121635622E-5</v>
      </c>
      <c r="S508" s="11">
        <f t="shared" ca="1" si="273"/>
        <v>-1.1458026838550334E-3</v>
      </c>
      <c r="T508" s="11">
        <f t="shared" ca="1" si="274"/>
        <v>-4.9053934342410677E-4</v>
      </c>
      <c r="U508" s="11">
        <f t="shared" ca="1" si="275"/>
        <v>-5.5074395654535931E-3</v>
      </c>
      <c r="V508" s="11"/>
      <c r="W508" s="11">
        <f t="shared" ca="1" si="255"/>
        <v>0</v>
      </c>
      <c r="X508" s="2">
        <f t="shared" ca="1" si="256"/>
        <v>-1.6358405771021967E-4</v>
      </c>
      <c r="Y508" s="2">
        <f t="shared" ca="1" si="257"/>
        <v>-1.614029402377854E-3</v>
      </c>
      <c r="Z508" s="11">
        <f t="shared" ca="1" si="258"/>
        <v>-1.4853760121635622E-5</v>
      </c>
      <c r="AA508" s="2">
        <f t="shared" ca="1" si="259"/>
        <v>-1.1458026838550334E-3</v>
      </c>
      <c r="AB508" s="11">
        <f t="shared" ca="1" si="260"/>
        <v>-4.9053934342410677E-4</v>
      </c>
      <c r="AC508" s="2">
        <f t="shared" ca="1" si="261"/>
        <v>-5.5074395654535931E-3</v>
      </c>
      <c r="AF508" s="11">
        <f t="shared" ca="1" si="262"/>
        <v>0</v>
      </c>
      <c r="AG508" s="2">
        <f t="shared" ca="1" si="263"/>
        <v>-1.6358405771021967E-4</v>
      </c>
      <c r="AH508" s="2">
        <f t="shared" ca="1" si="264"/>
        <v>-1.614029402377854E-3</v>
      </c>
      <c r="AI508" s="2">
        <f t="shared" ca="1" si="265"/>
        <v>-1.4853760121635622E-5</v>
      </c>
      <c r="AJ508" s="2">
        <f t="shared" ca="1" si="266"/>
        <v>-1.1458026838550334E-3</v>
      </c>
      <c r="AK508" s="2">
        <f t="shared" ca="1" si="267"/>
        <v>-4.9053934342410677E-4</v>
      </c>
      <c r="AL508" s="2">
        <f t="shared" ca="1" si="268"/>
        <v>-5.5074395654535931E-3</v>
      </c>
      <c r="AN508" s="2" t="e">
        <f t="shared" ca="1" si="247"/>
        <v>#N/A</v>
      </c>
      <c r="AO508" s="2" t="e">
        <f t="shared" ca="1" si="248"/>
        <v>#N/A</v>
      </c>
      <c r="AP508" s="2" t="e">
        <f t="shared" ca="1" si="249"/>
        <v>#N/A</v>
      </c>
      <c r="AQ508" s="2" t="e">
        <f t="shared" ca="1" si="250"/>
        <v>#N/A</v>
      </c>
      <c r="AR508" s="2" t="e">
        <f t="shared" ca="1" si="251"/>
        <v>#N/A</v>
      </c>
      <c r="AS508" s="2" t="e">
        <f t="shared" ca="1" si="252"/>
        <v>#N/A</v>
      </c>
      <c r="AT508" s="9" t="e">
        <f t="shared" ca="1" si="253"/>
        <v>#N/A</v>
      </c>
      <c r="AU508" s="9" t="e">
        <f t="shared" ca="1" si="254"/>
        <v>#N/A</v>
      </c>
      <c r="AW508" s="2" t="e">
        <f t="shared" ca="1" si="276"/>
        <v>#N/A</v>
      </c>
      <c r="AX508" s="2" t="e">
        <f t="shared" ca="1" si="277"/>
        <v>#N/A</v>
      </c>
      <c r="AY508" s="2" t="e">
        <f t="shared" ca="1" si="278"/>
        <v>#N/A</v>
      </c>
      <c r="AZ508" s="2" t="e">
        <f t="shared" ca="1" si="279"/>
        <v>#N/A</v>
      </c>
      <c r="BA508" s="2" t="e">
        <f t="shared" ca="1" si="280"/>
        <v>#N/A</v>
      </c>
      <c r="BB508" s="2" t="e">
        <f t="shared" ca="1" si="281"/>
        <v>#N/A</v>
      </c>
      <c r="BC508" s="9" t="e">
        <f t="shared" ca="1" si="282"/>
        <v>#N/A</v>
      </c>
      <c r="BD508" s="9" t="e">
        <f t="shared" ca="1" si="283"/>
        <v>#N/A</v>
      </c>
    </row>
    <row r="509" spans="1:56" ht="15" x14ac:dyDescent="0.25">
      <c r="A509" s="63"/>
      <c r="B509" s="63"/>
      <c r="C509" s="64"/>
      <c r="D509" s="64"/>
      <c r="E509" s="64"/>
      <c r="F509" s="64"/>
      <c r="G509" s="64"/>
      <c r="H509" s="64"/>
      <c r="I509" s="64"/>
      <c r="J509" s="64"/>
      <c r="K509" s="64"/>
      <c r="L509" s="64"/>
      <c r="M509" s="64"/>
      <c r="O509" s="11">
        <f t="shared" ca="1" si="269"/>
        <v>-3.9378682616450625E-4</v>
      </c>
      <c r="P509" s="11">
        <f t="shared" ca="1" si="270"/>
        <v>-1.6358405771021967E-4</v>
      </c>
      <c r="Q509" s="11">
        <f t="shared" ca="1" si="271"/>
        <v>-1.614029402377854E-3</v>
      </c>
      <c r="R509" s="11">
        <f t="shared" ca="1" si="272"/>
        <v>-1.4853760121635622E-5</v>
      </c>
      <c r="S509" s="11">
        <f t="shared" ca="1" si="273"/>
        <v>-1.1458026838550334E-3</v>
      </c>
      <c r="T509" s="11">
        <f t="shared" ca="1" si="274"/>
        <v>-4.9053934342410677E-4</v>
      </c>
      <c r="U509" s="11">
        <f t="shared" ca="1" si="275"/>
        <v>-5.5074395654535931E-3</v>
      </c>
      <c r="V509" s="11"/>
      <c r="W509" s="11">
        <f t="shared" ca="1" si="255"/>
        <v>0</v>
      </c>
      <c r="X509" s="2">
        <f t="shared" ca="1" si="256"/>
        <v>-1.6358405771021967E-4</v>
      </c>
      <c r="Y509" s="2">
        <f t="shared" ca="1" si="257"/>
        <v>-1.614029402377854E-3</v>
      </c>
      <c r="Z509" s="11">
        <f t="shared" ca="1" si="258"/>
        <v>-1.4853760121635622E-5</v>
      </c>
      <c r="AA509" s="2">
        <f t="shared" ca="1" si="259"/>
        <v>-1.1458026838550334E-3</v>
      </c>
      <c r="AB509" s="11">
        <f t="shared" ca="1" si="260"/>
        <v>-4.9053934342410677E-4</v>
      </c>
      <c r="AC509" s="2">
        <f t="shared" ca="1" si="261"/>
        <v>-5.5074395654535931E-3</v>
      </c>
      <c r="AF509" s="11">
        <f t="shared" ca="1" si="262"/>
        <v>0</v>
      </c>
      <c r="AG509" s="2">
        <f t="shared" ca="1" si="263"/>
        <v>-1.6358405771021967E-4</v>
      </c>
      <c r="AH509" s="2">
        <f t="shared" ca="1" si="264"/>
        <v>-1.614029402377854E-3</v>
      </c>
      <c r="AI509" s="2">
        <f t="shared" ca="1" si="265"/>
        <v>-1.4853760121635622E-5</v>
      </c>
      <c r="AJ509" s="2">
        <f t="shared" ca="1" si="266"/>
        <v>-1.1458026838550334E-3</v>
      </c>
      <c r="AK509" s="2">
        <f t="shared" ca="1" si="267"/>
        <v>-4.9053934342410677E-4</v>
      </c>
      <c r="AL509" s="2">
        <f t="shared" ca="1" si="268"/>
        <v>-5.5074395654535931E-3</v>
      </c>
      <c r="AN509" s="2" t="e">
        <f t="shared" ca="1" si="247"/>
        <v>#N/A</v>
      </c>
      <c r="AO509" s="2" t="e">
        <f t="shared" ca="1" si="248"/>
        <v>#N/A</v>
      </c>
      <c r="AP509" s="2" t="e">
        <f t="shared" ca="1" si="249"/>
        <v>#N/A</v>
      </c>
      <c r="AQ509" s="2" t="e">
        <f t="shared" ca="1" si="250"/>
        <v>#N/A</v>
      </c>
      <c r="AR509" s="2" t="e">
        <f t="shared" ca="1" si="251"/>
        <v>#N/A</v>
      </c>
      <c r="AS509" s="2" t="e">
        <f t="shared" ca="1" si="252"/>
        <v>#N/A</v>
      </c>
      <c r="AT509" s="9" t="e">
        <f t="shared" ca="1" si="253"/>
        <v>#N/A</v>
      </c>
      <c r="AU509" s="9" t="e">
        <f t="shared" ca="1" si="254"/>
        <v>#N/A</v>
      </c>
      <c r="AW509" s="2" t="e">
        <f t="shared" ca="1" si="276"/>
        <v>#N/A</v>
      </c>
      <c r="AX509" s="2" t="e">
        <f t="shared" ca="1" si="277"/>
        <v>#N/A</v>
      </c>
      <c r="AY509" s="2" t="e">
        <f t="shared" ca="1" si="278"/>
        <v>#N/A</v>
      </c>
      <c r="AZ509" s="2" t="e">
        <f t="shared" ca="1" si="279"/>
        <v>#N/A</v>
      </c>
      <c r="BA509" s="2" t="e">
        <f t="shared" ca="1" si="280"/>
        <v>#N/A</v>
      </c>
      <c r="BB509" s="2" t="e">
        <f t="shared" ca="1" si="281"/>
        <v>#N/A</v>
      </c>
      <c r="BC509" s="9" t="e">
        <f t="shared" ca="1" si="282"/>
        <v>#N/A</v>
      </c>
      <c r="BD509" s="9" t="e">
        <f t="shared" ca="1" si="283"/>
        <v>#N/A</v>
      </c>
    </row>
    <row r="510" spans="1:56" ht="15" x14ac:dyDescent="0.25">
      <c r="A510" s="63"/>
      <c r="B510" s="63"/>
      <c r="C510" s="64"/>
      <c r="D510" s="64"/>
      <c r="E510" s="64"/>
      <c r="F510" s="64"/>
      <c r="G510" s="64"/>
      <c r="H510" s="64"/>
      <c r="I510" s="64"/>
      <c r="J510" s="64"/>
      <c r="K510" s="64"/>
      <c r="L510" s="64"/>
      <c r="M510" s="64"/>
      <c r="O510" s="11">
        <f t="shared" ca="1" si="269"/>
        <v>-3.9378682616450625E-4</v>
      </c>
      <c r="P510" s="11">
        <f t="shared" ca="1" si="270"/>
        <v>-1.6358405771021967E-4</v>
      </c>
      <c r="Q510" s="11">
        <f t="shared" ca="1" si="271"/>
        <v>-1.614029402377854E-3</v>
      </c>
      <c r="R510" s="11">
        <f t="shared" ca="1" si="272"/>
        <v>-1.4853760121635622E-5</v>
      </c>
      <c r="S510" s="11">
        <f t="shared" ca="1" si="273"/>
        <v>-1.1458026838550334E-3</v>
      </c>
      <c r="T510" s="11">
        <f t="shared" ca="1" si="274"/>
        <v>-4.9053934342410677E-4</v>
      </c>
      <c r="U510" s="11">
        <f t="shared" ca="1" si="275"/>
        <v>-5.5074395654535931E-3</v>
      </c>
      <c r="V510" s="11"/>
      <c r="W510" s="11">
        <f t="shared" ca="1" si="255"/>
        <v>0</v>
      </c>
      <c r="X510" s="2">
        <f t="shared" ca="1" si="256"/>
        <v>-1.6358405771021967E-4</v>
      </c>
      <c r="Y510" s="2">
        <f t="shared" ca="1" si="257"/>
        <v>-1.614029402377854E-3</v>
      </c>
      <c r="Z510" s="11">
        <f t="shared" ca="1" si="258"/>
        <v>-1.4853760121635622E-5</v>
      </c>
      <c r="AA510" s="2">
        <f t="shared" ca="1" si="259"/>
        <v>-1.1458026838550334E-3</v>
      </c>
      <c r="AB510" s="11">
        <f t="shared" ca="1" si="260"/>
        <v>-4.9053934342410677E-4</v>
      </c>
      <c r="AC510" s="2">
        <f t="shared" ca="1" si="261"/>
        <v>-5.5074395654535931E-3</v>
      </c>
      <c r="AF510" s="11">
        <f t="shared" ca="1" si="262"/>
        <v>0</v>
      </c>
      <c r="AG510" s="2">
        <f t="shared" ca="1" si="263"/>
        <v>-1.6358405771021967E-4</v>
      </c>
      <c r="AH510" s="2">
        <f t="shared" ca="1" si="264"/>
        <v>-1.614029402377854E-3</v>
      </c>
      <c r="AI510" s="2">
        <f t="shared" ca="1" si="265"/>
        <v>-1.4853760121635622E-5</v>
      </c>
      <c r="AJ510" s="2">
        <f t="shared" ca="1" si="266"/>
        <v>-1.1458026838550334E-3</v>
      </c>
      <c r="AK510" s="2">
        <f t="shared" ca="1" si="267"/>
        <v>-4.9053934342410677E-4</v>
      </c>
      <c r="AL510" s="2">
        <f t="shared" ca="1" si="268"/>
        <v>-5.5074395654535931E-3</v>
      </c>
      <c r="AN510" s="2" t="e">
        <f t="shared" ca="1" si="247"/>
        <v>#N/A</v>
      </c>
      <c r="AO510" s="2" t="e">
        <f t="shared" ca="1" si="248"/>
        <v>#N/A</v>
      </c>
      <c r="AP510" s="2" t="e">
        <f t="shared" ca="1" si="249"/>
        <v>#N/A</v>
      </c>
      <c r="AQ510" s="2" t="e">
        <f t="shared" ca="1" si="250"/>
        <v>#N/A</v>
      </c>
      <c r="AR510" s="2" t="e">
        <f t="shared" ca="1" si="251"/>
        <v>#N/A</v>
      </c>
      <c r="AS510" s="2" t="e">
        <f t="shared" ca="1" si="252"/>
        <v>#N/A</v>
      </c>
      <c r="AT510" s="9" t="e">
        <f t="shared" ca="1" si="253"/>
        <v>#N/A</v>
      </c>
      <c r="AU510" s="9" t="e">
        <f t="shared" ca="1" si="254"/>
        <v>#N/A</v>
      </c>
      <c r="AW510" s="2" t="e">
        <f t="shared" ca="1" si="276"/>
        <v>#N/A</v>
      </c>
      <c r="AX510" s="2" t="e">
        <f t="shared" ca="1" si="277"/>
        <v>#N/A</v>
      </c>
      <c r="AY510" s="2" t="e">
        <f t="shared" ca="1" si="278"/>
        <v>#N/A</v>
      </c>
      <c r="AZ510" s="2" t="e">
        <f t="shared" ca="1" si="279"/>
        <v>#N/A</v>
      </c>
      <c r="BA510" s="2" t="e">
        <f t="shared" ca="1" si="280"/>
        <v>#N/A</v>
      </c>
      <c r="BB510" s="2" t="e">
        <f t="shared" ca="1" si="281"/>
        <v>#N/A</v>
      </c>
      <c r="BC510" s="9" t="e">
        <f t="shared" ca="1" si="282"/>
        <v>#N/A</v>
      </c>
      <c r="BD510" s="9" t="e">
        <f t="shared" ca="1" si="283"/>
        <v>#N/A</v>
      </c>
    </row>
    <row r="511" spans="1:56" ht="15" x14ac:dyDescent="0.25">
      <c r="A511" s="63"/>
      <c r="B511" s="63"/>
      <c r="C511" s="64"/>
      <c r="D511" s="64"/>
      <c r="E511" s="64"/>
      <c r="F511" s="64"/>
      <c r="G511" s="64"/>
      <c r="H511" s="64"/>
      <c r="I511" s="64"/>
      <c r="J511" s="64"/>
      <c r="K511" s="64"/>
      <c r="L511" s="64"/>
      <c r="M511" s="64"/>
      <c r="O511" s="11">
        <f t="shared" ca="1" si="269"/>
        <v>-3.9378682616450625E-4</v>
      </c>
      <c r="P511" s="11">
        <f t="shared" ca="1" si="270"/>
        <v>-1.6358405771021967E-4</v>
      </c>
      <c r="Q511" s="11">
        <f t="shared" ca="1" si="271"/>
        <v>-1.614029402377854E-3</v>
      </c>
      <c r="R511" s="11">
        <f t="shared" ca="1" si="272"/>
        <v>-1.4853760121635622E-5</v>
      </c>
      <c r="S511" s="11">
        <f t="shared" ca="1" si="273"/>
        <v>-1.1458026838550334E-3</v>
      </c>
      <c r="T511" s="11">
        <f t="shared" ca="1" si="274"/>
        <v>-4.9053934342410677E-4</v>
      </c>
      <c r="U511" s="11">
        <f t="shared" ca="1" si="275"/>
        <v>-5.5074395654535931E-3</v>
      </c>
      <c r="V511" s="11"/>
      <c r="W511" s="11">
        <f t="shared" ca="1" si="255"/>
        <v>0</v>
      </c>
      <c r="X511" s="2">
        <f t="shared" ca="1" si="256"/>
        <v>-1.6358405771021967E-4</v>
      </c>
      <c r="Y511" s="2">
        <f t="shared" ca="1" si="257"/>
        <v>-1.614029402377854E-3</v>
      </c>
      <c r="Z511" s="11">
        <f t="shared" ca="1" si="258"/>
        <v>-1.4853760121635622E-5</v>
      </c>
      <c r="AA511" s="2">
        <f t="shared" ca="1" si="259"/>
        <v>-1.1458026838550334E-3</v>
      </c>
      <c r="AB511" s="11">
        <f t="shared" ca="1" si="260"/>
        <v>-4.9053934342410677E-4</v>
      </c>
      <c r="AC511" s="2">
        <f t="shared" ca="1" si="261"/>
        <v>-5.5074395654535931E-3</v>
      </c>
      <c r="AF511" s="11">
        <f t="shared" ca="1" si="262"/>
        <v>0</v>
      </c>
      <c r="AG511" s="2">
        <f t="shared" ca="1" si="263"/>
        <v>-1.6358405771021967E-4</v>
      </c>
      <c r="AH511" s="2">
        <f t="shared" ca="1" si="264"/>
        <v>-1.614029402377854E-3</v>
      </c>
      <c r="AI511" s="2">
        <f t="shared" ca="1" si="265"/>
        <v>-1.4853760121635622E-5</v>
      </c>
      <c r="AJ511" s="2">
        <f t="shared" ca="1" si="266"/>
        <v>-1.1458026838550334E-3</v>
      </c>
      <c r="AK511" s="2">
        <f t="shared" ca="1" si="267"/>
        <v>-4.9053934342410677E-4</v>
      </c>
      <c r="AL511" s="2">
        <f t="shared" ca="1" si="268"/>
        <v>-5.5074395654535931E-3</v>
      </c>
      <c r="AN511" s="2" t="e">
        <f t="shared" ca="1" si="247"/>
        <v>#N/A</v>
      </c>
      <c r="AO511" s="2" t="e">
        <f t="shared" ca="1" si="248"/>
        <v>#N/A</v>
      </c>
      <c r="AP511" s="2" t="e">
        <f t="shared" ca="1" si="249"/>
        <v>#N/A</v>
      </c>
      <c r="AQ511" s="2" t="e">
        <f t="shared" ca="1" si="250"/>
        <v>#N/A</v>
      </c>
      <c r="AR511" s="2" t="e">
        <f t="shared" ca="1" si="251"/>
        <v>#N/A</v>
      </c>
      <c r="AS511" s="2" t="e">
        <f t="shared" ca="1" si="252"/>
        <v>#N/A</v>
      </c>
      <c r="AT511" s="9" t="e">
        <f t="shared" ca="1" si="253"/>
        <v>#N/A</v>
      </c>
      <c r="AU511" s="9" t="e">
        <f t="shared" ca="1" si="254"/>
        <v>#N/A</v>
      </c>
      <c r="AW511" s="2" t="e">
        <f t="shared" ca="1" si="276"/>
        <v>#N/A</v>
      </c>
      <c r="AX511" s="2" t="e">
        <f t="shared" ca="1" si="277"/>
        <v>#N/A</v>
      </c>
      <c r="AY511" s="2" t="e">
        <f t="shared" ca="1" si="278"/>
        <v>#N/A</v>
      </c>
      <c r="AZ511" s="2" t="e">
        <f t="shared" ca="1" si="279"/>
        <v>#N/A</v>
      </c>
      <c r="BA511" s="2" t="e">
        <f t="shared" ca="1" si="280"/>
        <v>#N/A</v>
      </c>
      <c r="BB511" s="2" t="e">
        <f t="shared" ca="1" si="281"/>
        <v>#N/A</v>
      </c>
      <c r="BC511" s="9" t="e">
        <f t="shared" ca="1" si="282"/>
        <v>#N/A</v>
      </c>
      <c r="BD511" s="9" t="e">
        <f t="shared" ca="1" si="283"/>
        <v>#N/A</v>
      </c>
    </row>
    <row r="512" spans="1:56" ht="15" x14ac:dyDescent="0.25">
      <c r="A512" s="63"/>
      <c r="B512" s="63"/>
      <c r="C512" s="64"/>
      <c r="D512" s="64"/>
      <c r="E512" s="64"/>
      <c r="F512" s="64"/>
      <c r="G512" s="64"/>
      <c r="H512" s="64"/>
      <c r="I512" s="64"/>
      <c r="J512" s="64"/>
      <c r="K512" s="64"/>
      <c r="L512" s="64"/>
      <c r="M512" s="64"/>
      <c r="O512" s="11">
        <f t="shared" ca="1" si="269"/>
        <v>-3.9378682616450625E-4</v>
      </c>
      <c r="P512" s="11">
        <f t="shared" ca="1" si="270"/>
        <v>-1.6358405771021967E-4</v>
      </c>
      <c r="Q512" s="11">
        <f t="shared" ca="1" si="271"/>
        <v>-1.614029402377854E-3</v>
      </c>
      <c r="R512" s="11">
        <f t="shared" ca="1" si="272"/>
        <v>-1.4853760121635622E-5</v>
      </c>
      <c r="S512" s="11">
        <f t="shared" ca="1" si="273"/>
        <v>-1.1458026838550334E-3</v>
      </c>
      <c r="T512" s="11">
        <f t="shared" ca="1" si="274"/>
        <v>-4.9053934342410677E-4</v>
      </c>
      <c r="U512" s="11">
        <f t="shared" ca="1" si="275"/>
        <v>-5.5074395654535931E-3</v>
      </c>
      <c r="V512" s="11"/>
      <c r="W512" s="11">
        <f t="shared" ca="1" si="255"/>
        <v>0</v>
      </c>
      <c r="X512" s="2">
        <f t="shared" ca="1" si="256"/>
        <v>-1.6358405771021967E-4</v>
      </c>
      <c r="Y512" s="2">
        <f t="shared" ca="1" si="257"/>
        <v>-1.614029402377854E-3</v>
      </c>
      <c r="Z512" s="11">
        <f t="shared" ca="1" si="258"/>
        <v>-1.4853760121635622E-5</v>
      </c>
      <c r="AA512" s="2">
        <f t="shared" ca="1" si="259"/>
        <v>-1.1458026838550334E-3</v>
      </c>
      <c r="AB512" s="11">
        <f t="shared" ca="1" si="260"/>
        <v>-4.9053934342410677E-4</v>
      </c>
      <c r="AC512" s="2">
        <f t="shared" ca="1" si="261"/>
        <v>-5.5074395654535931E-3</v>
      </c>
      <c r="AF512" s="11">
        <f t="shared" ca="1" si="262"/>
        <v>0</v>
      </c>
      <c r="AG512" s="2">
        <f t="shared" ca="1" si="263"/>
        <v>-1.6358405771021967E-4</v>
      </c>
      <c r="AH512" s="2">
        <f t="shared" ca="1" si="264"/>
        <v>-1.614029402377854E-3</v>
      </c>
      <c r="AI512" s="2">
        <f t="shared" ca="1" si="265"/>
        <v>-1.4853760121635622E-5</v>
      </c>
      <c r="AJ512" s="2">
        <f t="shared" ca="1" si="266"/>
        <v>-1.1458026838550334E-3</v>
      </c>
      <c r="AK512" s="2">
        <f t="shared" ca="1" si="267"/>
        <v>-4.9053934342410677E-4</v>
      </c>
      <c r="AL512" s="2">
        <f t="shared" ca="1" si="268"/>
        <v>-5.5074395654535931E-3</v>
      </c>
      <c r="AN512" s="2" t="e">
        <f t="shared" ca="1" si="247"/>
        <v>#N/A</v>
      </c>
      <c r="AO512" s="2" t="e">
        <f t="shared" ca="1" si="248"/>
        <v>#N/A</v>
      </c>
      <c r="AP512" s="2" t="e">
        <f t="shared" ca="1" si="249"/>
        <v>#N/A</v>
      </c>
      <c r="AQ512" s="2" t="e">
        <f t="shared" ca="1" si="250"/>
        <v>#N/A</v>
      </c>
      <c r="AR512" s="2" t="e">
        <f t="shared" ca="1" si="251"/>
        <v>#N/A</v>
      </c>
      <c r="AS512" s="2" t="e">
        <f t="shared" ca="1" si="252"/>
        <v>#N/A</v>
      </c>
      <c r="AT512" s="9" t="e">
        <f t="shared" ca="1" si="253"/>
        <v>#N/A</v>
      </c>
      <c r="AU512" s="9" t="e">
        <f t="shared" ca="1" si="254"/>
        <v>#N/A</v>
      </c>
      <c r="AW512" s="2" t="e">
        <f t="shared" ca="1" si="276"/>
        <v>#N/A</v>
      </c>
      <c r="AX512" s="2" t="e">
        <f t="shared" ca="1" si="277"/>
        <v>#N/A</v>
      </c>
      <c r="AY512" s="2" t="e">
        <f t="shared" ca="1" si="278"/>
        <v>#N/A</v>
      </c>
      <c r="AZ512" s="2" t="e">
        <f t="shared" ca="1" si="279"/>
        <v>#N/A</v>
      </c>
      <c r="BA512" s="2" t="e">
        <f t="shared" ca="1" si="280"/>
        <v>#N/A</v>
      </c>
      <c r="BB512" s="2" t="e">
        <f t="shared" ca="1" si="281"/>
        <v>#N/A</v>
      </c>
      <c r="BC512" s="9" t="e">
        <f t="shared" ca="1" si="282"/>
        <v>#N/A</v>
      </c>
      <c r="BD512" s="9" t="e">
        <f t="shared" ca="1" si="283"/>
        <v>#N/A</v>
      </c>
    </row>
    <row r="513" spans="1:56" ht="15" x14ac:dyDescent="0.25">
      <c r="A513" s="63"/>
      <c r="B513" s="63"/>
      <c r="C513" s="64"/>
      <c r="D513" s="64"/>
      <c r="E513" s="64"/>
      <c r="F513" s="64"/>
      <c r="G513" s="64"/>
      <c r="H513" s="64"/>
      <c r="I513" s="64"/>
      <c r="J513" s="64"/>
      <c r="K513" s="64"/>
      <c r="L513" s="64"/>
      <c r="M513" s="64"/>
      <c r="O513" s="11">
        <f t="shared" ca="1" si="269"/>
        <v>-3.9378682616450625E-4</v>
      </c>
      <c r="P513" s="11">
        <f t="shared" ca="1" si="270"/>
        <v>-1.6358405771021967E-4</v>
      </c>
      <c r="Q513" s="11">
        <f t="shared" ca="1" si="271"/>
        <v>-1.614029402377854E-3</v>
      </c>
      <c r="R513" s="11">
        <f t="shared" ca="1" si="272"/>
        <v>-1.4853760121635622E-5</v>
      </c>
      <c r="S513" s="11">
        <f t="shared" ca="1" si="273"/>
        <v>-1.1458026838550334E-3</v>
      </c>
      <c r="T513" s="11">
        <f t="shared" ca="1" si="274"/>
        <v>-4.9053934342410677E-4</v>
      </c>
      <c r="U513" s="11">
        <f t="shared" ca="1" si="275"/>
        <v>-5.5074395654535931E-3</v>
      </c>
      <c r="V513" s="11"/>
      <c r="W513" s="11">
        <f t="shared" ca="1" si="255"/>
        <v>0</v>
      </c>
      <c r="X513" s="2">
        <f t="shared" ca="1" si="256"/>
        <v>-1.6358405771021967E-4</v>
      </c>
      <c r="Y513" s="2">
        <f t="shared" ca="1" si="257"/>
        <v>-1.614029402377854E-3</v>
      </c>
      <c r="Z513" s="11">
        <f t="shared" ca="1" si="258"/>
        <v>-1.4853760121635622E-5</v>
      </c>
      <c r="AA513" s="2">
        <f t="shared" ca="1" si="259"/>
        <v>-1.1458026838550334E-3</v>
      </c>
      <c r="AB513" s="11">
        <f t="shared" ca="1" si="260"/>
        <v>-4.9053934342410677E-4</v>
      </c>
      <c r="AC513" s="2">
        <f t="shared" ca="1" si="261"/>
        <v>-5.5074395654535931E-3</v>
      </c>
      <c r="AF513" s="11">
        <f t="shared" ca="1" si="262"/>
        <v>0</v>
      </c>
      <c r="AG513" s="2">
        <f t="shared" ca="1" si="263"/>
        <v>-1.6358405771021967E-4</v>
      </c>
      <c r="AH513" s="2">
        <f t="shared" ca="1" si="264"/>
        <v>-1.614029402377854E-3</v>
      </c>
      <c r="AI513" s="2">
        <f t="shared" ca="1" si="265"/>
        <v>-1.4853760121635622E-5</v>
      </c>
      <c r="AJ513" s="2">
        <f t="shared" ca="1" si="266"/>
        <v>-1.1458026838550334E-3</v>
      </c>
      <c r="AK513" s="2">
        <f t="shared" ca="1" si="267"/>
        <v>-4.9053934342410677E-4</v>
      </c>
      <c r="AL513" s="2">
        <f t="shared" ca="1" si="268"/>
        <v>-5.5074395654535931E-3</v>
      </c>
      <c r="AN513" s="2" t="e">
        <f t="shared" ca="1" si="247"/>
        <v>#N/A</v>
      </c>
      <c r="AO513" s="2" t="e">
        <f t="shared" ca="1" si="248"/>
        <v>#N/A</v>
      </c>
      <c r="AP513" s="2" t="e">
        <f t="shared" ca="1" si="249"/>
        <v>#N/A</v>
      </c>
      <c r="AQ513" s="2" t="e">
        <f t="shared" ca="1" si="250"/>
        <v>#N/A</v>
      </c>
      <c r="AR513" s="2" t="e">
        <f t="shared" ca="1" si="251"/>
        <v>#N/A</v>
      </c>
      <c r="AS513" s="2" t="e">
        <f t="shared" ca="1" si="252"/>
        <v>#N/A</v>
      </c>
      <c r="AT513" s="9" t="e">
        <f t="shared" ca="1" si="253"/>
        <v>#N/A</v>
      </c>
      <c r="AU513" s="9" t="e">
        <f t="shared" ca="1" si="254"/>
        <v>#N/A</v>
      </c>
      <c r="AW513" s="2" t="e">
        <f t="shared" ca="1" si="276"/>
        <v>#N/A</v>
      </c>
      <c r="AX513" s="2" t="e">
        <f t="shared" ca="1" si="277"/>
        <v>#N/A</v>
      </c>
      <c r="AY513" s="2" t="e">
        <f t="shared" ca="1" si="278"/>
        <v>#N/A</v>
      </c>
      <c r="AZ513" s="2" t="e">
        <f t="shared" ca="1" si="279"/>
        <v>#N/A</v>
      </c>
      <c r="BA513" s="2" t="e">
        <f t="shared" ca="1" si="280"/>
        <v>#N/A</v>
      </c>
      <c r="BB513" s="2" t="e">
        <f t="shared" ca="1" si="281"/>
        <v>#N/A</v>
      </c>
      <c r="BC513" s="9" t="e">
        <f t="shared" ca="1" si="282"/>
        <v>#N/A</v>
      </c>
      <c r="BD513" s="9" t="e">
        <f t="shared" ca="1" si="283"/>
        <v>#N/A</v>
      </c>
    </row>
    <row r="514" spans="1:56" ht="15" x14ac:dyDescent="0.25">
      <c r="A514" s="63"/>
      <c r="B514" s="63"/>
      <c r="C514" s="64"/>
      <c r="D514" s="64"/>
      <c r="E514" s="64"/>
      <c r="F514" s="64"/>
      <c r="G514" s="64"/>
      <c r="H514" s="64"/>
      <c r="I514" s="64"/>
      <c r="J514" s="64"/>
      <c r="K514" s="64"/>
      <c r="L514" s="64"/>
      <c r="M514" s="64"/>
      <c r="O514" s="11">
        <f t="shared" ca="1" si="269"/>
        <v>-3.9378682616450625E-4</v>
      </c>
      <c r="P514" s="11">
        <f t="shared" ca="1" si="270"/>
        <v>-1.6358405771021967E-4</v>
      </c>
      <c r="Q514" s="11">
        <f t="shared" ca="1" si="271"/>
        <v>-1.614029402377854E-3</v>
      </c>
      <c r="R514" s="11">
        <f t="shared" ca="1" si="272"/>
        <v>-1.4853760121635622E-5</v>
      </c>
      <c r="S514" s="11">
        <f t="shared" ca="1" si="273"/>
        <v>-1.1458026838550334E-3</v>
      </c>
      <c r="T514" s="11">
        <f t="shared" ca="1" si="274"/>
        <v>-4.9053934342410677E-4</v>
      </c>
      <c r="U514" s="11">
        <f t="shared" ca="1" si="275"/>
        <v>-5.5074395654535931E-3</v>
      </c>
      <c r="V514" s="11"/>
      <c r="W514" s="11">
        <f t="shared" ca="1" si="255"/>
        <v>0</v>
      </c>
      <c r="X514" s="2">
        <f t="shared" ca="1" si="256"/>
        <v>-1.6358405771021967E-4</v>
      </c>
      <c r="Y514" s="2">
        <f t="shared" ca="1" si="257"/>
        <v>-1.614029402377854E-3</v>
      </c>
      <c r="Z514" s="11">
        <f t="shared" ca="1" si="258"/>
        <v>-1.4853760121635622E-5</v>
      </c>
      <c r="AA514" s="2">
        <f t="shared" ca="1" si="259"/>
        <v>-1.1458026838550334E-3</v>
      </c>
      <c r="AB514" s="11">
        <f t="shared" ca="1" si="260"/>
        <v>-4.9053934342410677E-4</v>
      </c>
      <c r="AC514" s="2">
        <f t="shared" ca="1" si="261"/>
        <v>-5.5074395654535931E-3</v>
      </c>
      <c r="AF514" s="11">
        <f t="shared" ca="1" si="262"/>
        <v>0</v>
      </c>
      <c r="AG514" s="2">
        <f t="shared" ca="1" si="263"/>
        <v>-1.6358405771021967E-4</v>
      </c>
      <c r="AH514" s="2">
        <f t="shared" ca="1" si="264"/>
        <v>-1.614029402377854E-3</v>
      </c>
      <c r="AI514" s="2">
        <f t="shared" ca="1" si="265"/>
        <v>-1.4853760121635622E-5</v>
      </c>
      <c r="AJ514" s="2">
        <f t="shared" ca="1" si="266"/>
        <v>-1.1458026838550334E-3</v>
      </c>
      <c r="AK514" s="2">
        <f t="shared" ca="1" si="267"/>
        <v>-4.9053934342410677E-4</v>
      </c>
      <c r="AL514" s="2">
        <f t="shared" ca="1" si="268"/>
        <v>-5.5074395654535931E-3</v>
      </c>
      <c r="AN514" s="2" t="e">
        <f t="shared" ca="1" si="247"/>
        <v>#N/A</v>
      </c>
      <c r="AO514" s="2" t="e">
        <f t="shared" ca="1" si="248"/>
        <v>#N/A</v>
      </c>
      <c r="AP514" s="2" t="e">
        <f t="shared" ca="1" si="249"/>
        <v>#N/A</v>
      </c>
      <c r="AQ514" s="2" t="e">
        <f t="shared" ca="1" si="250"/>
        <v>#N/A</v>
      </c>
      <c r="AR514" s="2" t="e">
        <f t="shared" ca="1" si="251"/>
        <v>#N/A</v>
      </c>
      <c r="AS514" s="2" t="e">
        <f t="shared" ca="1" si="252"/>
        <v>#N/A</v>
      </c>
      <c r="AT514" s="9" t="e">
        <f t="shared" ca="1" si="253"/>
        <v>#N/A</v>
      </c>
      <c r="AU514" s="9" t="e">
        <f t="shared" ca="1" si="254"/>
        <v>#N/A</v>
      </c>
      <c r="AW514" s="2" t="e">
        <f t="shared" ca="1" si="276"/>
        <v>#N/A</v>
      </c>
      <c r="AX514" s="2" t="e">
        <f t="shared" ca="1" si="277"/>
        <v>#N/A</v>
      </c>
      <c r="AY514" s="2" t="e">
        <f t="shared" ca="1" si="278"/>
        <v>#N/A</v>
      </c>
      <c r="AZ514" s="2" t="e">
        <f t="shared" ca="1" si="279"/>
        <v>#N/A</v>
      </c>
      <c r="BA514" s="2" t="e">
        <f t="shared" ca="1" si="280"/>
        <v>#N/A</v>
      </c>
      <c r="BB514" s="2" t="e">
        <f t="shared" ca="1" si="281"/>
        <v>#N/A</v>
      </c>
      <c r="BC514" s="9" t="e">
        <f t="shared" ca="1" si="282"/>
        <v>#N/A</v>
      </c>
      <c r="BD514" s="9" t="e">
        <f t="shared" ca="1" si="283"/>
        <v>#N/A</v>
      </c>
    </row>
    <row r="515" spans="1:56" ht="15" x14ac:dyDescent="0.25">
      <c r="A515" s="63"/>
      <c r="B515" s="63"/>
      <c r="C515" s="64"/>
      <c r="D515" s="64"/>
      <c r="E515" s="64"/>
      <c r="F515" s="64"/>
      <c r="G515" s="64"/>
      <c r="H515" s="64"/>
      <c r="I515" s="64"/>
      <c r="J515" s="64"/>
      <c r="K515" s="64"/>
      <c r="L515" s="64"/>
      <c r="M515" s="64"/>
      <c r="O515" s="11">
        <f t="shared" ca="1" si="269"/>
        <v>-3.9378682616450625E-4</v>
      </c>
      <c r="P515" s="11">
        <f t="shared" ca="1" si="270"/>
        <v>-1.6358405771021967E-4</v>
      </c>
      <c r="Q515" s="11">
        <f t="shared" ca="1" si="271"/>
        <v>-1.614029402377854E-3</v>
      </c>
      <c r="R515" s="11">
        <f t="shared" ca="1" si="272"/>
        <v>-1.4853760121635622E-5</v>
      </c>
      <c r="S515" s="11">
        <f t="shared" ca="1" si="273"/>
        <v>-1.1458026838550334E-3</v>
      </c>
      <c r="T515" s="11">
        <f t="shared" ca="1" si="274"/>
        <v>-4.9053934342410677E-4</v>
      </c>
      <c r="U515" s="11">
        <f t="shared" ca="1" si="275"/>
        <v>-5.5074395654535931E-3</v>
      </c>
      <c r="V515" s="11"/>
      <c r="W515" s="11">
        <f t="shared" ca="1" si="255"/>
        <v>0</v>
      </c>
      <c r="X515" s="2">
        <f t="shared" ca="1" si="256"/>
        <v>-1.6358405771021967E-4</v>
      </c>
      <c r="Y515" s="2">
        <f t="shared" ca="1" si="257"/>
        <v>-1.614029402377854E-3</v>
      </c>
      <c r="Z515" s="11">
        <f t="shared" ca="1" si="258"/>
        <v>-1.4853760121635622E-5</v>
      </c>
      <c r="AA515" s="2">
        <f t="shared" ca="1" si="259"/>
        <v>-1.1458026838550334E-3</v>
      </c>
      <c r="AB515" s="11">
        <f t="shared" ca="1" si="260"/>
        <v>-4.9053934342410677E-4</v>
      </c>
      <c r="AC515" s="2">
        <f t="shared" ca="1" si="261"/>
        <v>-5.5074395654535931E-3</v>
      </c>
      <c r="AF515" s="11">
        <f t="shared" ca="1" si="262"/>
        <v>0</v>
      </c>
      <c r="AG515" s="2">
        <f t="shared" ca="1" si="263"/>
        <v>-1.6358405771021967E-4</v>
      </c>
      <c r="AH515" s="2">
        <f t="shared" ca="1" si="264"/>
        <v>-1.614029402377854E-3</v>
      </c>
      <c r="AI515" s="2">
        <f t="shared" ca="1" si="265"/>
        <v>-1.4853760121635622E-5</v>
      </c>
      <c r="AJ515" s="2">
        <f t="shared" ca="1" si="266"/>
        <v>-1.1458026838550334E-3</v>
      </c>
      <c r="AK515" s="2">
        <f t="shared" ca="1" si="267"/>
        <v>-4.9053934342410677E-4</v>
      </c>
      <c r="AL515" s="2">
        <f t="shared" ca="1" si="268"/>
        <v>-5.5074395654535931E-3</v>
      </c>
      <c r="AN515" s="2" t="e">
        <f t="shared" ref="AN515:AN578" ca="1" si="284">IF(AND(S515&gt;0,U515&gt;0),U515/S515, #N/A)</f>
        <v>#N/A</v>
      </c>
      <c r="AO515" s="2" t="e">
        <f t="shared" ref="AO515:AO578" ca="1" si="285">$B$8*((AN515/$B$10)^$B$11)</f>
        <v>#N/A</v>
      </c>
      <c r="AP515" s="2" t="e">
        <f t="shared" ref="AP515:AP578" ca="1" si="286">AO515*R515</f>
        <v>#N/A</v>
      </c>
      <c r="AQ515" s="2" t="e">
        <f t="shared" ref="AQ515:AQ578" ca="1" si="287">T515-AP515</f>
        <v>#N/A</v>
      </c>
      <c r="AR515" s="2" t="e">
        <f t="shared" ref="AR515:AR578" ca="1" si="288">(AQ515/S515)/((AN515/$B$10)^$B$12)</f>
        <v>#N/A</v>
      </c>
      <c r="AS515" s="2" t="e">
        <f t="shared" ref="AS515:AS578" ca="1" si="289">(Q515/S515)/((AN515/$B$10)^$B$13)</f>
        <v>#N/A</v>
      </c>
      <c r="AT515" s="9" t="e">
        <f t="shared" ref="AT515:AT578" ca="1" si="290">IF(AND(AR515&lt;$M$3,AR515&gt;$M$4),AR515,"rejected")</f>
        <v>#N/A</v>
      </c>
      <c r="AU515" s="9" t="e">
        <f t="shared" ref="AU515:AU578" ca="1" si="291">IF(AND(AR515&lt;$M$3,AR515&gt;$M$4),AR515,#N/A)</f>
        <v>#N/A</v>
      </c>
      <c r="AW515" s="2" t="e">
        <f t="shared" ca="1" si="276"/>
        <v>#N/A</v>
      </c>
      <c r="AX515" s="2" t="e">
        <f t="shared" ca="1" si="277"/>
        <v>#N/A</v>
      </c>
      <c r="AY515" s="2" t="e">
        <f t="shared" ca="1" si="278"/>
        <v>#N/A</v>
      </c>
      <c r="AZ515" s="2" t="e">
        <f t="shared" ca="1" si="279"/>
        <v>#N/A</v>
      </c>
      <c r="BA515" s="2" t="e">
        <f t="shared" ca="1" si="280"/>
        <v>#N/A</v>
      </c>
      <c r="BB515" s="2" t="e">
        <f t="shared" ca="1" si="281"/>
        <v>#N/A</v>
      </c>
      <c r="BC515" s="9" t="e">
        <f t="shared" ca="1" si="282"/>
        <v>#N/A</v>
      </c>
      <c r="BD515" s="9" t="e">
        <f t="shared" ca="1" si="283"/>
        <v>#N/A</v>
      </c>
    </row>
    <row r="516" spans="1:56" ht="15" x14ac:dyDescent="0.25">
      <c r="A516" s="63"/>
      <c r="B516" s="63"/>
      <c r="C516" s="64"/>
      <c r="D516" s="64"/>
      <c r="E516" s="64"/>
      <c r="F516" s="64"/>
      <c r="G516" s="64"/>
      <c r="H516" s="64"/>
      <c r="I516" s="64"/>
      <c r="J516" s="64"/>
      <c r="K516" s="64"/>
      <c r="L516" s="64"/>
      <c r="M516" s="64"/>
      <c r="O516" s="11">
        <f t="shared" ca="1" si="269"/>
        <v>-3.9378682616450625E-4</v>
      </c>
      <c r="P516" s="11">
        <f t="shared" ca="1" si="270"/>
        <v>-1.6358405771021967E-4</v>
      </c>
      <c r="Q516" s="11">
        <f t="shared" ca="1" si="271"/>
        <v>-1.614029402377854E-3</v>
      </c>
      <c r="R516" s="11">
        <f t="shared" ca="1" si="272"/>
        <v>-1.4853760121635622E-5</v>
      </c>
      <c r="S516" s="11">
        <f t="shared" ca="1" si="273"/>
        <v>-1.1458026838550334E-3</v>
      </c>
      <c r="T516" s="11">
        <f t="shared" ca="1" si="274"/>
        <v>-4.9053934342410677E-4</v>
      </c>
      <c r="U516" s="11">
        <f t="shared" ca="1" si="275"/>
        <v>-5.5074395654535931E-3</v>
      </c>
      <c r="V516" s="11"/>
      <c r="W516" s="11">
        <f t="shared" ref="W516:W579" ca="1" si="292">O516-O516</f>
        <v>0</v>
      </c>
      <c r="X516" s="2">
        <f t="shared" ref="X516:X579" ca="1" si="293">IF(O516&gt;0,P516-(O516*$X$63/$W$63), P516)</f>
        <v>-1.6358405771021967E-4</v>
      </c>
      <c r="Y516" s="2">
        <f t="shared" ref="Y516:Y579" ca="1" si="294">IF(O516&gt;0,Q516-(O516*$Y$63/$W$63),Q516)</f>
        <v>-1.614029402377854E-3</v>
      </c>
      <c r="Z516" s="11">
        <f t="shared" ref="Z516:Z579" ca="1" si="295">R516</f>
        <v>-1.4853760121635622E-5</v>
      </c>
      <c r="AA516" s="2">
        <f t="shared" ref="AA516:AA579" ca="1" si="296">IF(O516&gt;0,S516-(O516*$AA$63/$W$63),S516)</f>
        <v>-1.1458026838550334E-3</v>
      </c>
      <c r="AB516" s="11">
        <f t="shared" ref="AB516:AB579" ca="1" si="297">T516</f>
        <v>-4.9053934342410677E-4</v>
      </c>
      <c r="AC516" s="2">
        <f t="shared" ref="AC516:AC579" ca="1" si="298">IF(O516&gt;0,U516-(O516*$AC$63/$W$63),U516)</f>
        <v>-5.5074395654535931E-3</v>
      </c>
      <c r="AF516" s="11">
        <f t="shared" ref="AF516:AF579" ca="1" si="299">W516</f>
        <v>0</v>
      </c>
      <c r="AG516" s="2">
        <f t="shared" ref="AG516:AG579" ca="1" si="300">IF(O516&gt;0, X516-(O516*$AG$63/$AF$63), X516)</f>
        <v>-1.6358405771021967E-4</v>
      </c>
      <c r="AH516" s="2">
        <f t="shared" ref="AH516:AH579" ca="1" si="301">IF(O516&gt;0, Y516-(O516*$AH$63/$AF$63), Y516)</f>
        <v>-1.614029402377854E-3</v>
      </c>
      <c r="AI516" s="2">
        <f t="shared" ref="AI516:AI579" ca="1" si="302">IF(O516&gt;0, Z516-(O516*$AI$63/$AF$63), Z516)</f>
        <v>-1.4853760121635622E-5</v>
      </c>
      <c r="AJ516" s="2">
        <f t="shared" ref="AJ516:AJ579" ca="1" si="303">IF(O516&gt;0, AA516-(O516*$AJ$63/$AF$63), AA516)</f>
        <v>-1.1458026838550334E-3</v>
      </c>
      <c r="AK516" s="2">
        <f t="shared" ref="AK516:AK579" ca="1" si="304">IF(P516&gt;0, AB516-(P516*$AK$63/$AG$63), AB516)</f>
        <v>-4.9053934342410677E-4</v>
      </c>
      <c r="AL516" s="2">
        <f t="shared" ref="AL516:AL579" ca="1" si="305">IF(O516&gt;0, AC516-(O516*$AL$63/$AF$63), AC516)</f>
        <v>-5.5074395654535931E-3</v>
      </c>
      <c r="AN516" s="2" t="e">
        <f t="shared" ca="1" si="284"/>
        <v>#N/A</v>
      </c>
      <c r="AO516" s="2" t="e">
        <f t="shared" ca="1" si="285"/>
        <v>#N/A</v>
      </c>
      <c r="AP516" s="2" t="e">
        <f t="shared" ca="1" si="286"/>
        <v>#N/A</v>
      </c>
      <c r="AQ516" s="2" t="e">
        <f t="shared" ca="1" si="287"/>
        <v>#N/A</v>
      </c>
      <c r="AR516" s="2" t="e">
        <f t="shared" ca="1" si="288"/>
        <v>#N/A</v>
      </c>
      <c r="AS516" s="2" t="e">
        <f t="shared" ca="1" si="289"/>
        <v>#N/A</v>
      </c>
      <c r="AT516" s="9" t="e">
        <f t="shared" ca="1" si="290"/>
        <v>#N/A</v>
      </c>
      <c r="AU516" s="9" t="e">
        <f t="shared" ca="1" si="291"/>
        <v>#N/A</v>
      </c>
      <c r="AW516" s="2" t="e">
        <f t="shared" ca="1" si="276"/>
        <v>#N/A</v>
      </c>
      <c r="AX516" s="2" t="e">
        <f t="shared" ca="1" si="277"/>
        <v>#N/A</v>
      </c>
      <c r="AY516" s="2" t="e">
        <f t="shared" ca="1" si="278"/>
        <v>#N/A</v>
      </c>
      <c r="AZ516" s="2" t="e">
        <f t="shared" ca="1" si="279"/>
        <v>#N/A</v>
      </c>
      <c r="BA516" s="2" t="e">
        <f t="shared" ca="1" si="280"/>
        <v>#N/A</v>
      </c>
      <c r="BB516" s="2" t="e">
        <f t="shared" ca="1" si="281"/>
        <v>#N/A</v>
      </c>
      <c r="BC516" s="9" t="e">
        <f t="shared" ca="1" si="282"/>
        <v>#N/A</v>
      </c>
      <c r="BD516" s="9" t="e">
        <f t="shared" ca="1" si="283"/>
        <v>#N/A</v>
      </c>
    </row>
    <row r="517" spans="1:56" ht="15" x14ac:dyDescent="0.25">
      <c r="A517" s="63"/>
      <c r="B517" s="63"/>
      <c r="C517" s="64"/>
      <c r="D517" s="64"/>
      <c r="E517" s="64"/>
      <c r="F517" s="64"/>
      <c r="G517" s="64"/>
      <c r="H517" s="64"/>
      <c r="I517" s="64"/>
      <c r="J517" s="64"/>
      <c r="K517" s="64"/>
      <c r="L517" s="64"/>
      <c r="M517" s="64"/>
      <c r="O517" s="11">
        <f t="shared" ca="1" si="269"/>
        <v>-3.9378682616450625E-4</v>
      </c>
      <c r="P517" s="11">
        <f t="shared" ca="1" si="270"/>
        <v>-1.6358405771021967E-4</v>
      </c>
      <c r="Q517" s="11">
        <f t="shared" ca="1" si="271"/>
        <v>-1.614029402377854E-3</v>
      </c>
      <c r="R517" s="11">
        <f t="shared" ca="1" si="272"/>
        <v>-1.4853760121635622E-5</v>
      </c>
      <c r="S517" s="11">
        <f t="shared" ca="1" si="273"/>
        <v>-1.1458026838550334E-3</v>
      </c>
      <c r="T517" s="11">
        <f t="shared" ca="1" si="274"/>
        <v>-4.9053934342410677E-4</v>
      </c>
      <c r="U517" s="11">
        <f t="shared" ca="1" si="275"/>
        <v>-5.5074395654535931E-3</v>
      </c>
      <c r="V517" s="11"/>
      <c r="W517" s="11">
        <f t="shared" ca="1" si="292"/>
        <v>0</v>
      </c>
      <c r="X517" s="2">
        <f t="shared" ca="1" si="293"/>
        <v>-1.6358405771021967E-4</v>
      </c>
      <c r="Y517" s="2">
        <f t="shared" ca="1" si="294"/>
        <v>-1.614029402377854E-3</v>
      </c>
      <c r="Z517" s="11">
        <f t="shared" ca="1" si="295"/>
        <v>-1.4853760121635622E-5</v>
      </c>
      <c r="AA517" s="2">
        <f t="shared" ca="1" si="296"/>
        <v>-1.1458026838550334E-3</v>
      </c>
      <c r="AB517" s="11">
        <f t="shared" ca="1" si="297"/>
        <v>-4.9053934342410677E-4</v>
      </c>
      <c r="AC517" s="2">
        <f t="shared" ca="1" si="298"/>
        <v>-5.5074395654535931E-3</v>
      </c>
      <c r="AF517" s="11">
        <f t="shared" ca="1" si="299"/>
        <v>0</v>
      </c>
      <c r="AG517" s="2">
        <f t="shared" ca="1" si="300"/>
        <v>-1.6358405771021967E-4</v>
      </c>
      <c r="AH517" s="2">
        <f t="shared" ca="1" si="301"/>
        <v>-1.614029402377854E-3</v>
      </c>
      <c r="AI517" s="2">
        <f t="shared" ca="1" si="302"/>
        <v>-1.4853760121635622E-5</v>
      </c>
      <c r="AJ517" s="2">
        <f t="shared" ca="1" si="303"/>
        <v>-1.1458026838550334E-3</v>
      </c>
      <c r="AK517" s="2">
        <f t="shared" ca="1" si="304"/>
        <v>-4.9053934342410677E-4</v>
      </c>
      <c r="AL517" s="2">
        <f t="shared" ca="1" si="305"/>
        <v>-5.5074395654535931E-3</v>
      </c>
      <c r="AN517" s="2" t="e">
        <f t="shared" ca="1" si="284"/>
        <v>#N/A</v>
      </c>
      <c r="AO517" s="2" t="e">
        <f t="shared" ca="1" si="285"/>
        <v>#N/A</v>
      </c>
      <c r="AP517" s="2" t="e">
        <f t="shared" ca="1" si="286"/>
        <v>#N/A</v>
      </c>
      <c r="AQ517" s="2" t="e">
        <f t="shared" ca="1" si="287"/>
        <v>#N/A</v>
      </c>
      <c r="AR517" s="2" t="e">
        <f t="shared" ca="1" si="288"/>
        <v>#N/A</v>
      </c>
      <c r="AS517" s="2" t="e">
        <f t="shared" ca="1" si="289"/>
        <v>#N/A</v>
      </c>
      <c r="AT517" s="9" t="e">
        <f t="shared" ca="1" si="290"/>
        <v>#N/A</v>
      </c>
      <c r="AU517" s="9" t="e">
        <f t="shared" ca="1" si="291"/>
        <v>#N/A</v>
      </c>
      <c r="AW517" s="2" t="e">
        <f t="shared" ca="1" si="276"/>
        <v>#N/A</v>
      </c>
      <c r="AX517" s="2" t="e">
        <f t="shared" ca="1" si="277"/>
        <v>#N/A</v>
      </c>
      <c r="AY517" s="2" t="e">
        <f t="shared" ca="1" si="278"/>
        <v>#N/A</v>
      </c>
      <c r="AZ517" s="2" t="e">
        <f t="shared" ca="1" si="279"/>
        <v>#N/A</v>
      </c>
      <c r="BA517" s="2" t="e">
        <f t="shared" ca="1" si="280"/>
        <v>#N/A</v>
      </c>
      <c r="BB517" s="2" t="e">
        <f t="shared" ca="1" si="281"/>
        <v>#N/A</v>
      </c>
      <c r="BC517" s="9" t="e">
        <f t="shared" ca="1" si="282"/>
        <v>#N/A</v>
      </c>
      <c r="BD517" s="9" t="e">
        <f t="shared" ca="1" si="283"/>
        <v>#N/A</v>
      </c>
    </row>
    <row r="518" spans="1:56" ht="15" x14ac:dyDescent="0.25">
      <c r="A518" s="63"/>
      <c r="B518" s="63"/>
      <c r="C518" s="64"/>
      <c r="D518" s="64"/>
      <c r="E518" s="64"/>
      <c r="F518" s="64"/>
      <c r="G518" s="64"/>
      <c r="H518" s="64"/>
      <c r="I518" s="64"/>
      <c r="J518" s="64"/>
      <c r="K518" s="64"/>
      <c r="L518" s="64"/>
      <c r="M518" s="64"/>
      <c r="O518" s="11">
        <f t="shared" ca="1" si="269"/>
        <v>-3.9378682616450625E-4</v>
      </c>
      <c r="P518" s="11">
        <f t="shared" ca="1" si="270"/>
        <v>-1.6358405771021967E-4</v>
      </c>
      <c r="Q518" s="11">
        <f t="shared" ca="1" si="271"/>
        <v>-1.614029402377854E-3</v>
      </c>
      <c r="R518" s="11">
        <f t="shared" ca="1" si="272"/>
        <v>-1.4853760121635622E-5</v>
      </c>
      <c r="S518" s="11">
        <f t="shared" ca="1" si="273"/>
        <v>-1.1458026838550334E-3</v>
      </c>
      <c r="T518" s="11">
        <f t="shared" ca="1" si="274"/>
        <v>-4.9053934342410677E-4</v>
      </c>
      <c r="U518" s="11">
        <f t="shared" ca="1" si="275"/>
        <v>-5.5074395654535931E-3</v>
      </c>
      <c r="V518" s="11"/>
      <c r="W518" s="11">
        <f t="shared" ca="1" si="292"/>
        <v>0</v>
      </c>
      <c r="X518" s="2">
        <f t="shared" ca="1" si="293"/>
        <v>-1.6358405771021967E-4</v>
      </c>
      <c r="Y518" s="2">
        <f t="shared" ca="1" si="294"/>
        <v>-1.614029402377854E-3</v>
      </c>
      <c r="Z518" s="11">
        <f t="shared" ca="1" si="295"/>
        <v>-1.4853760121635622E-5</v>
      </c>
      <c r="AA518" s="2">
        <f t="shared" ca="1" si="296"/>
        <v>-1.1458026838550334E-3</v>
      </c>
      <c r="AB518" s="11">
        <f t="shared" ca="1" si="297"/>
        <v>-4.9053934342410677E-4</v>
      </c>
      <c r="AC518" s="2">
        <f t="shared" ca="1" si="298"/>
        <v>-5.5074395654535931E-3</v>
      </c>
      <c r="AF518" s="11">
        <f t="shared" ca="1" si="299"/>
        <v>0</v>
      </c>
      <c r="AG518" s="2">
        <f t="shared" ca="1" si="300"/>
        <v>-1.6358405771021967E-4</v>
      </c>
      <c r="AH518" s="2">
        <f t="shared" ca="1" si="301"/>
        <v>-1.614029402377854E-3</v>
      </c>
      <c r="AI518" s="2">
        <f t="shared" ca="1" si="302"/>
        <v>-1.4853760121635622E-5</v>
      </c>
      <c r="AJ518" s="2">
        <f t="shared" ca="1" si="303"/>
        <v>-1.1458026838550334E-3</v>
      </c>
      <c r="AK518" s="2">
        <f t="shared" ca="1" si="304"/>
        <v>-4.9053934342410677E-4</v>
      </c>
      <c r="AL518" s="2">
        <f t="shared" ca="1" si="305"/>
        <v>-5.5074395654535931E-3</v>
      </c>
      <c r="AN518" s="2" t="e">
        <f t="shared" ca="1" si="284"/>
        <v>#N/A</v>
      </c>
      <c r="AO518" s="2" t="e">
        <f t="shared" ca="1" si="285"/>
        <v>#N/A</v>
      </c>
      <c r="AP518" s="2" t="e">
        <f t="shared" ca="1" si="286"/>
        <v>#N/A</v>
      </c>
      <c r="AQ518" s="2" t="e">
        <f t="shared" ca="1" si="287"/>
        <v>#N/A</v>
      </c>
      <c r="AR518" s="2" t="e">
        <f t="shared" ca="1" si="288"/>
        <v>#N/A</v>
      </c>
      <c r="AS518" s="2" t="e">
        <f t="shared" ca="1" si="289"/>
        <v>#N/A</v>
      </c>
      <c r="AT518" s="9" t="e">
        <f t="shared" ca="1" si="290"/>
        <v>#N/A</v>
      </c>
      <c r="AU518" s="9" t="e">
        <f t="shared" ca="1" si="291"/>
        <v>#N/A</v>
      </c>
      <c r="AW518" s="2" t="e">
        <f t="shared" ca="1" si="276"/>
        <v>#N/A</v>
      </c>
      <c r="AX518" s="2" t="e">
        <f t="shared" ca="1" si="277"/>
        <v>#N/A</v>
      </c>
      <c r="AY518" s="2" t="e">
        <f t="shared" ca="1" si="278"/>
        <v>#N/A</v>
      </c>
      <c r="AZ518" s="2" t="e">
        <f t="shared" ca="1" si="279"/>
        <v>#N/A</v>
      </c>
      <c r="BA518" s="2" t="e">
        <f t="shared" ca="1" si="280"/>
        <v>#N/A</v>
      </c>
      <c r="BB518" s="2" t="e">
        <f t="shared" ca="1" si="281"/>
        <v>#N/A</v>
      </c>
      <c r="BC518" s="9" t="e">
        <f t="shared" ca="1" si="282"/>
        <v>#N/A</v>
      </c>
      <c r="BD518" s="9" t="e">
        <f t="shared" ca="1" si="283"/>
        <v>#N/A</v>
      </c>
    </row>
    <row r="519" spans="1:56" ht="15" x14ac:dyDescent="0.25">
      <c r="A519" s="63"/>
      <c r="B519" s="63"/>
      <c r="C519" s="64"/>
      <c r="D519" s="64"/>
      <c r="E519" s="64"/>
      <c r="F519" s="64"/>
      <c r="G519" s="64"/>
      <c r="H519" s="64"/>
      <c r="I519" s="64"/>
      <c r="J519" s="64"/>
      <c r="K519" s="64"/>
      <c r="L519" s="64"/>
      <c r="M519" s="64"/>
      <c r="O519" s="11">
        <f t="shared" ca="1" si="269"/>
        <v>-3.9378682616450625E-4</v>
      </c>
      <c r="P519" s="11">
        <f t="shared" ca="1" si="270"/>
        <v>-1.6358405771021967E-4</v>
      </c>
      <c r="Q519" s="11">
        <f t="shared" ca="1" si="271"/>
        <v>-1.614029402377854E-3</v>
      </c>
      <c r="R519" s="11">
        <f t="shared" ca="1" si="272"/>
        <v>-1.4853760121635622E-5</v>
      </c>
      <c r="S519" s="11">
        <f t="shared" ca="1" si="273"/>
        <v>-1.1458026838550334E-3</v>
      </c>
      <c r="T519" s="11">
        <f t="shared" ca="1" si="274"/>
        <v>-4.9053934342410677E-4</v>
      </c>
      <c r="U519" s="11">
        <f t="shared" ca="1" si="275"/>
        <v>-5.5074395654535931E-3</v>
      </c>
      <c r="V519" s="11"/>
      <c r="W519" s="11">
        <f t="shared" ca="1" si="292"/>
        <v>0</v>
      </c>
      <c r="X519" s="2">
        <f t="shared" ca="1" si="293"/>
        <v>-1.6358405771021967E-4</v>
      </c>
      <c r="Y519" s="2">
        <f t="shared" ca="1" si="294"/>
        <v>-1.614029402377854E-3</v>
      </c>
      <c r="Z519" s="11">
        <f t="shared" ca="1" si="295"/>
        <v>-1.4853760121635622E-5</v>
      </c>
      <c r="AA519" s="2">
        <f t="shared" ca="1" si="296"/>
        <v>-1.1458026838550334E-3</v>
      </c>
      <c r="AB519" s="11">
        <f t="shared" ca="1" si="297"/>
        <v>-4.9053934342410677E-4</v>
      </c>
      <c r="AC519" s="2">
        <f t="shared" ca="1" si="298"/>
        <v>-5.5074395654535931E-3</v>
      </c>
      <c r="AF519" s="11">
        <f t="shared" ca="1" si="299"/>
        <v>0</v>
      </c>
      <c r="AG519" s="2">
        <f t="shared" ca="1" si="300"/>
        <v>-1.6358405771021967E-4</v>
      </c>
      <c r="AH519" s="2">
        <f t="shared" ca="1" si="301"/>
        <v>-1.614029402377854E-3</v>
      </c>
      <c r="AI519" s="2">
        <f t="shared" ca="1" si="302"/>
        <v>-1.4853760121635622E-5</v>
      </c>
      <c r="AJ519" s="2">
        <f t="shared" ca="1" si="303"/>
        <v>-1.1458026838550334E-3</v>
      </c>
      <c r="AK519" s="2">
        <f t="shared" ca="1" si="304"/>
        <v>-4.9053934342410677E-4</v>
      </c>
      <c r="AL519" s="2">
        <f t="shared" ca="1" si="305"/>
        <v>-5.5074395654535931E-3</v>
      </c>
      <c r="AN519" s="2" t="e">
        <f t="shared" ca="1" si="284"/>
        <v>#N/A</v>
      </c>
      <c r="AO519" s="2" t="e">
        <f t="shared" ca="1" si="285"/>
        <v>#N/A</v>
      </c>
      <c r="AP519" s="2" t="e">
        <f t="shared" ca="1" si="286"/>
        <v>#N/A</v>
      </c>
      <c r="AQ519" s="2" t="e">
        <f t="shared" ca="1" si="287"/>
        <v>#N/A</v>
      </c>
      <c r="AR519" s="2" t="e">
        <f t="shared" ca="1" si="288"/>
        <v>#N/A</v>
      </c>
      <c r="AS519" s="2" t="e">
        <f t="shared" ca="1" si="289"/>
        <v>#N/A</v>
      </c>
      <c r="AT519" s="9" t="e">
        <f t="shared" ca="1" si="290"/>
        <v>#N/A</v>
      </c>
      <c r="AU519" s="9" t="e">
        <f t="shared" ca="1" si="291"/>
        <v>#N/A</v>
      </c>
      <c r="AW519" s="2" t="e">
        <f t="shared" ca="1" si="276"/>
        <v>#N/A</v>
      </c>
      <c r="AX519" s="2" t="e">
        <f t="shared" ca="1" si="277"/>
        <v>#N/A</v>
      </c>
      <c r="AY519" s="2" t="e">
        <f t="shared" ca="1" si="278"/>
        <v>#N/A</v>
      </c>
      <c r="AZ519" s="2" t="e">
        <f t="shared" ca="1" si="279"/>
        <v>#N/A</v>
      </c>
      <c r="BA519" s="2" t="e">
        <f t="shared" ca="1" si="280"/>
        <v>#N/A</v>
      </c>
      <c r="BB519" s="2" t="e">
        <f t="shared" ca="1" si="281"/>
        <v>#N/A</v>
      </c>
      <c r="BC519" s="9" t="e">
        <f t="shared" ca="1" si="282"/>
        <v>#N/A</v>
      </c>
      <c r="BD519" s="9" t="e">
        <f t="shared" ca="1" si="283"/>
        <v>#N/A</v>
      </c>
    </row>
    <row r="520" spans="1:56" ht="15" x14ac:dyDescent="0.25">
      <c r="A520" s="63"/>
      <c r="B520" s="63"/>
      <c r="C520" s="64"/>
      <c r="D520" s="64"/>
      <c r="E520" s="64"/>
      <c r="F520" s="64"/>
      <c r="G520" s="64"/>
      <c r="H520" s="64"/>
      <c r="I520" s="64"/>
      <c r="J520" s="64"/>
      <c r="K520" s="64"/>
      <c r="L520" s="64"/>
      <c r="M520" s="64"/>
      <c r="O520" s="11">
        <f t="shared" ca="1" si="269"/>
        <v>-3.9378682616450625E-4</v>
      </c>
      <c r="P520" s="11">
        <f t="shared" ca="1" si="270"/>
        <v>-1.6358405771021967E-4</v>
      </c>
      <c r="Q520" s="11">
        <f t="shared" ca="1" si="271"/>
        <v>-1.614029402377854E-3</v>
      </c>
      <c r="R520" s="11">
        <f t="shared" ca="1" si="272"/>
        <v>-1.4853760121635622E-5</v>
      </c>
      <c r="S520" s="11">
        <f t="shared" ca="1" si="273"/>
        <v>-1.1458026838550334E-3</v>
      </c>
      <c r="T520" s="11">
        <f t="shared" ca="1" si="274"/>
        <v>-4.9053934342410677E-4</v>
      </c>
      <c r="U520" s="11">
        <f t="shared" ca="1" si="275"/>
        <v>-5.5074395654535931E-3</v>
      </c>
      <c r="V520" s="11"/>
      <c r="W520" s="11">
        <f t="shared" ca="1" si="292"/>
        <v>0</v>
      </c>
      <c r="X520" s="2">
        <f t="shared" ca="1" si="293"/>
        <v>-1.6358405771021967E-4</v>
      </c>
      <c r="Y520" s="2">
        <f t="shared" ca="1" si="294"/>
        <v>-1.614029402377854E-3</v>
      </c>
      <c r="Z520" s="11">
        <f t="shared" ca="1" si="295"/>
        <v>-1.4853760121635622E-5</v>
      </c>
      <c r="AA520" s="2">
        <f t="shared" ca="1" si="296"/>
        <v>-1.1458026838550334E-3</v>
      </c>
      <c r="AB520" s="11">
        <f t="shared" ca="1" si="297"/>
        <v>-4.9053934342410677E-4</v>
      </c>
      <c r="AC520" s="2">
        <f t="shared" ca="1" si="298"/>
        <v>-5.5074395654535931E-3</v>
      </c>
      <c r="AF520" s="11">
        <f t="shared" ca="1" si="299"/>
        <v>0</v>
      </c>
      <c r="AG520" s="2">
        <f t="shared" ca="1" si="300"/>
        <v>-1.6358405771021967E-4</v>
      </c>
      <c r="AH520" s="2">
        <f t="shared" ca="1" si="301"/>
        <v>-1.614029402377854E-3</v>
      </c>
      <c r="AI520" s="2">
        <f t="shared" ca="1" si="302"/>
        <v>-1.4853760121635622E-5</v>
      </c>
      <c r="AJ520" s="2">
        <f t="shared" ca="1" si="303"/>
        <v>-1.1458026838550334E-3</v>
      </c>
      <c r="AK520" s="2">
        <f t="shared" ca="1" si="304"/>
        <v>-4.9053934342410677E-4</v>
      </c>
      <c r="AL520" s="2">
        <f t="shared" ca="1" si="305"/>
        <v>-5.5074395654535931E-3</v>
      </c>
      <c r="AN520" s="2" t="e">
        <f t="shared" ca="1" si="284"/>
        <v>#N/A</v>
      </c>
      <c r="AO520" s="2" t="e">
        <f t="shared" ca="1" si="285"/>
        <v>#N/A</v>
      </c>
      <c r="AP520" s="2" t="e">
        <f t="shared" ca="1" si="286"/>
        <v>#N/A</v>
      </c>
      <c r="AQ520" s="2" t="e">
        <f t="shared" ca="1" si="287"/>
        <v>#N/A</v>
      </c>
      <c r="AR520" s="2" t="e">
        <f t="shared" ca="1" si="288"/>
        <v>#N/A</v>
      </c>
      <c r="AS520" s="2" t="e">
        <f t="shared" ca="1" si="289"/>
        <v>#N/A</v>
      </c>
      <c r="AT520" s="9" t="e">
        <f t="shared" ca="1" si="290"/>
        <v>#N/A</v>
      </c>
      <c r="AU520" s="9" t="e">
        <f t="shared" ca="1" si="291"/>
        <v>#N/A</v>
      </c>
      <c r="AW520" s="2" t="e">
        <f t="shared" ca="1" si="276"/>
        <v>#N/A</v>
      </c>
      <c r="AX520" s="2" t="e">
        <f t="shared" ca="1" si="277"/>
        <v>#N/A</v>
      </c>
      <c r="AY520" s="2" t="e">
        <f t="shared" ca="1" si="278"/>
        <v>#N/A</v>
      </c>
      <c r="AZ520" s="2" t="e">
        <f t="shared" ca="1" si="279"/>
        <v>#N/A</v>
      </c>
      <c r="BA520" s="2" t="e">
        <f t="shared" ca="1" si="280"/>
        <v>#N/A</v>
      </c>
      <c r="BB520" s="2" t="e">
        <f t="shared" ca="1" si="281"/>
        <v>#N/A</v>
      </c>
      <c r="BC520" s="9" t="e">
        <f t="shared" ca="1" si="282"/>
        <v>#N/A</v>
      </c>
      <c r="BD520" s="9" t="e">
        <f t="shared" ca="1" si="283"/>
        <v>#N/A</v>
      </c>
    </row>
    <row r="521" spans="1:56" ht="15" x14ac:dyDescent="0.25">
      <c r="A521" s="63"/>
      <c r="B521" s="63"/>
      <c r="C521" s="64"/>
      <c r="D521" s="64"/>
      <c r="E521" s="64"/>
      <c r="F521" s="64"/>
      <c r="G521" s="64"/>
      <c r="H521" s="64"/>
      <c r="I521" s="64"/>
      <c r="J521" s="64"/>
      <c r="K521" s="64"/>
      <c r="L521" s="64"/>
      <c r="M521" s="64"/>
      <c r="O521" s="11">
        <f t="shared" ca="1" si="269"/>
        <v>-3.9378682616450625E-4</v>
      </c>
      <c r="P521" s="11">
        <f t="shared" ca="1" si="270"/>
        <v>-1.6358405771021967E-4</v>
      </c>
      <c r="Q521" s="11">
        <f t="shared" ca="1" si="271"/>
        <v>-1.614029402377854E-3</v>
      </c>
      <c r="R521" s="11">
        <f t="shared" ca="1" si="272"/>
        <v>-1.4853760121635622E-5</v>
      </c>
      <c r="S521" s="11">
        <f t="shared" ca="1" si="273"/>
        <v>-1.1458026838550334E-3</v>
      </c>
      <c r="T521" s="11">
        <f t="shared" ca="1" si="274"/>
        <v>-4.9053934342410677E-4</v>
      </c>
      <c r="U521" s="11">
        <f t="shared" ca="1" si="275"/>
        <v>-5.5074395654535931E-3</v>
      </c>
      <c r="V521" s="11"/>
      <c r="W521" s="11">
        <f t="shared" ca="1" si="292"/>
        <v>0</v>
      </c>
      <c r="X521" s="2">
        <f t="shared" ca="1" si="293"/>
        <v>-1.6358405771021967E-4</v>
      </c>
      <c r="Y521" s="2">
        <f t="shared" ca="1" si="294"/>
        <v>-1.614029402377854E-3</v>
      </c>
      <c r="Z521" s="11">
        <f t="shared" ca="1" si="295"/>
        <v>-1.4853760121635622E-5</v>
      </c>
      <c r="AA521" s="2">
        <f t="shared" ca="1" si="296"/>
        <v>-1.1458026838550334E-3</v>
      </c>
      <c r="AB521" s="11">
        <f t="shared" ca="1" si="297"/>
        <v>-4.9053934342410677E-4</v>
      </c>
      <c r="AC521" s="2">
        <f t="shared" ca="1" si="298"/>
        <v>-5.5074395654535931E-3</v>
      </c>
      <c r="AF521" s="11">
        <f t="shared" ca="1" si="299"/>
        <v>0</v>
      </c>
      <c r="AG521" s="2">
        <f t="shared" ca="1" si="300"/>
        <v>-1.6358405771021967E-4</v>
      </c>
      <c r="AH521" s="2">
        <f t="shared" ca="1" si="301"/>
        <v>-1.614029402377854E-3</v>
      </c>
      <c r="AI521" s="2">
        <f t="shared" ca="1" si="302"/>
        <v>-1.4853760121635622E-5</v>
      </c>
      <c r="AJ521" s="2">
        <f t="shared" ca="1" si="303"/>
        <v>-1.1458026838550334E-3</v>
      </c>
      <c r="AK521" s="2">
        <f t="shared" ca="1" si="304"/>
        <v>-4.9053934342410677E-4</v>
      </c>
      <c r="AL521" s="2">
        <f t="shared" ca="1" si="305"/>
        <v>-5.5074395654535931E-3</v>
      </c>
      <c r="AN521" s="2" t="e">
        <f t="shared" ca="1" si="284"/>
        <v>#N/A</v>
      </c>
      <c r="AO521" s="2" t="e">
        <f t="shared" ca="1" si="285"/>
        <v>#N/A</v>
      </c>
      <c r="AP521" s="2" t="e">
        <f t="shared" ca="1" si="286"/>
        <v>#N/A</v>
      </c>
      <c r="AQ521" s="2" t="e">
        <f t="shared" ca="1" si="287"/>
        <v>#N/A</v>
      </c>
      <c r="AR521" s="2" t="e">
        <f t="shared" ca="1" si="288"/>
        <v>#N/A</v>
      </c>
      <c r="AS521" s="2" t="e">
        <f t="shared" ca="1" si="289"/>
        <v>#N/A</v>
      </c>
      <c r="AT521" s="9" t="e">
        <f t="shared" ca="1" si="290"/>
        <v>#N/A</v>
      </c>
      <c r="AU521" s="9" t="e">
        <f t="shared" ca="1" si="291"/>
        <v>#N/A</v>
      </c>
      <c r="AW521" s="2" t="e">
        <f t="shared" ca="1" si="276"/>
        <v>#N/A</v>
      </c>
      <c r="AX521" s="2" t="e">
        <f t="shared" ca="1" si="277"/>
        <v>#N/A</v>
      </c>
      <c r="AY521" s="2" t="e">
        <f t="shared" ca="1" si="278"/>
        <v>#N/A</v>
      </c>
      <c r="AZ521" s="2" t="e">
        <f t="shared" ca="1" si="279"/>
        <v>#N/A</v>
      </c>
      <c r="BA521" s="2" t="e">
        <f t="shared" ca="1" si="280"/>
        <v>#N/A</v>
      </c>
      <c r="BB521" s="2" t="e">
        <f t="shared" ca="1" si="281"/>
        <v>#N/A</v>
      </c>
      <c r="BC521" s="9" t="e">
        <f t="shared" ca="1" si="282"/>
        <v>#N/A</v>
      </c>
      <c r="BD521" s="9" t="e">
        <f t="shared" ca="1" si="283"/>
        <v>#N/A</v>
      </c>
    </row>
    <row r="522" spans="1:56" ht="15" x14ac:dyDescent="0.25">
      <c r="A522" s="63"/>
      <c r="B522" s="63"/>
      <c r="C522" s="64"/>
      <c r="D522" s="64"/>
      <c r="E522" s="64"/>
      <c r="F522" s="64"/>
      <c r="G522" s="64"/>
      <c r="H522" s="64"/>
      <c r="I522" s="64"/>
      <c r="J522" s="64"/>
      <c r="K522" s="64"/>
      <c r="L522" s="64"/>
      <c r="M522" s="64"/>
      <c r="O522" s="11">
        <f t="shared" ca="1" si="269"/>
        <v>-3.9378682616450625E-4</v>
      </c>
      <c r="P522" s="11">
        <f t="shared" ca="1" si="270"/>
        <v>-1.6358405771021967E-4</v>
      </c>
      <c r="Q522" s="11">
        <f t="shared" ca="1" si="271"/>
        <v>-1.614029402377854E-3</v>
      </c>
      <c r="R522" s="11">
        <f t="shared" ca="1" si="272"/>
        <v>-1.4853760121635622E-5</v>
      </c>
      <c r="S522" s="11">
        <f t="shared" ca="1" si="273"/>
        <v>-1.1458026838550334E-3</v>
      </c>
      <c r="T522" s="11">
        <f t="shared" ca="1" si="274"/>
        <v>-4.9053934342410677E-4</v>
      </c>
      <c r="U522" s="11">
        <f t="shared" ca="1" si="275"/>
        <v>-5.5074395654535931E-3</v>
      </c>
      <c r="V522" s="11"/>
      <c r="W522" s="11">
        <f t="shared" ca="1" si="292"/>
        <v>0</v>
      </c>
      <c r="X522" s="2">
        <f t="shared" ca="1" si="293"/>
        <v>-1.6358405771021967E-4</v>
      </c>
      <c r="Y522" s="2">
        <f t="shared" ca="1" si="294"/>
        <v>-1.614029402377854E-3</v>
      </c>
      <c r="Z522" s="11">
        <f t="shared" ca="1" si="295"/>
        <v>-1.4853760121635622E-5</v>
      </c>
      <c r="AA522" s="2">
        <f t="shared" ca="1" si="296"/>
        <v>-1.1458026838550334E-3</v>
      </c>
      <c r="AB522" s="11">
        <f t="shared" ca="1" si="297"/>
        <v>-4.9053934342410677E-4</v>
      </c>
      <c r="AC522" s="2">
        <f t="shared" ca="1" si="298"/>
        <v>-5.5074395654535931E-3</v>
      </c>
      <c r="AF522" s="11">
        <f t="shared" ca="1" si="299"/>
        <v>0</v>
      </c>
      <c r="AG522" s="2">
        <f t="shared" ca="1" si="300"/>
        <v>-1.6358405771021967E-4</v>
      </c>
      <c r="AH522" s="2">
        <f t="shared" ca="1" si="301"/>
        <v>-1.614029402377854E-3</v>
      </c>
      <c r="AI522" s="2">
        <f t="shared" ca="1" si="302"/>
        <v>-1.4853760121635622E-5</v>
      </c>
      <c r="AJ522" s="2">
        <f t="shared" ca="1" si="303"/>
        <v>-1.1458026838550334E-3</v>
      </c>
      <c r="AK522" s="2">
        <f t="shared" ca="1" si="304"/>
        <v>-4.9053934342410677E-4</v>
      </c>
      <c r="AL522" s="2">
        <f t="shared" ca="1" si="305"/>
        <v>-5.5074395654535931E-3</v>
      </c>
      <c r="AN522" s="2" t="e">
        <f t="shared" ca="1" si="284"/>
        <v>#N/A</v>
      </c>
      <c r="AO522" s="2" t="e">
        <f t="shared" ca="1" si="285"/>
        <v>#N/A</v>
      </c>
      <c r="AP522" s="2" t="e">
        <f t="shared" ca="1" si="286"/>
        <v>#N/A</v>
      </c>
      <c r="AQ522" s="2" t="e">
        <f t="shared" ca="1" si="287"/>
        <v>#N/A</v>
      </c>
      <c r="AR522" s="2" t="e">
        <f t="shared" ca="1" si="288"/>
        <v>#N/A</v>
      </c>
      <c r="AS522" s="2" t="e">
        <f t="shared" ca="1" si="289"/>
        <v>#N/A</v>
      </c>
      <c r="AT522" s="9" t="e">
        <f t="shared" ca="1" si="290"/>
        <v>#N/A</v>
      </c>
      <c r="AU522" s="9" t="e">
        <f t="shared" ca="1" si="291"/>
        <v>#N/A</v>
      </c>
      <c r="AW522" s="2" t="e">
        <f t="shared" ca="1" si="276"/>
        <v>#N/A</v>
      </c>
      <c r="AX522" s="2" t="e">
        <f t="shared" ca="1" si="277"/>
        <v>#N/A</v>
      </c>
      <c r="AY522" s="2" t="e">
        <f t="shared" ca="1" si="278"/>
        <v>#N/A</v>
      </c>
      <c r="AZ522" s="2" t="e">
        <f t="shared" ca="1" si="279"/>
        <v>#N/A</v>
      </c>
      <c r="BA522" s="2" t="e">
        <f t="shared" ca="1" si="280"/>
        <v>#N/A</v>
      </c>
      <c r="BB522" s="2" t="e">
        <f t="shared" ca="1" si="281"/>
        <v>#N/A</v>
      </c>
      <c r="BC522" s="9" t="e">
        <f t="shared" ca="1" si="282"/>
        <v>#N/A</v>
      </c>
      <c r="BD522" s="9" t="e">
        <f t="shared" ca="1" si="283"/>
        <v>#N/A</v>
      </c>
    </row>
    <row r="523" spans="1:56" ht="15" x14ac:dyDescent="0.25">
      <c r="A523" s="63"/>
      <c r="B523" s="63"/>
      <c r="C523" s="64"/>
      <c r="D523" s="64"/>
      <c r="E523" s="64"/>
      <c r="F523" s="64"/>
      <c r="G523" s="64"/>
      <c r="H523" s="64"/>
      <c r="I523" s="64"/>
      <c r="J523" s="64"/>
      <c r="K523" s="64"/>
      <c r="L523" s="64"/>
      <c r="M523" s="64"/>
      <c r="O523" s="11">
        <f t="shared" ca="1" si="269"/>
        <v>-3.9378682616450625E-4</v>
      </c>
      <c r="P523" s="11">
        <f t="shared" ca="1" si="270"/>
        <v>-1.6358405771021967E-4</v>
      </c>
      <c r="Q523" s="11">
        <f t="shared" ca="1" si="271"/>
        <v>-1.614029402377854E-3</v>
      </c>
      <c r="R523" s="11">
        <f t="shared" ca="1" si="272"/>
        <v>-1.4853760121635622E-5</v>
      </c>
      <c r="S523" s="11">
        <f t="shared" ca="1" si="273"/>
        <v>-1.1458026838550334E-3</v>
      </c>
      <c r="T523" s="11">
        <f t="shared" ca="1" si="274"/>
        <v>-4.9053934342410677E-4</v>
      </c>
      <c r="U523" s="11">
        <f t="shared" ca="1" si="275"/>
        <v>-5.5074395654535931E-3</v>
      </c>
      <c r="V523" s="11"/>
      <c r="W523" s="11">
        <f t="shared" ca="1" si="292"/>
        <v>0</v>
      </c>
      <c r="X523" s="2">
        <f t="shared" ca="1" si="293"/>
        <v>-1.6358405771021967E-4</v>
      </c>
      <c r="Y523" s="2">
        <f t="shared" ca="1" si="294"/>
        <v>-1.614029402377854E-3</v>
      </c>
      <c r="Z523" s="11">
        <f t="shared" ca="1" si="295"/>
        <v>-1.4853760121635622E-5</v>
      </c>
      <c r="AA523" s="2">
        <f t="shared" ca="1" si="296"/>
        <v>-1.1458026838550334E-3</v>
      </c>
      <c r="AB523" s="11">
        <f t="shared" ca="1" si="297"/>
        <v>-4.9053934342410677E-4</v>
      </c>
      <c r="AC523" s="2">
        <f t="shared" ca="1" si="298"/>
        <v>-5.5074395654535931E-3</v>
      </c>
      <c r="AF523" s="11">
        <f t="shared" ca="1" si="299"/>
        <v>0</v>
      </c>
      <c r="AG523" s="2">
        <f t="shared" ca="1" si="300"/>
        <v>-1.6358405771021967E-4</v>
      </c>
      <c r="AH523" s="2">
        <f t="shared" ca="1" si="301"/>
        <v>-1.614029402377854E-3</v>
      </c>
      <c r="AI523" s="2">
        <f t="shared" ca="1" si="302"/>
        <v>-1.4853760121635622E-5</v>
      </c>
      <c r="AJ523" s="2">
        <f t="shared" ca="1" si="303"/>
        <v>-1.1458026838550334E-3</v>
      </c>
      <c r="AK523" s="2">
        <f t="shared" ca="1" si="304"/>
        <v>-4.9053934342410677E-4</v>
      </c>
      <c r="AL523" s="2">
        <f t="shared" ca="1" si="305"/>
        <v>-5.5074395654535931E-3</v>
      </c>
      <c r="AN523" s="2" t="e">
        <f t="shared" ca="1" si="284"/>
        <v>#N/A</v>
      </c>
      <c r="AO523" s="2" t="e">
        <f t="shared" ca="1" si="285"/>
        <v>#N/A</v>
      </c>
      <c r="AP523" s="2" t="e">
        <f t="shared" ca="1" si="286"/>
        <v>#N/A</v>
      </c>
      <c r="AQ523" s="2" t="e">
        <f t="shared" ca="1" si="287"/>
        <v>#N/A</v>
      </c>
      <c r="AR523" s="2" t="e">
        <f t="shared" ca="1" si="288"/>
        <v>#N/A</v>
      </c>
      <c r="AS523" s="2" t="e">
        <f t="shared" ca="1" si="289"/>
        <v>#N/A</v>
      </c>
      <c r="AT523" s="9" t="e">
        <f t="shared" ca="1" si="290"/>
        <v>#N/A</v>
      </c>
      <c r="AU523" s="9" t="e">
        <f t="shared" ca="1" si="291"/>
        <v>#N/A</v>
      </c>
      <c r="AW523" s="2" t="e">
        <f t="shared" ca="1" si="276"/>
        <v>#N/A</v>
      </c>
      <c r="AX523" s="2" t="e">
        <f t="shared" ca="1" si="277"/>
        <v>#N/A</v>
      </c>
      <c r="AY523" s="2" t="e">
        <f t="shared" ca="1" si="278"/>
        <v>#N/A</v>
      </c>
      <c r="AZ523" s="2" t="e">
        <f t="shared" ca="1" si="279"/>
        <v>#N/A</v>
      </c>
      <c r="BA523" s="2" t="e">
        <f t="shared" ca="1" si="280"/>
        <v>#N/A</v>
      </c>
      <c r="BB523" s="2" t="e">
        <f t="shared" ca="1" si="281"/>
        <v>#N/A</v>
      </c>
      <c r="BC523" s="9" t="e">
        <f t="shared" ca="1" si="282"/>
        <v>#N/A</v>
      </c>
      <c r="BD523" s="9" t="e">
        <f t="shared" ca="1" si="283"/>
        <v>#N/A</v>
      </c>
    </row>
    <row r="524" spans="1:56" ht="15" x14ac:dyDescent="0.25">
      <c r="A524" s="63"/>
      <c r="B524" s="63"/>
      <c r="C524" s="64"/>
      <c r="D524" s="64"/>
      <c r="E524" s="64"/>
      <c r="F524" s="64"/>
      <c r="G524" s="64"/>
      <c r="H524" s="64"/>
      <c r="I524" s="64"/>
      <c r="J524" s="64"/>
      <c r="K524" s="64"/>
      <c r="L524" s="64"/>
      <c r="M524" s="64"/>
      <c r="N524" s="16"/>
      <c r="O524" s="11">
        <f t="shared" ca="1" si="269"/>
        <v>-3.9378682616450625E-4</v>
      </c>
      <c r="P524" s="11">
        <f t="shared" ca="1" si="270"/>
        <v>-1.6358405771021967E-4</v>
      </c>
      <c r="Q524" s="11">
        <f t="shared" ca="1" si="271"/>
        <v>-1.614029402377854E-3</v>
      </c>
      <c r="R524" s="11">
        <f t="shared" ca="1" si="272"/>
        <v>-1.4853760121635622E-5</v>
      </c>
      <c r="S524" s="11">
        <f t="shared" ca="1" si="273"/>
        <v>-1.1458026838550334E-3</v>
      </c>
      <c r="T524" s="11">
        <f t="shared" ca="1" si="274"/>
        <v>-4.9053934342410677E-4</v>
      </c>
      <c r="U524" s="11">
        <f t="shared" ca="1" si="275"/>
        <v>-5.5074395654535931E-3</v>
      </c>
      <c r="V524" s="11"/>
      <c r="W524" s="11">
        <f t="shared" ca="1" si="292"/>
        <v>0</v>
      </c>
      <c r="X524" s="2">
        <f t="shared" ca="1" si="293"/>
        <v>-1.6358405771021967E-4</v>
      </c>
      <c r="Y524" s="2">
        <f t="shared" ca="1" si="294"/>
        <v>-1.614029402377854E-3</v>
      </c>
      <c r="Z524" s="11">
        <f t="shared" ca="1" si="295"/>
        <v>-1.4853760121635622E-5</v>
      </c>
      <c r="AA524" s="2">
        <f t="shared" ca="1" si="296"/>
        <v>-1.1458026838550334E-3</v>
      </c>
      <c r="AB524" s="11">
        <f t="shared" ca="1" si="297"/>
        <v>-4.9053934342410677E-4</v>
      </c>
      <c r="AC524" s="2">
        <f t="shared" ca="1" si="298"/>
        <v>-5.5074395654535931E-3</v>
      </c>
      <c r="AF524" s="11">
        <f t="shared" ca="1" si="299"/>
        <v>0</v>
      </c>
      <c r="AG524" s="2">
        <f t="shared" ca="1" si="300"/>
        <v>-1.6358405771021967E-4</v>
      </c>
      <c r="AH524" s="2">
        <f t="shared" ca="1" si="301"/>
        <v>-1.614029402377854E-3</v>
      </c>
      <c r="AI524" s="2">
        <f t="shared" ca="1" si="302"/>
        <v>-1.4853760121635622E-5</v>
      </c>
      <c r="AJ524" s="2">
        <f t="shared" ca="1" si="303"/>
        <v>-1.1458026838550334E-3</v>
      </c>
      <c r="AK524" s="2">
        <f t="shared" ca="1" si="304"/>
        <v>-4.9053934342410677E-4</v>
      </c>
      <c r="AL524" s="2">
        <f t="shared" ca="1" si="305"/>
        <v>-5.5074395654535931E-3</v>
      </c>
      <c r="AN524" s="2" t="e">
        <f t="shared" ca="1" si="284"/>
        <v>#N/A</v>
      </c>
      <c r="AO524" s="2" t="e">
        <f t="shared" ca="1" si="285"/>
        <v>#N/A</v>
      </c>
      <c r="AP524" s="2" t="e">
        <f t="shared" ca="1" si="286"/>
        <v>#N/A</v>
      </c>
      <c r="AQ524" s="2" t="e">
        <f t="shared" ca="1" si="287"/>
        <v>#N/A</v>
      </c>
      <c r="AR524" s="2" t="e">
        <f t="shared" ca="1" si="288"/>
        <v>#N/A</v>
      </c>
      <c r="AS524" s="2" t="e">
        <f t="shared" ca="1" si="289"/>
        <v>#N/A</v>
      </c>
      <c r="AT524" s="9" t="e">
        <f t="shared" ca="1" si="290"/>
        <v>#N/A</v>
      </c>
      <c r="AU524" s="9" t="e">
        <f t="shared" ca="1" si="291"/>
        <v>#N/A</v>
      </c>
      <c r="AV524" s="9"/>
      <c r="AW524" s="2" t="e">
        <f t="shared" ca="1" si="276"/>
        <v>#N/A</v>
      </c>
      <c r="AX524" s="2" t="e">
        <f t="shared" ca="1" si="277"/>
        <v>#N/A</v>
      </c>
      <c r="AY524" s="2" t="e">
        <f t="shared" ca="1" si="278"/>
        <v>#N/A</v>
      </c>
      <c r="AZ524" s="2" t="e">
        <f t="shared" ca="1" si="279"/>
        <v>#N/A</v>
      </c>
      <c r="BA524" s="2" t="e">
        <f t="shared" ca="1" si="280"/>
        <v>#N/A</v>
      </c>
      <c r="BB524" s="2" t="e">
        <f t="shared" ca="1" si="281"/>
        <v>#N/A</v>
      </c>
      <c r="BC524" s="9" t="e">
        <f t="shared" ca="1" si="282"/>
        <v>#N/A</v>
      </c>
      <c r="BD524" s="9" t="e">
        <f t="shared" ca="1" si="283"/>
        <v>#N/A</v>
      </c>
    </row>
    <row r="525" spans="1:56" ht="15" x14ac:dyDescent="0.25">
      <c r="A525" s="63"/>
      <c r="B525" s="63"/>
      <c r="C525" s="64"/>
      <c r="D525" s="64"/>
      <c r="E525" s="64"/>
      <c r="F525" s="64"/>
      <c r="G525" s="64"/>
      <c r="H525" s="64"/>
      <c r="I525" s="64"/>
      <c r="J525" s="64"/>
      <c r="K525" s="64"/>
      <c r="L525" s="64"/>
      <c r="M525" s="64"/>
      <c r="N525" s="16"/>
      <c r="O525" s="11">
        <f t="shared" ca="1" si="269"/>
        <v>-3.9378682616450625E-4</v>
      </c>
      <c r="P525" s="11">
        <f t="shared" ca="1" si="270"/>
        <v>-1.6358405771021967E-4</v>
      </c>
      <c r="Q525" s="11">
        <f t="shared" ca="1" si="271"/>
        <v>-1.614029402377854E-3</v>
      </c>
      <c r="R525" s="11">
        <f t="shared" ca="1" si="272"/>
        <v>-1.4853760121635622E-5</v>
      </c>
      <c r="S525" s="11">
        <f t="shared" ca="1" si="273"/>
        <v>-1.1458026838550334E-3</v>
      </c>
      <c r="T525" s="11">
        <f t="shared" ca="1" si="274"/>
        <v>-4.9053934342410677E-4</v>
      </c>
      <c r="U525" s="11">
        <f t="shared" ca="1" si="275"/>
        <v>-5.5074395654535931E-3</v>
      </c>
      <c r="V525" s="11"/>
      <c r="W525" s="11">
        <f t="shared" ca="1" si="292"/>
        <v>0</v>
      </c>
      <c r="X525" s="2">
        <f t="shared" ca="1" si="293"/>
        <v>-1.6358405771021967E-4</v>
      </c>
      <c r="Y525" s="2">
        <f t="shared" ca="1" si="294"/>
        <v>-1.614029402377854E-3</v>
      </c>
      <c r="Z525" s="11">
        <f t="shared" ca="1" si="295"/>
        <v>-1.4853760121635622E-5</v>
      </c>
      <c r="AA525" s="2">
        <f t="shared" ca="1" si="296"/>
        <v>-1.1458026838550334E-3</v>
      </c>
      <c r="AB525" s="11">
        <f t="shared" ca="1" si="297"/>
        <v>-4.9053934342410677E-4</v>
      </c>
      <c r="AC525" s="2">
        <f t="shared" ca="1" si="298"/>
        <v>-5.5074395654535931E-3</v>
      </c>
      <c r="AF525" s="11">
        <f t="shared" ca="1" si="299"/>
        <v>0</v>
      </c>
      <c r="AG525" s="2">
        <f t="shared" ca="1" si="300"/>
        <v>-1.6358405771021967E-4</v>
      </c>
      <c r="AH525" s="2">
        <f t="shared" ca="1" si="301"/>
        <v>-1.614029402377854E-3</v>
      </c>
      <c r="AI525" s="2">
        <f t="shared" ca="1" si="302"/>
        <v>-1.4853760121635622E-5</v>
      </c>
      <c r="AJ525" s="2">
        <f t="shared" ca="1" si="303"/>
        <v>-1.1458026838550334E-3</v>
      </c>
      <c r="AK525" s="2">
        <f t="shared" ca="1" si="304"/>
        <v>-4.9053934342410677E-4</v>
      </c>
      <c r="AL525" s="2">
        <f t="shared" ca="1" si="305"/>
        <v>-5.5074395654535931E-3</v>
      </c>
      <c r="AN525" s="2" t="e">
        <f t="shared" ca="1" si="284"/>
        <v>#N/A</v>
      </c>
      <c r="AO525" s="2" t="e">
        <f t="shared" ca="1" si="285"/>
        <v>#N/A</v>
      </c>
      <c r="AP525" s="2" t="e">
        <f t="shared" ca="1" si="286"/>
        <v>#N/A</v>
      </c>
      <c r="AQ525" s="2" t="e">
        <f t="shared" ca="1" si="287"/>
        <v>#N/A</v>
      </c>
      <c r="AR525" s="2" t="e">
        <f t="shared" ca="1" si="288"/>
        <v>#N/A</v>
      </c>
      <c r="AS525" s="2" t="e">
        <f t="shared" ca="1" si="289"/>
        <v>#N/A</v>
      </c>
      <c r="AT525" s="9" t="e">
        <f t="shared" ca="1" si="290"/>
        <v>#N/A</v>
      </c>
      <c r="AU525" s="9" t="e">
        <f t="shared" ca="1" si="291"/>
        <v>#N/A</v>
      </c>
      <c r="AV525" s="9"/>
      <c r="AW525" s="2" t="e">
        <f t="shared" ca="1" si="276"/>
        <v>#N/A</v>
      </c>
      <c r="AX525" s="2" t="e">
        <f t="shared" ca="1" si="277"/>
        <v>#N/A</v>
      </c>
      <c r="AY525" s="2" t="e">
        <f t="shared" ca="1" si="278"/>
        <v>#N/A</v>
      </c>
      <c r="AZ525" s="2" t="e">
        <f t="shared" ca="1" si="279"/>
        <v>#N/A</v>
      </c>
      <c r="BA525" s="2" t="e">
        <f t="shared" ca="1" si="280"/>
        <v>#N/A</v>
      </c>
      <c r="BB525" s="2" t="e">
        <f t="shared" ca="1" si="281"/>
        <v>#N/A</v>
      </c>
      <c r="BC525" s="9" t="e">
        <f t="shared" ca="1" si="282"/>
        <v>#N/A</v>
      </c>
      <c r="BD525" s="9" t="e">
        <f t="shared" ca="1" si="283"/>
        <v>#N/A</v>
      </c>
    </row>
    <row r="526" spans="1:56" ht="15" x14ac:dyDescent="0.25">
      <c r="A526" s="63"/>
      <c r="B526" s="63"/>
      <c r="C526" s="64"/>
      <c r="D526" s="64"/>
      <c r="E526" s="64"/>
      <c r="F526" s="64"/>
      <c r="G526" s="64"/>
      <c r="H526" s="64"/>
      <c r="I526" s="64"/>
      <c r="J526" s="64"/>
      <c r="K526" s="64"/>
      <c r="L526" s="64"/>
      <c r="M526" s="64"/>
      <c r="N526" s="16"/>
      <c r="O526" s="11">
        <f t="shared" ca="1" si="269"/>
        <v>-3.9378682616450625E-4</v>
      </c>
      <c r="P526" s="11">
        <f t="shared" ca="1" si="270"/>
        <v>-1.6358405771021967E-4</v>
      </c>
      <c r="Q526" s="11">
        <f t="shared" ca="1" si="271"/>
        <v>-1.614029402377854E-3</v>
      </c>
      <c r="R526" s="11">
        <f t="shared" ca="1" si="272"/>
        <v>-1.4853760121635622E-5</v>
      </c>
      <c r="S526" s="11">
        <f t="shared" ca="1" si="273"/>
        <v>-1.1458026838550334E-3</v>
      </c>
      <c r="T526" s="11">
        <f t="shared" ca="1" si="274"/>
        <v>-4.9053934342410677E-4</v>
      </c>
      <c r="U526" s="11">
        <f t="shared" ca="1" si="275"/>
        <v>-5.5074395654535931E-3</v>
      </c>
      <c r="V526" s="11"/>
      <c r="W526" s="11">
        <f t="shared" ca="1" si="292"/>
        <v>0</v>
      </c>
      <c r="X526" s="2">
        <f t="shared" ca="1" si="293"/>
        <v>-1.6358405771021967E-4</v>
      </c>
      <c r="Y526" s="2">
        <f t="shared" ca="1" si="294"/>
        <v>-1.614029402377854E-3</v>
      </c>
      <c r="Z526" s="11">
        <f t="shared" ca="1" si="295"/>
        <v>-1.4853760121635622E-5</v>
      </c>
      <c r="AA526" s="2">
        <f t="shared" ca="1" si="296"/>
        <v>-1.1458026838550334E-3</v>
      </c>
      <c r="AB526" s="11">
        <f t="shared" ca="1" si="297"/>
        <v>-4.9053934342410677E-4</v>
      </c>
      <c r="AC526" s="2">
        <f t="shared" ca="1" si="298"/>
        <v>-5.5074395654535931E-3</v>
      </c>
      <c r="AF526" s="11">
        <f t="shared" ca="1" si="299"/>
        <v>0</v>
      </c>
      <c r="AG526" s="2">
        <f t="shared" ca="1" si="300"/>
        <v>-1.6358405771021967E-4</v>
      </c>
      <c r="AH526" s="2">
        <f t="shared" ca="1" si="301"/>
        <v>-1.614029402377854E-3</v>
      </c>
      <c r="AI526" s="2">
        <f t="shared" ca="1" si="302"/>
        <v>-1.4853760121635622E-5</v>
      </c>
      <c r="AJ526" s="2">
        <f t="shared" ca="1" si="303"/>
        <v>-1.1458026838550334E-3</v>
      </c>
      <c r="AK526" s="2">
        <f t="shared" ca="1" si="304"/>
        <v>-4.9053934342410677E-4</v>
      </c>
      <c r="AL526" s="2">
        <f t="shared" ca="1" si="305"/>
        <v>-5.5074395654535931E-3</v>
      </c>
      <c r="AN526" s="2" t="e">
        <f t="shared" ca="1" si="284"/>
        <v>#N/A</v>
      </c>
      <c r="AO526" s="2" t="e">
        <f t="shared" ca="1" si="285"/>
        <v>#N/A</v>
      </c>
      <c r="AP526" s="2" t="e">
        <f t="shared" ca="1" si="286"/>
        <v>#N/A</v>
      </c>
      <c r="AQ526" s="2" t="e">
        <f t="shared" ca="1" si="287"/>
        <v>#N/A</v>
      </c>
      <c r="AR526" s="2" t="e">
        <f t="shared" ca="1" si="288"/>
        <v>#N/A</v>
      </c>
      <c r="AS526" s="2" t="e">
        <f t="shared" ca="1" si="289"/>
        <v>#N/A</v>
      </c>
      <c r="AT526" s="9" t="e">
        <f t="shared" ca="1" si="290"/>
        <v>#N/A</v>
      </c>
      <c r="AU526" s="9" t="e">
        <f t="shared" ca="1" si="291"/>
        <v>#N/A</v>
      </c>
      <c r="AV526" s="9"/>
      <c r="AW526" s="2" t="e">
        <f t="shared" ca="1" si="276"/>
        <v>#N/A</v>
      </c>
      <c r="AX526" s="2" t="e">
        <f t="shared" ca="1" si="277"/>
        <v>#N/A</v>
      </c>
      <c r="AY526" s="2" t="e">
        <f t="shared" ca="1" si="278"/>
        <v>#N/A</v>
      </c>
      <c r="AZ526" s="2" t="e">
        <f t="shared" ca="1" si="279"/>
        <v>#N/A</v>
      </c>
      <c r="BA526" s="2" t="e">
        <f t="shared" ca="1" si="280"/>
        <v>#N/A</v>
      </c>
      <c r="BB526" s="2" t="e">
        <f t="shared" ca="1" si="281"/>
        <v>#N/A</v>
      </c>
      <c r="BC526" s="9" t="e">
        <f t="shared" ca="1" si="282"/>
        <v>#N/A</v>
      </c>
      <c r="BD526" s="9" t="e">
        <f t="shared" ca="1" si="283"/>
        <v>#N/A</v>
      </c>
    </row>
    <row r="527" spans="1:56" ht="15" x14ac:dyDescent="0.25">
      <c r="A527" s="63"/>
      <c r="B527" s="63"/>
      <c r="C527" s="64"/>
      <c r="D527" s="64"/>
      <c r="E527" s="64"/>
      <c r="F527" s="64"/>
      <c r="G527" s="64"/>
      <c r="H527" s="64"/>
      <c r="I527" s="64"/>
      <c r="J527" s="64"/>
      <c r="K527" s="64"/>
      <c r="L527" s="64"/>
      <c r="M527" s="64"/>
      <c r="N527" s="16"/>
      <c r="O527" s="11">
        <f t="shared" ca="1" si="269"/>
        <v>-3.9378682616450625E-4</v>
      </c>
      <c r="P527" s="11">
        <f t="shared" ca="1" si="270"/>
        <v>-1.6358405771021967E-4</v>
      </c>
      <c r="Q527" s="11">
        <f t="shared" ca="1" si="271"/>
        <v>-1.614029402377854E-3</v>
      </c>
      <c r="R527" s="11">
        <f t="shared" ca="1" si="272"/>
        <v>-1.4853760121635622E-5</v>
      </c>
      <c r="S527" s="11">
        <f t="shared" ca="1" si="273"/>
        <v>-1.1458026838550334E-3</v>
      </c>
      <c r="T527" s="11">
        <f t="shared" ca="1" si="274"/>
        <v>-4.9053934342410677E-4</v>
      </c>
      <c r="U527" s="11">
        <f t="shared" ca="1" si="275"/>
        <v>-5.5074395654535931E-3</v>
      </c>
      <c r="V527" s="11"/>
      <c r="W527" s="11">
        <f t="shared" ca="1" si="292"/>
        <v>0</v>
      </c>
      <c r="X527" s="2">
        <f t="shared" ca="1" si="293"/>
        <v>-1.6358405771021967E-4</v>
      </c>
      <c r="Y527" s="2">
        <f t="shared" ca="1" si="294"/>
        <v>-1.614029402377854E-3</v>
      </c>
      <c r="Z527" s="11">
        <f t="shared" ca="1" si="295"/>
        <v>-1.4853760121635622E-5</v>
      </c>
      <c r="AA527" s="2">
        <f t="shared" ca="1" si="296"/>
        <v>-1.1458026838550334E-3</v>
      </c>
      <c r="AB527" s="11">
        <f t="shared" ca="1" si="297"/>
        <v>-4.9053934342410677E-4</v>
      </c>
      <c r="AC527" s="2">
        <f t="shared" ca="1" si="298"/>
        <v>-5.5074395654535931E-3</v>
      </c>
      <c r="AF527" s="11">
        <f t="shared" ca="1" si="299"/>
        <v>0</v>
      </c>
      <c r="AG527" s="2">
        <f t="shared" ca="1" si="300"/>
        <v>-1.6358405771021967E-4</v>
      </c>
      <c r="AH527" s="2">
        <f t="shared" ca="1" si="301"/>
        <v>-1.614029402377854E-3</v>
      </c>
      <c r="AI527" s="2">
        <f t="shared" ca="1" si="302"/>
        <v>-1.4853760121635622E-5</v>
      </c>
      <c r="AJ527" s="2">
        <f t="shared" ca="1" si="303"/>
        <v>-1.1458026838550334E-3</v>
      </c>
      <c r="AK527" s="2">
        <f t="shared" ca="1" si="304"/>
        <v>-4.9053934342410677E-4</v>
      </c>
      <c r="AL527" s="2">
        <f t="shared" ca="1" si="305"/>
        <v>-5.5074395654535931E-3</v>
      </c>
      <c r="AN527" s="2" t="e">
        <f t="shared" ca="1" si="284"/>
        <v>#N/A</v>
      </c>
      <c r="AO527" s="2" t="e">
        <f t="shared" ca="1" si="285"/>
        <v>#N/A</v>
      </c>
      <c r="AP527" s="2" t="e">
        <f t="shared" ca="1" si="286"/>
        <v>#N/A</v>
      </c>
      <c r="AQ527" s="2" t="e">
        <f t="shared" ca="1" si="287"/>
        <v>#N/A</v>
      </c>
      <c r="AR527" s="2" t="e">
        <f t="shared" ca="1" si="288"/>
        <v>#N/A</v>
      </c>
      <c r="AS527" s="2" t="e">
        <f t="shared" ca="1" si="289"/>
        <v>#N/A</v>
      </c>
      <c r="AT527" s="9" t="e">
        <f t="shared" ca="1" si="290"/>
        <v>#N/A</v>
      </c>
      <c r="AU527" s="9" t="e">
        <f t="shared" ca="1" si="291"/>
        <v>#N/A</v>
      </c>
      <c r="AV527" s="9"/>
      <c r="AW527" s="2" t="e">
        <f t="shared" ca="1" si="276"/>
        <v>#N/A</v>
      </c>
      <c r="AX527" s="2" t="e">
        <f t="shared" ca="1" si="277"/>
        <v>#N/A</v>
      </c>
      <c r="AY527" s="2" t="e">
        <f t="shared" ca="1" si="278"/>
        <v>#N/A</v>
      </c>
      <c r="AZ527" s="2" t="e">
        <f t="shared" ca="1" si="279"/>
        <v>#N/A</v>
      </c>
      <c r="BA527" s="2" t="e">
        <f t="shared" ca="1" si="280"/>
        <v>#N/A</v>
      </c>
      <c r="BB527" s="2" t="e">
        <f t="shared" ca="1" si="281"/>
        <v>#N/A</v>
      </c>
      <c r="BC527" s="9" t="e">
        <f t="shared" ca="1" si="282"/>
        <v>#N/A</v>
      </c>
      <c r="BD527" s="9" t="e">
        <f t="shared" ca="1" si="283"/>
        <v>#N/A</v>
      </c>
    </row>
    <row r="528" spans="1:56" ht="15" x14ac:dyDescent="0.25">
      <c r="A528" s="63"/>
      <c r="B528" s="63"/>
      <c r="C528" s="64"/>
      <c r="D528" s="64"/>
      <c r="E528" s="64"/>
      <c r="F528" s="64"/>
      <c r="G528" s="64"/>
      <c r="H528" s="64"/>
      <c r="I528" s="64"/>
      <c r="J528" s="64"/>
      <c r="K528" s="64"/>
      <c r="L528" s="64"/>
      <c r="M528" s="64"/>
      <c r="N528" s="16"/>
      <c r="O528" s="11">
        <f t="shared" ca="1" si="269"/>
        <v>-3.9378682616450625E-4</v>
      </c>
      <c r="P528" s="11">
        <f t="shared" ca="1" si="270"/>
        <v>-1.6358405771021967E-4</v>
      </c>
      <c r="Q528" s="11">
        <f t="shared" ca="1" si="271"/>
        <v>-1.614029402377854E-3</v>
      </c>
      <c r="R528" s="11">
        <f t="shared" ca="1" si="272"/>
        <v>-1.4853760121635622E-5</v>
      </c>
      <c r="S528" s="11">
        <f t="shared" ca="1" si="273"/>
        <v>-1.1458026838550334E-3</v>
      </c>
      <c r="T528" s="11">
        <f t="shared" ca="1" si="274"/>
        <v>-4.9053934342410677E-4</v>
      </c>
      <c r="U528" s="11">
        <f t="shared" ca="1" si="275"/>
        <v>-5.5074395654535931E-3</v>
      </c>
      <c r="V528" s="11"/>
      <c r="W528" s="11">
        <f t="shared" ca="1" si="292"/>
        <v>0</v>
      </c>
      <c r="X528" s="2">
        <f t="shared" ca="1" si="293"/>
        <v>-1.6358405771021967E-4</v>
      </c>
      <c r="Y528" s="2">
        <f t="shared" ca="1" si="294"/>
        <v>-1.614029402377854E-3</v>
      </c>
      <c r="Z528" s="11">
        <f t="shared" ca="1" si="295"/>
        <v>-1.4853760121635622E-5</v>
      </c>
      <c r="AA528" s="2">
        <f t="shared" ca="1" si="296"/>
        <v>-1.1458026838550334E-3</v>
      </c>
      <c r="AB528" s="11">
        <f t="shared" ca="1" si="297"/>
        <v>-4.9053934342410677E-4</v>
      </c>
      <c r="AC528" s="2">
        <f t="shared" ca="1" si="298"/>
        <v>-5.5074395654535931E-3</v>
      </c>
      <c r="AF528" s="11">
        <f t="shared" ca="1" si="299"/>
        <v>0</v>
      </c>
      <c r="AG528" s="2">
        <f t="shared" ca="1" si="300"/>
        <v>-1.6358405771021967E-4</v>
      </c>
      <c r="AH528" s="2">
        <f t="shared" ca="1" si="301"/>
        <v>-1.614029402377854E-3</v>
      </c>
      <c r="AI528" s="2">
        <f t="shared" ca="1" si="302"/>
        <v>-1.4853760121635622E-5</v>
      </c>
      <c r="AJ528" s="2">
        <f t="shared" ca="1" si="303"/>
        <v>-1.1458026838550334E-3</v>
      </c>
      <c r="AK528" s="2">
        <f t="shared" ca="1" si="304"/>
        <v>-4.9053934342410677E-4</v>
      </c>
      <c r="AL528" s="2">
        <f t="shared" ca="1" si="305"/>
        <v>-5.5074395654535931E-3</v>
      </c>
      <c r="AN528" s="2" t="e">
        <f t="shared" ca="1" si="284"/>
        <v>#N/A</v>
      </c>
      <c r="AO528" s="2" t="e">
        <f t="shared" ca="1" si="285"/>
        <v>#N/A</v>
      </c>
      <c r="AP528" s="2" t="e">
        <f t="shared" ca="1" si="286"/>
        <v>#N/A</v>
      </c>
      <c r="AQ528" s="2" t="e">
        <f t="shared" ca="1" si="287"/>
        <v>#N/A</v>
      </c>
      <c r="AR528" s="2" t="e">
        <f t="shared" ca="1" si="288"/>
        <v>#N/A</v>
      </c>
      <c r="AS528" s="2" t="e">
        <f t="shared" ca="1" si="289"/>
        <v>#N/A</v>
      </c>
      <c r="AT528" s="9" t="e">
        <f t="shared" ca="1" si="290"/>
        <v>#N/A</v>
      </c>
      <c r="AU528" s="9" t="e">
        <f t="shared" ca="1" si="291"/>
        <v>#N/A</v>
      </c>
      <c r="AV528" s="9"/>
      <c r="AW528" s="2" t="e">
        <f t="shared" ca="1" si="276"/>
        <v>#N/A</v>
      </c>
      <c r="AX528" s="2" t="e">
        <f t="shared" ca="1" si="277"/>
        <v>#N/A</v>
      </c>
      <c r="AY528" s="2" t="e">
        <f t="shared" ca="1" si="278"/>
        <v>#N/A</v>
      </c>
      <c r="AZ528" s="2" t="e">
        <f t="shared" ca="1" si="279"/>
        <v>#N/A</v>
      </c>
      <c r="BA528" s="2" t="e">
        <f t="shared" ca="1" si="280"/>
        <v>#N/A</v>
      </c>
      <c r="BB528" s="2" t="e">
        <f t="shared" ca="1" si="281"/>
        <v>#N/A</v>
      </c>
      <c r="BC528" s="9" t="e">
        <f t="shared" ca="1" si="282"/>
        <v>#N/A</v>
      </c>
      <c r="BD528" s="9" t="e">
        <f t="shared" ca="1" si="283"/>
        <v>#N/A</v>
      </c>
    </row>
    <row r="529" spans="1:56" ht="15" x14ac:dyDescent="0.25">
      <c r="A529" s="63"/>
      <c r="B529" s="63"/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16"/>
      <c r="O529" s="11">
        <f t="shared" ca="1" si="269"/>
        <v>-3.9378682616450625E-4</v>
      </c>
      <c r="P529" s="11">
        <f t="shared" ca="1" si="270"/>
        <v>-1.6358405771021967E-4</v>
      </c>
      <c r="Q529" s="11">
        <f t="shared" ca="1" si="271"/>
        <v>-1.614029402377854E-3</v>
      </c>
      <c r="R529" s="11">
        <f t="shared" ca="1" si="272"/>
        <v>-1.4853760121635622E-5</v>
      </c>
      <c r="S529" s="11">
        <f t="shared" ca="1" si="273"/>
        <v>-1.1458026838550334E-3</v>
      </c>
      <c r="T529" s="11">
        <f t="shared" ca="1" si="274"/>
        <v>-4.9053934342410677E-4</v>
      </c>
      <c r="U529" s="11">
        <f t="shared" ca="1" si="275"/>
        <v>-5.5074395654535931E-3</v>
      </c>
      <c r="V529" s="11"/>
      <c r="W529" s="11">
        <f t="shared" ca="1" si="292"/>
        <v>0</v>
      </c>
      <c r="X529" s="2">
        <f t="shared" ca="1" si="293"/>
        <v>-1.6358405771021967E-4</v>
      </c>
      <c r="Y529" s="2">
        <f t="shared" ca="1" si="294"/>
        <v>-1.614029402377854E-3</v>
      </c>
      <c r="Z529" s="11">
        <f t="shared" ca="1" si="295"/>
        <v>-1.4853760121635622E-5</v>
      </c>
      <c r="AA529" s="2">
        <f t="shared" ca="1" si="296"/>
        <v>-1.1458026838550334E-3</v>
      </c>
      <c r="AB529" s="11">
        <f t="shared" ca="1" si="297"/>
        <v>-4.9053934342410677E-4</v>
      </c>
      <c r="AC529" s="2">
        <f t="shared" ca="1" si="298"/>
        <v>-5.5074395654535931E-3</v>
      </c>
      <c r="AF529" s="11">
        <f t="shared" ca="1" si="299"/>
        <v>0</v>
      </c>
      <c r="AG529" s="2">
        <f t="shared" ca="1" si="300"/>
        <v>-1.6358405771021967E-4</v>
      </c>
      <c r="AH529" s="2">
        <f t="shared" ca="1" si="301"/>
        <v>-1.614029402377854E-3</v>
      </c>
      <c r="AI529" s="2">
        <f t="shared" ca="1" si="302"/>
        <v>-1.4853760121635622E-5</v>
      </c>
      <c r="AJ529" s="2">
        <f t="shared" ca="1" si="303"/>
        <v>-1.1458026838550334E-3</v>
      </c>
      <c r="AK529" s="2">
        <f t="shared" ca="1" si="304"/>
        <v>-4.9053934342410677E-4</v>
      </c>
      <c r="AL529" s="2">
        <f t="shared" ca="1" si="305"/>
        <v>-5.5074395654535931E-3</v>
      </c>
      <c r="AN529" s="2" t="e">
        <f t="shared" ca="1" si="284"/>
        <v>#N/A</v>
      </c>
      <c r="AO529" s="2" t="e">
        <f t="shared" ca="1" si="285"/>
        <v>#N/A</v>
      </c>
      <c r="AP529" s="2" t="e">
        <f t="shared" ca="1" si="286"/>
        <v>#N/A</v>
      </c>
      <c r="AQ529" s="2" t="e">
        <f t="shared" ca="1" si="287"/>
        <v>#N/A</v>
      </c>
      <c r="AR529" s="2" t="e">
        <f t="shared" ca="1" si="288"/>
        <v>#N/A</v>
      </c>
      <c r="AS529" s="2" t="e">
        <f t="shared" ca="1" si="289"/>
        <v>#N/A</v>
      </c>
      <c r="AT529" s="9" t="e">
        <f t="shared" ca="1" si="290"/>
        <v>#N/A</v>
      </c>
      <c r="AU529" s="9" t="e">
        <f t="shared" ca="1" si="291"/>
        <v>#N/A</v>
      </c>
      <c r="AV529" s="9"/>
      <c r="AW529" s="2" t="e">
        <f t="shared" ca="1" si="276"/>
        <v>#N/A</v>
      </c>
      <c r="AX529" s="2" t="e">
        <f t="shared" ca="1" si="277"/>
        <v>#N/A</v>
      </c>
      <c r="AY529" s="2" t="e">
        <f t="shared" ca="1" si="278"/>
        <v>#N/A</v>
      </c>
      <c r="AZ529" s="2" t="e">
        <f t="shared" ca="1" si="279"/>
        <v>#N/A</v>
      </c>
      <c r="BA529" s="2" t="e">
        <f t="shared" ca="1" si="280"/>
        <v>#N/A</v>
      </c>
      <c r="BB529" s="2" t="e">
        <f t="shared" ca="1" si="281"/>
        <v>#N/A</v>
      </c>
      <c r="BC529" s="9" t="e">
        <f t="shared" ca="1" si="282"/>
        <v>#N/A</v>
      </c>
      <c r="BD529" s="9" t="e">
        <f t="shared" ca="1" si="283"/>
        <v>#N/A</v>
      </c>
    </row>
    <row r="530" spans="1:56" ht="15" x14ac:dyDescent="0.25">
      <c r="A530" s="63"/>
      <c r="B530" s="63"/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16"/>
      <c r="O530" s="11">
        <f t="shared" ref="O530:O593" ca="1" si="306">C530-AVERAGE(OFFSET(C$67,$J$2,0,$J$3))</f>
        <v>-3.9378682616450625E-4</v>
      </c>
      <c r="P530" s="11">
        <f t="shared" ref="P530:P593" ca="1" si="307">D530-AVERAGE(OFFSET(D$67,$J$2,0,$J$3))</f>
        <v>-1.6358405771021967E-4</v>
      </c>
      <c r="Q530" s="11">
        <f t="shared" ref="Q530:Q593" ca="1" si="308">E530-AVERAGE(OFFSET(E$67,$J$2,0,$J$3))</f>
        <v>-1.614029402377854E-3</v>
      </c>
      <c r="R530" s="11">
        <f t="shared" ref="R530:R593" ca="1" si="309">F530-AVERAGE(OFFSET(F$67,$J$2,0,$J$3))</f>
        <v>-1.4853760121635622E-5</v>
      </c>
      <c r="S530" s="11">
        <f t="shared" ref="S530:S593" ca="1" si="310">G530-AVERAGE(OFFSET(G$67,$J$2,0,$J$3))</f>
        <v>-1.1458026838550334E-3</v>
      </c>
      <c r="T530" s="11">
        <f t="shared" ref="T530:T593" ca="1" si="311">H530-AVERAGE(OFFSET(H$67,$J$2,0,$J$3))</f>
        <v>-4.9053934342410677E-4</v>
      </c>
      <c r="U530" s="11">
        <f t="shared" ref="U530:U593" ca="1" si="312">I530-AVERAGE(OFFSET(I$67,$J$2,0,$J$3))</f>
        <v>-5.5074395654535931E-3</v>
      </c>
      <c r="V530" s="11"/>
      <c r="W530" s="11">
        <f t="shared" ca="1" si="292"/>
        <v>0</v>
      </c>
      <c r="X530" s="2">
        <f t="shared" ca="1" si="293"/>
        <v>-1.6358405771021967E-4</v>
      </c>
      <c r="Y530" s="2">
        <f t="shared" ca="1" si="294"/>
        <v>-1.614029402377854E-3</v>
      </c>
      <c r="Z530" s="11">
        <f t="shared" ca="1" si="295"/>
        <v>-1.4853760121635622E-5</v>
      </c>
      <c r="AA530" s="2">
        <f t="shared" ca="1" si="296"/>
        <v>-1.1458026838550334E-3</v>
      </c>
      <c r="AB530" s="11">
        <f t="shared" ca="1" si="297"/>
        <v>-4.9053934342410677E-4</v>
      </c>
      <c r="AC530" s="2">
        <f t="shared" ca="1" si="298"/>
        <v>-5.5074395654535931E-3</v>
      </c>
      <c r="AF530" s="11">
        <f t="shared" ca="1" si="299"/>
        <v>0</v>
      </c>
      <c r="AG530" s="2">
        <f t="shared" ca="1" si="300"/>
        <v>-1.6358405771021967E-4</v>
      </c>
      <c r="AH530" s="2">
        <f t="shared" ca="1" si="301"/>
        <v>-1.614029402377854E-3</v>
      </c>
      <c r="AI530" s="2">
        <f t="shared" ca="1" si="302"/>
        <v>-1.4853760121635622E-5</v>
      </c>
      <c r="AJ530" s="2">
        <f t="shared" ca="1" si="303"/>
        <v>-1.1458026838550334E-3</v>
      </c>
      <c r="AK530" s="2">
        <f t="shared" ca="1" si="304"/>
        <v>-4.9053934342410677E-4</v>
      </c>
      <c r="AL530" s="2">
        <f t="shared" ca="1" si="305"/>
        <v>-5.5074395654535931E-3</v>
      </c>
      <c r="AN530" s="2" t="e">
        <f t="shared" ca="1" si="284"/>
        <v>#N/A</v>
      </c>
      <c r="AO530" s="2" t="e">
        <f t="shared" ca="1" si="285"/>
        <v>#N/A</v>
      </c>
      <c r="AP530" s="2" t="e">
        <f t="shared" ca="1" si="286"/>
        <v>#N/A</v>
      </c>
      <c r="AQ530" s="2" t="e">
        <f t="shared" ca="1" si="287"/>
        <v>#N/A</v>
      </c>
      <c r="AR530" s="2" t="e">
        <f t="shared" ca="1" si="288"/>
        <v>#N/A</v>
      </c>
      <c r="AS530" s="2" t="e">
        <f t="shared" ca="1" si="289"/>
        <v>#N/A</v>
      </c>
      <c r="AT530" s="9" t="e">
        <f t="shared" ca="1" si="290"/>
        <v>#N/A</v>
      </c>
      <c r="AU530" s="9" t="e">
        <f t="shared" ca="1" si="291"/>
        <v>#N/A</v>
      </c>
      <c r="AV530" s="9"/>
      <c r="AW530" s="2" t="e">
        <f t="shared" ca="1" si="276"/>
        <v>#N/A</v>
      </c>
      <c r="AX530" s="2" t="e">
        <f t="shared" ca="1" si="277"/>
        <v>#N/A</v>
      </c>
      <c r="AY530" s="2" t="e">
        <f t="shared" ca="1" si="278"/>
        <v>#N/A</v>
      </c>
      <c r="AZ530" s="2" t="e">
        <f t="shared" ca="1" si="279"/>
        <v>#N/A</v>
      </c>
      <c r="BA530" s="2" t="e">
        <f t="shared" ca="1" si="280"/>
        <v>#N/A</v>
      </c>
      <c r="BB530" s="2" t="e">
        <f t="shared" ca="1" si="281"/>
        <v>#N/A</v>
      </c>
      <c r="BC530" s="9" t="e">
        <f t="shared" ca="1" si="282"/>
        <v>#N/A</v>
      </c>
      <c r="BD530" s="9" t="e">
        <f t="shared" ca="1" si="283"/>
        <v>#N/A</v>
      </c>
    </row>
    <row r="531" spans="1:56" ht="15" x14ac:dyDescent="0.25">
      <c r="A531" s="63"/>
      <c r="B531" s="63"/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16"/>
      <c r="O531" s="11">
        <f t="shared" ca="1" si="306"/>
        <v>-3.9378682616450625E-4</v>
      </c>
      <c r="P531" s="11">
        <f t="shared" ca="1" si="307"/>
        <v>-1.6358405771021967E-4</v>
      </c>
      <c r="Q531" s="11">
        <f t="shared" ca="1" si="308"/>
        <v>-1.614029402377854E-3</v>
      </c>
      <c r="R531" s="11">
        <f t="shared" ca="1" si="309"/>
        <v>-1.4853760121635622E-5</v>
      </c>
      <c r="S531" s="11">
        <f t="shared" ca="1" si="310"/>
        <v>-1.1458026838550334E-3</v>
      </c>
      <c r="T531" s="11">
        <f t="shared" ca="1" si="311"/>
        <v>-4.9053934342410677E-4</v>
      </c>
      <c r="U531" s="11">
        <f t="shared" ca="1" si="312"/>
        <v>-5.5074395654535931E-3</v>
      </c>
      <c r="V531" s="11"/>
      <c r="W531" s="11">
        <f t="shared" ca="1" si="292"/>
        <v>0</v>
      </c>
      <c r="X531" s="2">
        <f t="shared" ca="1" si="293"/>
        <v>-1.6358405771021967E-4</v>
      </c>
      <c r="Y531" s="2">
        <f t="shared" ca="1" si="294"/>
        <v>-1.614029402377854E-3</v>
      </c>
      <c r="Z531" s="11">
        <f t="shared" ca="1" si="295"/>
        <v>-1.4853760121635622E-5</v>
      </c>
      <c r="AA531" s="2">
        <f t="shared" ca="1" si="296"/>
        <v>-1.1458026838550334E-3</v>
      </c>
      <c r="AB531" s="11">
        <f t="shared" ca="1" si="297"/>
        <v>-4.9053934342410677E-4</v>
      </c>
      <c r="AC531" s="2">
        <f t="shared" ca="1" si="298"/>
        <v>-5.5074395654535931E-3</v>
      </c>
      <c r="AF531" s="11">
        <f t="shared" ca="1" si="299"/>
        <v>0</v>
      </c>
      <c r="AG531" s="2">
        <f t="shared" ca="1" si="300"/>
        <v>-1.6358405771021967E-4</v>
      </c>
      <c r="AH531" s="2">
        <f t="shared" ca="1" si="301"/>
        <v>-1.614029402377854E-3</v>
      </c>
      <c r="AI531" s="2">
        <f t="shared" ca="1" si="302"/>
        <v>-1.4853760121635622E-5</v>
      </c>
      <c r="AJ531" s="2">
        <f t="shared" ca="1" si="303"/>
        <v>-1.1458026838550334E-3</v>
      </c>
      <c r="AK531" s="2">
        <f t="shared" ca="1" si="304"/>
        <v>-4.9053934342410677E-4</v>
      </c>
      <c r="AL531" s="2">
        <f t="shared" ca="1" si="305"/>
        <v>-5.5074395654535931E-3</v>
      </c>
      <c r="AN531" s="2" t="e">
        <f t="shared" ca="1" si="284"/>
        <v>#N/A</v>
      </c>
      <c r="AO531" s="2" t="e">
        <f t="shared" ca="1" si="285"/>
        <v>#N/A</v>
      </c>
      <c r="AP531" s="2" t="e">
        <f t="shared" ca="1" si="286"/>
        <v>#N/A</v>
      </c>
      <c r="AQ531" s="2" t="e">
        <f t="shared" ca="1" si="287"/>
        <v>#N/A</v>
      </c>
      <c r="AR531" s="2" t="e">
        <f t="shared" ca="1" si="288"/>
        <v>#N/A</v>
      </c>
      <c r="AS531" s="2" t="e">
        <f t="shared" ca="1" si="289"/>
        <v>#N/A</v>
      </c>
      <c r="AT531" s="9" t="e">
        <f t="shared" ca="1" si="290"/>
        <v>#N/A</v>
      </c>
      <c r="AU531" s="9" t="e">
        <f t="shared" ca="1" si="291"/>
        <v>#N/A</v>
      </c>
      <c r="AV531" s="9"/>
      <c r="AW531" s="2" t="e">
        <f t="shared" ca="1" si="276"/>
        <v>#N/A</v>
      </c>
      <c r="AX531" s="2" t="e">
        <f t="shared" ca="1" si="277"/>
        <v>#N/A</v>
      </c>
      <c r="AY531" s="2" t="e">
        <f t="shared" ca="1" si="278"/>
        <v>#N/A</v>
      </c>
      <c r="AZ531" s="2" t="e">
        <f t="shared" ca="1" si="279"/>
        <v>#N/A</v>
      </c>
      <c r="BA531" s="2" t="e">
        <f t="shared" ca="1" si="280"/>
        <v>#N/A</v>
      </c>
      <c r="BB531" s="2" t="e">
        <f t="shared" ca="1" si="281"/>
        <v>#N/A</v>
      </c>
      <c r="BC531" s="9" t="e">
        <f t="shared" ca="1" si="282"/>
        <v>#N/A</v>
      </c>
      <c r="BD531" s="9" t="e">
        <f t="shared" ca="1" si="283"/>
        <v>#N/A</v>
      </c>
    </row>
    <row r="532" spans="1:56" ht="15" x14ac:dyDescent="0.25">
      <c r="A532" s="63"/>
      <c r="B532" s="63"/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16"/>
      <c r="O532" s="11">
        <f t="shared" ca="1" si="306"/>
        <v>-3.9378682616450625E-4</v>
      </c>
      <c r="P532" s="11">
        <f t="shared" ca="1" si="307"/>
        <v>-1.6358405771021967E-4</v>
      </c>
      <c r="Q532" s="11">
        <f t="shared" ca="1" si="308"/>
        <v>-1.614029402377854E-3</v>
      </c>
      <c r="R532" s="11">
        <f t="shared" ca="1" si="309"/>
        <v>-1.4853760121635622E-5</v>
      </c>
      <c r="S532" s="11">
        <f t="shared" ca="1" si="310"/>
        <v>-1.1458026838550334E-3</v>
      </c>
      <c r="T532" s="11">
        <f t="shared" ca="1" si="311"/>
        <v>-4.9053934342410677E-4</v>
      </c>
      <c r="U532" s="11">
        <f t="shared" ca="1" si="312"/>
        <v>-5.5074395654535931E-3</v>
      </c>
      <c r="V532" s="11"/>
      <c r="W532" s="11">
        <f t="shared" ca="1" si="292"/>
        <v>0</v>
      </c>
      <c r="X532" s="2">
        <f t="shared" ca="1" si="293"/>
        <v>-1.6358405771021967E-4</v>
      </c>
      <c r="Y532" s="2">
        <f t="shared" ca="1" si="294"/>
        <v>-1.614029402377854E-3</v>
      </c>
      <c r="Z532" s="11">
        <f t="shared" ca="1" si="295"/>
        <v>-1.4853760121635622E-5</v>
      </c>
      <c r="AA532" s="2">
        <f t="shared" ca="1" si="296"/>
        <v>-1.1458026838550334E-3</v>
      </c>
      <c r="AB532" s="11">
        <f t="shared" ca="1" si="297"/>
        <v>-4.9053934342410677E-4</v>
      </c>
      <c r="AC532" s="2">
        <f t="shared" ca="1" si="298"/>
        <v>-5.5074395654535931E-3</v>
      </c>
      <c r="AF532" s="11">
        <f t="shared" ca="1" si="299"/>
        <v>0</v>
      </c>
      <c r="AG532" s="2">
        <f t="shared" ca="1" si="300"/>
        <v>-1.6358405771021967E-4</v>
      </c>
      <c r="AH532" s="2">
        <f t="shared" ca="1" si="301"/>
        <v>-1.614029402377854E-3</v>
      </c>
      <c r="AI532" s="2">
        <f t="shared" ca="1" si="302"/>
        <v>-1.4853760121635622E-5</v>
      </c>
      <c r="AJ532" s="2">
        <f t="shared" ca="1" si="303"/>
        <v>-1.1458026838550334E-3</v>
      </c>
      <c r="AK532" s="2">
        <f t="shared" ca="1" si="304"/>
        <v>-4.9053934342410677E-4</v>
      </c>
      <c r="AL532" s="2">
        <f t="shared" ca="1" si="305"/>
        <v>-5.5074395654535931E-3</v>
      </c>
      <c r="AN532" s="2" t="e">
        <f t="shared" ca="1" si="284"/>
        <v>#N/A</v>
      </c>
      <c r="AO532" s="2" t="e">
        <f t="shared" ca="1" si="285"/>
        <v>#N/A</v>
      </c>
      <c r="AP532" s="2" t="e">
        <f t="shared" ca="1" si="286"/>
        <v>#N/A</v>
      </c>
      <c r="AQ532" s="2" t="e">
        <f t="shared" ca="1" si="287"/>
        <v>#N/A</v>
      </c>
      <c r="AR532" s="2" t="e">
        <f t="shared" ca="1" si="288"/>
        <v>#N/A</v>
      </c>
      <c r="AS532" s="2" t="e">
        <f t="shared" ca="1" si="289"/>
        <v>#N/A</v>
      </c>
      <c r="AT532" s="9" t="e">
        <f t="shared" ca="1" si="290"/>
        <v>#N/A</v>
      </c>
      <c r="AU532" s="9" t="e">
        <f t="shared" ca="1" si="291"/>
        <v>#N/A</v>
      </c>
      <c r="AV532" s="9"/>
      <c r="AW532" s="2" t="e">
        <f t="shared" ca="1" si="276"/>
        <v>#N/A</v>
      </c>
      <c r="AX532" s="2" t="e">
        <f t="shared" ca="1" si="277"/>
        <v>#N/A</v>
      </c>
      <c r="AY532" s="2" t="e">
        <f t="shared" ca="1" si="278"/>
        <v>#N/A</v>
      </c>
      <c r="AZ532" s="2" t="e">
        <f t="shared" ca="1" si="279"/>
        <v>#N/A</v>
      </c>
      <c r="BA532" s="2" t="e">
        <f t="shared" ca="1" si="280"/>
        <v>#N/A</v>
      </c>
      <c r="BB532" s="2" t="e">
        <f t="shared" ca="1" si="281"/>
        <v>#N/A</v>
      </c>
      <c r="BC532" s="9" t="e">
        <f t="shared" ca="1" si="282"/>
        <v>#N/A</v>
      </c>
      <c r="BD532" s="9" t="e">
        <f t="shared" ca="1" si="283"/>
        <v>#N/A</v>
      </c>
    </row>
    <row r="533" spans="1:56" ht="15" x14ac:dyDescent="0.25">
      <c r="A533" s="63"/>
      <c r="B533" s="63"/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16"/>
      <c r="O533" s="11">
        <f t="shared" ca="1" si="306"/>
        <v>-3.9378682616450625E-4</v>
      </c>
      <c r="P533" s="11">
        <f t="shared" ca="1" si="307"/>
        <v>-1.6358405771021967E-4</v>
      </c>
      <c r="Q533" s="11">
        <f t="shared" ca="1" si="308"/>
        <v>-1.614029402377854E-3</v>
      </c>
      <c r="R533" s="11">
        <f t="shared" ca="1" si="309"/>
        <v>-1.4853760121635622E-5</v>
      </c>
      <c r="S533" s="11">
        <f t="shared" ca="1" si="310"/>
        <v>-1.1458026838550334E-3</v>
      </c>
      <c r="T533" s="11">
        <f t="shared" ca="1" si="311"/>
        <v>-4.9053934342410677E-4</v>
      </c>
      <c r="U533" s="11">
        <f t="shared" ca="1" si="312"/>
        <v>-5.5074395654535931E-3</v>
      </c>
      <c r="V533" s="11"/>
      <c r="W533" s="11">
        <f t="shared" ca="1" si="292"/>
        <v>0</v>
      </c>
      <c r="X533" s="2">
        <f t="shared" ca="1" si="293"/>
        <v>-1.6358405771021967E-4</v>
      </c>
      <c r="Y533" s="2">
        <f t="shared" ca="1" si="294"/>
        <v>-1.614029402377854E-3</v>
      </c>
      <c r="Z533" s="11">
        <f t="shared" ca="1" si="295"/>
        <v>-1.4853760121635622E-5</v>
      </c>
      <c r="AA533" s="2">
        <f t="shared" ca="1" si="296"/>
        <v>-1.1458026838550334E-3</v>
      </c>
      <c r="AB533" s="11">
        <f t="shared" ca="1" si="297"/>
        <v>-4.9053934342410677E-4</v>
      </c>
      <c r="AC533" s="2">
        <f t="shared" ca="1" si="298"/>
        <v>-5.5074395654535931E-3</v>
      </c>
      <c r="AF533" s="11">
        <f t="shared" ca="1" si="299"/>
        <v>0</v>
      </c>
      <c r="AG533" s="2">
        <f t="shared" ca="1" si="300"/>
        <v>-1.6358405771021967E-4</v>
      </c>
      <c r="AH533" s="2">
        <f t="shared" ca="1" si="301"/>
        <v>-1.614029402377854E-3</v>
      </c>
      <c r="AI533" s="2">
        <f t="shared" ca="1" si="302"/>
        <v>-1.4853760121635622E-5</v>
      </c>
      <c r="AJ533" s="2">
        <f t="shared" ca="1" si="303"/>
        <v>-1.1458026838550334E-3</v>
      </c>
      <c r="AK533" s="2">
        <f t="shared" ca="1" si="304"/>
        <v>-4.9053934342410677E-4</v>
      </c>
      <c r="AL533" s="2">
        <f t="shared" ca="1" si="305"/>
        <v>-5.5074395654535931E-3</v>
      </c>
      <c r="AN533" s="2" t="e">
        <f t="shared" ca="1" si="284"/>
        <v>#N/A</v>
      </c>
      <c r="AO533" s="2" t="e">
        <f t="shared" ca="1" si="285"/>
        <v>#N/A</v>
      </c>
      <c r="AP533" s="2" t="e">
        <f t="shared" ca="1" si="286"/>
        <v>#N/A</v>
      </c>
      <c r="AQ533" s="2" t="e">
        <f t="shared" ca="1" si="287"/>
        <v>#N/A</v>
      </c>
      <c r="AR533" s="2" t="e">
        <f t="shared" ca="1" si="288"/>
        <v>#N/A</v>
      </c>
      <c r="AS533" s="2" t="e">
        <f t="shared" ca="1" si="289"/>
        <v>#N/A</v>
      </c>
      <c r="AT533" s="9" t="e">
        <f t="shared" ca="1" si="290"/>
        <v>#N/A</v>
      </c>
      <c r="AU533" s="9" t="e">
        <f t="shared" ca="1" si="291"/>
        <v>#N/A</v>
      </c>
      <c r="AV533" s="9"/>
      <c r="AW533" s="2" t="e">
        <f t="shared" ca="1" si="276"/>
        <v>#N/A</v>
      </c>
      <c r="AX533" s="2" t="e">
        <f t="shared" ca="1" si="277"/>
        <v>#N/A</v>
      </c>
      <c r="AY533" s="2" t="e">
        <f t="shared" ca="1" si="278"/>
        <v>#N/A</v>
      </c>
      <c r="AZ533" s="2" t="e">
        <f t="shared" ca="1" si="279"/>
        <v>#N/A</v>
      </c>
      <c r="BA533" s="2" t="e">
        <f t="shared" ca="1" si="280"/>
        <v>#N/A</v>
      </c>
      <c r="BB533" s="2" t="e">
        <f t="shared" ca="1" si="281"/>
        <v>#N/A</v>
      </c>
      <c r="BC533" s="9" t="e">
        <f t="shared" ca="1" si="282"/>
        <v>#N/A</v>
      </c>
      <c r="BD533" s="9" t="e">
        <f t="shared" ca="1" si="283"/>
        <v>#N/A</v>
      </c>
    </row>
    <row r="534" spans="1:56" ht="15" x14ac:dyDescent="0.25">
      <c r="A534" s="63"/>
      <c r="B534" s="63"/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16"/>
      <c r="O534" s="11">
        <f t="shared" ca="1" si="306"/>
        <v>-3.9378682616450625E-4</v>
      </c>
      <c r="P534" s="11">
        <f t="shared" ca="1" si="307"/>
        <v>-1.6358405771021967E-4</v>
      </c>
      <c r="Q534" s="11">
        <f t="shared" ca="1" si="308"/>
        <v>-1.614029402377854E-3</v>
      </c>
      <c r="R534" s="11">
        <f t="shared" ca="1" si="309"/>
        <v>-1.4853760121635622E-5</v>
      </c>
      <c r="S534" s="11">
        <f t="shared" ca="1" si="310"/>
        <v>-1.1458026838550334E-3</v>
      </c>
      <c r="T534" s="11">
        <f t="shared" ca="1" si="311"/>
        <v>-4.9053934342410677E-4</v>
      </c>
      <c r="U534" s="11">
        <f t="shared" ca="1" si="312"/>
        <v>-5.5074395654535931E-3</v>
      </c>
      <c r="V534" s="11"/>
      <c r="W534" s="11">
        <f t="shared" ca="1" si="292"/>
        <v>0</v>
      </c>
      <c r="X534" s="2">
        <f t="shared" ca="1" si="293"/>
        <v>-1.6358405771021967E-4</v>
      </c>
      <c r="Y534" s="2">
        <f t="shared" ca="1" si="294"/>
        <v>-1.614029402377854E-3</v>
      </c>
      <c r="Z534" s="11">
        <f t="shared" ca="1" si="295"/>
        <v>-1.4853760121635622E-5</v>
      </c>
      <c r="AA534" s="2">
        <f t="shared" ca="1" si="296"/>
        <v>-1.1458026838550334E-3</v>
      </c>
      <c r="AB534" s="11">
        <f t="shared" ca="1" si="297"/>
        <v>-4.9053934342410677E-4</v>
      </c>
      <c r="AC534" s="2">
        <f t="shared" ca="1" si="298"/>
        <v>-5.5074395654535931E-3</v>
      </c>
      <c r="AF534" s="11">
        <f t="shared" ca="1" si="299"/>
        <v>0</v>
      </c>
      <c r="AG534" s="2">
        <f t="shared" ca="1" si="300"/>
        <v>-1.6358405771021967E-4</v>
      </c>
      <c r="AH534" s="2">
        <f t="shared" ca="1" si="301"/>
        <v>-1.614029402377854E-3</v>
      </c>
      <c r="AI534" s="2">
        <f t="shared" ca="1" si="302"/>
        <v>-1.4853760121635622E-5</v>
      </c>
      <c r="AJ534" s="2">
        <f t="shared" ca="1" si="303"/>
        <v>-1.1458026838550334E-3</v>
      </c>
      <c r="AK534" s="2">
        <f t="shared" ca="1" si="304"/>
        <v>-4.9053934342410677E-4</v>
      </c>
      <c r="AL534" s="2">
        <f t="shared" ca="1" si="305"/>
        <v>-5.5074395654535931E-3</v>
      </c>
      <c r="AN534" s="2" t="e">
        <f t="shared" ca="1" si="284"/>
        <v>#N/A</v>
      </c>
      <c r="AO534" s="2" t="e">
        <f t="shared" ca="1" si="285"/>
        <v>#N/A</v>
      </c>
      <c r="AP534" s="2" t="e">
        <f t="shared" ca="1" si="286"/>
        <v>#N/A</v>
      </c>
      <c r="AQ534" s="2" t="e">
        <f t="shared" ca="1" si="287"/>
        <v>#N/A</v>
      </c>
      <c r="AR534" s="2" t="e">
        <f t="shared" ca="1" si="288"/>
        <v>#N/A</v>
      </c>
      <c r="AS534" s="2" t="e">
        <f t="shared" ca="1" si="289"/>
        <v>#N/A</v>
      </c>
      <c r="AT534" s="9" t="e">
        <f t="shared" ca="1" si="290"/>
        <v>#N/A</v>
      </c>
      <c r="AU534" s="9" t="e">
        <f t="shared" ca="1" si="291"/>
        <v>#N/A</v>
      </c>
      <c r="AV534" s="9"/>
      <c r="AW534" s="2" t="e">
        <f t="shared" ca="1" si="276"/>
        <v>#N/A</v>
      </c>
      <c r="AX534" s="2" t="e">
        <f t="shared" ca="1" si="277"/>
        <v>#N/A</v>
      </c>
      <c r="AY534" s="2" t="e">
        <f t="shared" ca="1" si="278"/>
        <v>#N/A</v>
      </c>
      <c r="AZ534" s="2" t="e">
        <f t="shared" ca="1" si="279"/>
        <v>#N/A</v>
      </c>
      <c r="BA534" s="2" t="e">
        <f t="shared" ca="1" si="280"/>
        <v>#N/A</v>
      </c>
      <c r="BB534" s="2" t="e">
        <f t="shared" ca="1" si="281"/>
        <v>#N/A</v>
      </c>
      <c r="BC534" s="9" t="e">
        <f t="shared" ca="1" si="282"/>
        <v>#N/A</v>
      </c>
      <c r="BD534" s="9" t="e">
        <f t="shared" ca="1" si="283"/>
        <v>#N/A</v>
      </c>
    </row>
    <row r="535" spans="1:56" ht="15" x14ac:dyDescent="0.25">
      <c r="A535" s="63"/>
      <c r="B535" s="63"/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16"/>
      <c r="O535" s="11">
        <f t="shared" ca="1" si="306"/>
        <v>-3.9378682616450625E-4</v>
      </c>
      <c r="P535" s="11">
        <f t="shared" ca="1" si="307"/>
        <v>-1.6358405771021967E-4</v>
      </c>
      <c r="Q535" s="11">
        <f t="shared" ca="1" si="308"/>
        <v>-1.614029402377854E-3</v>
      </c>
      <c r="R535" s="11">
        <f t="shared" ca="1" si="309"/>
        <v>-1.4853760121635622E-5</v>
      </c>
      <c r="S535" s="11">
        <f t="shared" ca="1" si="310"/>
        <v>-1.1458026838550334E-3</v>
      </c>
      <c r="T535" s="11">
        <f t="shared" ca="1" si="311"/>
        <v>-4.9053934342410677E-4</v>
      </c>
      <c r="U535" s="11">
        <f t="shared" ca="1" si="312"/>
        <v>-5.5074395654535931E-3</v>
      </c>
      <c r="V535" s="11"/>
      <c r="W535" s="11">
        <f t="shared" ca="1" si="292"/>
        <v>0</v>
      </c>
      <c r="X535" s="2">
        <f t="shared" ca="1" si="293"/>
        <v>-1.6358405771021967E-4</v>
      </c>
      <c r="Y535" s="2">
        <f t="shared" ca="1" si="294"/>
        <v>-1.614029402377854E-3</v>
      </c>
      <c r="Z535" s="11">
        <f t="shared" ca="1" si="295"/>
        <v>-1.4853760121635622E-5</v>
      </c>
      <c r="AA535" s="2">
        <f t="shared" ca="1" si="296"/>
        <v>-1.1458026838550334E-3</v>
      </c>
      <c r="AB535" s="11">
        <f t="shared" ca="1" si="297"/>
        <v>-4.9053934342410677E-4</v>
      </c>
      <c r="AC535" s="2">
        <f t="shared" ca="1" si="298"/>
        <v>-5.5074395654535931E-3</v>
      </c>
      <c r="AF535" s="11">
        <f t="shared" ca="1" si="299"/>
        <v>0</v>
      </c>
      <c r="AG535" s="2">
        <f t="shared" ca="1" si="300"/>
        <v>-1.6358405771021967E-4</v>
      </c>
      <c r="AH535" s="2">
        <f t="shared" ca="1" si="301"/>
        <v>-1.614029402377854E-3</v>
      </c>
      <c r="AI535" s="2">
        <f t="shared" ca="1" si="302"/>
        <v>-1.4853760121635622E-5</v>
      </c>
      <c r="AJ535" s="2">
        <f t="shared" ca="1" si="303"/>
        <v>-1.1458026838550334E-3</v>
      </c>
      <c r="AK535" s="2">
        <f t="shared" ca="1" si="304"/>
        <v>-4.9053934342410677E-4</v>
      </c>
      <c r="AL535" s="2">
        <f t="shared" ca="1" si="305"/>
        <v>-5.5074395654535931E-3</v>
      </c>
      <c r="AN535" s="2" t="e">
        <f t="shared" ca="1" si="284"/>
        <v>#N/A</v>
      </c>
      <c r="AO535" s="2" t="e">
        <f t="shared" ca="1" si="285"/>
        <v>#N/A</v>
      </c>
      <c r="AP535" s="2" t="e">
        <f t="shared" ca="1" si="286"/>
        <v>#N/A</v>
      </c>
      <c r="AQ535" s="2" t="e">
        <f t="shared" ca="1" si="287"/>
        <v>#N/A</v>
      </c>
      <c r="AR535" s="2" t="e">
        <f t="shared" ca="1" si="288"/>
        <v>#N/A</v>
      </c>
      <c r="AS535" s="2" t="e">
        <f t="shared" ca="1" si="289"/>
        <v>#N/A</v>
      </c>
      <c r="AT535" s="9" t="e">
        <f t="shared" ca="1" si="290"/>
        <v>#N/A</v>
      </c>
      <c r="AU535" s="9" t="e">
        <f t="shared" ca="1" si="291"/>
        <v>#N/A</v>
      </c>
      <c r="AV535" s="9"/>
      <c r="AW535" s="2" t="e">
        <f t="shared" ref="AW535:AW598" ca="1" si="313">IF(AND(AL535&gt;0, AJ535&gt;0), AL535/AJ535, #N/A)</f>
        <v>#N/A</v>
      </c>
      <c r="AX535" s="2" t="e">
        <f t="shared" ref="AX535:AX598" ca="1" si="314">$B$8*((AW535/$B$10)^$B$11)</f>
        <v>#N/A</v>
      </c>
      <c r="AY535" s="2" t="e">
        <f t="shared" ref="AY535:AY598" ca="1" si="315">AX535*AI535</f>
        <v>#N/A</v>
      </c>
      <c r="AZ535" s="2" t="e">
        <f t="shared" ref="AZ535:AZ598" ca="1" si="316">AK535-AY535</f>
        <v>#N/A</v>
      </c>
      <c r="BA535" s="2" t="e">
        <f t="shared" ref="BA535:BA598" ca="1" si="317">(AZ535/AJ535)/((AW535/$B$10)^$B$12)</f>
        <v>#N/A</v>
      </c>
      <c r="BB535" s="2" t="e">
        <f t="shared" ref="BB535:BB598" ca="1" si="318">(AH535/AJ535)/((AW535/$B$10)^$B$13)</f>
        <v>#N/A</v>
      </c>
      <c r="BC535" s="9" t="e">
        <f t="shared" ref="BC535:BC598" ca="1" si="319">IF(AND(BA535&lt;$P$3,BA535&gt;$P$4),BA535,"rejected")</f>
        <v>#N/A</v>
      </c>
      <c r="BD535" s="9" t="e">
        <f t="shared" ref="BD535:BD598" ca="1" si="320">IF(AND(BA535&lt;$P$3,BA535&gt;$P$4),BA535,#N/A)</f>
        <v>#N/A</v>
      </c>
    </row>
    <row r="536" spans="1:56" ht="15" x14ac:dyDescent="0.25">
      <c r="A536" s="63"/>
      <c r="B536" s="63"/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16"/>
      <c r="O536" s="11">
        <f t="shared" ca="1" si="306"/>
        <v>-3.9378682616450625E-4</v>
      </c>
      <c r="P536" s="11">
        <f t="shared" ca="1" si="307"/>
        <v>-1.6358405771021967E-4</v>
      </c>
      <c r="Q536" s="11">
        <f t="shared" ca="1" si="308"/>
        <v>-1.614029402377854E-3</v>
      </c>
      <c r="R536" s="11">
        <f t="shared" ca="1" si="309"/>
        <v>-1.4853760121635622E-5</v>
      </c>
      <c r="S536" s="11">
        <f t="shared" ca="1" si="310"/>
        <v>-1.1458026838550334E-3</v>
      </c>
      <c r="T536" s="11">
        <f t="shared" ca="1" si="311"/>
        <v>-4.9053934342410677E-4</v>
      </c>
      <c r="U536" s="11">
        <f t="shared" ca="1" si="312"/>
        <v>-5.5074395654535931E-3</v>
      </c>
      <c r="V536" s="11"/>
      <c r="W536" s="11">
        <f t="shared" ca="1" si="292"/>
        <v>0</v>
      </c>
      <c r="X536" s="2">
        <f t="shared" ca="1" si="293"/>
        <v>-1.6358405771021967E-4</v>
      </c>
      <c r="Y536" s="2">
        <f t="shared" ca="1" si="294"/>
        <v>-1.614029402377854E-3</v>
      </c>
      <c r="Z536" s="11">
        <f t="shared" ca="1" si="295"/>
        <v>-1.4853760121635622E-5</v>
      </c>
      <c r="AA536" s="2">
        <f t="shared" ca="1" si="296"/>
        <v>-1.1458026838550334E-3</v>
      </c>
      <c r="AB536" s="11">
        <f t="shared" ca="1" si="297"/>
        <v>-4.9053934342410677E-4</v>
      </c>
      <c r="AC536" s="2">
        <f t="shared" ca="1" si="298"/>
        <v>-5.5074395654535931E-3</v>
      </c>
      <c r="AF536" s="11">
        <f t="shared" ca="1" si="299"/>
        <v>0</v>
      </c>
      <c r="AG536" s="2">
        <f t="shared" ca="1" si="300"/>
        <v>-1.6358405771021967E-4</v>
      </c>
      <c r="AH536" s="2">
        <f t="shared" ca="1" si="301"/>
        <v>-1.614029402377854E-3</v>
      </c>
      <c r="AI536" s="2">
        <f t="shared" ca="1" si="302"/>
        <v>-1.4853760121635622E-5</v>
      </c>
      <c r="AJ536" s="2">
        <f t="shared" ca="1" si="303"/>
        <v>-1.1458026838550334E-3</v>
      </c>
      <c r="AK536" s="2">
        <f t="shared" ca="1" si="304"/>
        <v>-4.9053934342410677E-4</v>
      </c>
      <c r="AL536" s="2">
        <f t="shared" ca="1" si="305"/>
        <v>-5.5074395654535931E-3</v>
      </c>
      <c r="AN536" s="2" t="e">
        <f t="shared" ca="1" si="284"/>
        <v>#N/A</v>
      </c>
      <c r="AO536" s="2" t="e">
        <f t="shared" ca="1" si="285"/>
        <v>#N/A</v>
      </c>
      <c r="AP536" s="2" t="e">
        <f t="shared" ca="1" si="286"/>
        <v>#N/A</v>
      </c>
      <c r="AQ536" s="2" t="e">
        <f t="shared" ca="1" si="287"/>
        <v>#N/A</v>
      </c>
      <c r="AR536" s="2" t="e">
        <f t="shared" ca="1" si="288"/>
        <v>#N/A</v>
      </c>
      <c r="AS536" s="2" t="e">
        <f t="shared" ca="1" si="289"/>
        <v>#N/A</v>
      </c>
      <c r="AT536" s="9" t="e">
        <f t="shared" ca="1" si="290"/>
        <v>#N/A</v>
      </c>
      <c r="AU536" s="9" t="e">
        <f t="shared" ca="1" si="291"/>
        <v>#N/A</v>
      </c>
      <c r="AV536" s="9"/>
      <c r="AW536" s="2" t="e">
        <f t="shared" ca="1" si="313"/>
        <v>#N/A</v>
      </c>
      <c r="AX536" s="2" t="e">
        <f t="shared" ca="1" si="314"/>
        <v>#N/A</v>
      </c>
      <c r="AY536" s="2" t="e">
        <f t="shared" ca="1" si="315"/>
        <v>#N/A</v>
      </c>
      <c r="AZ536" s="2" t="e">
        <f t="shared" ca="1" si="316"/>
        <v>#N/A</v>
      </c>
      <c r="BA536" s="2" t="e">
        <f t="shared" ca="1" si="317"/>
        <v>#N/A</v>
      </c>
      <c r="BB536" s="2" t="e">
        <f t="shared" ca="1" si="318"/>
        <v>#N/A</v>
      </c>
      <c r="BC536" s="9" t="e">
        <f t="shared" ca="1" si="319"/>
        <v>#N/A</v>
      </c>
      <c r="BD536" s="9" t="e">
        <f t="shared" ca="1" si="320"/>
        <v>#N/A</v>
      </c>
    </row>
    <row r="537" spans="1:56" ht="15" x14ac:dyDescent="0.25">
      <c r="A537" s="63"/>
      <c r="B537" s="63"/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16"/>
      <c r="O537" s="11">
        <f t="shared" ca="1" si="306"/>
        <v>-3.9378682616450625E-4</v>
      </c>
      <c r="P537" s="11">
        <f t="shared" ca="1" si="307"/>
        <v>-1.6358405771021967E-4</v>
      </c>
      <c r="Q537" s="11">
        <f t="shared" ca="1" si="308"/>
        <v>-1.614029402377854E-3</v>
      </c>
      <c r="R537" s="11">
        <f t="shared" ca="1" si="309"/>
        <v>-1.4853760121635622E-5</v>
      </c>
      <c r="S537" s="11">
        <f t="shared" ca="1" si="310"/>
        <v>-1.1458026838550334E-3</v>
      </c>
      <c r="T537" s="11">
        <f t="shared" ca="1" si="311"/>
        <v>-4.9053934342410677E-4</v>
      </c>
      <c r="U537" s="11">
        <f t="shared" ca="1" si="312"/>
        <v>-5.5074395654535931E-3</v>
      </c>
      <c r="V537" s="11"/>
      <c r="W537" s="11">
        <f t="shared" ca="1" si="292"/>
        <v>0</v>
      </c>
      <c r="X537" s="2">
        <f t="shared" ca="1" si="293"/>
        <v>-1.6358405771021967E-4</v>
      </c>
      <c r="Y537" s="2">
        <f t="shared" ca="1" si="294"/>
        <v>-1.614029402377854E-3</v>
      </c>
      <c r="Z537" s="11">
        <f t="shared" ca="1" si="295"/>
        <v>-1.4853760121635622E-5</v>
      </c>
      <c r="AA537" s="2">
        <f t="shared" ca="1" si="296"/>
        <v>-1.1458026838550334E-3</v>
      </c>
      <c r="AB537" s="11">
        <f t="shared" ca="1" si="297"/>
        <v>-4.9053934342410677E-4</v>
      </c>
      <c r="AC537" s="2">
        <f t="shared" ca="1" si="298"/>
        <v>-5.5074395654535931E-3</v>
      </c>
      <c r="AF537" s="11">
        <f t="shared" ca="1" si="299"/>
        <v>0</v>
      </c>
      <c r="AG537" s="2">
        <f t="shared" ca="1" si="300"/>
        <v>-1.6358405771021967E-4</v>
      </c>
      <c r="AH537" s="2">
        <f t="shared" ca="1" si="301"/>
        <v>-1.614029402377854E-3</v>
      </c>
      <c r="AI537" s="2">
        <f t="shared" ca="1" si="302"/>
        <v>-1.4853760121635622E-5</v>
      </c>
      <c r="AJ537" s="2">
        <f t="shared" ca="1" si="303"/>
        <v>-1.1458026838550334E-3</v>
      </c>
      <c r="AK537" s="2">
        <f t="shared" ca="1" si="304"/>
        <v>-4.9053934342410677E-4</v>
      </c>
      <c r="AL537" s="2">
        <f t="shared" ca="1" si="305"/>
        <v>-5.5074395654535931E-3</v>
      </c>
      <c r="AN537" s="2" t="e">
        <f t="shared" ca="1" si="284"/>
        <v>#N/A</v>
      </c>
      <c r="AO537" s="2" t="e">
        <f t="shared" ca="1" si="285"/>
        <v>#N/A</v>
      </c>
      <c r="AP537" s="2" t="e">
        <f t="shared" ca="1" si="286"/>
        <v>#N/A</v>
      </c>
      <c r="AQ537" s="2" t="e">
        <f t="shared" ca="1" si="287"/>
        <v>#N/A</v>
      </c>
      <c r="AR537" s="2" t="e">
        <f t="shared" ca="1" si="288"/>
        <v>#N/A</v>
      </c>
      <c r="AS537" s="2" t="e">
        <f t="shared" ca="1" si="289"/>
        <v>#N/A</v>
      </c>
      <c r="AT537" s="9" t="e">
        <f t="shared" ca="1" si="290"/>
        <v>#N/A</v>
      </c>
      <c r="AU537" s="9" t="e">
        <f t="shared" ca="1" si="291"/>
        <v>#N/A</v>
      </c>
      <c r="AV537" s="9"/>
      <c r="AW537" s="2" t="e">
        <f t="shared" ca="1" si="313"/>
        <v>#N/A</v>
      </c>
      <c r="AX537" s="2" t="e">
        <f t="shared" ca="1" si="314"/>
        <v>#N/A</v>
      </c>
      <c r="AY537" s="2" t="e">
        <f t="shared" ca="1" si="315"/>
        <v>#N/A</v>
      </c>
      <c r="AZ537" s="2" t="e">
        <f t="shared" ca="1" si="316"/>
        <v>#N/A</v>
      </c>
      <c r="BA537" s="2" t="e">
        <f t="shared" ca="1" si="317"/>
        <v>#N/A</v>
      </c>
      <c r="BB537" s="2" t="e">
        <f t="shared" ca="1" si="318"/>
        <v>#N/A</v>
      </c>
      <c r="BC537" s="9" t="e">
        <f t="shared" ca="1" si="319"/>
        <v>#N/A</v>
      </c>
      <c r="BD537" s="9" t="e">
        <f t="shared" ca="1" si="320"/>
        <v>#N/A</v>
      </c>
    </row>
    <row r="538" spans="1:56" ht="15" x14ac:dyDescent="0.25">
      <c r="A538" s="63"/>
      <c r="B538" s="63"/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16"/>
      <c r="O538" s="11">
        <f t="shared" ca="1" si="306"/>
        <v>-3.9378682616450625E-4</v>
      </c>
      <c r="P538" s="11">
        <f t="shared" ca="1" si="307"/>
        <v>-1.6358405771021967E-4</v>
      </c>
      <c r="Q538" s="11">
        <f t="shared" ca="1" si="308"/>
        <v>-1.614029402377854E-3</v>
      </c>
      <c r="R538" s="11">
        <f t="shared" ca="1" si="309"/>
        <v>-1.4853760121635622E-5</v>
      </c>
      <c r="S538" s="11">
        <f t="shared" ca="1" si="310"/>
        <v>-1.1458026838550334E-3</v>
      </c>
      <c r="T538" s="11">
        <f t="shared" ca="1" si="311"/>
        <v>-4.9053934342410677E-4</v>
      </c>
      <c r="U538" s="11">
        <f t="shared" ca="1" si="312"/>
        <v>-5.5074395654535931E-3</v>
      </c>
      <c r="V538" s="11"/>
      <c r="W538" s="11">
        <f t="shared" ca="1" si="292"/>
        <v>0</v>
      </c>
      <c r="X538" s="2">
        <f t="shared" ca="1" si="293"/>
        <v>-1.6358405771021967E-4</v>
      </c>
      <c r="Y538" s="2">
        <f t="shared" ca="1" si="294"/>
        <v>-1.614029402377854E-3</v>
      </c>
      <c r="Z538" s="11">
        <f t="shared" ca="1" si="295"/>
        <v>-1.4853760121635622E-5</v>
      </c>
      <c r="AA538" s="2">
        <f t="shared" ca="1" si="296"/>
        <v>-1.1458026838550334E-3</v>
      </c>
      <c r="AB538" s="11">
        <f t="shared" ca="1" si="297"/>
        <v>-4.9053934342410677E-4</v>
      </c>
      <c r="AC538" s="2">
        <f t="shared" ca="1" si="298"/>
        <v>-5.5074395654535931E-3</v>
      </c>
      <c r="AF538" s="11">
        <f t="shared" ca="1" si="299"/>
        <v>0</v>
      </c>
      <c r="AG538" s="2">
        <f t="shared" ca="1" si="300"/>
        <v>-1.6358405771021967E-4</v>
      </c>
      <c r="AH538" s="2">
        <f t="shared" ca="1" si="301"/>
        <v>-1.614029402377854E-3</v>
      </c>
      <c r="AI538" s="2">
        <f t="shared" ca="1" si="302"/>
        <v>-1.4853760121635622E-5</v>
      </c>
      <c r="AJ538" s="2">
        <f t="shared" ca="1" si="303"/>
        <v>-1.1458026838550334E-3</v>
      </c>
      <c r="AK538" s="2">
        <f t="shared" ca="1" si="304"/>
        <v>-4.9053934342410677E-4</v>
      </c>
      <c r="AL538" s="2">
        <f t="shared" ca="1" si="305"/>
        <v>-5.5074395654535931E-3</v>
      </c>
      <c r="AN538" s="2" t="e">
        <f t="shared" ca="1" si="284"/>
        <v>#N/A</v>
      </c>
      <c r="AO538" s="2" t="e">
        <f t="shared" ca="1" si="285"/>
        <v>#N/A</v>
      </c>
      <c r="AP538" s="2" t="e">
        <f t="shared" ca="1" si="286"/>
        <v>#N/A</v>
      </c>
      <c r="AQ538" s="2" t="e">
        <f t="shared" ca="1" si="287"/>
        <v>#N/A</v>
      </c>
      <c r="AR538" s="2" t="e">
        <f t="shared" ca="1" si="288"/>
        <v>#N/A</v>
      </c>
      <c r="AS538" s="2" t="e">
        <f t="shared" ca="1" si="289"/>
        <v>#N/A</v>
      </c>
      <c r="AT538" s="9" t="e">
        <f t="shared" ca="1" si="290"/>
        <v>#N/A</v>
      </c>
      <c r="AU538" s="9" t="e">
        <f t="shared" ca="1" si="291"/>
        <v>#N/A</v>
      </c>
      <c r="AV538" s="9"/>
      <c r="AW538" s="2" t="e">
        <f t="shared" ca="1" si="313"/>
        <v>#N/A</v>
      </c>
      <c r="AX538" s="2" t="e">
        <f t="shared" ca="1" si="314"/>
        <v>#N/A</v>
      </c>
      <c r="AY538" s="2" t="e">
        <f t="shared" ca="1" si="315"/>
        <v>#N/A</v>
      </c>
      <c r="AZ538" s="2" t="e">
        <f t="shared" ca="1" si="316"/>
        <v>#N/A</v>
      </c>
      <c r="BA538" s="2" t="e">
        <f t="shared" ca="1" si="317"/>
        <v>#N/A</v>
      </c>
      <c r="BB538" s="2" t="e">
        <f t="shared" ca="1" si="318"/>
        <v>#N/A</v>
      </c>
      <c r="BC538" s="9" t="e">
        <f t="shared" ca="1" si="319"/>
        <v>#N/A</v>
      </c>
      <c r="BD538" s="9" t="e">
        <f t="shared" ca="1" si="320"/>
        <v>#N/A</v>
      </c>
    </row>
    <row r="539" spans="1:56" ht="15" x14ac:dyDescent="0.25">
      <c r="A539" s="63"/>
      <c r="B539" s="63"/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16"/>
      <c r="O539" s="11">
        <f t="shared" ca="1" si="306"/>
        <v>-3.9378682616450625E-4</v>
      </c>
      <c r="P539" s="11">
        <f t="shared" ca="1" si="307"/>
        <v>-1.6358405771021967E-4</v>
      </c>
      <c r="Q539" s="11">
        <f t="shared" ca="1" si="308"/>
        <v>-1.614029402377854E-3</v>
      </c>
      <c r="R539" s="11">
        <f t="shared" ca="1" si="309"/>
        <v>-1.4853760121635622E-5</v>
      </c>
      <c r="S539" s="11">
        <f t="shared" ca="1" si="310"/>
        <v>-1.1458026838550334E-3</v>
      </c>
      <c r="T539" s="11">
        <f t="shared" ca="1" si="311"/>
        <v>-4.9053934342410677E-4</v>
      </c>
      <c r="U539" s="11">
        <f t="shared" ca="1" si="312"/>
        <v>-5.5074395654535931E-3</v>
      </c>
      <c r="V539" s="11"/>
      <c r="W539" s="11">
        <f t="shared" ca="1" si="292"/>
        <v>0</v>
      </c>
      <c r="X539" s="2">
        <f t="shared" ca="1" si="293"/>
        <v>-1.6358405771021967E-4</v>
      </c>
      <c r="Y539" s="2">
        <f t="shared" ca="1" si="294"/>
        <v>-1.614029402377854E-3</v>
      </c>
      <c r="Z539" s="11">
        <f t="shared" ca="1" si="295"/>
        <v>-1.4853760121635622E-5</v>
      </c>
      <c r="AA539" s="2">
        <f t="shared" ca="1" si="296"/>
        <v>-1.1458026838550334E-3</v>
      </c>
      <c r="AB539" s="11">
        <f t="shared" ca="1" si="297"/>
        <v>-4.9053934342410677E-4</v>
      </c>
      <c r="AC539" s="2">
        <f t="shared" ca="1" si="298"/>
        <v>-5.5074395654535931E-3</v>
      </c>
      <c r="AF539" s="11">
        <f t="shared" ca="1" si="299"/>
        <v>0</v>
      </c>
      <c r="AG539" s="2">
        <f t="shared" ca="1" si="300"/>
        <v>-1.6358405771021967E-4</v>
      </c>
      <c r="AH539" s="2">
        <f t="shared" ca="1" si="301"/>
        <v>-1.614029402377854E-3</v>
      </c>
      <c r="AI539" s="2">
        <f t="shared" ca="1" si="302"/>
        <v>-1.4853760121635622E-5</v>
      </c>
      <c r="AJ539" s="2">
        <f t="shared" ca="1" si="303"/>
        <v>-1.1458026838550334E-3</v>
      </c>
      <c r="AK539" s="2">
        <f t="shared" ca="1" si="304"/>
        <v>-4.9053934342410677E-4</v>
      </c>
      <c r="AL539" s="2">
        <f t="shared" ca="1" si="305"/>
        <v>-5.5074395654535931E-3</v>
      </c>
      <c r="AN539" s="2" t="e">
        <f t="shared" ca="1" si="284"/>
        <v>#N/A</v>
      </c>
      <c r="AO539" s="2" t="e">
        <f t="shared" ca="1" si="285"/>
        <v>#N/A</v>
      </c>
      <c r="AP539" s="2" t="e">
        <f t="shared" ca="1" si="286"/>
        <v>#N/A</v>
      </c>
      <c r="AQ539" s="2" t="e">
        <f t="shared" ca="1" si="287"/>
        <v>#N/A</v>
      </c>
      <c r="AR539" s="2" t="e">
        <f t="shared" ca="1" si="288"/>
        <v>#N/A</v>
      </c>
      <c r="AS539" s="2" t="e">
        <f t="shared" ca="1" si="289"/>
        <v>#N/A</v>
      </c>
      <c r="AT539" s="9" t="e">
        <f t="shared" ca="1" si="290"/>
        <v>#N/A</v>
      </c>
      <c r="AU539" s="9" t="e">
        <f t="shared" ca="1" si="291"/>
        <v>#N/A</v>
      </c>
      <c r="AV539" s="9"/>
      <c r="AW539" s="2" t="e">
        <f t="shared" ca="1" si="313"/>
        <v>#N/A</v>
      </c>
      <c r="AX539" s="2" t="e">
        <f t="shared" ca="1" si="314"/>
        <v>#N/A</v>
      </c>
      <c r="AY539" s="2" t="e">
        <f t="shared" ca="1" si="315"/>
        <v>#N/A</v>
      </c>
      <c r="AZ539" s="2" t="e">
        <f t="shared" ca="1" si="316"/>
        <v>#N/A</v>
      </c>
      <c r="BA539" s="2" t="e">
        <f t="shared" ca="1" si="317"/>
        <v>#N/A</v>
      </c>
      <c r="BB539" s="2" t="e">
        <f t="shared" ca="1" si="318"/>
        <v>#N/A</v>
      </c>
      <c r="BC539" s="9" t="e">
        <f t="shared" ca="1" si="319"/>
        <v>#N/A</v>
      </c>
      <c r="BD539" s="9" t="e">
        <f t="shared" ca="1" si="320"/>
        <v>#N/A</v>
      </c>
    </row>
    <row r="540" spans="1:56" ht="15" x14ac:dyDescent="0.25">
      <c r="A540" s="63"/>
      <c r="B540" s="63"/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16"/>
      <c r="O540" s="11">
        <f t="shared" ca="1" si="306"/>
        <v>-3.9378682616450625E-4</v>
      </c>
      <c r="P540" s="11">
        <f t="shared" ca="1" si="307"/>
        <v>-1.6358405771021967E-4</v>
      </c>
      <c r="Q540" s="11">
        <f t="shared" ca="1" si="308"/>
        <v>-1.614029402377854E-3</v>
      </c>
      <c r="R540" s="11">
        <f t="shared" ca="1" si="309"/>
        <v>-1.4853760121635622E-5</v>
      </c>
      <c r="S540" s="11">
        <f t="shared" ca="1" si="310"/>
        <v>-1.1458026838550334E-3</v>
      </c>
      <c r="T540" s="11">
        <f t="shared" ca="1" si="311"/>
        <v>-4.9053934342410677E-4</v>
      </c>
      <c r="U540" s="11">
        <f t="shared" ca="1" si="312"/>
        <v>-5.5074395654535931E-3</v>
      </c>
      <c r="V540" s="11"/>
      <c r="W540" s="11">
        <f t="shared" ca="1" si="292"/>
        <v>0</v>
      </c>
      <c r="X540" s="2">
        <f t="shared" ca="1" si="293"/>
        <v>-1.6358405771021967E-4</v>
      </c>
      <c r="Y540" s="2">
        <f t="shared" ca="1" si="294"/>
        <v>-1.614029402377854E-3</v>
      </c>
      <c r="Z540" s="11">
        <f t="shared" ca="1" si="295"/>
        <v>-1.4853760121635622E-5</v>
      </c>
      <c r="AA540" s="2">
        <f t="shared" ca="1" si="296"/>
        <v>-1.1458026838550334E-3</v>
      </c>
      <c r="AB540" s="11">
        <f t="shared" ca="1" si="297"/>
        <v>-4.9053934342410677E-4</v>
      </c>
      <c r="AC540" s="2">
        <f t="shared" ca="1" si="298"/>
        <v>-5.5074395654535931E-3</v>
      </c>
      <c r="AF540" s="11">
        <f t="shared" ca="1" si="299"/>
        <v>0</v>
      </c>
      <c r="AG540" s="2">
        <f t="shared" ca="1" si="300"/>
        <v>-1.6358405771021967E-4</v>
      </c>
      <c r="AH540" s="2">
        <f t="shared" ca="1" si="301"/>
        <v>-1.614029402377854E-3</v>
      </c>
      <c r="AI540" s="2">
        <f t="shared" ca="1" si="302"/>
        <v>-1.4853760121635622E-5</v>
      </c>
      <c r="AJ540" s="2">
        <f t="shared" ca="1" si="303"/>
        <v>-1.1458026838550334E-3</v>
      </c>
      <c r="AK540" s="2">
        <f t="shared" ca="1" si="304"/>
        <v>-4.9053934342410677E-4</v>
      </c>
      <c r="AL540" s="2">
        <f t="shared" ca="1" si="305"/>
        <v>-5.5074395654535931E-3</v>
      </c>
      <c r="AN540" s="2" t="e">
        <f t="shared" ca="1" si="284"/>
        <v>#N/A</v>
      </c>
      <c r="AO540" s="2" t="e">
        <f t="shared" ca="1" si="285"/>
        <v>#N/A</v>
      </c>
      <c r="AP540" s="2" t="e">
        <f t="shared" ca="1" si="286"/>
        <v>#N/A</v>
      </c>
      <c r="AQ540" s="2" t="e">
        <f t="shared" ca="1" si="287"/>
        <v>#N/A</v>
      </c>
      <c r="AR540" s="2" t="e">
        <f t="shared" ca="1" si="288"/>
        <v>#N/A</v>
      </c>
      <c r="AS540" s="2" t="e">
        <f t="shared" ca="1" si="289"/>
        <v>#N/A</v>
      </c>
      <c r="AT540" s="9" t="e">
        <f t="shared" ca="1" si="290"/>
        <v>#N/A</v>
      </c>
      <c r="AU540" s="9" t="e">
        <f t="shared" ca="1" si="291"/>
        <v>#N/A</v>
      </c>
      <c r="AV540" s="9"/>
      <c r="AW540" s="2" t="e">
        <f t="shared" ca="1" si="313"/>
        <v>#N/A</v>
      </c>
      <c r="AX540" s="2" t="e">
        <f t="shared" ca="1" si="314"/>
        <v>#N/A</v>
      </c>
      <c r="AY540" s="2" t="e">
        <f t="shared" ca="1" si="315"/>
        <v>#N/A</v>
      </c>
      <c r="AZ540" s="2" t="e">
        <f t="shared" ca="1" si="316"/>
        <v>#N/A</v>
      </c>
      <c r="BA540" s="2" t="e">
        <f t="shared" ca="1" si="317"/>
        <v>#N/A</v>
      </c>
      <c r="BB540" s="2" t="e">
        <f t="shared" ca="1" si="318"/>
        <v>#N/A</v>
      </c>
      <c r="BC540" s="9" t="e">
        <f t="shared" ca="1" si="319"/>
        <v>#N/A</v>
      </c>
      <c r="BD540" s="9" t="e">
        <f t="shared" ca="1" si="320"/>
        <v>#N/A</v>
      </c>
    </row>
    <row r="541" spans="1:56" ht="15" x14ac:dyDescent="0.25">
      <c r="A541" s="63"/>
      <c r="B541" s="63"/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16"/>
      <c r="O541" s="11">
        <f t="shared" ca="1" si="306"/>
        <v>-3.9378682616450625E-4</v>
      </c>
      <c r="P541" s="11">
        <f t="shared" ca="1" si="307"/>
        <v>-1.6358405771021967E-4</v>
      </c>
      <c r="Q541" s="11">
        <f t="shared" ca="1" si="308"/>
        <v>-1.614029402377854E-3</v>
      </c>
      <c r="R541" s="11">
        <f t="shared" ca="1" si="309"/>
        <v>-1.4853760121635622E-5</v>
      </c>
      <c r="S541" s="11">
        <f t="shared" ca="1" si="310"/>
        <v>-1.1458026838550334E-3</v>
      </c>
      <c r="T541" s="11">
        <f t="shared" ca="1" si="311"/>
        <v>-4.9053934342410677E-4</v>
      </c>
      <c r="U541" s="11">
        <f t="shared" ca="1" si="312"/>
        <v>-5.5074395654535931E-3</v>
      </c>
      <c r="V541" s="11"/>
      <c r="W541" s="11">
        <f t="shared" ca="1" si="292"/>
        <v>0</v>
      </c>
      <c r="X541" s="2">
        <f t="shared" ca="1" si="293"/>
        <v>-1.6358405771021967E-4</v>
      </c>
      <c r="Y541" s="2">
        <f t="shared" ca="1" si="294"/>
        <v>-1.614029402377854E-3</v>
      </c>
      <c r="Z541" s="11">
        <f t="shared" ca="1" si="295"/>
        <v>-1.4853760121635622E-5</v>
      </c>
      <c r="AA541" s="2">
        <f t="shared" ca="1" si="296"/>
        <v>-1.1458026838550334E-3</v>
      </c>
      <c r="AB541" s="11">
        <f t="shared" ca="1" si="297"/>
        <v>-4.9053934342410677E-4</v>
      </c>
      <c r="AC541" s="2">
        <f t="shared" ca="1" si="298"/>
        <v>-5.5074395654535931E-3</v>
      </c>
      <c r="AF541" s="11">
        <f t="shared" ca="1" si="299"/>
        <v>0</v>
      </c>
      <c r="AG541" s="2">
        <f t="shared" ca="1" si="300"/>
        <v>-1.6358405771021967E-4</v>
      </c>
      <c r="AH541" s="2">
        <f t="shared" ca="1" si="301"/>
        <v>-1.614029402377854E-3</v>
      </c>
      <c r="AI541" s="2">
        <f t="shared" ca="1" si="302"/>
        <v>-1.4853760121635622E-5</v>
      </c>
      <c r="AJ541" s="2">
        <f t="shared" ca="1" si="303"/>
        <v>-1.1458026838550334E-3</v>
      </c>
      <c r="AK541" s="2">
        <f t="shared" ca="1" si="304"/>
        <v>-4.9053934342410677E-4</v>
      </c>
      <c r="AL541" s="2">
        <f t="shared" ca="1" si="305"/>
        <v>-5.5074395654535931E-3</v>
      </c>
      <c r="AN541" s="2" t="e">
        <f t="shared" ca="1" si="284"/>
        <v>#N/A</v>
      </c>
      <c r="AO541" s="2" t="e">
        <f t="shared" ca="1" si="285"/>
        <v>#N/A</v>
      </c>
      <c r="AP541" s="2" t="e">
        <f t="shared" ca="1" si="286"/>
        <v>#N/A</v>
      </c>
      <c r="AQ541" s="2" t="e">
        <f t="shared" ca="1" si="287"/>
        <v>#N/A</v>
      </c>
      <c r="AR541" s="2" t="e">
        <f t="shared" ca="1" si="288"/>
        <v>#N/A</v>
      </c>
      <c r="AS541" s="2" t="e">
        <f t="shared" ca="1" si="289"/>
        <v>#N/A</v>
      </c>
      <c r="AT541" s="9" t="e">
        <f t="shared" ca="1" si="290"/>
        <v>#N/A</v>
      </c>
      <c r="AU541" s="9" t="e">
        <f t="shared" ca="1" si="291"/>
        <v>#N/A</v>
      </c>
      <c r="AV541" s="9"/>
      <c r="AW541" s="2" t="e">
        <f t="shared" ca="1" si="313"/>
        <v>#N/A</v>
      </c>
      <c r="AX541" s="2" t="e">
        <f t="shared" ca="1" si="314"/>
        <v>#N/A</v>
      </c>
      <c r="AY541" s="2" t="e">
        <f t="shared" ca="1" si="315"/>
        <v>#N/A</v>
      </c>
      <c r="AZ541" s="2" t="e">
        <f t="shared" ca="1" si="316"/>
        <v>#N/A</v>
      </c>
      <c r="BA541" s="2" t="e">
        <f t="shared" ca="1" si="317"/>
        <v>#N/A</v>
      </c>
      <c r="BB541" s="2" t="e">
        <f t="shared" ca="1" si="318"/>
        <v>#N/A</v>
      </c>
      <c r="BC541" s="9" t="e">
        <f t="shared" ca="1" si="319"/>
        <v>#N/A</v>
      </c>
      <c r="BD541" s="9" t="e">
        <f t="shared" ca="1" si="320"/>
        <v>#N/A</v>
      </c>
    </row>
    <row r="542" spans="1:56" ht="15" x14ac:dyDescent="0.25">
      <c r="A542" s="63"/>
      <c r="B542" s="63"/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16"/>
      <c r="O542" s="11">
        <f t="shared" ca="1" si="306"/>
        <v>-3.9378682616450625E-4</v>
      </c>
      <c r="P542" s="11">
        <f t="shared" ca="1" si="307"/>
        <v>-1.6358405771021967E-4</v>
      </c>
      <c r="Q542" s="11">
        <f t="shared" ca="1" si="308"/>
        <v>-1.614029402377854E-3</v>
      </c>
      <c r="R542" s="11">
        <f t="shared" ca="1" si="309"/>
        <v>-1.4853760121635622E-5</v>
      </c>
      <c r="S542" s="11">
        <f t="shared" ca="1" si="310"/>
        <v>-1.1458026838550334E-3</v>
      </c>
      <c r="T542" s="11">
        <f t="shared" ca="1" si="311"/>
        <v>-4.9053934342410677E-4</v>
      </c>
      <c r="U542" s="11">
        <f t="shared" ca="1" si="312"/>
        <v>-5.5074395654535931E-3</v>
      </c>
      <c r="V542" s="11"/>
      <c r="W542" s="11">
        <f t="shared" ca="1" si="292"/>
        <v>0</v>
      </c>
      <c r="X542" s="2">
        <f t="shared" ca="1" si="293"/>
        <v>-1.6358405771021967E-4</v>
      </c>
      <c r="Y542" s="2">
        <f t="shared" ca="1" si="294"/>
        <v>-1.614029402377854E-3</v>
      </c>
      <c r="Z542" s="11">
        <f t="shared" ca="1" si="295"/>
        <v>-1.4853760121635622E-5</v>
      </c>
      <c r="AA542" s="2">
        <f t="shared" ca="1" si="296"/>
        <v>-1.1458026838550334E-3</v>
      </c>
      <c r="AB542" s="11">
        <f t="shared" ca="1" si="297"/>
        <v>-4.9053934342410677E-4</v>
      </c>
      <c r="AC542" s="2">
        <f t="shared" ca="1" si="298"/>
        <v>-5.5074395654535931E-3</v>
      </c>
      <c r="AF542" s="11">
        <f t="shared" ca="1" si="299"/>
        <v>0</v>
      </c>
      <c r="AG542" s="2">
        <f t="shared" ca="1" si="300"/>
        <v>-1.6358405771021967E-4</v>
      </c>
      <c r="AH542" s="2">
        <f t="shared" ca="1" si="301"/>
        <v>-1.614029402377854E-3</v>
      </c>
      <c r="AI542" s="2">
        <f t="shared" ca="1" si="302"/>
        <v>-1.4853760121635622E-5</v>
      </c>
      <c r="AJ542" s="2">
        <f t="shared" ca="1" si="303"/>
        <v>-1.1458026838550334E-3</v>
      </c>
      <c r="AK542" s="2">
        <f t="shared" ca="1" si="304"/>
        <v>-4.9053934342410677E-4</v>
      </c>
      <c r="AL542" s="2">
        <f t="shared" ca="1" si="305"/>
        <v>-5.5074395654535931E-3</v>
      </c>
      <c r="AN542" s="2" t="e">
        <f t="shared" ca="1" si="284"/>
        <v>#N/A</v>
      </c>
      <c r="AO542" s="2" t="e">
        <f t="shared" ca="1" si="285"/>
        <v>#N/A</v>
      </c>
      <c r="AP542" s="2" t="e">
        <f t="shared" ca="1" si="286"/>
        <v>#N/A</v>
      </c>
      <c r="AQ542" s="2" t="e">
        <f t="shared" ca="1" si="287"/>
        <v>#N/A</v>
      </c>
      <c r="AR542" s="2" t="e">
        <f t="shared" ca="1" si="288"/>
        <v>#N/A</v>
      </c>
      <c r="AS542" s="2" t="e">
        <f t="shared" ca="1" si="289"/>
        <v>#N/A</v>
      </c>
      <c r="AT542" s="9" t="e">
        <f t="shared" ca="1" si="290"/>
        <v>#N/A</v>
      </c>
      <c r="AU542" s="9" t="e">
        <f t="shared" ca="1" si="291"/>
        <v>#N/A</v>
      </c>
      <c r="AV542" s="9"/>
      <c r="AW542" s="2" t="e">
        <f t="shared" ca="1" si="313"/>
        <v>#N/A</v>
      </c>
      <c r="AX542" s="2" t="e">
        <f t="shared" ca="1" si="314"/>
        <v>#N/A</v>
      </c>
      <c r="AY542" s="2" t="e">
        <f t="shared" ca="1" si="315"/>
        <v>#N/A</v>
      </c>
      <c r="AZ542" s="2" t="e">
        <f t="shared" ca="1" si="316"/>
        <v>#N/A</v>
      </c>
      <c r="BA542" s="2" t="e">
        <f t="shared" ca="1" si="317"/>
        <v>#N/A</v>
      </c>
      <c r="BB542" s="2" t="e">
        <f t="shared" ca="1" si="318"/>
        <v>#N/A</v>
      </c>
      <c r="BC542" s="9" t="e">
        <f t="shared" ca="1" si="319"/>
        <v>#N/A</v>
      </c>
      <c r="BD542" s="9" t="e">
        <f t="shared" ca="1" si="320"/>
        <v>#N/A</v>
      </c>
    </row>
    <row r="543" spans="1:56" ht="15" x14ac:dyDescent="0.25">
      <c r="A543" s="63"/>
      <c r="B543" s="63"/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16"/>
      <c r="O543" s="11">
        <f t="shared" ca="1" si="306"/>
        <v>-3.9378682616450625E-4</v>
      </c>
      <c r="P543" s="11">
        <f t="shared" ca="1" si="307"/>
        <v>-1.6358405771021967E-4</v>
      </c>
      <c r="Q543" s="11">
        <f t="shared" ca="1" si="308"/>
        <v>-1.614029402377854E-3</v>
      </c>
      <c r="R543" s="11">
        <f t="shared" ca="1" si="309"/>
        <v>-1.4853760121635622E-5</v>
      </c>
      <c r="S543" s="11">
        <f t="shared" ca="1" si="310"/>
        <v>-1.1458026838550334E-3</v>
      </c>
      <c r="T543" s="11">
        <f t="shared" ca="1" si="311"/>
        <v>-4.9053934342410677E-4</v>
      </c>
      <c r="U543" s="11">
        <f t="shared" ca="1" si="312"/>
        <v>-5.5074395654535931E-3</v>
      </c>
      <c r="V543" s="11"/>
      <c r="W543" s="11">
        <f t="shared" ca="1" si="292"/>
        <v>0</v>
      </c>
      <c r="X543" s="2">
        <f t="shared" ca="1" si="293"/>
        <v>-1.6358405771021967E-4</v>
      </c>
      <c r="Y543" s="2">
        <f t="shared" ca="1" si="294"/>
        <v>-1.614029402377854E-3</v>
      </c>
      <c r="Z543" s="11">
        <f t="shared" ca="1" si="295"/>
        <v>-1.4853760121635622E-5</v>
      </c>
      <c r="AA543" s="2">
        <f t="shared" ca="1" si="296"/>
        <v>-1.1458026838550334E-3</v>
      </c>
      <c r="AB543" s="11">
        <f t="shared" ca="1" si="297"/>
        <v>-4.9053934342410677E-4</v>
      </c>
      <c r="AC543" s="2">
        <f t="shared" ca="1" si="298"/>
        <v>-5.5074395654535931E-3</v>
      </c>
      <c r="AF543" s="11">
        <f t="shared" ca="1" si="299"/>
        <v>0</v>
      </c>
      <c r="AG543" s="2">
        <f t="shared" ca="1" si="300"/>
        <v>-1.6358405771021967E-4</v>
      </c>
      <c r="AH543" s="2">
        <f t="shared" ca="1" si="301"/>
        <v>-1.614029402377854E-3</v>
      </c>
      <c r="AI543" s="2">
        <f t="shared" ca="1" si="302"/>
        <v>-1.4853760121635622E-5</v>
      </c>
      <c r="AJ543" s="2">
        <f t="shared" ca="1" si="303"/>
        <v>-1.1458026838550334E-3</v>
      </c>
      <c r="AK543" s="2">
        <f t="shared" ca="1" si="304"/>
        <v>-4.9053934342410677E-4</v>
      </c>
      <c r="AL543" s="2">
        <f t="shared" ca="1" si="305"/>
        <v>-5.5074395654535931E-3</v>
      </c>
      <c r="AN543" s="2" t="e">
        <f t="shared" ca="1" si="284"/>
        <v>#N/A</v>
      </c>
      <c r="AO543" s="2" t="e">
        <f t="shared" ca="1" si="285"/>
        <v>#N/A</v>
      </c>
      <c r="AP543" s="2" t="e">
        <f t="shared" ca="1" si="286"/>
        <v>#N/A</v>
      </c>
      <c r="AQ543" s="2" t="e">
        <f t="shared" ca="1" si="287"/>
        <v>#N/A</v>
      </c>
      <c r="AR543" s="2" t="e">
        <f t="shared" ca="1" si="288"/>
        <v>#N/A</v>
      </c>
      <c r="AS543" s="2" t="e">
        <f t="shared" ca="1" si="289"/>
        <v>#N/A</v>
      </c>
      <c r="AT543" s="9" t="e">
        <f t="shared" ca="1" si="290"/>
        <v>#N/A</v>
      </c>
      <c r="AU543" s="9" t="e">
        <f t="shared" ca="1" si="291"/>
        <v>#N/A</v>
      </c>
      <c r="AV543" s="9"/>
      <c r="AW543" s="2" t="e">
        <f t="shared" ca="1" si="313"/>
        <v>#N/A</v>
      </c>
      <c r="AX543" s="2" t="e">
        <f t="shared" ca="1" si="314"/>
        <v>#N/A</v>
      </c>
      <c r="AY543" s="2" t="e">
        <f t="shared" ca="1" si="315"/>
        <v>#N/A</v>
      </c>
      <c r="AZ543" s="2" t="e">
        <f t="shared" ca="1" si="316"/>
        <v>#N/A</v>
      </c>
      <c r="BA543" s="2" t="e">
        <f t="shared" ca="1" si="317"/>
        <v>#N/A</v>
      </c>
      <c r="BB543" s="2" t="e">
        <f t="shared" ca="1" si="318"/>
        <v>#N/A</v>
      </c>
      <c r="BC543" s="9" t="e">
        <f t="shared" ca="1" si="319"/>
        <v>#N/A</v>
      </c>
      <c r="BD543" s="9" t="e">
        <f t="shared" ca="1" si="320"/>
        <v>#N/A</v>
      </c>
    </row>
    <row r="544" spans="1:56" ht="15" x14ac:dyDescent="0.25">
      <c r="A544" s="63"/>
      <c r="B544" s="63"/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16"/>
      <c r="O544" s="11">
        <f t="shared" ca="1" si="306"/>
        <v>-3.9378682616450625E-4</v>
      </c>
      <c r="P544" s="11">
        <f t="shared" ca="1" si="307"/>
        <v>-1.6358405771021967E-4</v>
      </c>
      <c r="Q544" s="11">
        <f t="shared" ca="1" si="308"/>
        <v>-1.614029402377854E-3</v>
      </c>
      <c r="R544" s="11">
        <f t="shared" ca="1" si="309"/>
        <v>-1.4853760121635622E-5</v>
      </c>
      <c r="S544" s="11">
        <f t="shared" ca="1" si="310"/>
        <v>-1.1458026838550334E-3</v>
      </c>
      <c r="T544" s="11">
        <f t="shared" ca="1" si="311"/>
        <v>-4.9053934342410677E-4</v>
      </c>
      <c r="U544" s="11">
        <f t="shared" ca="1" si="312"/>
        <v>-5.5074395654535931E-3</v>
      </c>
      <c r="V544" s="11"/>
      <c r="W544" s="11">
        <f t="shared" ca="1" si="292"/>
        <v>0</v>
      </c>
      <c r="X544" s="2">
        <f t="shared" ca="1" si="293"/>
        <v>-1.6358405771021967E-4</v>
      </c>
      <c r="Y544" s="2">
        <f t="shared" ca="1" si="294"/>
        <v>-1.614029402377854E-3</v>
      </c>
      <c r="Z544" s="11">
        <f t="shared" ca="1" si="295"/>
        <v>-1.4853760121635622E-5</v>
      </c>
      <c r="AA544" s="2">
        <f t="shared" ca="1" si="296"/>
        <v>-1.1458026838550334E-3</v>
      </c>
      <c r="AB544" s="11">
        <f t="shared" ca="1" si="297"/>
        <v>-4.9053934342410677E-4</v>
      </c>
      <c r="AC544" s="2">
        <f t="shared" ca="1" si="298"/>
        <v>-5.5074395654535931E-3</v>
      </c>
      <c r="AF544" s="11">
        <f t="shared" ca="1" si="299"/>
        <v>0</v>
      </c>
      <c r="AG544" s="2">
        <f t="shared" ca="1" si="300"/>
        <v>-1.6358405771021967E-4</v>
      </c>
      <c r="AH544" s="2">
        <f t="shared" ca="1" si="301"/>
        <v>-1.614029402377854E-3</v>
      </c>
      <c r="AI544" s="2">
        <f t="shared" ca="1" si="302"/>
        <v>-1.4853760121635622E-5</v>
      </c>
      <c r="AJ544" s="2">
        <f t="shared" ca="1" si="303"/>
        <v>-1.1458026838550334E-3</v>
      </c>
      <c r="AK544" s="2">
        <f t="shared" ca="1" si="304"/>
        <v>-4.9053934342410677E-4</v>
      </c>
      <c r="AL544" s="2">
        <f t="shared" ca="1" si="305"/>
        <v>-5.5074395654535931E-3</v>
      </c>
      <c r="AN544" s="2" t="e">
        <f t="shared" ca="1" si="284"/>
        <v>#N/A</v>
      </c>
      <c r="AO544" s="2" t="e">
        <f t="shared" ca="1" si="285"/>
        <v>#N/A</v>
      </c>
      <c r="AP544" s="2" t="e">
        <f t="shared" ca="1" si="286"/>
        <v>#N/A</v>
      </c>
      <c r="AQ544" s="2" t="e">
        <f t="shared" ca="1" si="287"/>
        <v>#N/A</v>
      </c>
      <c r="AR544" s="2" t="e">
        <f t="shared" ca="1" si="288"/>
        <v>#N/A</v>
      </c>
      <c r="AS544" s="2" t="e">
        <f t="shared" ca="1" si="289"/>
        <v>#N/A</v>
      </c>
      <c r="AT544" s="9" t="e">
        <f t="shared" ca="1" si="290"/>
        <v>#N/A</v>
      </c>
      <c r="AU544" s="9" t="e">
        <f t="shared" ca="1" si="291"/>
        <v>#N/A</v>
      </c>
      <c r="AV544" s="9"/>
      <c r="AW544" s="2" t="e">
        <f t="shared" ca="1" si="313"/>
        <v>#N/A</v>
      </c>
      <c r="AX544" s="2" t="e">
        <f t="shared" ca="1" si="314"/>
        <v>#N/A</v>
      </c>
      <c r="AY544" s="2" t="e">
        <f t="shared" ca="1" si="315"/>
        <v>#N/A</v>
      </c>
      <c r="AZ544" s="2" t="e">
        <f t="shared" ca="1" si="316"/>
        <v>#N/A</v>
      </c>
      <c r="BA544" s="2" t="e">
        <f t="shared" ca="1" si="317"/>
        <v>#N/A</v>
      </c>
      <c r="BB544" s="2" t="e">
        <f t="shared" ca="1" si="318"/>
        <v>#N/A</v>
      </c>
      <c r="BC544" s="9" t="e">
        <f t="shared" ca="1" si="319"/>
        <v>#N/A</v>
      </c>
      <c r="BD544" s="9" t="e">
        <f t="shared" ca="1" si="320"/>
        <v>#N/A</v>
      </c>
    </row>
    <row r="545" spans="1:56" ht="15" x14ac:dyDescent="0.25">
      <c r="A545" s="63"/>
      <c r="B545" s="63"/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16"/>
      <c r="O545" s="11">
        <f t="shared" ca="1" si="306"/>
        <v>-3.9378682616450625E-4</v>
      </c>
      <c r="P545" s="11">
        <f t="shared" ca="1" si="307"/>
        <v>-1.6358405771021967E-4</v>
      </c>
      <c r="Q545" s="11">
        <f t="shared" ca="1" si="308"/>
        <v>-1.614029402377854E-3</v>
      </c>
      <c r="R545" s="11">
        <f t="shared" ca="1" si="309"/>
        <v>-1.4853760121635622E-5</v>
      </c>
      <c r="S545" s="11">
        <f t="shared" ca="1" si="310"/>
        <v>-1.1458026838550334E-3</v>
      </c>
      <c r="T545" s="11">
        <f t="shared" ca="1" si="311"/>
        <v>-4.9053934342410677E-4</v>
      </c>
      <c r="U545" s="11">
        <f t="shared" ca="1" si="312"/>
        <v>-5.5074395654535931E-3</v>
      </c>
      <c r="V545" s="11"/>
      <c r="W545" s="11">
        <f t="shared" ca="1" si="292"/>
        <v>0</v>
      </c>
      <c r="X545" s="2">
        <f t="shared" ca="1" si="293"/>
        <v>-1.6358405771021967E-4</v>
      </c>
      <c r="Y545" s="2">
        <f t="shared" ca="1" si="294"/>
        <v>-1.614029402377854E-3</v>
      </c>
      <c r="Z545" s="11">
        <f t="shared" ca="1" si="295"/>
        <v>-1.4853760121635622E-5</v>
      </c>
      <c r="AA545" s="2">
        <f t="shared" ca="1" si="296"/>
        <v>-1.1458026838550334E-3</v>
      </c>
      <c r="AB545" s="11">
        <f t="shared" ca="1" si="297"/>
        <v>-4.9053934342410677E-4</v>
      </c>
      <c r="AC545" s="2">
        <f t="shared" ca="1" si="298"/>
        <v>-5.5074395654535931E-3</v>
      </c>
      <c r="AF545" s="11">
        <f t="shared" ca="1" si="299"/>
        <v>0</v>
      </c>
      <c r="AG545" s="2">
        <f t="shared" ca="1" si="300"/>
        <v>-1.6358405771021967E-4</v>
      </c>
      <c r="AH545" s="2">
        <f t="shared" ca="1" si="301"/>
        <v>-1.614029402377854E-3</v>
      </c>
      <c r="AI545" s="2">
        <f t="shared" ca="1" si="302"/>
        <v>-1.4853760121635622E-5</v>
      </c>
      <c r="AJ545" s="2">
        <f t="shared" ca="1" si="303"/>
        <v>-1.1458026838550334E-3</v>
      </c>
      <c r="AK545" s="2">
        <f t="shared" ca="1" si="304"/>
        <v>-4.9053934342410677E-4</v>
      </c>
      <c r="AL545" s="2">
        <f t="shared" ca="1" si="305"/>
        <v>-5.5074395654535931E-3</v>
      </c>
      <c r="AN545" s="2" t="e">
        <f t="shared" ca="1" si="284"/>
        <v>#N/A</v>
      </c>
      <c r="AO545" s="2" t="e">
        <f t="shared" ca="1" si="285"/>
        <v>#N/A</v>
      </c>
      <c r="AP545" s="2" t="e">
        <f t="shared" ca="1" si="286"/>
        <v>#N/A</v>
      </c>
      <c r="AQ545" s="2" t="e">
        <f t="shared" ca="1" si="287"/>
        <v>#N/A</v>
      </c>
      <c r="AR545" s="2" t="e">
        <f t="shared" ca="1" si="288"/>
        <v>#N/A</v>
      </c>
      <c r="AS545" s="2" t="e">
        <f t="shared" ca="1" si="289"/>
        <v>#N/A</v>
      </c>
      <c r="AT545" s="9" t="e">
        <f t="shared" ca="1" si="290"/>
        <v>#N/A</v>
      </c>
      <c r="AU545" s="9" t="e">
        <f t="shared" ca="1" si="291"/>
        <v>#N/A</v>
      </c>
      <c r="AV545" s="9"/>
      <c r="AW545" s="2" t="e">
        <f t="shared" ca="1" si="313"/>
        <v>#N/A</v>
      </c>
      <c r="AX545" s="2" t="e">
        <f t="shared" ca="1" si="314"/>
        <v>#N/A</v>
      </c>
      <c r="AY545" s="2" t="e">
        <f t="shared" ca="1" si="315"/>
        <v>#N/A</v>
      </c>
      <c r="AZ545" s="2" t="e">
        <f t="shared" ca="1" si="316"/>
        <v>#N/A</v>
      </c>
      <c r="BA545" s="2" t="e">
        <f t="shared" ca="1" si="317"/>
        <v>#N/A</v>
      </c>
      <c r="BB545" s="2" t="e">
        <f t="shared" ca="1" si="318"/>
        <v>#N/A</v>
      </c>
      <c r="BC545" s="9" t="e">
        <f t="shared" ca="1" si="319"/>
        <v>#N/A</v>
      </c>
      <c r="BD545" s="9" t="e">
        <f t="shared" ca="1" si="320"/>
        <v>#N/A</v>
      </c>
    </row>
    <row r="546" spans="1:56" ht="15" x14ac:dyDescent="0.25">
      <c r="A546" s="63"/>
      <c r="B546" s="63"/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16"/>
      <c r="O546" s="11">
        <f t="shared" ca="1" si="306"/>
        <v>-3.9378682616450625E-4</v>
      </c>
      <c r="P546" s="11">
        <f t="shared" ca="1" si="307"/>
        <v>-1.6358405771021967E-4</v>
      </c>
      <c r="Q546" s="11">
        <f t="shared" ca="1" si="308"/>
        <v>-1.614029402377854E-3</v>
      </c>
      <c r="R546" s="11">
        <f t="shared" ca="1" si="309"/>
        <v>-1.4853760121635622E-5</v>
      </c>
      <c r="S546" s="11">
        <f t="shared" ca="1" si="310"/>
        <v>-1.1458026838550334E-3</v>
      </c>
      <c r="T546" s="11">
        <f t="shared" ca="1" si="311"/>
        <v>-4.9053934342410677E-4</v>
      </c>
      <c r="U546" s="11">
        <f t="shared" ca="1" si="312"/>
        <v>-5.5074395654535931E-3</v>
      </c>
      <c r="V546" s="11"/>
      <c r="W546" s="11">
        <f t="shared" ca="1" si="292"/>
        <v>0</v>
      </c>
      <c r="X546" s="2">
        <f t="shared" ca="1" si="293"/>
        <v>-1.6358405771021967E-4</v>
      </c>
      <c r="Y546" s="2">
        <f t="shared" ca="1" si="294"/>
        <v>-1.614029402377854E-3</v>
      </c>
      <c r="Z546" s="11">
        <f t="shared" ca="1" si="295"/>
        <v>-1.4853760121635622E-5</v>
      </c>
      <c r="AA546" s="2">
        <f t="shared" ca="1" si="296"/>
        <v>-1.1458026838550334E-3</v>
      </c>
      <c r="AB546" s="11">
        <f t="shared" ca="1" si="297"/>
        <v>-4.9053934342410677E-4</v>
      </c>
      <c r="AC546" s="2">
        <f t="shared" ca="1" si="298"/>
        <v>-5.5074395654535931E-3</v>
      </c>
      <c r="AF546" s="11">
        <f t="shared" ca="1" si="299"/>
        <v>0</v>
      </c>
      <c r="AG546" s="2">
        <f t="shared" ca="1" si="300"/>
        <v>-1.6358405771021967E-4</v>
      </c>
      <c r="AH546" s="2">
        <f t="shared" ca="1" si="301"/>
        <v>-1.614029402377854E-3</v>
      </c>
      <c r="AI546" s="2">
        <f t="shared" ca="1" si="302"/>
        <v>-1.4853760121635622E-5</v>
      </c>
      <c r="AJ546" s="2">
        <f t="shared" ca="1" si="303"/>
        <v>-1.1458026838550334E-3</v>
      </c>
      <c r="AK546" s="2">
        <f t="shared" ca="1" si="304"/>
        <v>-4.9053934342410677E-4</v>
      </c>
      <c r="AL546" s="2">
        <f t="shared" ca="1" si="305"/>
        <v>-5.5074395654535931E-3</v>
      </c>
      <c r="AN546" s="2" t="e">
        <f t="shared" ca="1" si="284"/>
        <v>#N/A</v>
      </c>
      <c r="AO546" s="2" t="e">
        <f t="shared" ca="1" si="285"/>
        <v>#N/A</v>
      </c>
      <c r="AP546" s="2" t="e">
        <f t="shared" ca="1" si="286"/>
        <v>#N/A</v>
      </c>
      <c r="AQ546" s="2" t="e">
        <f t="shared" ca="1" si="287"/>
        <v>#N/A</v>
      </c>
      <c r="AR546" s="2" t="e">
        <f t="shared" ca="1" si="288"/>
        <v>#N/A</v>
      </c>
      <c r="AS546" s="2" t="e">
        <f t="shared" ca="1" si="289"/>
        <v>#N/A</v>
      </c>
      <c r="AT546" s="9" t="e">
        <f t="shared" ca="1" si="290"/>
        <v>#N/A</v>
      </c>
      <c r="AU546" s="9" t="e">
        <f t="shared" ca="1" si="291"/>
        <v>#N/A</v>
      </c>
      <c r="AV546" s="9"/>
      <c r="AW546" s="2" t="e">
        <f t="shared" ca="1" si="313"/>
        <v>#N/A</v>
      </c>
      <c r="AX546" s="2" t="e">
        <f t="shared" ca="1" si="314"/>
        <v>#N/A</v>
      </c>
      <c r="AY546" s="2" t="e">
        <f t="shared" ca="1" si="315"/>
        <v>#N/A</v>
      </c>
      <c r="AZ546" s="2" t="e">
        <f t="shared" ca="1" si="316"/>
        <v>#N/A</v>
      </c>
      <c r="BA546" s="2" t="e">
        <f t="shared" ca="1" si="317"/>
        <v>#N/A</v>
      </c>
      <c r="BB546" s="2" t="e">
        <f t="shared" ca="1" si="318"/>
        <v>#N/A</v>
      </c>
      <c r="BC546" s="9" t="e">
        <f t="shared" ca="1" si="319"/>
        <v>#N/A</v>
      </c>
      <c r="BD546" s="9" t="e">
        <f t="shared" ca="1" si="320"/>
        <v>#N/A</v>
      </c>
    </row>
    <row r="547" spans="1:56" ht="15" x14ac:dyDescent="0.25">
      <c r="A547" s="63"/>
      <c r="B547" s="63"/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16"/>
      <c r="O547" s="11">
        <f t="shared" ca="1" si="306"/>
        <v>-3.9378682616450625E-4</v>
      </c>
      <c r="P547" s="11">
        <f t="shared" ca="1" si="307"/>
        <v>-1.6358405771021967E-4</v>
      </c>
      <c r="Q547" s="11">
        <f t="shared" ca="1" si="308"/>
        <v>-1.614029402377854E-3</v>
      </c>
      <c r="R547" s="11">
        <f t="shared" ca="1" si="309"/>
        <v>-1.4853760121635622E-5</v>
      </c>
      <c r="S547" s="11">
        <f t="shared" ca="1" si="310"/>
        <v>-1.1458026838550334E-3</v>
      </c>
      <c r="T547" s="11">
        <f t="shared" ca="1" si="311"/>
        <v>-4.9053934342410677E-4</v>
      </c>
      <c r="U547" s="11">
        <f t="shared" ca="1" si="312"/>
        <v>-5.5074395654535931E-3</v>
      </c>
      <c r="V547" s="11"/>
      <c r="W547" s="11">
        <f t="shared" ca="1" si="292"/>
        <v>0</v>
      </c>
      <c r="X547" s="2">
        <f t="shared" ca="1" si="293"/>
        <v>-1.6358405771021967E-4</v>
      </c>
      <c r="Y547" s="2">
        <f t="shared" ca="1" si="294"/>
        <v>-1.614029402377854E-3</v>
      </c>
      <c r="Z547" s="11">
        <f t="shared" ca="1" si="295"/>
        <v>-1.4853760121635622E-5</v>
      </c>
      <c r="AA547" s="2">
        <f t="shared" ca="1" si="296"/>
        <v>-1.1458026838550334E-3</v>
      </c>
      <c r="AB547" s="11">
        <f t="shared" ca="1" si="297"/>
        <v>-4.9053934342410677E-4</v>
      </c>
      <c r="AC547" s="2">
        <f t="shared" ca="1" si="298"/>
        <v>-5.5074395654535931E-3</v>
      </c>
      <c r="AF547" s="11">
        <f t="shared" ca="1" si="299"/>
        <v>0</v>
      </c>
      <c r="AG547" s="2">
        <f t="shared" ca="1" si="300"/>
        <v>-1.6358405771021967E-4</v>
      </c>
      <c r="AH547" s="2">
        <f t="shared" ca="1" si="301"/>
        <v>-1.614029402377854E-3</v>
      </c>
      <c r="AI547" s="2">
        <f t="shared" ca="1" si="302"/>
        <v>-1.4853760121635622E-5</v>
      </c>
      <c r="AJ547" s="2">
        <f t="shared" ca="1" si="303"/>
        <v>-1.1458026838550334E-3</v>
      </c>
      <c r="AK547" s="2">
        <f t="shared" ca="1" si="304"/>
        <v>-4.9053934342410677E-4</v>
      </c>
      <c r="AL547" s="2">
        <f t="shared" ca="1" si="305"/>
        <v>-5.5074395654535931E-3</v>
      </c>
      <c r="AN547" s="2" t="e">
        <f t="shared" ca="1" si="284"/>
        <v>#N/A</v>
      </c>
      <c r="AO547" s="2" t="e">
        <f t="shared" ca="1" si="285"/>
        <v>#N/A</v>
      </c>
      <c r="AP547" s="2" t="e">
        <f t="shared" ca="1" si="286"/>
        <v>#N/A</v>
      </c>
      <c r="AQ547" s="2" t="e">
        <f t="shared" ca="1" si="287"/>
        <v>#N/A</v>
      </c>
      <c r="AR547" s="2" t="e">
        <f t="shared" ca="1" si="288"/>
        <v>#N/A</v>
      </c>
      <c r="AS547" s="2" t="e">
        <f t="shared" ca="1" si="289"/>
        <v>#N/A</v>
      </c>
      <c r="AT547" s="9" t="e">
        <f t="shared" ca="1" si="290"/>
        <v>#N/A</v>
      </c>
      <c r="AU547" s="9" t="e">
        <f t="shared" ca="1" si="291"/>
        <v>#N/A</v>
      </c>
      <c r="AV547" s="9"/>
      <c r="AW547" s="2" t="e">
        <f t="shared" ca="1" si="313"/>
        <v>#N/A</v>
      </c>
      <c r="AX547" s="2" t="e">
        <f t="shared" ca="1" si="314"/>
        <v>#N/A</v>
      </c>
      <c r="AY547" s="2" t="e">
        <f t="shared" ca="1" si="315"/>
        <v>#N/A</v>
      </c>
      <c r="AZ547" s="2" t="e">
        <f t="shared" ca="1" si="316"/>
        <v>#N/A</v>
      </c>
      <c r="BA547" s="2" t="e">
        <f t="shared" ca="1" si="317"/>
        <v>#N/A</v>
      </c>
      <c r="BB547" s="2" t="e">
        <f t="shared" ca="1" si="318"/>
        <v>#N/A</v>
      </c>
      <c r="BC547" s="9" t="e">
        <f t="shared" ca="1" si="319"/>
        <v>#N/A</v>
      </c>
      <c r="BD547" s="9" t="e">
        <f t="shared" ca="1" si="320"/>
        <v>#N/A</v>
      </c>
    </row>
    <row r="548" spans="1:56" ht="15" x14ac:dyDescent="0.25">
      <c r="A548" s="63"/>
      <c r="B548" s="63"/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16"/>
      <c r="O548" s="11">
        <f t="shared" ca="1" si="306"/>
        <v>-3.9378682616450625E-4</v>
      </c>
      <c r="P548" s="11">
        <f t="shared" ca="1" si="307"/>
        <v>-1.6358405771021967E-4</v>
      </c>
      <c r="Q548" s="11">
        <f t="shared" ca="1" si="308"/>
        <v>-1.614029402377854E-3</v>
      </c>
      <c r="R548" s="11">
        <f t="shared" ca="1" si="309"/>
        <v>-1.4853760121635622E-5</v>
      </c>
      <c r="S548" s="11">
        <f t="shared" ca="1" si="310"/>
        <v>-1.1458026838550334E-3</v>
      </c>
      <c r="T548" s="11">
        <f t="shared" ca="1" si="311"/>
        <v>-4.9053934342410677E-4</v>
      </c>
      <c r="U548" s="11">
        <f t="shared" ca="1" si="312"/>
        <v>-5.5074395654535931E-3</v>
      </c>
      <c r="V548" s="11"/>
      <c r="W548" s="11">
        <f t="shared" ca="1" si="292"/>
        <v>0</v>
      </c>
      <c r="X548" s="2">
        <f t="shared" ca="1" si="293"/>
        <v>-1.6358405771021967E-4</v>
      </c>
      <c r="Y548" s="2">
        <f t="shared" ca="1" si="294"/>
        <v>-1.614029402377854E-3</v>
      </c>
      <c r="Z548" s="11">
        <f t="shared" ca="1" si="295"/>
        <v>-1.4853760121635622E-5</v>
      </c>
      <c r="AA548" s="2">
        <f t="shared" ca="1" si="296"/>
        <v>-1.1458026838550334E-3</v>
      </c>
      <c r="AB548" s="11">
        <f t="shared" ca="1" si="297"/>
        <v>-4.9053934342410677E-4</v>
      </c>
      <c r="AC548" s="2">
        <f t="shared" ca="1" si="298"/>
        <v>-5.5074395654535931E-3</v>
      </c>
      <c r="AF548" s="11">
        <f t="shared" ca="1" si="299"/>
        <v>0</v>
      </c>
      <c r="AG548" s="2">
        <f t="shared" ca="1" si="300"/>
        <v>-1.6358405771021967E-4</v>
      </c>
      <c r="AH548" s="2">
        <f t="shared" ca="1" si="301"/>
        <v>-1.614029402377854E-3</v>
      </c>
      <c r="AI548" s="2">
        <f t="shared" ca="1" si="302"/>
        <v>-1.4853760121635622E-5</v>
      </c>
      <c r="AJ548" s="2">
        <f t="shared" ca="1" si="303"/>
        <v>-1.1458026838550334E-3</v>
      </c>
      <c r="AK548" s="2">
        <f t="shared" ca="1" si="304"/>
        <v>-4.9053934342410677E-4</v>
      </c>
      <c r="AL548" s="2">
        <f t="shared" ca="1" si="305"/>
        <v>-5.5074395654535931E-3</v>
      </c>
      <c r="AN548" s="2" t="e">
        <f t="shared" ca="1" si="284"/>
        <v>#N/A</v>
      </c>
      <c r="AO548" s="2" t="e">
        <f t="shared" ca="1" si="285"/>
        <v>#N/A</v>
      </c>
      <c r="AP548" s="2" t="e">
        <f t="shared" ca="1" si="286"/>
        <v>#N/A</v>
      </c>
      <c r="AQ548" s="2" t="e">
        <f t="shared" ca="1" si="287"/>
        <v>#N/A</v>
      </c>
      <c r="AR548" s="2" t="e">
        <f t="shared" ca="1" si="288"/>
        <v>#N/A</v>
      </c>
      <c r="AS548" s="2" t="e">
        <f t="shared" ca="1" si="289"/>
        <v>#N/A</v>
      </c>
      <c r="AT548" s="9" t="e">
        <f t="shared" ca="1" si="290"/>
        <v>#N/A</v>
      </c>
      <c r="AU548" s="9" t="e">
        <f t="shared" ca="1" si="291"/>
        <v>#N/A</v>
      </c>
      <c r="AV548" s="9"/>
      <c r="AW548" s="2" t="e">
        <f t="shared" ca="1" si="313"/>
        <v>#N/A</v>
      </c>
      <c r="AX548" s="2" t="e">
        <f t="shared" ca="1" si="314"/>
        <v>#N/A</v>
      </c>
      <c r="AY548" s="2" t="e">
        <f t="shared" ca="1" si="315"/>
        <v>#N/A</v>
      </c>
      <c r="AZ548" s="2" t="e">
        <f t="shared" ca="1" si="316"/>
        <v>#N/A</v>
      </c>
      <c r="BA548" s="2" t="e">
        <f t="shared" ca="1" si="317"/>
        <v>#N/A</v>
      </c>
      <c r="BB548" s="2" t="e">
        <f t="shared" ca="1" si="318"/>
        <v>#N/A</v>
      </c>
      <c r="BC548" s="9" t="e">
        <f t="shared" ca="1" si="319"/>
        <v>#N/A</v>
      </c>
      <c r="BD548" s="9" t="e">
        <f t="shared" ca="1" si="320"/>
        <v>#N/A</v>
      </c>
    </row>
    <row r="549" spans="1:56" ht="15" x14ac:dyDescent="0.25">
      <c r="A549" s="63"/>
      <c r="B549" s="63"/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16"/>
      <c r="O549" s="11">
        <f t="shared" ca="1" si="306"/>
        <v>-3.9378682616450625E-4</v>
      </c>
      <c r="P549" s="11">
        <f t="shared" ca="1" si="307"/>
        <v>-1.6358405771021967E-4</v>
      </c>
      <c r="Q549" s="11">
        <f t="shared" ca="1" si="308"/>
        <v>-1.614029402377854E-3</v>
      </c>
      <c r="R549" s="11">
        <f t="shared" ca="1" si="309"/>
        <v>-1.4853760121635622E-5</v>
      </c>
      <c r="S549" s="11">
        <f t="shared" ca="1" si="310"/>
        <v>-1.1458026838550334E-3</v>
      </c>
      <c r="T549" s="11">
        <f t="shared" ca="1" si="311"/>
        <v>-4.9053934342410677E-4</v>
      </c>
      <c r="U549" s="11">
        <f t="shared" ca="1" si="312"/>
        <v>-5.5074395654535931E-3</v>
      </c>
      <c r="V549" s="11"/>
      <c r="W549" s="11">
        <f t="shared" ca="1" si="292"/>
        <v>0</v>
      </c>
      <c r="X549" s="2">
        <f t="shared" ca="1" si="293"/>
        <v>-1.6358405771021967E-4</v>
      </c>
      <c r="Y549" s="2">
        <f t="shared" ca="1" si="294"/>
        <v>-1.614029402377854E-3</v>
      </c>
      <c r="Z549" s="11">
        <f t="shared" ca="1" si="295"/>
        <v>-1.4853760121635622E-5</v>
      </c>
      <c r="AA549" s="2">
        <f t="shared" ca="1" si="296"/>
        <v>-1.1458026838550334E-3</v>
      </c>
      <c r="AB549" s="11">
        <f t="shared" ca="1" si="297"/>
        <v>-4.9053934342410677E-4</v>
      </c>
      <c r="AC549" s="2">
        <f t="shared" ca="1" si="298"/>
        <v>-5.5074395654535931E-3</v>
      </c>
      <c r="AF549" s="11">
        <f t="shared" ca="1" si="299"/>
        <v>0</v>
      </c>
      <c r="AG549" s="2">
        <f t="shared" ca="1" si="300"/>
        <v>-1.6358405771021967E-4</v>
      </c>
      <c r="AH549" s="2">
        <f t="shared" ca="1" si="301"/>
        <v>-1.614029402377854E-3</v>
      </c>
      <c r="AI549" s="2">
        <f t="shared" ca="1" si="302"/>
        <v>-1.4853760121635622E-5</v>
      </c>
      <c r="AJ549" s="2">
        <f t="shared" ca="1" si="303"/>
        <v>-1.1458026838550334E-3</v>
      </c>
      <c r="AK549" s="2">
        <f t="shared" ca="1" si="304"/>
        <v>-4.9053934342410677E-4</v>
      </c>
      <c r="AL549" s="2">
        <f t="shared" ca="1" si="305"/>
        <v>-5.5074395654535931E-3</v>
      </c>
      <c r="AN549" s="2" t="e">
        <f t="shared" ca="1" si="284"/>
        <v>#N/A</v>
      </c>
      <c r="AO549" s="2" t="e">
        <f t="shared" ca="1" si="285"/>
        <v>#N/A</v>
      </c>
      <c r="AP549" s="2" t="e">
        <f t="shared" ca="1" si="286"/>
        <v>#N/A</v>
      </c>
      <c r="AQ549" s="2" t="e">
        <f t="shared" ca="1" si="287"/>
        <v>#N/A</v>
      </c>
      <c r="AR549" s="2" t="e">
        <f t="shared" ca="1" si="288"/>
        <v>#N/A</v>
      </c>
      <c r="AS549" s="2" t="e">
        <f t="shared" ca="1" si="289"/>
        <v>#N/A</v>
      </c>
      <c r="AT549" s="9" t="e">
        <f t="shared" ca="1" si="290"/>
        <v>#N/A</v>
      </c>
      <c r="AU549" s="9" t="e">
        <f t="shared" ca="1" si="291"/>
        <v>#N/A</v>
      </c>
      <c r="AV549" s="9"/>
      <c r="AW549" s="2" t="e">
        <f t="shared" ca="1" si="313"/>
        <v>#N/A</v>
      </c>
      <c r="AX549" s="2" t="e">
        <f t="shared" ca="1" si="314"/>
        <v>#N/A</v>
      </c>
      <c r="AY549" s="2" t="e">
        <f t="shared" ca="1" si="315"/>
        <v>#N/A</v>
      </c>
      <c r="AZ549" s="2" t="e">
        <f t="shared" ca="1" si="316"/>
        <v>#N/A</v>
      </c>
      <c r="BA549" s="2" t="e">
        <f t="shared" ca="1" si="317"/>
        <v>#N/A</v>
      </c>
      <c r="BB549" s="2" t="e">
        <f t="shared" ca="1" si="318"/>
        <v>#N/A</v>
      </c>
      <c r="BC549" s="9" t="e">
        <f t="shared" ca="1" si="319"/>
        <v>#N/A</v>
      </c>
      <c r="BD549" s="9" t="e">
        <f t="shared" ca="1" si="320"/>
        <v>#N/A</v>
      </c>
    </row>
    <row r="550" spans="1:56" ht="15" x14ac:dyDescent="0.25">
      <c r="A550" s="63"/>
      <c r="B550" s="63"/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16"/>
      <c r="O550" s="11">
        <f t="shared" ca="1" si="306"/>
        <v>-3.9378682616450625E-4</v>
      </c>
      <c r="P550" s="11">
        <f t="shared" ca="1" si="307"/>
        <v>-1.6358405771021967E-4</v>
      </c>
      <c r="Q550" s="11">
        <f t="shared" ca="1" si="308"/>
        <v>-1.614029402377854E-3</v>
      </c>
      <c r="R550" s="11">
        <f t="shared" ca="1" si="309"/>
        <v>-1.4853760121635622E-5</v>
      </c>
      <c r="S550" s="11">
        <f t="shared" ca="1" si="310"/>
        <v>-1.1458026838550334E-3</v>
      </c>
      <c r="T550" s="11">
        <f t="shared" ca="1" si="311"/>
        <v>-4.9053934342410677E-4</v>
      </c>
      <c r="U550" s="11">
        <f t="shared" ca="1" si="312"/>
        <v>-5.5074395654535931E-3</v>
      </c>
      <c r="V550" s="11"/>
      <c r="W550" s="11">
        <f t="shared" ca="1" si="292"/>
        <v>0</v>
      </c>
      <c r="X550" s="2">
        <f t="shared" ca="1" si="293"/>
        <v>-1.6358405771021967E-4</v>
      </c>
      <c r="Y550" s="2">
        <f t="shared" ca="1" si="294"/>
        <v>-1.614029402377854E-3</v>
      </c>
      <c r="Z550" s="11">
        <f t="shared" ca="1" si="295"/>
        <v>-1.4853760121635622E-5</v>
      </c>
      <c r="AA550" s="2">
        <f t="shared" ca="1" si="296"/>
        <v>-1.1458026838550334E-3</v>
      </c>
      <c r="AB550" s="11">
        <f t="shared" ca="1" si="297"/>
        <v>-4.9053934342410677E-4</v>
      </c>
      <c r="AC550" s="2">
        <f t="shared" ca="1" si="298"/>
        <v>-5.5074395654535931E-3</v>
      </c>
      <c r="AF550" s="11">
        <f t="shared" ca="1" si="299"/>
        <v>0</v>
      </c>
      <c r="AG550" s="2">
        <f t="shared" ca="1" si="300"/>
        <v>-1.6358405771021967E-4</v>
      </c>
      <c r="AH550" s="2">
        <f t="shared" ca="1" si="301"/>
        <v>-1.614029402377854E-3</v>
      </c>
      <c r="AI550" s="2">
        <f t="shared" ca="1" si="302"/>
        <v>-1.4853760121635622E-5</v>
      </c>
      <c r="AJ550" s="2">
        <f t="shared" ca="1" si="303"/>
        <v>-1.1458026838550334E-3</v>
      </c>
      <c r="AK550" s="2">
        <f t="shared" ca="1" si="304"/>
        <v>-4.9053934342410677E-4</v>
      </c>
      <c r="AL550" s="2">
        <f t="shared" ca="1" si="305"/>
        <v>-5.5074395654535931E-3</v>
      </c>
      <c r="AN550" s="2" t="e">
        <f t="shared" ca="1" si="284"/>
        <v>#N/A</v>
      </c>
      <c r="AO550" s="2" t="e">
        <f t="shared" ca="1" si="285"/>
        <v>#N/A</v>
      </c>
      <c r="AP550" s="2" t="e">
        <f t="shared" ca="1" si="286"/>
        <v>#N/A</v>
      </c>
      <c r="AQ550" s="2" t="e">
        <f t="shared" ca="1" si="287"/>
        <v>#N/A</v>
      </c>
      <c r="AR550" s="2" t="e">
        <f t="shared" ca="1" si="288"/>
        <v>#N/A</v>
      </c>
      <c r="AS550" s="2" t="e">
        <f t="shared" ca="1" si="289"/>
        <v>#N/A</v>
      </c>
      <c r="AT550" s="9" t="e">
        <f t="shared" ca="1" si="290"/>
        <v>#N/A</v>
      </c>
      <c r="AU550" s="9" t="e">
        <f t="shared" ca="1" si="291"/>
        <v>#N/A</v>
      </c>
      <c r="AV550" s="9"/>
      <c r="AW550" s="2" t="e">
        <f t="shared" ca="1" si="313"/>
        <v>#N/A</v>
      </c>
      <c r="AX550" s="2" t="e">
        <f t="shared" ca="1" si="314"/>
        <v>#N/A</v>
      </c>
      <c r="AY550" s="2" t="e">
        <f t="shared" ca="1" si="315"/>
        <v>#N/A</v>
      </c>
      <c r="AZ550" s="2" t="e">
        <f t="shared" ca="1" si="316"/>
        <v>#N/A</v>
      </c>
      <c r="BA550" s="2" t="e">
        <f t="shared" ca="1" si="317"/>
        <v>#N/A</v>
      </c>
      <c r="BB550" s="2" t="e">
        <f t="shared" ca="1" si="318"/>
        <v>#N/A</v>
      </c>
      <c r="BC550" s="9" t="e">
        <f t="shared" ca="1" si="319"/>
        <v>#N/A</v>
      </c>
      <c r="BD550" s="9" t="e">
        <f t="shared" ca="1" si="320"/>
        <v>#N/A</v>
      </c>
    </row>
    <row r="551" spans="1:56" ht="15" x14ac:dyDescent="0.25">
      <c r="A551" s="63"/>
      <c r="B551" s="63"/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16"/>
      <c r="O551" s="11">
        <f t="shared" ca="1" si="306"/>
        <v>-3.9378682616450625E-4</v>
      </c>
      <c r="P551" s="11">
        <f t="shared" ca="1" si="307"/>
        <v>-1.6358405771021967E-4</v>
      </c>
      <c r="Q551" s="11">
        <f t="shared" ca="1" si="308"/>
        <v>-1.614029402377854E-3</v>
      </c>
      <c r="R551" s="11">
        <f t="shared" ca="1" si="309"/>
        <v>-1.4853760121635622E-5</v>
      </c>
      <c r="S551" s="11">
        <f t="shared" ca="1" si="310"/>
        <v>-1.1458026838550334E-3</v>
      </c>
      <c r="T551" s="11">
        <f t="shared" ca="1" si="311"/>
        <v>-4.9053934342410677E-4</v>
      </c>
      <c r="U551" s="11">
        <f t="shared" ca="1" si="312"/>
        <v>-5.5074395654535931E-3</v>
      </c>
      <c r="V551" s="11"/>
      <c r="W551" s="11">
        <f t="shared" ca="1" si="292"/>
        <v>0</v>
      </c>
      <c r="X551" s="2">
        <f t="shared" ca="1" si="293"/>
        <v>-1.6358405771021967E-4</v>
      </c>
      <c r="Y551" s="2">
        <f t="shared" ca="1" si="294"/>
        <v>-1.614029402377854E-3</v>
      </c>
      <c r="Z551" s="11">
        <f t="shared" ca="1" si="295"/>
        <v>-1.4853760121635622E-5</v>
      </c>
      <c r="AA551" s="2">
        <f t="shared" ca="1" si="296"/>
        <v>-1.1458026838550334E-3</v>
      </c>
      <c r="AB551" s="11">
        <f t="shared" ca="1" si="297"/>
        <v>-4.9053934342410677E-4</v>
      </c>
      <c r="AC551" s="2">
        <f t="shared" ca="1" si="298"/>
        <v>-5.5074395654535931E-3</v>
      </c>
      <c r="AF551" s="11">
        <f t="shared" ca="1" si="299"/>
        <v>0</v>
      </c>
      <c r="AG551" s="2">
        <f t="shared" ca="1" si="300"/>
        <v>-1.6358405771021967E-4</v>
      </c>
      <c r="AH551" s="2">
        <f t="shared" ca="1" si="301"/>
        <v>-1.614029402377854E-3</v>
      </c>
      <c r="AI551" s="2">
        <f t="shared" ca="1" si="302"/>
        <v>-1.4853760121635622E-5</v>
      </c>
      <c r="AJ551" s="2">
        <f t="shared" ca="1" si="303"/>
        <v>-1.1458026838550334E-3</v>
      </c>
      <c r="AK551" s="2">
        <f t="shared" ca="1" si="304"/>
        <v>-4.9053934342410677E-4</v>
      </c>
      <c r="AL551" s="2">
        <f t="shared" ca="1" si="305"/>
        <v>-5.5074395654535931E-3</v>
      </c>
      <c r="AN551" s="2" t="e">
        <f t="shared" ca="1" si="284"/>
        <v>#N/A</v>
      </c>
      <c r="AO551" s="2" t="e">
        <f t="shared" ca="1" si="285"/>
        <v>#N/A</v>
      </c>
      <c r="AP551" s="2" t="e">
        <f t="shared" ca="1" si="286"/>
        <v>#N/A</v>
      </c>
      <c r="AQ551" s="2" t="e">
        <f t="shared" ca="1" si="287"/>
        <v>#N/A</v>
      </c>
      <c r="AR551" s="2" t="e">
        <f t="shared" ca="1" si="288"/>
        <v>#N/A</v>
      </c>
      <c r="AS551" s="2" t="e">
        <f t="shared" ca="1" si="289"/>
        <v>#N/A</v>
      </c>
      <c r="AT551" s="9" t="e">
        <f t="shared" ca="1" si="290"/>
        <v>#N/A</v>
      </c>
      <c r="AU551" s="9" t="e">
        <f t="shared" ca="1" si="291"/>
        <v>#N/A</v>
      </c>
      <c r="AV551" s="9"/>
      <c r="AW551" s="2" t="e">
        <f t="shared" ca="1" si="313"/>
        <v>#N/A</v>
      </c>
      <c r="AX551" s="2" t="e">
        <f t="shared" ca="1" si="314"/>
        <v>#N/A</v>
      </c>
      <c r="AY551" s="2" t="e">
        <f t="shared" ca="1" si="315"/>
        <v>#N/A</v>
      </c>
      <c r="AZ551" s="2" t="e">
        <f t="shared" ca="1" si="316"/>
        <v>#N/A</v>
      </c>
      <c r="BA551" s="2" t="e">
        <f t="shared" ca="1" si="317"/>
        <v>#N/A</v>
      </c>
      <c r="BB551" s="2" t="e">
        <f t="shared" ca="1" si="318"/>
        <v>#N/A</v>
      </c>
      <c r="BC551" s="9" t="e">
        <f t="shared" ca="1" si="319"/>
        <v>#N/A</v>
      </c>
      <c r="BD551" s="9" t="e">
        <f t="shared" ca="1" si="320"/>
        <v>#N/A</v>
      </c>
    </row>
    <row r="552" spans="1:56" ht="15" x14ac:dyDescent="0.25">
      <c r="A552" s="63"/>
      <c r="B552" s="63"/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16"/>
      <c r="O552" s="11">
        <f t="shared" ca="1" si="306"/>
        <v>-3.9378682616450625E-4</v>
      </c>
      <c r="P552" s="11">
        <f t="shared" ca="1" si="307"/>
        <v>-1.6358405771021967E-4</v>
      </c>
      <c r="Q552" s="11">
        <f t="shared" ca="1" si="308"/>
        <v>-1.614029402377854E-3</v>
      </c>
      <c r="R552" s="11">
        <f t="shared" ca="1" si="309"/>
        <v>-1.4853760121635622E-5</v>
      </c>
      <c r="S552" s="11">
        <f t="shared" ca="1" si="310"/>
        <v>-1.1458026838550334E-3</v>
      </c>
      <c r="T552" s="11">
        <f t="shared" ca="1" si="311"/>
        <v>-4.9053934342410677E-4</v>
      </c>
      <c r="U552" s="11">
        <f t="shared" ca="1" si="312"/>
        <v>-5.5074395654535931E-3</v>
      </c>
      <c r="V552" s="11"/>
      <c r="W552" s="11">
        <f t="shared" ca="1" si="292"/>
        <v>0</v>
      </c>
      <c r="X552" s="2">
        <f t="shared" ca="1" si="293"/>
        <v>-1.6358405771021967E-4</v>
      </c>
      <c r="Y552" s="2">
        <f t="shared" ca="1" si="294"/>
        <v>-1.614029402377854E-3</v>
      </c>
      <c r="Z552" s="11">
        <f t="shared" ca="1" si="295"/>
        <v>-1.4853760121635622E-5</v>
      </c>
      <c r="AA552" s="2">
        <f t="shared" ca="1" si="296"/>
        <v>-1.1458026838550334E-3</v>
      </c>
      <c r="AB552" s="11">
        <f t="shared" ca="1" si="297"/>
        <v>-4.9053934342410677E-4</v>
      </c>
      <c r="AC552" s="2">
        <f t="shared" ca="1" si="298"/>
        <v>-5.5074395654535931E-3</v>
      </c>
      <c r="AF552" s="11">
        <f t="shared" ca="1" si="299"/>
        <v>0</v>
      </c>
      <c r="AG552" s="2">
        <f t="shared" ca="1" si="300"/>
        <v>-1.6358405771021967E-4</v>
      </c>
      <c r="AH552" s="2">
        <f t="shared" ca="1" si="301"/>
        <v>-1.614029402377854E-3</v>
      </c>
      <c r="AI552" s="2">
        <f t="shared" ca="1" si="302"/>
        <v>-1.4853760121635622E-5</v>
      </c>
      <c r="AJ552" s="2">
        <f t="shared" ca="1" si="303"/>
        <v>-1.1458026838550334E-3</v>
      </c>
      <c r="AK552" s="2">
        <f t="shared" ca="1" si="304"/>
        <v>-4.9053934342410677E-4</v>
      </c>
      <c r="AL552" s="2">
        <f t="shared" ca="1" si="305"/>
        <v>-5.5074395654535931E-3</v>
      </c>
      <c r="AN552" s="2" t="e">
        <f t="shared" ca="1" si="284"/>
        <v>#N/A</v>
      </c>
      <c r="AO552" s="2" t="e">
        <f t="shared" ca="1" si="285"/>
        <v>#N/A</v>
      </c>
      <c r="AP552" s="2" t="e">
        <f t="shared" ca="1" si="286"/>
        <v>#N/A</v>
      </c>
      <c r="AQ552" s="2" t="e">
        <f t="shared" ca="1" si="287"/>
        <v>#N/A</v>
      </c>
      <c r="AR552" s="2" t="e">
        <f t="shared" ca="1" si="288"/>
        <v>#N/A</v>
      </c>
      <c r="AS552" s="2" t="e">
        <f t="shared" ca="1" si="289"/>
        <v>#N/A</v>
      </c>
      <c r="AT552" s="9" t="e">
        <f t="shared" ca="1" si="290"/>
        <v>#N/A</v>
      </c>
      <c r="AU552" s="9" t="e">
        <f t="shared" ca="1" si="291"/>
        <v>#N/A</v>
      </c>
      <c r="AV552" s="9"/>
      <c r="AW552" s="2" t="e">
        <f t="shared" ca="1" si="313"/>
        <v>#N/A</v>
      </c>
      <c r="AX552" s="2" t="e">
        <f t="shared" ca="1" si="314"/>
        <v>#N/A</v>
      </c>
      <c r="AY552" s="2" t="e">
        <f t="shared" ca="1" si="315"/>
        <v>#N/A</v>
      </c>
      <c r="AZ552" s="2" t="e">
        <f t="shared" ca="1" si="316"/>
        <v>#N/A</v>
      </c>
      <c r="BA552" s="2" t="e">
        <f t="shared" ca="1" si="317"/>
        <v>#N/A</v>
      </c>
      <c r="BB552" s="2" t="e">
        <f t="shared" ca="1" si="318"/>
        <v>#N/A</v>
      </c>
      <c r="BC552" s="9" t="e">
        <f t="shared" ca="1" si="319"/>
        <v>#N/A</v>
      </c>
      <c r="BD552" s="9" t="e">
        <f t="shared" ca="1" si="320"/>
        <v>#N/A</v>
      </c>
    </row>
    <row r="553" spans="1:56" ht="15" x14ac:dyDescent="0.25">
      <c r="A553" s="63"/>
      <c r="B553" s="63"/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16"/>
      <c r="O553" s="11">
        <f t="shared" ca="1" si="306"/>
        <v>-3.9378682616450625E-4</v>
      </c>
      <c r="P553" s="11">
        <f t="shared" ca="1" si="307"/>
        <v>-1.6358405771021967E-4</v>
      </c>
      <c r="Q553" s="11">
        <f t="shared" ca="1" si="308"/>
        <v>-1.614029402377854E-3</v>
      </c>
      <c r="R553" s="11">
        <f t="shared" ca="1" si="309"/>
        <v>-1.4853760121635622E-5</v>
      </c>
      <c r="S553" s="11">
        <f t="shared" ca="1" si="310"/>
        <v>-1.1458026838550334E-3</v>
      </c>
      <c r="T553" s="11">
        <f t="shared" ca="1" si="311"/>
        <v>-4.9053934342410677E-4</v>
      </c>
      <c r="U553" s="11">
        <f t="shared" ca="1" si="312"/>
        <v>-5.5074395654535931E-3</v>
      </c>
      <c r="V553" s="11"/>
      <c r="W553" s="11">
        <f t="shared" ca="1" si="292"/>
        <v>0</v>
      </c>
      <c r="X553" s="2">
        <f t="shared" ca="1" si="293"/>
        <v>-1.6358405771021967E-4</v>
      </c>
      <c r="Y553" s="2">
        <f t="shared" ca="1" si="294"/>
        <v>-1.614029402377854E-3</v>
      </c>
      <c r="Z553" s="11">
        <f t="shared" ca="1" si="295"/>
        <v>-1.4853760121635622E-5</v>
      </c>
      <c r="AA553" s="2">
        <f t="shared" ca="1" si="296"/>
        <v>-1.1458026838550334E-3</v>
      </c>
      <c r="AB553" s="11">
        <f t="shared" ca="1" si="297"/>
        <v>-4.9053934342410677E-4</v>
      </c>
      <c r="AC553" s="2">
        <f t="shared" ca="1" si="298"/>
        <v>-5.5074395654535931E-3</v>
      </c>
      <c r="AF553" s="11">
        <f t="shared" ca="1" si="299"/>
        <v>0</v>
      </c>
      <c r="AG553" s="2">
        <f t="shared" ca="1" si="300"/>
        <v>-1.6358405771021967E-4</v>
      </c>
      <c r="AH553" s="2">
        <f t="shared" ca="1" si="301"/>
        <v>-1.614029402377854E-3</v>
      </c>
      <c r="AI553" s="2">
        <f t="shared" ca="1" si="302"/>
        <v>-1.4853760121635622E-5</v>
      </c>
      <c r="AJ553" s="2">
        <f t="shared" ca="1" si="303"/>
        <v>-1.1458026838550334E-3</v>
      </c>
      <c r="AK553" s="2">
        <f t="shared" ca="1" si="304"/>
        <v>-4.9053934342410677E-4</v>
      </c>
      <c r="AL553" s="2">
        <f t="shared" ca="1" si="305"/>
        <v>-5.5074395654535931E-3</v>
      </c>
      <c r="AN553" s="2" t="e">
        <f t="shared" ca="1" si="284"/>
        <v>#N/A</v>
      </c>
      <c r="AO553" s="2" t="e">
        <f t="shared" ca="1" si="285"/>
        <v>#N/A</v>
      </c>
      <c r="AP553" s="2" t="e">
        <f t="shared" ca="1" si="286"/>
        <v>#N/A</v>
      </c>
      <c r="AQ553" s="2" t="e">
        <f t="shared" ca="1" si="287"/>
        <v>#N/A</v>
      </c>
      <c r="AR553" s="2" t="e">
        <f t="shared" ca="1" si="288"/>
        <v>#N/A</v>
      </c>
      <c r="AS553" s="2" t="e">
        <f t="shared" ca="1" si="289"/>
        <v>#N/A</v>
      </c>
      <c r="AT553" s="9" t="e">
        <f t="shared" ca="1" si="290"/>
        <v>#N/A</v>
      </c>
      <c r="AU553" s="9" t="e">
        <f t="shared" ca="1" si="291"/>
        <v>#N/A</v>
      </c>
      <c r="AV553" s="9"/>
      <c r="AW553" s="2" t="e">
        <f t="shared" ca="1" si="313"/>
        <v>#N/A</v>
      </c>
      <c r="AX553" s="2" t="e">
        <f t="shared" ca="1" si="314"/>
        <v>#N/A</v>
      </c>
      <c r="AY553" s="2" t="e">
        <f t="shared" ca="1" si="315"/>
        <v>#N/A</v>
      </c>
      <c r="AZ553" s="2" t="e">
        <f t="shared" ca="1" si="316"/>
        <v>#N/A</v>
      </c>
      <c r="BA553" s="2" t="e">
        <f t="shared" ca="1" si="317"/>
        <v>#N/A</v>
      </c>
      <c r="BB553" s="2" t="e">
        <f t="shared" ca="1" si="318"/>
        <v>#N/A</v>
      </c>
      <c r="BC553" s="9" t="e">
        <f t="shared" ca="1" si="319"/>
        <v>#N/A</v>
      </c>
      <c r="BD553" s="9" t="e">
        <f t="shared" ca="1" si="320"/>
        <v>#N/A</v>
      </c>
    </row>
    <row r="554" spans="1:56" ht="15" x14ac:dyDescent="0.25">
      <c r="A554" s="63"/>
      <c r="B554" s="63"/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16"/>
      <c r="O554" s="11">
        <f t="shared" ca="1" si="306"/>
        <v>-3.9378682616450625E-4</v>
      </c>
      <c r="P554" s="11">
        <f t="shared" ca="1" si="307"/>
        <v>-1.6358405771021967E-4</v>
      </c>
      <c r="Q554" s="11">
        <f t="shared" ca="1" si="308"/>
        <v>-1.614029402377854E-3</v>
      </c>
      <c r="R554" s="11">
        <f t="shared" ca="1" si="309"/>
        <v>-1.4853760121635622E-5</v>
      </c>
      <c r="S554" s="11">
        <f t="shared" ca="1" si="310"/>
        <v>-1.1458026838550334E-3</v>
      </c>
      <c r="T554" s="11">
        <f t="shared" ca="1" si="311"/>
        <v>-4.9053934342410677E-4</v>
      </c>
      <c r="U554" s="11">
        <f t="shared" ca="1" si="312"/>
        <v>-5.5074395654535931E-3</v>
      </c>
      <c r="V554" s="11"/>
      <c r="W554" s="11">
        <f t="shared" ca="1" si="292"/>
        <v>0</v>
      </c>
      <c r="X554" s="2">
        <f t="shared" ca="1" si="293"/>
        <v>-1.6358405771021967E-4</v>
      </c>
      <c r="Y554" s="2">
        <f t="shared" ca="1" si="294"/>
        <v>-1.614029402377854E-3</v>
      </c>
      <c r="Z554" s="11">
        <f t="shared" ca="1" si="295"/>
        <v>-1.4853760121635622E-5</v>
      </c>
      <c r="AA554" s="2">
        <f t="shared" ca="1" si="296"/>
        <v>-1.1458026838550334E-3</v>
      </c>
      <c r="AB554" s="11">
        <f t="shared" ca="1" si="297"/>
        <v>-4.9053934342410677E-4</v>
      </c>
      <c r="AC554" s="2">
        <f t="shared" ca="1" si="298"/>
        <v>-5.5074395654535931E-3</v>
      </c>
      <c r="AF554" s="11">
        <f t="shared" ca="1" si="299"/>
        <v>0</v>
      </c>
      <c r="AG554" s="2">
        <f t="shared" ca="1" si="300"/>
        <v>-1.6358405771021967E-4</v>
      </c>
      <c r="AH554" s="2">
        <f t="shared" ca="1" si="301"/>
        <v>-1.614029402377854E-3</v>
      </c>
      <c r="AI554" s="2">
        <f t="shared" ca="1" si="302"/>
        <v>-1.4853760121635622E-5</v>
      </c>
      <c r="AJ554" s="2">
        <f t="shared" ca="1" si="303"/>
        <v>-1.1458026838550334E-3</v>
      </c>
      <c r="AK554" s="2">
        <f t="shared" ca="1" si="304"/>
        <v>-4.9053934342410677E-4</v>
      </c>
      <c r="AL554" s="2">
        <f t="shared" ca="1" si="305"/>
        <v>-5.5074395654535931E-3</v>
      </c>
      <c r="AN554" s="2" t="e">
        <f t="shared" ca="1" si="284"/>
        <v>#N/A</v>
      </c>
      <c r="AO554" s="2" t="e">
        <f t="shared" ca="1" si="285"/>
        <v>#N/A</v>
      </c>
      <c r="AP554" s="2" t="e">
        <f t="shared" ca="1" si="286"/>
        <v>#N/A</v>
      </c>
      <c r="AQ554" s="2" t="e">
        <f t="shared" ca="1" si="287"/>
        <v>#N/A</v>
      </c>
      <c r="AR554" s="2" t="e">
        <f t="shared" ca="1" si="288"/>
        <v>#N/A</v>
      </c>
      <c r="AS554" s="2" t="e">
        <f t="shared" ca="1" si="289"/>
        <v>#N/A</v>
      </c>
      <c r="AT554" s="9" t="e">
        <f t="shared" ca="1" si="290"/>
        <v>#N/A</v>
      </c>
      <c r="AU554" s="9" t="e">
        <f t="shared" ca="1" si="291"/>
        <v>#N/A</v>
      </c>
      <c r="AV554" s="9"/>
      <c r="AW554" s="2" t="e">
        <f t="shared" ca="1" si="313"/>
        <v>#N/A</v>
      </c>
      <c r="AX554" s="2" t="e">
        <f t="shared" ca="1" si="314"/>
        <v>#N/A</v>
      </c>
      <c r="AY554" s="2" t="e">
        <f t="shared" ca="1" si="315"/>
        <v>#N/A</v>
      </c>
      <c r="AZ554" s="2" t="e">
        <f t="shared" ca="1" si="316"/>
        <v>#N/A</v>
      </c>
      <c r="BA554" s="2" t="e">
        <f t="shared" ca="1" si="317"/>
        <v>#N/A</v>
      </c>
      <c r="BB554" s="2" t="e">
        <f t="shared" ca="1" si="318"/>
        <v>#N/A</v>
      </c>
      <c r="BC554" s="9" t="e">
        <f t="shared" ca="1" si="319"/>
        <v>#N/A</v>
      </c>
      <c r="BD554" s="9" t="e">
        <f t="shared" ca="1" si="320"/>
        <v>#N/A</v>
      </c>
    </row>
    <row r="555" spans="1:56" ht="15" x14ac:dyDescent="0.25">
      <c r="A555" s="63"/>
      <c r="B555" s="63"/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16"/>
      <c r="O555" s="11">
        <f t="shared" ca="1" si="306"/>
        <v>-3.9378682616450625E-4</v>
      </c>
      <c r="P555" s="11">
        <f t="shared" ca="1" si="307"/>
        <v>-1.6358405771021967E-4</v>
      </c>
      <c r="Q555" s="11">
        <f t="shared" ca="1" si="308"/>
        <v>-1.614029402377854E-3</v>
      </c>
      <c r="R555" s="11">
        <f t="shared" ca="1" si="309"/>
        <v>-1.4853760121635622E-5</v>
      </c>
      <c r="S555" s="11">
        <f t="shared" ca="1" si="310"/>
        <v>-1.1458026838550334E-3</v>
      </c>
      <c r="T555" s="11">
        <f t="shared" ca="1" si="311"/>
        <v>-4.9053934342410677E-4</v>
      </c>
      <c r="U555" s="11">
        <f t="shared" ca="1" si="312"/>
        <v>-5.5074395654535931E-3</v>
      </c>
      <c r="V555" s="11"/>
      <c r="W555" s="11">
        <f t="shared" ca="1" si="292"/>
        <v>0</v>
      </c>
      <c r="X555" s="2">
        <f t="shared" ca="1" si="293"/>
        <v>-1.6358405771021967E-4</v>
      </c>
      <c r="Y555" s="2">
        <f t="shared" ca="1" si="294"/>
        <v>-1.614029402377854E-3</v>
      </c>
      <c r="Z555" s="11">
        <f t="shared" ca="1" si="295"/>
        <v>-1.4853760121635622E-5</v>
      </c>
      <c r="AA555" s="2">
        <f t="shared" ca="1" si="296"/>
        <v>-1.1458026838550334E-3</v>
      </c>
      <c r="AB555" s="11">
        <f t="shared" ca="1" si="297"/>
        <v>-4.9053934342410677E-4</v>
      </c>
      <c r="AC555" s="2">
        <f t="shared" ca="1" si="298"/>
        <v>-5.5074395654535931E-3</v>
      </c>
      <c r="AF555" s="11">
        <f t="shared" ca="1" si="299"/>
        <v>0</v>
      </c>
      <c r="AG555" s="2">
        <f t="shared" ca="1" si="300"/>
        <v>-1.6358405771021967E-4</v>
      </c>
      <c r="AH555" s="2">
        <f t="shared" ca="1" si="301"/>
        <v>-1.614029402377854E-3</v>
      </c>
      <c r="AI555" s="2">
        <f t="shared" ca="1" si="302"/>
        <v>-1.4853760121635622E-5</v>
      </c>
      <c r="AJ555" s="2">
        <f t="shared" ca="1" si="303"/>
        <v>-1.1458026838550334E-3</v>
      </c>
      <c r="AK555" s="2">
        <f t="shared" ca="1" si="304"/>
        <v>-4.9053934342410677E-4</v>
      </c>
      <c r="AL555" s="2">
        <f t="shared" ca="1" si="305"/>
        <v>-5.5074395654535931E-3</v>
      </c>
      <c r="AN555" s="2" t="e">
        <f t="shared" ca="1" si="284"/>
        <v>#N/A</v>
      </c>
      <c r="AO555" s="2" t="e">
        <f t="shared" ca="1" si="285"/>
        <v>#N/A</v>
      </c>
      <c r="AP555" s="2" t="e">
        <f t="shared" ca="1" si="286"/>
        <v>#N/A</v>
      </c>
      <c r="AQ555" s="2" t="e">
        <f t="shared" ca="1" si="287"/>
        <v>#N/A</v>
      </c>
      <c r="AR555" s="2" t="e">
        <f t="shared" ca="1" si="288"/>
        <v>#N/A</v>
      </c>
      <c r="AS555" s="2" t="e">
        <f t="shared" ca="1" si="289"/>
        <v>#N/A</v>
      </c>
      <c r="AT555" s="9" t="e">
        <f t="shared" ca="1" si="290"/>
        <v>#N/A</v>
      </c>
      <c r="AU555" s="9" t="e">
        <f t="shared" ca="1" si="291"/>
        <v>#N/A</v>
      </c>
      <c r="AV555" s="9"/>
      <c r="AW555" s="2" t="e">
        <f t="shared" ca="1" si="313"/>
        <v>#N/A</v>
      </c>
      <c r="AX555" s="2" t="e">
        <f t="shared" ca="1" si="314"/>
        <v>#N/A</v>
      </c>
      <c r="AY555" s="2" t="e">
        <f t="shared" ca="1" si="315"/>
        <v>#N/A</v>
      </c>
      <c r="AZ555" s="2" t="e">
        <f t="shared" ca="1" si="316"/>
        <v>#N/A</v>
      </c>
      <c r="BA555" s="2" t="e">
        <f t="shared" ca="1" si="317"/>
        <v>#N/A</v>
      </c>
      <c r="BB555" s="2" t="e">
        <f t="shared" ca="1" si="318"/>
        <v>#N/A</v>
      </c>
      <c r="BC555" s="9" t="e">
        <f t="shared" ca="1" si="319"/>
        <v>#N/A</v>
      </c>
      <c r="BD555" s="9" t="e">
        <f t="shared" ca="1" si="320"/>
        <v>#N/A</v>
      </c>
    </row>
    <row r="556" spans="1:56" ht="15" x14ac:dyDescent="0.25">
      <c r="A556" s="63"/>
      <c r="B556" s="63"/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16"/>
      <c r="O556" s="11">
        <f t="shared" ca="1" si="306"/>
        <v>-3.9378682616450625E-4</v>
      </c>
      <c r="P556" s="11">
        <f t="shared" ca="1" si="307"/>
        <v>-1.6358405771021967E-4</v>
      </c>
      <c r="Q556" s="11">
        <f t="shared" ca="1" si="308"/>
        <v>-1.614029402377854E-3</v>
      </c>
      <c r="R556" s="11">
        <f t="shared" ca="1" si="309"/>
        <v>-1.4853760121635622E-5</v>
      </c>
      <c r="S556" s="11">
        <f t="shared" ca="1" si="310"/>
        <v>-1.1458026838550334E-3</v>
      </c>
      <c r="T556" s="11">
        <f t="shared" ca="1" si="311"/>
        <v>-4.9053934342410677E-4</v>
      </c>
      <c r="U556" s="11">
        <f t="shared" ca="1" si="312"/>
        <v>-5.5074395654535931E-3</v>
      </c>
      <c r="V556" s="11"/>
      <c r="W556" s="11">
        <f t="shared" ca="1" si="292"/>
        <v>0</v>
      </c>
      <c r="X556" s="2">
        <f t="shared" ca="1" si="293"/>
        <v>-1.6358405771021967E-4</v>
      </c>
      <c r="Y556" s="2">
        <f t="shared" ca="1" si="294"/>
        <v>-1.614029402377854E-3</v>
      </c>
      <c r="Z556" s="11">
        <f t="shared" ca="1" si="295"/>
        <v>-1.4853760121635622E-5</v>
      </c>
      <c r="AA556" s="2">
        <f t="shared" ca="1" si="296"/>
        <v>-1.1458026838550334E-3</v>
      </c>
      <c r="AB556" s="11">
        <f t="shared" ca="1" si="297"/>
        <v>-4.9053934342410677E-4</v>
      </c>
      <c r="AC556" s="2">
        <f t="shared" ca="1" si="298"/>
        <v>-5.5074395654535931E-3</v>
      </c>
      <c r="AF556" s="11">
        <f t="shared" ca="1" si="299"/>
        <v>0</v>
      </c>
      <c r="AG556" s="2">
        <f t="shared" ca="1" si="300"/>
        <v>-1.6358405771021967E-4</v>
      </c>
      <c r="AH556" s="2">
        <f t="shared" ca="1" si="301"/>
        <v>-1.614029402377854E-3</v>
      </c>
      <c r="AI556" s="2">
        <f t="shared" ca="1" si="302"/>
        <v>-1.4853760121635622E-5</v>
      </c>
      <c r="AJ556" s="2">
        <f t="shared" ca="1" si="303"/>
        <v>-1.1458026838550334E-3</v>
      </c>
      <c r="AK556" s="2">
        <f t="shared" ca="1" si="304"/>
        <v>-4.9053934342410677E-4</v>
      </c>
      <c r="AL556" s="2">
        <f t="shared" ca="1" si="305"/>
        <v>-5.5074395654535931E-3</v>
      </c>
      <c r="AN556" s="2" t="e">
        <f t="shared" ca="1" si="284"/>
        <v>#N/A</v>
      </c>
      <c r="AO556" s="2" t="e">
        <f t="shared" ca="1" si="285"/>
        <v>#N/A</v>
      </c>
      <c r="AP556" s="2" t="e">
        <f t="shared" ca="1" si="286"/>
        <v>#N/A</v>
      </c>
      <c r="AQ556" s="2" t="e">
        <f t="shared" ca="1" si="287"/>
        <v>#N/A</v>
      </c>
      <c r="AR556" s="2" t="e">
        <f t="shared" ca="1" si="288"/>
        <v>#N/A</v>
      </c>
      <c r="AS556" s="2" t="e">
        <f t="shared" ca="1" si="289"/>
        <v>#N/A</v>
      </c>
      <c r="AT556" s="9" t="e">
        <f t="shared" ca="1" si="290"/>
        <v>#N/A</v>
      </c>
      <c r="AU556" s="9" t="e">
        <f t="shared" ca="1" si="291"/>
        <v>#N/A</v>
      </c>
      <c r="AV556" s="9"/>
      <c r="AW556" s="2" t="e">
        <f t="shared" ca="1" si="313"/>
        <v>#N/A</v>
      </c>
      <c r="AX556" s="2" t="e">
        <f t="shared" ca="1" si="314"/>
        <v>#N/A</v>
      </c>
      <c r="AY556" s="2" t="e">
        <f t="shared" ca="1" si="315"/>
        <v>#N/A</v>
      </c>
      <c r="AZ556" s="2" t="e">
        <f t="shared" ca="1" si="316"/>
        <v>#N/A</v>
      </c>
      <c r="BA556" s="2" t="e">
        <f t="shared" ca="1" si="317"/>
        <v>#N/A</v>
      </c>
      <c r="BB556" s="2" t="e">
        <f t="shared" ca="1" si="318"/>
        <v>#N/A</v>
      </c>
      <c r="BC556" s="9" t="e">
        <f t="shared" ca="1" si="319"/>
        <v>#N/A</v>
      </c>
      <c r="BD556" s="9" t="e">
        <f t="shared" ca="1" si="320"/>
        <v>#N/A</v>
      </c>
    </row>
    <row r="557" spans="1:56" ht="15" x14ac:dyDescent="0.25">
      <c r="A557" s="63"/>
      <c r="B557" s="63"/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16"/>
      <c r="O557" s="11">
        <f t="shared" ca="1" si="306"/>
        <v>-3.9378682616450625E-4</v>
      </c>
      <c r="P557" s="11">
        <f t="shared" ca="1" si="307"/>
        <v>-1.6358405771021967E-4</v>
      </c>
      <c r="Q557" s="11">
        <f t="shared" ca="1" si="308"/>
        <v>-1.614029402377854E-3</v>
      </c>
      <c r="R557" s="11">
        <f t="shared" ca="1" si="309"/>
        <v>-1.4853760121635622E-5</v>
      </c>
      <c r="S557" s="11">
        <f t="shared" ca="1" si="310"/>
        <v>-1.1458026838550334E-3</v>
      </c>
      <c r="T557" s="11">
        <f t="shared" ca="1" si="311"/>
        <v>-4.9053934342410677E-4</v>
      </c>
      <c r="U557" s="11">
        <f t="shared" ca="1" si="312"/>
        <v>-5.5074395654535931E-3</v>
      </c>
      <c r="V557" s="11"/>
      <c r="W557" s="11">
        <f t="shared" ca="1" si="292"/>
        <v>0</v>
      </c>
      <c r="X557" s="2">
        <f t="shared" ca="1" si="293"/>
        <v>-1.6358405771021967E-4</v>
      </c>
      <c r="Y557" s="2">
        <f t="shared" ca="1" si="294"/>
        <v>-1.614029402377854E-3</v>
      </c>
      <c r="Z557" s="11">
        <f t="shared" ca="1" si="295"/>
        <v>-1.4853760121635622E-5</v>
      </c>
      <c r="AA557" s="2">
        <f t="shared" ca="1" si="296"/>
        <v>-1.1458026838550334E-3</v>
      </c>
      <c r="AB557" s="11">
        <f t="shared" ca="1" si="297"/>
        <v>-4.9053934342410677E-4</v>
      </c>
      <c r="AC557" s="2">
        <f t="shared" ca="1" si="298"/>
        <v>-5.5074395654535931E-3</v>
      </c>
      <c r="AF557" s="11">
        <f t="shared" ca="1" si="299"/>
        <v>0</v>
      </c>
      <c r="AG557" s="2">
        <f t="shared" ca="1" si="300"/>
        <v>-1.6358405771021967E-4</v>
      </c>
      <c r="AH557" s="2">
        <f t="shared" ca="1" si="301"/>
        <v>-1.614029402377854E-3</v>
      </c>
      <c r="AI557" s="2">
        <f t="shared" ca="1" si="302"/>
        <v>-1.4853760121635622E-5</v>
      </c>
      <c r="AJ557" s="2">
        <f t="shared" ca="1" si="303"/>
        <v>-1.1458026838550334E-3</v>
      </c>
      <c r="AK557" s="2">
        <f t="shared" ca="1" si="304"/>
        <v>-4.9053934342410677E-4</v>
      </c>
      <c r="AL557" s="2">
        <f t="shared" ca="1" si="305"/>
        <v>-5.5074395654535931E-3</v>
      </c>
      <c r="AN557" s="2" t="e">
        <f t="shared" ca="1" si="284"/>
        <v>#N/A</v>
      </c>
      <c r="AO557" s="2" t="e">
        <f t="shared" ca="1" si="285"/>
        <v>#N/A</v>
      </c>
      <c r="AP557" s="2" t="e">
        <f t="shared" ca="1" si="286"/>
        <v>#N/A</v>
      </c>
      <c r="AQ557" s="2" t="e">
        <f t="shared" ca="1" si="287"/>
        <v>#N/A</v>
      </c>
      <c r="AR557" s="2" t="e">
        <f t="shared" ca="1" si="288"/>
        <v>#N/A</v>
      </c>
      <c r="AS557" s="2" t="e">
        <f t="shared" ca="1" si="289"/>
        <v>#N/A</v>
      </c>
      <c r="AT557" s="9" t="e">
        <f t="shared" ca="1" si="290"/>
        <v>#N/A</v>
      </c>
      <c r="AU557" s="9" t="e">
        <f t="shared" ca="1" si="291"/>
        <v>#N/A</v>
      </c>
      <c r="AV557" s="9"/>
      <c r="AW557" s="2" t="e">
        <f t="shared" ca="1" si="313"/>
        <v>#N/A</v>
      </c>
      <c r="AX557" s="2" t="e">
        <f t="shared" ca="1" si="314"/>
        <v>#N/A</v>
      </c>
      <c r="AY557" s="2" t="e">
        <f t="shared" ca="1" si="315"/>
        <v>#N/A</v>
      </c>
      <c r="AZ557" s="2" t="e">
        <f t="shared" ca="1" si="316"/>
        <v>#N/A</v>
      </c>
      <c r="BA557" s="2" t="e">
        <f t="shared" ca="1" si="317"/>
        <v>#N/A</v>
      </c>
      <c r="BB557" s="2" t="e">
        <f t="shared" ca="1" si="318"/>
        <v>#N/A</v>
      </c>
      <c r="BC557" s="9" t="e">
        <f t="shared" ca="1" si="319"/>
        <v>#N/A</v>
      </c>
      <c r="BD557" s="9" t="e">
        <f t="shared" ca="1" si="320"/>
        <v>#N/A</v>
      </c>
    </row>
    <row r="558" spans="1:56" ht="15" x14ac:dyDescent="0.25">
      <c r="A558" s="63"/>
      <c r="B558" s="63"/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16"/>
      <c r="O558" s="11">
        <f t="shared" ca="1" si="306"/>
        <v>-3.9378682616450625E-4</v>
      </c>
      <c r="P558" s="11">
        <f t="shared" ca="1" si="307"/>
        <v>-1.6358405771021967E-4</v>
      </c>
      <c r="Q558" s="11">
        <f t="shared" ca="1" si="308"/>
        <v>-1.614029402377854E-3</v>
      </c>
      <c r="R558" s="11">
        <f t="shared" ca="1" si="309"/>
        <v>-1.4853760121635622E-5</v>
      </c>
      <c r="S558" s="11">
        <f t="shared" ca="1" si="310"/>
        <v>-1.1458026838550334E-3</v>
      </c>
      <c r="T558" s="11">
        <f t="shared" ca="1" si="311"/>
        <v>-4.9053934342410677E-4</v>
      </c>
      <c r="U558" s="11">
        <f t="shared" ca="1" si="312"/>
        <v>-5.5074395654535931E-3</v>
      </c>
      <c r="V558" s="11"/>
      <c r="W558" s="11">
        <f t="shared" ca="1" si="292"/>
        <v>0</v>
      </c>
      <c r="X558" s="2">
        <f t="shared" ca="1" si="293"/>
        <v>-1.6358405771021967E-4</v>
      </c>
      <c r="Y558" s="2">
        <f t="shared" ca="1" si="294"/>
        <v>-1.614029402377854E-3</v>
      </c>
      <c r="Z558" s="11">
        <f t="shared" ca="1" si="295"/>
        <v>-1.4853760121635622E-5</v>
      </c>
      <c r="AA558" s="2">
        <f t="shared" ca="1" si="296"/>
        <v>-1.1458026838550334E-3</v>
      </c>
      <c r="AB558" s="11">
        <f t="shared" ca="1" si="297"/>
        <v>-4.9053934342410677E-4</v>
      </c>
      <c r="AC558" s="2">
        <f t="shared" ca="1" si="298"/>
        <v>-5.5074395654535931E-3</v>
      </c>
      <c r="AF558" s="11">
        <f t="shared" ca="1" si="299"/>
        <v>0</v>
      </c>
      <c r="AG558" s="2">
        <f t="shared" ca="1" si="300"/>
        <v>-1.6358405771021967E-4</v>
      </c>
      <c r="AH558" s="2">
        <f t="shared" ca="1" si="301"/>
        <v>-1.614029402377854E-3</v>
      </c>
      <c r="AI558" s="2">
        <f t="shared" ca="1" si="302"/>
        <v>-1.4853760121635622E-5</v>
      </c>
      <c r="AJ558" s="2">
        <f t="shared" ca="1" si="303"/>
        <v>-1.1458026838550334E-3</v>
      </c>
      <c r="AK558" s="2">
        <f t="shared" ca="1" si="304"/>
        <v>-4.9053934342410677E-4</v>
      </c>
      <c r="AL558" s="2">
        <f t="shared" ca="1" si="305"/>
        <v>-5.5074395654535931E-3</v>
      </c>
      <c r="AN558" s="2" t="e">
        <f t="shared" ca="1" si="284"/>
        <v>#N/A</v>
      </c>
      <c r="AO558" s="2" t="e">
        <f t="shared" ca="1" si="285"/>
        <v>#N/A</v>
      </c>
      <c r="AP558" s="2" t="e">
        <f t="shared" ca="1" si="286"/>
        <v>#N/A</v>
      </c>
      <c r="AQ558" s="2" t="e">
        <f t="shared" ca="1" si="287"/>
        <v>#N/A</v>
      </c>
      <c r="AR558" s="2" t="e">
        <f t="shared" ca="1" si="288"/>
        <v>#N/A</v>
      </c>
      <c r="AS558" s="2" t="e">
        <f t="shared" ca="1" si="289"/>
        <v>#N/A</v>
      </c>
      <c r="AT558" s="9" t="e">
        <f t="shared" ca="1" si="290"/>
        <v>#N/A</v>
      </c>
      <c r="AU558" s="9" t="e">
        <f t="shared" ca="1" si="291"/>
        <v>#N/A</v>
      </c>
      <c r="AV558" s="9"/>
      <c r="AW558" s="2" t="e">
        <f t="shared" ca="1" si="313"/>
        <v>#N/A</v>
      </c>
      <c r="AX558" s="2" t="e">
        <f t="shared" ca="1" si="314"/>
        <v>#N/A</v>
      </c>
      <c r="AY558" s="2" t="e">
        <f t="shared" ca="1" si="315"/>
        <v>#N/A</v>
      </c>
      <c r="AZ558" s="2" t="e">
        <f t="shared" ca="1" si="316"/>
        <v>#N/A</v>
      </c>
      <c r="BA558" s="2" t="e">
        <f t="shared" ca="1" si="317"/>
        <v>#N/A</v>
      </c>
      <c r="BB558" s="2" t="e">
        <f t="shared" ca="1" si="318"/>
        <v>#N/A</v>
      </c>
      <c r="BC558" s="9" t="e">
        <f t="shared" ca="1" si="319"/>
        <v>#N/A</v>
      </c>
      <c r="BD558" s="9" t="e">
        <f t="shared" ca="1" si="320"/>
        <v>#N/A</v>
      </c>
    </row>
    <row r="559" spans="1:56" ht="15" x14ac:dyDescent="0.25">
      <c r="A559" s="63"/>
      <c r="B559" s="63"/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16"/>
      <c r="O559" s="11">
        <f t="shared" ca="1" si="306"/>
        <v>-3.9378682616450625E-4</v>
      </c>
      <c r="P559" s="11">
        <f t="shared" ca="1" si="307"/>
        <v>-1.6358405771021967E-4</v>
      </c>
      <c r="Q559" s="11">
        <f t="shared" ca="1" si="308"/>
        <v>-1.614029402377854E-3</v>
      </c>
      <c r="R559" s="11">
        <f t="shared" ca="1" si="309"/>
        <v>-1.4853760121635622E-5</v>
      </c>
      <c r="S559" s="11">
        <f t="shared" ca="1" si="310"/>
        <v>-1.1458026838550334E-3</v>
      </c>
      <c r="T559" s="11">
        <f t="shared" ca="1" si="311"/>
        <v>-4.9053934342410677E-4</v>
      </c>
      <c r="U559" s="11">
        <f t="shared" ca="1" si="312"/>
        <v>-5.5074395654535931E-3</v>
      </c>
      <c r="V559" s="11"/>
      <c r="W559" s="11">
        <f t="shared" ca="1" si="292"/>
        <v>0</v>
      </c>
      <c r="X559" s="2">
        <f t="shared" ca="1" si="293"/>
        <v>-1.6358405771021967E-4</v>
      </c>
      <c r="Y559" s="2">
        <f t="shared" ca="1" si="294"/>
        <v>-1.614029402377854E-3</v>
      </c>
      <c r="Z559" s="11">
        <f t="shared" ca="1" si="295"/>
        <v>-1.4853760121635622E-5</v>
      </c>
      <c r="AA559" s="2">
        <f t="shared" ca="1" si="296"/>
        <v>-1.1458026838550334E-3</v>
      </c>
      <c r="AB559" s="11">
        <f t="shared" ca="1" si="297"/>
        <v>-4.9053934342410677E-4</v>
      </c>
      <c r="AC559" s="2">
        <f t="shared" ca="1" si="298"/>
        <v>-5.5074395654535931E-3</v>
      </c>
      <c r="AF559" s="11">
        <f t="shared" ca="1" si="299"/>
        <v>0</v>
      </c>
      <c r="AG559" s="2">
        <f t="shared" ca="1" si="300"/>
        <v>-1.6358405771021967E-4</v>
      </c>
      <c r="AH559" s="2">
        <f t="shared" ca="1" si="301"/>
        <v>-1.614029402377854E-3</v>
      </c>
      <c r="AI559" s="2">
        <f t="shared" ca="1" si="302"/>
        <v>-1.4853760121635622E-5</v>
      </c>
      <c r="AJ559" s="2">
        <f t="shared" ca="1" si="303"/>
        <v>-1.1458026838550334E-3</v>
      </c>
      <c r="AK559" s="2">
        <f t="shared" ca="1" si="304"/>
        <v>-4.9053934342410677E-4</v>
      </c>
      <c r="AL559" s="2">
        <f t="shared" ca="1" si="305"/>
        <v>-5.5074395654535931E-3</v>
      </c>
      <c r="AN559" s="2" t="e">
        <f t="shared" ca="1" si="284"/>
        <v>#N/A</v>
      </c>
      <c r="AO559" s="2" t="e">
        <f t="shared" ca="1" si="285"/>
        <v>#N/A</v>
      </c>
      <c r="AP559" s="2" t="e">
        <f t="shared" ca="1" si="286"/>
        <v>#N/A</v>
      </c>
      <c r="AQ559" s="2" t="e">
        <f t="shared" ca="1" si="287"/>
        <v>#N/A</v>
      </c>
      <c r="AR559" s="2" t="e">
        <f t="shared" ca="1" si="288"/>
        <v>#N/A</v>
      </c>
      <c r="AS559" s="2" t="e">
        <f t="shared" ca="1" si="289"/>
        <v>#N/A</v>
      </c>
      <c r="AT559" s="9" t="e">
        <f t="shared" ca="1" si="290"/>
        <v>#N/A</v>
      </c>
      <c r="AU559" s="9" t="e">
        <f t="shared" ca="1" si="291"/>
        <v>#N/A</v>
      </c>
      <c r="AV559" s="9"/>
      <c r="AW559" s="2" t="e">
        <f t="shared" ca="1" si="313"/>
        <v>#N/A</v>
      </c>
      <c r="AX559" s="2" t="e">
        <f t="shared" ca="1" si="314"/>
        <v>#N/A</v>
      </c>
      <c r="AY559" s="2" t="e">
        <f t="shared" ca="1" si="315"/>
        <v>#N/A</v>
      </c>
      <c r="AZ559" s="2" t="e">
        <f t="shared" ca="1" si="316"/>
        <v>#N/A</v>
      </c>
      <c r="BA559" s="2" t="e">
        <f t="shared" ca="1" si="317"/>
        <v>#N/A</v>
      </c>
      <c r="BB559" s="2" t="e">
        <f t="shared" ca="1" si="318"/>
        <v>#N/A</v>
      </c>
      <c r="BC559" s="9" t="e">
        <f t="shared" ca="1" si="319"/>
        <v>#N/A</v>
      </c>
      <c r="BD559" s="9" t="e">
        <f t="shared" ca="1" si="320"/>
        <v>#N/A</v>
      </c>
    </row>
    <row r="560" spans="1:56" ht="15" x14ac:dyDescent="0.25">
      <c r="A560" s="63"/>
      <c r="B560" s="63"/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16"/>
      <c r="O560" s="11">
        <f t="shared" ca="1" si="306"/>
        <v>-3.9378682616450625E-4</v>
      </c>
      <c r="P560" s="11">
        <f t="shared" ca="1" si="307"/>
        <v>-1.6358405771021967E-4</v>
      </c>
      <c r="Q560" s="11">
        <f t="shared" ca="1" si="308"/>
        <v>-1.614029402377854E-3</v>
      </c>
      <c r="R560" s="11">
        <f t="shared" ca="1" si="309"/>
        <v>-1.4853760121635622E-5</v>
      </c>
      <c r="S560" s="11">
        <f t="shared" ca="1" si="310"/>
        <v>-1.1458026838550334E-3</v>
      </c>
      <c r="T560" s="11">
        <f t="shared" ca="1" si="311"/>
        <v>-4.9053934342410677E-4</v>
      </c>
      <c r="U560" s="11">
        <f t="shared" ca="1" si="312"/>
        <v>-5.5074395654535931E-3</v>
      </c>
      <c r="V560" s="11"/>
      <c r="W560" s="11">
        <f t="shared" ca="1" si="292"/>
        <v>0</v>
      </c>
      <c r="X560" s="2">
        <f t="shared" ca="1" si="293"/>
        <v>-1.6358405771021967E-4</v>
      </c>
      <c r="Y560" s="2">
        <f t="shared" ca="1" si="294"/>
        <v>-1.614029402377854E-3</v>
      </c>
      <c r="Z560" s="11">
        <f t="shared" ca="1" si="295"/>
        <v>-1.4853760121635622E-5</v>
      </c>
      <c r="AA560" s="2">
        <f t="shared" ca="1" si="296"/>
        <v>-1.1458026838550334E-3</v>
      </c>
      <c r="AB560" s="11">
        <f t="shared" ca="1" si="297"/>
        <v>-4.9053934342410677E-4</v>
      </c>
      <c r="AC560" s="2">
        <f t="shared" ca="1" si="298"/>
        <v>-5.5074395654535931E-3</v>
      </c>
      <c r="AF560" s="11">
        <f t="shared" ca="1" si="299"/>
        <v>0</v>
      </c>
      <c r="AG560" s="2">
        <f t="shared" ca="1" si="300"/>
        <v>-1.6358405771021967E-4</v>
      </c>
      <c r="AH560" s="2">
        <f t="shared" ca="1" si="301"/>
        <v>-1.614029402377854E-3</v>
      </c>
      <c r="AI560" s="2">
        <f t="shared" ca="1" si="302"/>
        <v>-1.4853760121635622E-5</v>
      </c>
      <c r="AJ560" s="2">
        <f t="shared" ca="1" si="303"/>
        <v>-1.1458026838550334E-3</v>
      </c>
      <c r="AK560" s="2">
        <f t="shared" ca="1" si="304"/>
        <v>-4.9053934342410677E-4</v>
      </c>
      <c r="AL560" s="2">
        <f t="shared" ca="1" si="305"/>
        <v>-5.5074395654535931E-3</v>
      </c>
      <c r="AN560" s="2" t="e">
        <f t="shared" ca="1" si="284"/>
        <v>#N/A</v>
      </c>
      <c r="AO560" s="2" t="e">
        <f t="shared" ca="1" si="285"/>
        <v>#N/A</v>
      </c>
      <c r="AP560" s="2" t="e">
        <f t="shared" ca="1" si="286"/>
        <v>#N/A</v>
      </c>
      <c r="AQ560" s="2" t="e">
        <f t="shared" ca="1" si="287"/>
        <v>#N/A</v>
      </c>
      <c r="AR560" s="2" t="e">
        <f t="shared" ca="1" si="288"/>
        <v>#N/A</v>
      </c>
      <c r="AS560" s="2" t="e">
        <f t="shared" ca="1" si="289"/>
        <v>#N/A</v>
      </c>
      <c r="AT560" s="9" t="e">
        <f t="shared" ca="1" si="290"/>
        <v>#N/A</v>
      </c>
      <c r="AU560" s="9" t="e">
        <f t="shared" ca="1" si="291"/>
        <v>#N/A</v>
      </c>
      <c r="AV560" s="9"/>
      <c r="AW560" s="2" t="e">
        <f t="shared" ca="1" si="313"/>
        <v>#N/A</v>
      </c>
      <c r="AX560" s="2" t="e">
        <f t="shared" ca="1" si="314"/>
        <v>#N/A</v>
      </c>
      <c r="AY560" s="2" t="e">
        <f t="shared" ca="1" si="315"/>
        <v>#N/A</v>
      </c>
      <c r="AZ560" s="2" t="e">
        <f t="shared" ca="1" si="316"/>
        <v>#N/A</v>
      </c>
      <c r="BA560" s="2" t="e">
        <f t="shared" ca="1" si="317"/>
        <v>#N/A</v>
      </c>
      <c r="BB560" s="2" t="e">
        <f t="shared" ca="1" si="318"/>
        <v>#N/A</v>
      </c>
      <c r="BC560" s="9" t="e">
        <f t="shared" ca="1" si="319"/>
        <v>#N/A</v>
      </c>
      <c r="BD560" s="9" t="e">
        <f t="shared" ca="1" si="320"/>
        <v>#N/A</v>
      </c>
    </row>
    <row r="561" spans="1:56" ht="15" x14ac:dyDescent="0.25">
      <c r="A561" s="63"/>
      <c r="B561" s="63"/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10"/>
      <c r="O561" s="11">
        <f t="shared" ca="1" si="306"/>
        <v>-3.9378682616450625E-4</v>
      </c>
      <c r="P561" s="11">
        <f t="shared" ca="1" si="307"/>
        <v>-1.6358405771021967E-4</v>
      </c>
      <c r="Q561" s="11">
        <f t="shared" ca="1" si="308"/>
        <v>-1.614029402377854E-3</v>
      </c>
      <c r="R561" s="11">
        <f t="shared" ca="1" si="309"/>
        <v>-1.4853760121635622E-5</v>
      </c>
      <c r="S561" s="11">
        <f t="shared" ca="1" si="310"/>
        <v>-1.1458026838550334E-3</v>
      </c>
      <c r="T561" s="11">
        <f t="shared" ca="1" si="311"/>
        <v>-4.9053934342410677E-4</v>
      </c>
      <c r="U561" s="11">
        <f t="shared" ca="1" si="312"/>
        <v>-5.5074395654535931E-3</v>
      </c>
      <c r="V561" s="11"/>
      <c r="W561" s="11">
        <f t="shared" ca="1" si="292"/>
        <v>0</v>
      </c>
      <c r="X561" s="2">
        <f t="shared" ca="1" si="293"/>
        <v>-1.6358405771021967E-4</v>
      </c>
      <c r="Y561" s="2">
        <f t="shared" ca="1" si="294"/>
        <v>-1.614029402377854E-3</v>
      </c>
      <c r="Z561" s="11">
        <f t="shared" ca="1" si="295"/>
        <v>-1.4853760121635622E-5</v>
      </c>
      <c r="AA561" s="2">
        <f t="shared" ca="1" si="296"/>
        <v>-1.1458026838550334E-3</v>
      </c>
      <c r="AB561" s="11">
        <f t="shared" ca="1" si="297"/>
        <v>-4.9053934342410677E-4</v>
      </c>
      <c r="AC561" s="2">
        <f t="shared" ca="1" si="298"/>
        <v>-5.5074395654535931E-3</v>
      </c>
      <c r="AF561" s="11">
        <f t="shared" ca="1" si="299"/>
        <v>0</v>
      </c>
      <c r="AG561" s="2">
        <f t="shared" ca="1" si="300"/>
        <v>-1.6358405771021967E-4</v>
      </c>
      <c r="AH561" s="2">
        <f t="shared" ca="1" si="301"/>
        <v>-1.614029402377854E-3</v>
      </c>
      <c r="AI561" s="2">
        <f t="shared" ca="1" si="302"/>
        <v>-1.4853760121635622E-5</v>
      </c>
      <c r="AJ561" s="2">
        <f t="shared" ca="1" si="303"/>
        <v>-1.1458026838550334E-3</v>
      </c>
      <c r="AK561" s="2">
        <f t="shared" ca="1" si="304"/>
        <v>-4.9053934342410677E-4</v>
      </c>
      <c r="AL561" s="2">
        <f t="shared" ca="1" si="305"/>
        <v>-5.5074395654535931E-3</v>
      </c>
      <c r="AN561" s="2" t="e">
        <f t="shared" ca="1" si="284"/>
        <v>#N/A</v>
      </c>
      <c r="AO561" s="2" t="e">
        <f t="shared" ca="1" si="285"/>
        <v>#N/A</v>
      </c>
      <c r="AP561" s="2" t="e">
        <f t="shared" ca="1" si="286"/>
        <v>#N/A</v>
      </c>
      <c r="AQ561" s="2" t="e">
        <f t="shared" ca="1" si="287"/>
        <v>#N/A</v>
      </c>
      <c r="AR561" s="2" t="e">
        <f t="shared" ca="1" si="288"/>
        <v>#N/A</v>
      </c>
      <c r="AS561" s="2" t="e">
        <f t="shared" ca="1" si="289"/>
        <v>#N/A</v>
      </c>
      <c r="AT561" s="9" t="e">
        <f t="shared" ca="1" si="290"/>
        <v>#N/A</v>
      </c>
      <c r="AU561" s="9" t="e">
        <f t="shared" ca="1" si="291"/>
        <v>#N/A</v>
      </c>
      <c r="AV561" s="9"/>
      <c r="AW561" s="2" t="e">
        <f t="shared" ca="1" si="313"/>
        <v>#N/A</v>
      </c>
      <c r="AX561" s="2" t="e">
        <f t="shared" ca="1" si="314"/>
        <v>#N/A</v>
      </c>
      <c r="AY561" s="2" t="e">
        <f t="shared" ca="1" si="315"/>
        <v>#N/A</v>
      </c>
      <c r="AZ561" s="2" t="e">
        <f t="shared" ca="1" si="316"/>
        <v>#N/A</v>
      </c>
      <c r="BA561" s="2" t="e">
        <f t="shared" ca="1" si="317"/>
        <v>#N/A</v>
      </c>
      <c r="BB561" s="2" t="e">
        <f t="shared" ca="1" si="318"/>
        <v>#N/A</v>
      </c>
      <c r="BC561" s="9" t="e">
        <f t="shared" ca="1" si="319"/>
        <v>#N/A</v>
      </c>
      <c r="BD561" s="9" t="e">
        <f t="shared" ca="1" si="320"/>
        <v>#N/A</v>
      </c>
    </row>
    <row r="562" spans="1:56" ht="15" x14ac:dyDescent="0.25">
      <c r="A562" s="63"/>
      <c r="B562" s="63"/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10"/>
      <c r="O562" s="11">
        <f t="shared" ca="1" si="306"/>
        <v>-3.9378682616450625E-4</v>
      </c>
      <c r="P562" s="11">
        <f t="shared" ca="1" si="307"/>
        <v>-1.6358405771021967E-4</v>
      </c>
      <c r="Q562" s="11">
        <f t="shared" ca="1" si="308"/>
        <v>-1.614029402377854E-3</v>
      </c>
      <c r="R562" s="11">
        <f t="shared" ca="1" si="309"/>
        <v>-1.4853760121635622E-5</v>
      </c>
      <c r="S562" s="11">
        <f t="shared" ca="1" si="310"/>
        <v>-1.1458026838550334E-3</v>
      </c>
      <c r="T562" s="11">
        <f t="shared" ca="1" si="311"/>
        <v>-4.9053934342410677E-4</v>
      </c>
      <c r="U562" s="11">
        <f t="shared" ca="1" si="312"/>
        <v>-5.5074395654535931E-3</v>
      </c>
      <c r="V562" s="11"/>
      <c r="W562" s="11">
        <f t="shared" ca="1" si="292"/>
        <v>0</v>
      </c>
      <c r="X562" s="2">
        <f t="shared" ca="1" si="293"/>
        <v>-1.6358405771021967E-4</v>
      </c>
      <c r="Y562" s="2">
        <f t="shared" ca="1" si="294"/>
        <v>-1.614029402377854E-3</v>
      </c>
      <c r="Z562" s="11">
        <f t="shared" ca="1" si="295"/>
        <v>-1.4853760121635622E-5</v>
      </c>
      <c r="AA562" s="2">
        <f t="shared" ca="1" si="296"/>
        <v>-1.1458026838550334E-3</v>
      </c>
      <c r="AB562" s="11">
        <f t="shared" ca="1" si="297"/>
        <v>-4.9053934342410677E-4</v>
      </c>
      <c r="AC562" s="2">
        <f t="shared" ca="1" si="298"/>
        <v>-5.5074395654535931E-3</v>
      </c>
      <c r="AF562" s="11">
        <f t="shared" ca="1" si="299"/>
        <v>0</v>
      </c>
      <c r="AG562" s="2">
        <f t="shared" ca="1" si="300"/>
        <v>-1.6358405771021967E-4</v>
      </c>
      <c r="AH562" s="2">
        <f t="shared" ca="1" si="301"/>
        <v>-1.614029402377854E-3</v>
      </c>
      <c r="AI562" s="2">
        <f t="shared" ca="1" si="302"/>
        <v>-1.4853760121635622E-5</v>
      </c>
      <c r="AJ562" s="2">
        <f t="shared" ca="1" si="303"/>
        <v>-1.1458026838550334E-3</v>
      </c>
      <c r="AK562" s="2">
        <f t="shared" ca="1" si="304"/>
        <v>-4.9053934342410677E-4</v>
      </c>
      <c r="AL562" s="2">
        <f t="shared" ca="1" si="305"/>
        <v>-5.5074395654535931E-3</v>
      </c>
      <c r="AN562" s="2" t="e">
        <f t="shared" ca="1" si="284"/>
        <v>#N/A</v>
      </c>
      <c r="AO562" s="2" t="e">
        <f t="shared" ca="1" si="285"/>
        <v>#N/A</v>
      </c>
      <c r="AP562" s="2" t="e">
        <f t="shared" ca="1" si="286"/>
        <v>#N/A</v>
      </c>
      <c r="AQ562" s="2" t="e">
        <f t="shared" ca="1" si="287"/>
        <v>#N/A</v>
      </c>
      <c r="AR562" s="2" t="e">
        <f t="shared" ca="1" si="288"/>
        <v>#N/A</v>
      </c>
      <c r="AS562" s="2" t="e">
        <f t="shared" ca="1" si="289"/>
        <v>#N/A</v>
      </c>
      <c r="AT562" s="9" t="e">
        <f t="shared" ca="1" si="290"/>
        <v>#N/A</v>
      </c>
      <c r="AU562" s="9" t="e">
        <f t="shared" ca="1" si="291"/>
        <v>#N/A</v>
      </c>
      <c r="AV562" s="9"/>
      <c r="AW562" s="2" t="e">
        <f t="shared" ca="1" si="313"/>
        <v>#N/A</v>
      </c>
      <c r="AX562" s="2" t="e">
        <f t="shared" ca="1" si="314"/>
        <v>#N/A</v>
      </c>
      <c r="AY562" s="2" t="e">
        <f t="shared" ca="1" si="315"/>
        <v>#N/A</v>
      </c>
      <c r="AZ562" s="2" t="e">
        <f t="shared" ca="1" si="316"/>
        <v>#N/A</v>
      </c>
      <c r="BA562" s="2" t="e">
        <f t="shared" ca="1" si="317"/>
        <v>#N/A</v>
      </c>
      <c r="BB562" s="2" t="e">
        <f t="shared" ca="1" si="318"/>
        <v>#N/A</v>
      </c>
      <c r="BC562" s="9" t="e">
        <f t="shared" ca="1" si="319"/>
        <v>#N/A</v>
      </c>
      <c r="BD562" s="9" t="e">
        <f t="shared" ca="1" si="320"/>
        <v>#N/A</v>
      </c>
    </row>
    <row r="563" spans="1:56" ht="15" x14ac:dyDescent="0.25">
      <c r="A563" s="63"/>
      <c r="B563" s="63"/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10"/>
      <c r="O563" s="11">
        <f t="shared" ca="1" si="306"/>
        <v>-3.9378682616450625E-4</v>
      </c>
      <c r="P563" s="11">
        <f t="shared" ca="1" si="307"/>
        <v>-1.6358405771021967E-4</v>
      </c>
      <c r="Q563" s="11">
        <f t="shared" ca="1" si="308"/>
        <v>-1.614029402377854E-3</v>
      </c>
      <c r="R563" s="11">
        <f t="shared" ca="1" si="309"/>
        <v>-1.4853760121635622E-5</v>
      </c>
      <c r="S563" s="11">
        <f t="shared" ca="1" si="310"/>
        <v>-1.1458026838550334E-3</v>
      </c>
      <c r="T563" s="11">
        <f t="shared" ca="1" si="311"/>
        <v>-4.9053934342410677E-4</v>
      </c>
      <c r="U563" s="11">
        <f t="shared" ca="1" si="312"/>
        <v>-5.5074395654535931E-3</v>
      </c>
      <c r="V563" s="11"/>
      <c r="W563" s="11">
        <f t="shared" ca="1" si="292"/>
        <v>0</v>
      </c>
      <c r="X563" s="2">
        <f t="shared" ca="1" si="293"/>
        <v>-1.6358405771021967E-4</v>
      </c>
      <c r="Y563" s="2">
        <f t="shared" ca="1" si="294"/>
        <v>-1.614029402377854E-3</v>
      </c>
      <c r="Z563" s="11">
        <f t="shared" ca="1" si="295"/>
        <v>-1.4853760121635622E-5</v>
      </c>
      <c r="AA563" s="2">
        <f t="shared" ca="1" si="296"/>
        <v>-1.1458026838550334E-3</v>
      </c>
      <c r="AB563" s="11">
        <f t="shared" ca="1" si="297"/>
        <v>-4.9053934342410677E-4</v>
      </c>
      <c r="AC563" s="2">
        <f t="shared" ca="1" si="298"/>
        <v>-5.5074395654535931E-3</v>
      </c>
      <c r="AF563" s="11">
        <f t="shared" ca="1" si="299"/>
        <v>0</v>
      </c>
      <c r="AG563" s="2">
        <f t="shared" ca="1" si="300"/>
        <v>-1.6358405771021967E-4</v>
      </c>
      <c r="AH563" s="2">
        <f t="shared" ca="1" si="301"/>
        <v>-1.614029402377854E-3</v>
      </c>
      <c r="AI563" s="2">
        <f t="shared" ca="1" si="302"/>
        <v>-1.4853760121635622E-5</v>
      </c>
      <c r="AJ563" s="2">
        <f t="shared" ca="1" si="303"/>
        <v>-1.1458026838550334E-3</v>
      </c>
      <c r="AK563" s="2">
        <f t="shared" ca="1" si="304"/>
        <v>-4.9053934342410677E-4</v>
      </c>
      <c r="AL563" s="2">
        <f t="shared" ca="1" si="305"/>
        <v>-5.5074395654535931E-3</v>
      </c>
      <c r="AN563" s="2" t="e">
        <f t="shared" ca="1" si="284"/>
        <v>#N/A</v>
      </c>
      <c r="AO563" s="2" t="e">
        <f t="shared" ca="1" si="285"/>
        <v>#N/A</v>
      </c>
      <c r="AP563" s="2" t="e">
        <f t="shared" ca="1" si="286"/>
        <v>#N/A</v>
      </c>
      <c r="AQ563" s="2" t="e">
        <f t="shared" ca="1" si="287"/>
        <v>#N/A</v>
      </c>
      <c r="AR563" s="2" t="e">
        <f t="shared" ca="1" si="288"/>
        <v>#N/A</v>
      </c>
      <c r="AS563" s="2" t="e">
        <f t="shared" ca="1" si="289"/>
        <v>#N/A</v>
      </c>
      <c r="AT563" s="9" t="e">
        <f t="shared" ca="1" si="290"/>
        <v>#N/A</v>
      </c>
      <c r="AU563" s="9" t="e">
        <f t="shared" ca="1" si="291"/>
        <v>#N/A</v>
      </c>
      <c r="AV563" s="9"/>
      <c r="AW563" s="2" t="e">
        <f t="shared" ca="1" si="313"/>
        <v>#N/A</v>
      </c>
      <c r="AX563" s="2" t="e">
        <f t="shared" ca="1" si="314"/>
        <v>#N/A</v>
      </c>
      <c r="AY563" s="2" t="e">
        <f t="shared" ca="1" si="315"/>
        <v>#N/A</v>
      </c>
      <c r="AZ563" s="2" t="e">
        <f t="shared" ca="1" si="316"/>
        <v>#N/A</v>
      </c>
      <c r="BA563" s="2" t="e">
        <f t="shared" ca="1" si="317"/>
        <v>#N/A</v>
      </c>
      <c r="BB563" s="2" t="e">
        <f t="shared" ca="1" si="318"/>
        <v>#N/A</v>
      </c>
      <c r="BC563" s="9" t="e">
        <f t="shared" ca="1" si="319"/>
        <v>#N/A</v>
      </c>
      <c r="BD563" s="9" t="e">
        <f t="shared" ca="1" si="320"/>
        <v>#N/A</v>
      </c>
    </row>
    <row r="564" spans="1:56" ht="15" x14ac:dyDescent="0.25">
      <c r="A564" s="63"/>
      <c r="B564" s="63"/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10"/>
      <c r="O564" s="11">
        <f t="shared" ca="1" si="306"/>
        <v>-3.9378682616450625E-4</v>
      </c>
      <c r="P564" s="11">
        <f t="shared" ca="1" si="307"/>
        <v>-1.6358405771021967E-4</v>
      </c>
      <c r="Q564" s="11">
        <f t="shared" ca="1" si="308"/>
        <v>-1.614029402377854E-3</v>
      </c>
      <c r="R564" s="11">
        <f t="shared" ca="1" si="309"/>
        <v>-1.4853760121635622E-5</v>
      </c>
      <c r="S564" s="11">
        <f t="shared" ca="1" si="310"/>
        <v>-1.1458026838550334E-3</v>
      </c>
      <c r="T564" s="11">
        <f t="shared" ca="1" si="311"/>
        <v>-4.9053934342410677E-4</v>
      </c>
      <c r="U564" s="11">
        <f t="shared" ca="1" si="312"/>
        <v>-5.5074395654535931E-3</v>
      </c>
      <c r="V564" s="11"/>
      <c r="W564" s="11">
        <f t="shared" ca="1" si="292"/>
        <v>0</v>
      </c>
      <c r="X564" s="2">
        <f t="shared" ca="1" si="293"/>
        <v>-1.6358405771021967E-4</v>
      </c>
      <c r="Y564" s="2">
        <f t="shared" ca="1" si="294"/>
        <v>-1.614029402377854E-3</v>
      </c>
      <c r="Z564" s="11">
        <f t="shared" ca="1" si="295"/>
        <v>-1.4853760121635622E-5</v>
      </c>
      <c r="AA564" s="2">
        <f t="shared" ca="1" si="296"/>
        <v>-1.1458026838550334E-3</v>
      </c>
      <c r="AB564" s="11">
        <f t="shared" ca="1" si="297"/>
        <v>-4.9053934342410677E-4</v>
      </c>
      <c r="AC564" s="2">
        <f t="shared" ca="1" si="298"/>
        <v>-5.5074395654535931E-3</v>
      </c>
      <c r="AF564" s="11">
        <f t="shared" ca="1" si="299"/>
        <v>0</v>
      </c>
      <c r="AG564" s="2">
        <f t="shared" ca="1" si="300"/>
        <v>-1.6358405771021967E-4</v>
      </c>
      <c r="AH564" s="2">
        <f t="shared" ca="1" si="301"/>
        <v>-1.614029402377854E-3</v>
      </c>
      <c r="AI564" s="2">
        <f t="shared" ca="1" si="302"/>
        <v>-1.4853760121635622E-5</v>
      </c>
      <c r="AJ564" s="2">
        <f t="shared" ca="1" si="303"/>
        <v>-1.1458026838550334E-3</v>
      </c>
      <c r="AK564" s="2">
        <f t="shared" ca="1" si="304"/>
        <v>-4.9053934342410677E-4</v>
      </c>
      <c r="AL564" s="2">
        <f t="shared" ca="1" si="305"/>
        <v>-5.5074395654535931E-3</v>
      </c>
      <c r="AN564" s="2" t="e">
        <f t="shared" ca="1" si="284"/>
        <v>#N/A</v>
      </c>
      <c r="AO564" s="2" t="e">
        <f t="shared" ca="1" si="285"/>
        <v>#N/A</v>
      </c>
      <c r="AP564" s="2" t="e">
        <f t="shared" ca="1" si="286"/>
        <v>#N/A</v>
      </c>
      <c r="AQ564" s="2" t="e">
        <f t="shared" ca="1" si="287"/>
        <v>#N/A</v>
      </c>
      <c r="AR564" s="2" t="e">
        <f t="shared" ca="1" si="288"/>
        <v>#N/A</v>
      </c>
      <c r="AS564" s="2" t="e">
        <f t="shared" ca="1" si="289"/>
        <v>#N/A</v>
      </c>
      <c r="AT564" s="9" t="e">
        <f t="shared" ca="1" si="290"/>
        <v>#N/A</v>
      </c>
      <c r="AU564" s="9" t="e">
        <f t="shared" ca="1" si="291"/>
        <v>#N/A</v>
      </c>
      <c r="AV564" s="9"/>
      <c r="AW564" s="2" t="e">
        <f t="shared" ca="1" si="313"/>
        <v>#N/A</v>
      </c>
      <c r="AX564" s="2" t="e">
        <f t="shared" ca="1" si="314"/>
        <v>#N/A</v>
      </c>
      <c r="AY564" s="2" t="e">
        <f t="shared" ca="1" si="315"/>
        <v>#N/A</v>
      </c>
      <c r="AZ564" s="2" t="e">
        <f t="shared" ca="1" si="316"/>
        <v>#N/A</v>
      </c>
      <c r="BA564" s="2" t="e">
        <f t="shared" ca="1" si="317"/>
        <v>#N/A</v>
      </c>
      <c r="BB564" s="2" t="e">
        <f t="shared" ca="1" si="318"/>
        <v>#N/A</v>
      </c>
      <c r="BC564" s="9" t="e">
        <f t="shared" ca="1" si="319"/>
        <v>#N/A</v>
      </c>
      <c r="BD564" s="9" t="e">
        <f t="shared" ca="1" si="320"/>
        <v>#N/A</v>
      </c>
    </row>
    <row r="565" spans="1:56" ht="15" x14ac:dyDescent="0.25">
      <c r="A565" s="63"/>
      <c r="B565" s="63"/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10"/>
      <c r="O565" s="11">
        <f t="shared" ca="1" si="306"/>
        <v>-3.9378682616450625E-4</v>
      </c>
      <c r="P565" s="11">
        <f t="shared" ca="1" si="307"/>
        <v>-1.6358405771021967E-4</v>
      </c>
      <c r="Q565" s="11">
        <f t="shared" ca="1" si="308"/>
        <v>-1.614029402377854E-3</v>
      </c>
      <c r="R565" s="11">
        <f t="shared" ca="1" si="309"/>
        <v>-1.4853760121635622E-5</v>
      </c>
      <c r="S565" s="11">
        <f t="shared" ca="1" si="310"/>
        <v>-1.1458026838550334E-3</v>
      </c>
      <c r="T565" s="11">
        <f t="shared" ca="1" si="311"/>
        <v>-4.9053934342410677E-4</v>
      </c>
      <c r="U565" s="11">
        <f t="shared" ca="1" si="312"/>
        <v>-5.5074395654535931E-3</v>
      </c>
      <c r="V565" s="11"/>
      <c r="W565" s="11">
        <f t="shared" ca="1" si="292"/>
        <v>0</v>
      </c>
      <c r="X565" s="2">
        <f t="shared" ca="1" si="293"/>
        <v>-1.6358405771021967E-4</v>
      </c>
      <c r="Y565" s="2">
        <f t="shared" ca="1" si="294"/>
        <v>-1.614029402377854E-3</v>
      </c>
      <c r="Z565" s="11">
        <f t="shared" ca="1" si="295"/>
        <v>-1.4853760121635622E-5</v>
      </c>
      <c r="AA565" s="2">
        <f t="shared" ca="1" si="296"/>
        <v>-1.1458026838550334E-3</v>
      </c>
      <c r="AB565" s="11">
        <f t="shared" ca="1" si="297"/>
        <v>-4.9053934342410677E-4</v>
      </c>
      <c r="AC565" s="2">
        <f t="shared" ca="1" si="298"/>
        <v>-5.5074395654535931E-3</v>
      </c>
      <c r="AF565" s="11">
        <f t="shared" ca="1" si="299"/>
        <v>0</v>
      </c>
      <c r="AG565" s="2">
        <f t="shared" ca="1" si="300"/>
        <v>-1.6358405771021967E-4</v>
      </c>
      <c r="AH565" s="2">
        <f t="shared" ca="1" si="301"/>
        <v>-1.614029402377854E-3</v>
      </c>
      <c r="AI565" s="2">
        <f t="shared" ca="1" si="302"/>
        <v>-1.4853760121635622E-5</v>
      </c>
      <c r="AJ565" s="2">
        <f t="shared" ca="1" si="303"/>
        <v>-1.1458026838550334E-3</v>
      </c>
      <c r="AK565" s="2">
        <f t="shared" ca="1" si="304"/>
        <v>-4.9053934342410677E-4</v>
      </c>
      <c r="AL565" s="2">
        <f t="shared" ca="1" si="305"/>
        <v>-5.5074395654535931E-3</v>
      </c>
      <c r="AN565" s="2" t="e">
        <f t="shared" ca="1" si="284"/>
        <v>#N/A</v>
      </c>
      <c r="AO565" s="2" t="e">
        <f t="shared" ca="1" si="285"/>
        <v>#N/A</v>
      </c>
      <c r="AP565" s="2" t="e">
        <f t="shared" ca="1" si="286"/>
        <v>#N/A</v>
      </c>
      <c r="AQ565" s="2" t="e">
        <f t="shared" ca="1" si="287"/>
        <v>#N/A</v>
      </c>
      <c r="AR565" s="2" t="e">
        <f t="shared" ca="1" si="288"/>
        <v>#N/A</v>
      </c>
      <c r="AS565" s="2" t="e">
        <f t="shared" ca="1" si="289"/>
        <v>#N/A</v>
      </c>
      <c r="AT565" s="9" t="e">
        <f t="shared" ca="1" si="290"/>
        <v>#N/A</v>
      </c>
      <c r="AU565" s="9" t="e">
        <f t="shared" ca="1" si="291"/>
        <v>#N/A</v>
      </c>
      <c r="AV565" s="9"/>
      <c r="AW565" s="2" t="e">
        <f t="shared" ca="1" si="313"/>
        <v>#N/A</v>
      </c>
      <c r="AX565" s="2" t="e">
        <f t="shared" ca="1" si="314"/>
        <v>#N/A</v>
      </c>
      <c r="AY565" s="2" t="e">
        <f t="shared" ca="1" si="315"/>
        <v>#N/A</v>
      </c>
      <c r="AZ565" s="2" t="e">
        <f t="shared" ca="1" si="316"/>
        <v>#N/A</v>
      </c>
      <c r="BA565" s="2" t="e">
        <f t="shared" ca="1" si="317"/>
        <v>#N/A</v>
      </c>
      <c r="BB565" s="2" t="e">
        <f t="shared" ca="1" si="318"/>
        <v>#N/A</v>
      </c>
      <c r="BC565" s="9" t="e">
        <f t="shared" ca="1" si="319"/>
        <v>#N/A</v>
      </c>
      <c r="BD565" s="9" t="e">
        <f t="shared" ca="1" si="320"/>
        <v>#N/A</v>
      </c>
    </row>
    <row r="566" spans="1:56" ht="15" x14ac:dyDescent="0.25">
      <c r="A566" s="63"/>
      <c r="B566" s="63"/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10"/>
      <c r="O566" s="11">
        <f t="shared" ca="1" si="306"/>
        <v>-3.9378682616450625E-4</v>
      </c>
      <c r="P566" s="11">
        <f t="shared" ca="1" si="307"/>
        <v>-1.6358405771021967E-4</v>
      </c>
      <c r="Q566" s="11">
        <f t="shared" ca="1" si="308"/>
        <v>-1.614029402377854E-3</v>
      </c>
      <c r="R566" s="11">
        <f t="shared" ca="1" si="309"/>
        <v>-1.4853760121635622E-5</v>
      </c>
      <c r="S566" s="11">
        <f t="shared" ca="1" si="310"/>
        <v>-1.1458026838550334E-3</v>
      </c>
      <c r="T566" s="11">
        <f t="shared" ca="1" si="311"/>
        <v>-4.9053934342410677E-4</v>
      </c>
      <c r="U566" s="11">
        <f t="shared" ca="1" si="312"/>
        <v>-5.5074395654535931E-3</v>
      </c>
      <c r="V566" s="11"/>
      <c r="W566" s="11">
        <f t="shared" ca="1" si="292"/>
        <v>0</v>
      </c>
      <c r="X566" s="2">
        <f t="shared" ca="1" si="293"/>
        <v>-1.6358405771021967E-4</v>
      </c>
      <c r="Y566" s="2">
        <f t="shared" ca="1" si="294"/>
        <v>-1.614029402377854E-3</v>
      </c>
      <c r="Z566" s="11">
        <f t="shared" ca="1" si="295"/>
        <v>-1.4853760121635622E-5</v>
      </c>
      <c r="AA566" s="2">
        <f t="shared" ca="1" si="296"/>
        <v>-1.1458026838550334E-3</v>
      </c>
      <c r="AB566" s="11">
        <f t="shared" ca="1" si="297"/>
        <v>-4.9053934342410677E-4</v>
      </c>
      <c r="AC566" s="2">
        <f t="shared" ca="1" si="298"/>
        <v>-5.5074395654535931E-3</v>
      </c>
      <c r="AF566" s="11">
        <f t="shared" ca="1" si="299"/>
        <v>0</v>
      </c>
      <c r="AG566" s="2">
        <f t="shared" ca="1" si="300"/>
        <v>-1.6358405771021967E-4</v>
      </c>
      <c r="AH566" s="2">
        <f t="shared" ca="1" si="301"/>
        <v>-1.614029402377854E-3</v>
      </c>
      <c r="AI566" s="2">
        <f t="shared" ca="1" si="302"/>
        <v>-1.4853760121635622E-5</v>
      </c>
      <c r="AJ566" s="2">
        <f t="shared" ca="1" si="303"/>
        <v>-1.1458026838550334E-3</v>
      </c>
      <c r="AK566" s="2">
        <f t="shared" ca="1" si="304"/>
        <v>-4.9053934342410677E-4</v>
      </c>
      <c r="AL566" s="2">
        <f t="shared" ca="1" si="305"/>
        <v>-5.5074395654535931E-3</v>
      </c>
      <c r="AN566" s="2" t="e">
        <f t="shared" ca="1" si="284"/>
        <v>#N/A</v>
      </c>
      <c r="AO566" s="2" t="e">
        <f t="shared" ca="1" si="285"/>
        <v>#N/A</v>
      </c>
      <c r="AP566" s="2" t="e">
        <f t="shared" ca="1" si="286"/>
        <v>#N/A</v>
      </c>
      <c r="AQ566" s="2" t="e">
        <f t="shared" ca="1" si="287"/>
        <v>#N/A</v>
      </c>
      <c r="AR566" s="2" t="e">
        <f t="shared" ca="1" si="288"/>
        <v>#N/A</v>
      </c>
      <c r="AS566" s="2" t="e">
        <f t="shared" ca="1" si="289"/>
        <v>#N/A</v>
      </c>
      <c r="AT566" s="9" t="e">
        <f t="shared" ca="1" si="290"/>
        <v>#N/A</v>
      </c>
      <c r="AU566" s="9" t="e">
        <f t="shared" ca="1" si="291"/>
        <v>#N/A</v>
      </c>
      <c r="AV566" s="9"/>
      <c r="AW566" s="2" t="e">
        <f t="shared" ca="1" si="313"/>
        <v>#N/A</v>
      </c>
      <c r="AX566" s="2" t="e">
        <f t="shared" ca="1" si="314"/>
        <v>#N/A</v>
      </c>
      <c r="AY566" s="2" t="e">
        <f t="shared" ca="1" si="315"/>
        <v>#N/A</v>
      </c>
      <c r="AZ566" s="2" t="e">
        <f t="shared" ca="1" si="316"/>
        <v>#N/A</v>
      </c>
      <c r="BA566" s="2" t="e">
        <f t="shared" ca="1" si="317"/>
        <v>#N/A</v>
      </c>
      <c r="BB566" s="2" t="e">
        <f t="shared" ca="1" si="318"/>
        <v>#N/A</v>
      </c>
      <c r="BC566" s="9" t="e">
        <f t="shared" ca="1" si="319"/>
        <v>#N/A</v>
      </c>
      <c r="BD566" s="9" t="e">
        <f t="shared" ca="1" si="320"/>
        <v>#N/A</v>
      </c>
    </row>
    <row r="567" spans="1:56" ht="15" x14ac:dyDescent="0.25">
      <c r="A567" s="63"/>
      <c r="B567" s="63"/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10"/>
      <c r="O567" s="11">
        <f t="shared" ca="1" si="306"/>
        <v>-3.9378682616450625E-4</v>
      </c>
      <c r="P567" s="11">
        <f t="shared" ca="1" si="307"/>
        <v>-1.6358405771021967E-4</v>
      </c>
      <c r="Q567" s="11">
        <f t="shared" ca="1" si="308"/>
        <v>-1.614029402377854E-3</v>
      </c>
      <c r="R567" s="11">
        <f t="shared" ca="1" si="309"/>
        <v>-1.4853760121635622E-5</v>
      </c>
      <c r="S567" s="11">
        <f t="shared" ca="1" si="310"/>
        <v>-1.1458026838550334E-3</v>
      </c>
      <c r="T567" s="11">
        <f t="shared" ca="1" si="311"/>
        <v>-4.9053934342410677E-4</v>
      </c>
      <c r="U567" s="11">
        <f t="shared" ca="1" si="312"/>
        <v>-5.5074395654535931E-3</v>
      </c>
      <c r="V567" s="11"/>
      <c r="W567" s="11">
        <f t="shared" ca="1" si="292"/>
        <v>0</v>
      </c>
      <c r="X567" s="2">
        <f t="shared" ca="1" si="293"/>
        <v>-1.6358405771021967E-4</v>
      </c>
      <c r="Y567" s="2">
        <f t="shared" ca="1" si="294"/>
        <v>-1.614029402377854E-3</v>
      </c>
      <c r="Z567" s="11">
        <f t="shared" ca="1" si="295"/>
        <v>-1.4853760121635622E-5</v>
      </c>
      <c r="AA567" s="2">
        <f t="shared" ca="1" si="296"/>
        <v>-1.1458026838550334E-3</v>
      </c>
      <c r="AB567" s="11">
        <f t="shared" ca="1" si="297"/>
        <v>-4.9053934342410677E-4</v>
      </c>
      <c r="AC567" s="2">
        <f t="shared" ca="1" si="298"/>
        <v>-5.5074395654535931E-3</v>
      </c>
      <c r="AF567" s="11">
        <f t="shared" ca="1" si="299"/>
        <v>0</v>
      </c>
      <c r="AG567" s="2">
        <f t="shared" ca="1" si="300"/>
        <v>-1.6358405771021967E-4</v>
      </c>
      <c r="AH567" s="2">
        <f t="shared" ca="1" si="301"/>
        <v>-1.614029402377854E-3</v>
      </c>
      <c r="AI567" s="2">
        <f t="shared" ca="1" si="302"/>
        <v>-1.4853760121635622E-5</v>
      </c>
      <c r="AJ567" s="2">
        <f t="shared" ca="1" si="303"/>
        <v>-1.1458026838550334E-3</v>
      </c>
      <c r="AK567" s="2">
        <f t="shared" ca="1" si="304"/>
        <v>-4.9053934342410677E-4</v>
      </c>
      <c r="AL567" s="2">
        <f t="shared" ca="1" si="305"/>
        <v>-5.5074395654535931E-3</v>
      </c>
      <c r="AN567" s="2" t="e">
        <f t="shared" ca="1" si="284"/>
        <v>#N/A</v>
      </c>
      <c r="AO567" s="2" t="e">
        <f t="shared" ca="1" si="285"/>
        <v>#N/A</v>
      </c>
      <c r="AP567" s="2" t="e">
        <f t="shared" ca="1" si="286"/>
        <v>#N/A</v>
      </c>
      <c r="AQ567" s="2" t="e">
        <f t="shared" ca="1" si="287"/>
        <v>#N/A</v>
      </c>
      <c r="AR567" s="2" t="e">
        <f t="shared" ca="1" si="288"/>
        <v>#N/A</v>
      </c>
      <c r="AS567" s="2" t="e">
        <f t="shared" ca="1" si="289"/>
        <v>#N/A</v>
      </c>
      <c r="AT567" s="9" t="e">
        <f t="shared" ca="1" si="290"/>
        <v>#N/A</v>
      </c>
      <c r="AU567" s="9" t="e">
        <f t="shared" ca="1" si="291"/>
        <v>#N/A</v>
      </c>
      <c r="AV567" s="9"/>
      <c r="AW567" s="2" t="e">
        <f t="shared" ca="1" si="313"/>
        <v>#N/A</v>
      </c>
      <c r="AX567" s="2" t="e">
        <f t="shared" ca="1" si="314"/>
        <v>#N/A</v>
      </c>
      <c r="AY567" s="2" t="e">
        <f t="shared" ca="1" si="315"/>
        <v>#N/A</v>
      </c>
      <c r="AZ567" s="2" t="e">
        <f t="shared" ca="1" si="316"/>
        <v>#N/A</v>
      </c>
      <c r="BA567" s="2" t="e">
        <f t="shared" ca="1" si="317"/>
        <v>#N/A</v>
      </c>
      <c r="BB567" s="2" t="e">
        <f t="shared" ca="1" si="318"/>
        <v>#N/A</v>
      </c>
      <c r="BC567" s="9" t="e">
        <f t="shared" ca="1" si="319"/>
        <v>#N/A</v>
      </c>
      <c r="BD567" s="9" t="e">
        <f t="shared" ca="1" si="320"/>
        <v>#N/A</v>
      </c>
    </row>
    <row r="568" spans="1:56" ht="15" x14ac:dyDescent="0.25">
      <c r="A568" s="63"/>
      <c r="B568" s="63"/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16"/>
      <c r="O568" s="11">
        <f t="shared" ca="1" si="306"/>
        <v>-3.9378682616450625E-4</v>
      </c>
      <c r="P568" s="11">
        <f t="shared" ca="1" si="307"/>
        <v>-1.6358405771021967E-4</v>
      </c>
      <c r="Q568" s="11">
        <f t="shared" ca="1" si="308"/>
        <v>-1.614029402377854E-3</v>
      </c>
      <c r="R568" s="11">
        <f t="shared" ca="1" si="309"/>
        <v>-1.4853760121635622E-5</v>
      </c>
      <c r="S568" s="11">
        <f t="shared" ca="1" si="310"/>
        <v>-1.1458026838550334E-3</v>
      </c>
      <c r="T568" s="11">
        <f t="shared" ca="1" si="311"/>
        <v>-4.9053934342410677E-4</v>
      </c>
      <c r="U568" s="11">
        <f t="shared" ca="1" si="312"/>
        <v>-5.5074395654535931E-3</v>
      </c>
      <c r="V568" s="11"/>
      <c r="W568" s="11">
        <f t="shared" ca="1" si="292"/>
        <v>0</v>
      </c>
      <c r="X568" s="2">
        <f t="shared" ca="1" si="293"/>
        <v>-1.6358405771021967E-4</v>
      </c>
      <c r="Y568" s="2">
        <f t="shared" ca="1" si="294"/>
        <v>-1.614029402377854E-3</v>
      </c>
      <c r="Z568" s="11">
        <f t="shared" ca="1" si="295"/>
        <v>-1.4853760121635622E-5</v>
      </c>
      <c r="AA568" s="2">
        <f t="shared" ca="1" si="296"/>
        <v>-1.1458026838550334E-3</v>
      </c>
      <c r="AB568" s="11">
        <f t="shared" ca="1" si="297"/>
        <v>-4.9053934342410677E-4</v>
      </c>
      <c r="AC568" s="2">
        <f t="shared" ca="1" si="298"/>
        <v>-5.5074395654535931E-3</v>
      </c>
      <c r="AF568" s="11">
        <f t="shared" ca="1" si="299"/>
        <v>0</v>
      </c>
      <c r="AG568" s="2">
        <f t="shared" ca="1" si="300"/>
        <v>-1.6358405771021967E-4</v>
      </c>
      <c r="AH568" s="2">
        <f t="shared" ca="1" si="301"/>
        <v>-1.614029402377854E-3</v>
      </c>
      <c r="AI568" s="2">
        <f t="shared" ca="1" si="302"/>
        <v>-1.4853760121635622E-5</v>
      </c>
      <c r="AJ568" s="2">
        <f t="shared" ca="1" si="303"/>
        <v>-1.1458026838550334E-3</v>
      </c>
      <c r="AK568" s="2">
        <f t="shared" ca="1" si="304"/>
        <v>-4.9053934342410677E-4</v>
      </c>
      <c r="AL568" s="2">
        <f t="shared" ca="1" si="305"/>
        <v>-5.5074395654535931E-3</v>
      </c>
      <c r="AN568" s="2" t="e">
        <f t="shared" ca="1" si="284"/>
        <v>#N/A</v>
      </c>
      <c r="AO568" s="2" t="e">
        <f t="shared" ca="1" si="285"/>
        <v>#N/A</v>
      </c>
      <c r="AP568" s="2" t="e">
        <f t="shared" ca="1" si="286"/>
        <v>#N/A</v>
      </c>
      <c r="AQ568" s="2" t="e">
        <f t="shared" ca="1" si="287"/>
        <v>#N/A</v>
      </c>
      <c r="AR568" s="2" t="e">
        <f t="shared" ca="1" si="288"/>
        <v>#N/A</v>
      </c>
      <c r="AS568" s="2" t="e">
        <f t="shared" ca="1" si="289"/>
        <v>#N/A</v>
      </c>
      <c r="AT568" s="9" t="e">
        <f t="shared" ca="1" si="290"/>
        <v>#N/A</v>
      </c>
      <c r="AU568" s="9" t="e">
        <f t="shared" ca="1" si="291"/>
        <v>#N/A</v>
      </c>
      <c r="AV568" s="9"/>
      <c r="AW568" s="2" t="e">
        <f t="shared" ca="1" si="313"/>
        <v>#N/A</v>
      </c>
      <c r="AX568" s="2" t="e">
        <f t="shared" ca="1" si="314"/>
        <v>#N/A</v>
      </c>
      <c r="AY568" s="2" t="e">
        <f t="shared" ca="1" si="315"/>
        <v>#N/A</v>
      </c>
      <c r="AZ568" s="2" t="e">
        <f t="shared" ca="1" si="316"/>
        <v>#N/A</v>
      </c>
      <c r="BA568" s="2" t="e">
        <f t="shared" ca="1" si="317"/>
        <v>#N/A</v>
      </c>
      <c r="BB568" s="2" t="e">
        <f t="shared" ca="1" si="318"/>
        <v>#N/A</v>
      </c>
      <c r="BC568" s="9" t="e">
        <f t="shared" ca="1" si="319"/>
        <v>#N/A</v>
      </c>
      <c r="BD568" s="9" t="e">
        <f t="shared" ca="1" si="320"/>
        <v>#N/A</v>
      </c>
    </row>
    <row r="569" spans="1:56" ht="15" x14ac:dyDescent="0.25">
      <c r="A569" s="63"/>
      <c r="B569" s="63"/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16"/>
      <c r="O569" s="11">
        <f t="shared" ca="1" si="306"/>
        <v>-3.9378682616450625E-4</v>
      </c>
      <c r="P569" s="11">
        <f t="shared" ca="1" si="307"/>
        <v>-1.6358405771021967E-4</v>
      </c>
      <c r="Q569" s="11">
        <f t="shared" ca="1" si="308"/>
        <v>-1.614029402377854E-3</v>
      </c>
      <c r="R569" s="11">
        <f t="shared" ca="1" si="309"/>
        <v>-1.4853760121635622E-5</v>
      </c>
      <c r="S569" s="11">
        <f t="shared" ca="1" si="310"/>
        <v>-1.1458026838550334E-3</v>
      </c>
      <c r="T569" s="11">
        <f t="shared" ca="1" si="311"/>
        <v>-4.9053934342410677E-4</v>
      </c>
      <c r="U569" s="11">
        <f t="shared" ca="1" si="312"/>
        <v>-5.5074395654535931E-3</v>
      </c>
      <c r="V569" s="11"/>
      <c r="W569" s="11">
        <f t="shared" ca="1" si="292"/>
        <v>0</v>
      </c>
      <c r="X569" s="2">
        <f t="shared" ca="1" si="293"/>
        <v>-1.6358405771021967E-4</v>
      </c>
      <c r="Y569" s="2">
        <f t="shared" ca="1" si="294"/>
        <v>-1.614029402377854E-3</v>
      </c>
      <c r="Z569" s="11">
        <f t="shared" ca="1" si="295"/>
        <v>-1.4853760121635622E-5</v>
      </c>
      <c r="AA569" s="2">
        <f t="shared" ca="1" si="296"/>
        <v>-1.1458026838550334E-3</v>
      </c>
      <c r="AB569" s="11">
        <f t="shared" ca="1" si="297"/>
        <v>-4.9053934342410677E-4</v>
      </c>
      <c r="AC569" s="2">
        <f t="shared" ca="1" si="298"/>
        <v>-5.5074395654535931E-3</v>
      </c>
      <c r="AF569" s="11">
        <f t="shared" ca="1" si="299"/>
        <v>0</v>
      </c>
      <c r="AG569" s="2">
        <f t="shared" ca="1" si="300"/>
        <v>-1.6358405771021967E-4</v>
      </c>
      <c r="AH569" s="2">
        <f t="shared" ca="1" si="301"/>
        <v>-1.614029402377854E-3</v>
      </c>
      <c r="AI569" s="2">
        <f t="shared" ca="1" si="302"/>
        <v>-1.4853760121635622E-5</v>
      </c>
      <c r="AJ569" s="2">
        <f t="shared" ca="1" si="303"/>
        <v>-1.1458026838550334E-3</v>
      </c>
      <c r="AK569" s="2">
        <f t="shared" ca="1" si="304"/>
        <v>-4.9053934342410677E-4</v>
      </c>
      <c r="AL569" s="2">
        <f t="shared" ca="1" si="305"/>
        <v>-5.5074395654535931E-3</v>
      </c>
      <c r="AN569" s="2" t="e">
        <f t="shared" ca="1" si="284"/>
        <v>#N/A</v>
      </c>
      <c r="AO569" s="2" t="e">
        <f t="shared" ca="1" si="285"/>
        <v>#N/A</v>
      </c>
      <c r="AP569" s="2" t="e">
        <f t="shared" ca="1" si="286"/>
        <v>#N/A</v>
      </c>
      <c r="AQ569" s="2" t="e">
        <f t="shared" ca="1" si="287"/>
        <v>#N/A</v>
      </c>
      <c r="AR569" s="2" t="e">
        <f t="shared" ca="1" si="288"/>
        <v>#N/A</v>
      </c>
      <c r="AS569" s="2" t="e">
        <f t="shared" ca="1" si="289"/>
        <v>#N/A</v>
      </c>
      <c r="AT569" s="9" t="e">
        <f t="shared" ca="1" si="290"/>
        <v>#N/A</v>
      </c>
      <c r="AU569" s="9" t="e">
        <f t="shared" ca="1" si="291"/>
        <v>#N/A</v>
      </c>
      <c r="AV569" s="9"/>
      <c r="AW569" s="2" t="e">
        <f t="shared" ca="1" si="313"/>
        <v>#N/A</v>
      </c>
      <c r="AX569" s="2" t="e">
        <f t="shared" ca="1" si="314"/>
        <v>#N/A</v>
      </c>
      <c r="AY569" s="2" t="e">
        <f t="shared" ca="1" si="315"/>
        <v>#N/A</v>
      </c>
      <c r="AZ569" s="2" t="e">
        <f t="shared" ca="1" si="316"/>
        <v>#N/A</v>
      </c>
      <c r="BA569" s="2" t="e">
        <f t="shared" ca="1" si="317"/>
        <v>#N/A</v>
      </c>
      <c r="BB569" s="2" t="e">
        <f t="shared" ca="1" si="318"/>
        <v>#N/A</v>
      </c>
      <c r="BC569" s="9" t="e">
        <f t="shared" ca="1" si="319"/>
        <v>#N/A</v>
      </c>
      <c r="BD569" s="9" t="e">
        <f t="shared" ca="1" si="320"/>
        <v>#N/A</v>
      </c>
    </row>
    <row r="570" spans="1:56" ht="15" x14ac:dyDescent="0.25">
      <c r="A570" s="63"/>
      <c r="B570" s="63"/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16"/>
      <c r="O570" s="11">
        <f t="shared" ca="1" si="306"/>
        <v>-3.9378682616450625E-4</v>
      </c>
      <c r="P570" s="11">
        <f t="shared" ca="1" si="307"/>
        <v>-1.6358405771021967E-4</v>
      </c>
      <c r="Q570" s="11">
        <f t="shared" ca="1" si="308"/>
        <v>-1.614029402377854E-3</v>
      </c>
      <c r="R570" s="11">
        <f t="shared" ca="1" si="309"/>
        <v>-1.4853760121635622E-5</v>
      </c>
      <c r="S570" s="11">
        <f t="shared" ca="1" si="310"/>
        <v>-1.1458026838550334E-3</v>
      </c>
      <c r="T570" s="11">
        <f t="shared" ca="1" si="311"/>
        <v>-4.9053934342410677E-4</v>
      </c>
      <c r="U570" s="11">
        <f t="shared" ca="1" si="312"/>
        <v>-5.5074395654535931E-3</v>
      </c>
      <c r="V570" s="11"/>
      <c r="W570" s="11">
        <f t="shared" ca="1" si="292"/>
        <v>0</v>
      </c>
      <c r="X570" s="2">
        <f t="shared" ca="1" si="293"/>
        <v>-1.6358405771021967E-4</v>
      </c>
      <c r="Y570" s="2">
        <f t="shared" ca="1" si="294"/>
        <v>-1.614029402377854E-3</v>
      </c>
      <c r="Z570" s="11">
        <f t="shared" ca="1" si="295"/>
        <v>-1.4853760121635622E-5</v>
      </c>
      <c r="AA570" s="2">
        <f t="shared" ca="1" si="296"/>
        <v>-1.1458026838550334E-3</v>
      </c>
      <c r="AB570" s="11">
        <f t="shared" ca="1" si="297"/>
        <v>-4.9053934342410677E-4</v>
      </c>
      <c r="AC570" s="2">
        <f t="shared" ca="1" si="298"/>
        <v>-5.5074395654535931E-3</v>
      </c>
      <c r="AF570" s="11">
        <f t="shared" ca="1" si="299"/>
        <v>0</v>
      </c>
      <c r="AG570" s="2">
        <f t="shared" ca="1" si="300"/>
        <v>-1.6358405771021967E-4</v>
      </c>
      <c r="AH570" s="2">
        <f t="shared" ca="1" si="301"/>
        <v>-1.614029402377854E-3</v>
      </c>
      <c r="AI570" s="2">
        <f t="shared" ca="1" si="302"/>
        <v>-1.4853760121635622E-5</v>
      </c>
      <c r="AJ570" s="2">
        <f t="shared" ca="1" si="303"/>
        <v>-1.1458026838550334E-3</v>
      </c>
      <c r="AK570" s="2">
        <f t="shared" ca="1" si="304"/>
        <v>-4.9053934342410677E-4</v>
      </c>
      <c r="AL570" s="2">
        <f t="shared" ca="1" si="305"/>
        <v>-5.5074395654535931E-3</v>
      </c>
      <c r="AN570" s="2" t="e">
        <f t="shared" ca="1" si="284"/>
        <v>#N/A</v>
      </c>
      <c r="AO570" s="2" t="e">
        <f t="shared" ca="1" si="285"/>
        <v>#N/A</v>
      </c>
      <c r="AP570" s="2" t="e">
        <f t="shared" ca="1" si="286"/>
        <v>#N/A</v>
      </c>
      <c r="AQ570" s="2" t="e">
        <f t="shared" ca="1" si="287"/>
        <v>#N/A</v>
      </c>
      <c r="AR570" s="2" t="e">
        <f t="shared" ca="1" si="288"/>
        <v>#N/A</v>
      </c>
      <c r="AS570" s="2" t="e">
        <f t="shared" ca="1" si="289"/>
        <v>#N/A</v>
      </c>
      <c r="AT570" s="9" t="e">
        <f t="shared" ca="1" si="290"/>
        <v>#N/A</v>
      </c>
      <c r="AU570" s="9" t="e">
        <f t="shared" ca="1" si="291"/>
        <v>#N/A</v>
      </c>
      <c r="AV570" s="9"/>
      <c r="AW570" s="2" t="e">
        <f t="shared" ca="1" si="313"/>
        <v>#N/A</v>
      </c>
      <c r="AX570" s="2" t="e">
        <f t="shared" ca="1" si="314"/>
        <v>#N/A</v>
      </c>
      <c r="AY570" s="2" t="e">
        <f t="shared" ca="1" si="315"/>
        <v>#N/A</v>
      </c>
      <c r="AZ570" s="2" t="e">
        <f t="shared" ca="1" si="316"/>
        <v>#N/A</v>
      </c>
      <c r="BA570" s="2" t="e">
        <f t="shared" ca="1" si="317"/>
        <v>#N/A</v>
      </c>
      <c r="BB570" s="2" t="e">
        <f t="shared" ca="1" si="318"/>
        <v>#N/A</v>
      </c>
      <c r="BC570" s="9" t="e">
        <f t="shared" ca="1" si="319"/>
        <v>#N/A</v>
      </c>
      <c r="BD570" s="9" t="e">
        <f t="shared" ca="1" si="320"/>
        <v>#N/A</v>
      </c>
    </row>
    <row r="571" spans="1:56" ht="15" x14ac:dyDescent="0.25">
      <c r="A571" s="63"/>
      <c r="B571" s="63"/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16"/>
      <c r="O571" s="11">
        <f t="shared" ca="1" si="306"/>
        <v>-3.9378682616450625E-4</v>
      </c>
      <c r="P571" s="11">
        <f t="shared" ca="1" si="307"/>
        <v>-1.6358405771021967E-4</v>
      </c>
      <c r="Q571" s="11">
        <f t="shared" ca="1" si="308"/>
        <v>-1.614029402377854E-3</v>
      </c>
      <c r="R571" s="11">
        <f t="shared" ca="1" si="309"/>
        <v>-1.4853760121635622E-5</v>
      </c>
      <c r="S571" s="11">
        <f t="shared" ca="1" si="310"/>
        <v>-1.1458026838550334E-3</v>
      </c>
      <c r="T571" s="11">
        <f t="shared" ca="1" si="311"/>
        <v>-4.9053934342410677E-4</v>
      </c>
      <c r="U571" s="11">
        <f t="shared" ca="1" si="312"/>
        <v>-5.5074395654535931E-3</v>
      </c>
      <c r="V571" s="11"/>
      <c r="W571" s="11">
        <f t="shared" ca="1" si="292"/>
        <v>0</v>
      </c>
      <c r="X571" s="2">
        <f t="shared" ca="1" si="293"/>
        <v>-1.6358405771021967E-4</v>
      </c>
      <c r="Y571" s="2">
        <f t="shared" ca="1" si="294"/>
        <v>-1.614029402377854E-3</v>
      </c>
      <c r="Z571" s="11">
        <f t="shared" ca="1" si="295"/>
        <v>-1.4853760121635622E-5</v>
      </c>
      <c r="AA571" s="2">
        <f t="shared" ca="1" si="296"/>
        <v>-1.1458026838550334E-3</v>
      </c>
      <c r="AB571" s="11">
        <f t="shared" ca="1" si="297"/>
        <v>-4.9053934342410677E-4</v>
      </c>
      <c r="AC571" s="2">
        <f t="shared" ca="1" si="298"/>
        <v>-5.5074395654535931E-3</v>
      </c>
      <c r="AF571" s="11">
        <f t="shared" ca="1" si="299"/>
        <v>0</v>
      </c>
      <c r="AG571" s="2">
        <f t="shared" ca="1" si="300"/>
        <v>-1.6358405771021967E-4</v>
      </c>
      <c r="AH571" s="2">
        <f t="shared" ca="1" si="301"/>
        <v>-1.614029402377854E-3</v>
      </c>
      <c r="AI571" s="2">
        <f t="shared" ca="1" si="302"/>
        <v>-1.4853760121635622E-5</v>
      </c>
      <c r="AJ571" s="2">
        <f t="shared" ca="1" si="303"/>
        <v>-1.1458026838550334E-3</v>
      </c>
      <c r="AK571" s="2">
        <f t="shared" ca="1" si="304"/>
        <v>-4.9053934342410677E-4</v>
      </c>
      <c r="AL571" s="2">
        <f t="shared" ca="1" si="305"/>
        <v>-5.5074395654535931E-3</v>
      </c>
      <c r="AN571" s="2" t="e">
        <f t="shared" ca="1" si="284"/>
        <v>#N/A</v>
      </c>
      <c r="AO571" s="2" t="e">
        <f t="shared" ca="1" si="285"/>
        <v>#N/A</v>
      </c>
      <c r="AP571" s="2" t="e">
        <f t="shared" ca="1" si="286"/>
        <v>#N/A</v>
      </c>
      <c r="AQ571" s="2" t="e">
        <f t="shared" ca="1" si="287"/>
        <v>#N/A</v>
      </c>
      <c r="AR571" s="2" t="e">
        <f t="shared" ca="1" si="288"/>
        <v>#N/A</v>
      </c>
      <c r="AS571" s="2" t="e">
        <f t="shared" ca="1" si="289"/>
        <v>#N/A</v>
      </c>
      <c r="AT571" s="9" t="e">
        <f t="shared" ca="1" si="290"/>
        <v>#N/A</v>
      </c>
      <c r="AU571" s="9" t="e">
        <f t="shared" ca="1" si="291"/>
        <v>#N/A</v>
      </c>
      <c r="AV571" s="9"/>
      <c r="AW571" s="2" t="e">
        <f t="shared" ca="1" si="313"/>
        <v>#N/A</v>
      </c>
      <c r="AX571" s="2" t="e">
        <f t="shared" ca="1" si="314"/>
        <v>#N/A</v>
      </c>
      <c r="AY571" s="2" t="e">
        <f t="shared" ca="1" si="315"/>
        <v>#N/A</v>
      </c>
      <c r="AZ571" s="2" t="e">
        <f t="shared" ca="1" si="316"/>
        <v>#N/A</v>
      </c>
      <c r="BA571" s="2" t="e">
        <f t="shared" ca="1" si="317"/>
        <v>#N/A</v>
      </c>
      <c r="BB571" s="2" t="e">
        <f t="shared" ca="1" si="318"/>
        <v>#N/A</v>
      </c>
      <c r="BC571" s="9" t="e">
        <f t="shared" ca="1" si="319"/>
        <v>#N/A</v>
      </c>
      <c r="BD571" s="9" t="e">
        <f t="shared" ca="1" si="320"/>
        <v>#N/A</v>
      </c>
    </row>
    <row r="572" spans="1:56" ht="15" x14ac:dyDescent="0.25">
      <c r="A572" s="63"/>
      <c r="B572" s="63"/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16"/>
      <c r="O572" s="11">
        <f t="shared" ca="1" si="306"/>
        <v>-3.9378682616450625E-4</v>
      </c>
      <c r="P572" s="11">
        <f t="shared" ca="1" si="307"/>
        <v>-1.6358405771021967E-4</v>
      </c>
      <c r="Q572" s="11">
        <f t="shared" ca="1" si="308"/>
        <v>-1.614029402377854E-3</v>
      </c>
      <c r="R572" s="11">
        <f t="shared" ca="1" si="309"/>
        <v>-1.4853760121635622E-5</v>
      </c>
      <c r="S572" s="11">
        <f t="shared" ca="1" si="310"/>
        <v>-1.1458026838550334E-3</v>
      </c>
      <c r="T572" s="11">
        <f t="shared" ca="1" si="311"/>
        <v>-4.9053934342410677E-4</v>
      </c>
      <c r="U572" s="11">
        <f t="shared" ca="1" si="312"/>
        <v>-5.5074395654535931E-3</v>
      </c>
      <c r="V572" s="11"/>
      <c r="W572" s="11">
        <f t="shared" ca="1" si="292"/>
        <v>0</v>
      </c>
      <c r="X572" s="2">
        <f t="shared" ca="1" si="293"/>
        <v>-1.6358405771021967E-4</v>
      </c>
      <c r="Y572" s="2">
        <f t="shared" ca="1" si="294"/>
        <v>-1.614029402377854E-3</v>
      </c>
      <c r="Z572" s="11">
        <f t="shared" ca="1" si="295"/>
        <v>-1.4853760121635622E-5</v>
      </c>
      <c r="AA572" s="2">
        <f t="shared" ca="1" si="296"/>
        <v>-1.1458026838550334E-3</v>
      </c>
      <c r="AB572" s="11">
        <f t="shared" ca="1" si="297"/>
        <v>-4.9053934342410677E-4</v>
      </c>
      <c r="AC572" s="2">
        <f t="shared" ca="1" si="298"/>
        <v>-5.5074395654535931E-3</v>
      </c>
      <c r="AF572" s="11">
        <f t="shared" ca="1" si="299"/>
        <v>0</v>
      </c>
      <c r="AG572" s="2">
        <f t="shared" ca="1" si="300"/>
        <v>-1.6358405771021967E-4</v>
      </c>
      <c r="AH572" s="2">
        <f t="shared" ca="1" si="301"/>
        <v>-1.614029402377854E-3</v>
      </c>
      <c r="AI572" s="2">
        <f t="shared" ca="1" si="302"/>
        <v>-1.4853760121635622E-5</v>
      </c>
      <c r="AJ572" s="2">
        <f t="shared" ca="1" si="303"/>
        <v>-1.1458026838550334E-3</v>
      </c>
      <c r="AK572" s="2">
        <f t="shared" ca="1" si="304"/>
        <v>-4.9053934342410677E-4</v>
      </c>
      <c r="AL572" s="2">
        <f t="shared" ca="1" si="305"/>
        <v>-5.5074395654535931E-3</v>
      </c>
      <c r="AN572" s="2" t="e">
        <f t="shared" ca="1" si="284"/>
        <v>#N/A</v>
      </c>
      <c r="AO572" s="2" t="e">
        <f t="shared" ca="1" si="285"/>
        <v>#N/A</v>
      </c>
      <c r="AP572" s="2" t="e">
        <f t="shared" ca="1" si="286"/>
        <v>#N/A</v>
      </c>
      <c r="AQ572" s="2" t="e">
        <f t="shared" ca="1" si="287"/>
        <v>#N/A</v>
      </c>
      <c r="AR572" s="2" t="e">
        <f t="shared" ca="1" si="288"/>
        <v>#N/A</v>
      </c>
      <c r="AS572" s="2" t="e">
        <f t="shared" ca="1" si="289"/>
        <v>#N/A</v>
      </c>
      <c r="AT572" s="9" t="e">
        <f t="shared" ca="1" si="290"/>
        <v>#N/A</v>
      </c>
      <c r="AU572" s="9" t="e">
        <f t="shared" ca="1" si="291"/>
        <v>#N/A</v>
      </c>
      <c r="AV572" s="9"/>
      <c r="AW572" s="2" t="e">
        <f t="shared" ca="1" si="313"/>
        <v>#N/A</v>
      </c>
      <c r="AX572" s="2" t="e">
        <f t="shared" ca="1" si="314"/>
        <v>#N/A</v>
      </c>
      <c r="AY572" s="2" t="e">
        <f t="shared" ca="1" si="315"/>
        <v>#N/A</v>
      </c>
      <c r="AZ572" s="2" t="e">
        <f t="shared" ca="1" si="316"/>
        <v>#N/A</v>
      </c>
      <c r="BA572" s="2" t="e">
        <f t="shared" ca="1" si="317"/>
        <v>#N/A</v>
      </c>
      <c r="BB572" s="2" t="e">
        <f t="shared" ca="1" si="318"/>
        <v>#N/A</v>
      </c>
      <c r="BC572" s="9" t="e">
        <f t="shared" ca="1" si="319"/>
        <v>#N/A</v>
      </c>
      <c r="BD572" s="9" t="e">
        <f t="shared" ca="1" si="320"/>
        <v>#N/A</v>
      </c>
    </row>
    <row r="573" spans="1:56" ht="15" x14ac:dyDescent="0.25">
      <c r="A573" s="63"/>
      <c r="B573" s="63"/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10"/>
      <c r="O573" s="11">
        <f t="shared" ca="1" si="306"/>
        <v>-3.9378682616450625E-4</v>
      </c>
      <c r="P573" s="11">
        <f t="shared" ca="1" si="307"/>
        <v>-1.6358405771021967E-4</v>
      </c>
      <c r="Q573" s="11">
        <f t="shared" ca="1" si="308"/>
        <v>-1.614029402377854E-3</v>
      </c>
      <c r="R573" s="11">
        <f t="shared" ca="1" si="309"/>
        <v>-1.4853760121635622E-5</v>
      </c>
      <c r="S573" s="11">
        <f t="shared" ca="1" si="310"/>
        <v>-1.1458026838550334E-3</v>
      </c>
      <c r="T573" s="11">
        <f t="shared" ca="1" si="311"/>
        <v>-4.9053934342410677E-4</v>
      </c>
      <c r="U573" s="11">
        <f t="shared" ca="1" si="312"/>
        <v>-5.5074395654535931E-3</v>
      </c>
      <c r="V573" s="11"/>
      <c r="W573" s="11">
        <f t="shared" ca="1" si="292"/>
        <v>0</v>
      </c>
      <c r="X573" s="2">
        <f t="shared" ca="1" si="293"/>
        <v>-1.6358405771021967E-4</v>
      </c>
      <c r="Y573" s="2">
        <f t="shared" ca="1" si="294"/>
        <v>-1.614029402377854E-3</v>
      </c>
      <c r="Z573" s="11">
        <f t="shared" ca="1" si="295"/>
        <v>-1.4853760121635622E-5</v>
      </c>
      <c r="AA573" s="2">
        <f t="shared" ca="1" si="296"/>
        <v>-1.1458026838550334E-3</v>
      </c>
      <c r="AB573" s="11">
        <f t="shared" ca="1" si="297"/>
        <v>-4.9053934342410677E-4</v>
      </c>
      <c r="AC573" s="2">
        <f t="shared" ca="1" si="298"/>
        <v>-5.5074395654535931E-3</v>
      </c>
      <c r="AF573" s="11">
        <f t="shared" ca="1" si="299"/>
        <v>0</v>
      </c>
      <c r="AG573" s="2">
        <f t="shared" ca="1" si="300"/>
        <v>-1.6358405771021967E-4</v>
      </c>
      <c r="AH573" s="2">
        <f t="shared" ca="1" si="301"/>
        <v>-1.614029402377854E-3</v>
      </c>
      <c r="AI573" s="2">
        <f t="shared" ca="1" si="302"/>
        <v>-1.4853760121635622E-5</v>
      </c>
      <c r="AJ573" s="2">
        <f t="shared" ca="1" si="303"/>
        <v>-1.1458026838550334E-3</v>
      </c>
      <c r="AK573" s="2">
        <f t="shared" ca="1" si="304"/>
        <v>-4.9053934342410677E-4</v>
      </c>
      <c r="AL573" s="2">
        <f t="shared" ca="1" si="305"/>
        <v>-5.5074395654535931E-3</v>
      </c>
      <c r="AN573" s="2" t="e">
        <f t="shared" ca="1" si="284"/>
        <v>#N/A</v>
      </c>
      <c r="AO573" s="2" t="e">
        <f t="shared" ca="1" si="285"/>
        <v>#N/A</v>
      </c>
      <c r="AP573" s="2" t="e">
        <f t="shared" ca="1" si="286"/>
        <v>#N/A</v>
      </c>
      <c r="AQ573" s="2" t="e">
        <f t="shared" ca="1" si="287"/>
        <v>#N/A</v>
      </c>
      <c r="AR573" s="2" t="e">
        <f t="shared" ca="1" si="288"/>
        <v>#N/A</v>
      </c>
      <c r="AS573" s="2" t="e">
        <f t="shared" ca="1" si="289"/>
        <v>#N/A</v>
      </c>
      <c r="AT573" s="9" t="e">
        <f t="shared" ca="1" si="290"/>
        <v>#N/A</v>
      </c>
      <c r="AU573" s="9" t="e">
        <f t="shared" ca="1" si="291"/>
        <v>#N/A</v>
      </c>
      <c r="AV573" s="9"/>
      <c r="AW573" s="2" t="e">
        <f t="shared" ca="1" si="313"/>
        <v>#N/A</v>
      </c>
      <c r="AX573" s="2" t="e">
        <f t="shared" ca="1" si="314"/>
        <v>#N/A</v>
      </c>
      <c r="AY573" s="2" t="e">
        <f t="shared" ca="1" si="315"/>
        <v>#N/A</v>
      </c>
      <c r="AZ573" s="2" t="e">
        <f t="shared" ca="1" si="316"/>
        <v>#N/A</v>
      </c>
      <c r="BA573" s="2" t="e">
        <f t="shared" ca="1" si="317"/>
        <v>#N/A</v>
      </c>
      <c r="BB573" s="2" t="e">
        <f t="shared" ca="1" si="318"/>
        <v>#N/A</v>
      </c>
      <c r="BC573" s="9" t="e">
        <f t="shared" ca="1" si="319"/>
        <v>#N/A</v>
      </c>
      <c r="BD573" s="9" t="e">
        <f t="shared" ca="1" si="320"/>
        <v>#N/A</v>
      </c>
    </row>
    <row r="574" spans="1:56" ht="15" x14ac:dyDescent="0.25">
      <c r="A574" s="63"/>
      <c r="B574" s="63"/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16"/>
      <c r="O574" s="11">
        <f t="shared" ca="1" si="306"/>
        <v>-3.9378682616450625E-4</v>
      </c>
      <c r="P574" s="11">
        <f t="shared" ca="1" si="307"/>
        <v>-1.6358405771021967E-4</v>
      </c>
      <c r="Q574" s="11">
        <f t="shared" ca="1" si="308"/>
        <v>-1.614029402377854E-3</v>
      </c>
      <c r="R574" s="11">
        <f t="shared" ca="1" si="309"/>
        <v>-1.4853760121635622E-5</v>
      </c>
      <c r="S574" s="11">
        <f t="shared" ca="1" si="310"/>
        <v>-1.1458026838550334E-3</v>
      </c>
      <c r="T574" s="11">
        <f t="shared" ca="1" si="311"/>
        <v>-4.9053934342410677E-4</v>
      </c>
      <c r="U574" s="11">
        <f t="shared" ca="1" si="312"/>
        <v>-5.5074395654535931E-3</v>
      </c>
      <c r="V574" s="11"/>
      <c r="W574" s="11">
        <f t="shared" ca="1" si="292"/>
        <v>0</v>
      </c>
      <c r="X574" s="2">
        <f t="shared" ca="1" si="293"/>
        <v>-1.6358405771021967E-4</v>
      </c>
      <c r="Y574" s="2">
        <f t="shared" ca="1" si="294"/>
        <v>-1.614029402377854E-3</v>
      </c>
      <c r="Z574" s="11">
        <f t="shared" ca="1" si="295"/>
        <v>-1.4853760121635622E-5</v>
      </c>
      <c r="AA574" s="2">
        <f t="shared" ca="1" si="296"/>
        <v>-1.1458026838550334E-3</v>
      </c>
      <c r="AB574" s="11">
        <f t="shared" ca="1" si="297"/>
        <v>-4.9053934342410677E-4</v>
      </c>
      <c r="AC574" s="2">
        <f t="shared" ca="1" si="298"/>
        <v>-5.5074395654535931E-3</v>
      </c>
      <c r="AF574" s="11">
        <f t="shared" ca="1" si="299"/>
        <v>0</v>
      </c>
      <c r="AG574" s="2">
        <f t="shared" ca="1" si="300"/>
        <v>-1.6358405771021967E-4</v>
      </c>
      <c r="AH574" s="2">
        <f t="shared" ca="1" si="301"/>
        <v>-1.614029402377854E-3</v>
      </c>
      <c r="AI574" s="2">
        <f t="shared" ca="1" si="302"/>
        <v>-1.4853760121635622E-5</v>
      </c>
      <c r="AJ574" s="2">
        <f t="shared" ca="1" si="303"/>
        <v>-1.1458026838550334E-3</v>
      </c>
      <c r="AK574" s="2">
        <f t="shared" ca="1" si="304"/>
        <v>-4.9053934342410677E-4</v>
      </c>
      <c r="AL574" s="2">
        <f t="shared" ca="1" si="305"/>
        <v>-5.5074395654535931E-3</v>
      </c>
      <c r="AN574" s="2" t="e">
        <f t="shared" ca="1" si="284"/>
        <v>#N/A</v>
      </c>
      <c r="AO574" s="2" t="e">
        <f t="shared" ca="1" si="285"/>
        <v>#N/A</v>
      </c>
      <c r="AP574" s="2" t="e">
        <f t="shared" ca="1" si="286"/>
        <v>#N/A</v>
      </c>
      <c r="AQ574" s="2" t="e">
        <f t="shared" ca="1" si="287"/>
        <v>#N/A</v>
      </c>
      <c r="AR574" s="2" t="e">
        <f t="shared" ca="1" si="288"/>
        <v>#N/A</v>
      </c>
      <c r="AS574" s="2" t="e">
        <f t="shared" ca="1" si="289"/>
        <v>#N/A</v>
      </c>
      <c r="AT574" s="9" t="e">
        <f t="shared" ca="1" si="290"/>
        <v>#N/A</v>
      </c>
      <c r="AU574" s="9" t="e">
        <f t="shared" ca="1" si="291"/>
        <v>#N/A</v>
      </c>
      <c r="AV574" s="9"/>
      <c r="AW574" s="2" t="e">
        <f t="shared" ca="1" si="313"/>
        <v>#N/A</v>
      </c>
      <c r="AX574" s="2" t="e">
        <f t="shared" ca="1" si="314"/>
        <v>#N/A</v>
      </c>
      <c r="AY574" s="2" t="e">
        <f t="shared" ca="1" si="315"/>
        <v>#N/A</v>
      </c>
      <c r="AZ574" s="2" t="e">
        <f t="shared" ca="1" si="316"/>
        <v>#N/A</v>
      </c>
      <c r="BA574" s="2" t="e">
        <f t="shared" ca="1" si="317"/>
        <v>#N/A</v>
      </c>
      <c r="BB574" s="2" t="e">
        <f t="shared" ca="1" si="318"/>
        <v>#N/A</v>
      </c>
      <c r="BC574" s="9" t="e">
        <f t="shared" ca="1" si="319"/>
        <v>#N/A</v>
      </c>
      <c r="BD574" s="9" t="e">
        <f t="shared" ca="1" si="320"/>
        <v>#N/A</v>
      </c>
    </row>
    <row r="575" spans="1:56" ht="15" x14ac:dyDescent="0.25">
      <c r="A575" s="63"/>
      <c r="B575" s="63"/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16"/>
      <c r="O575" s="11">
        <f t="shared" ca="1" si="306"/>
        <v>-3.9378682616450625E-4</v>
      </c>
      <c r="P575" s="11">
        <f t="shared" ca="1" si="307"/>
        <v>-1.6358405771021967E-4</v>
      </c>
      <c r="Q575" s="11">
        <f t="shared" ca="1" si="308"/>
        <v>-1.614029402377854E-3</v>
      </c>
      <c r="R575" s="11">
        <f t="shared" ca="1" si="309"/>
        <v>-1.4853760121635622E-5</v>
      </c>
      <c r="S575" s="11">
        <f t="shared" ca="1" si="310"/>
        <v>-1.1458026838550334E-3</v>
      </c>
      <c r="T575" s="11">
        <f t="shared" ca="1" si="311"/>
        <v>-4.9053934342410677E-4</v>
      </c>
      <c r="U575" s="11">
        <f t="shared" ca="1" si="312"/>
        <v>-5.5074395654535931E-3</v>
      </c>
      <c r="V575" s="11"/>
      <c r="W575" s="11">
        <f t="shared" ca="1" si="292"/>
        <v>0</v>
      </c>
      <c r="X575" s="2">
        <f t="shared" ca="1" si="293"/>
        <v>-1.6358405771021967E-4</v>
      </c>
      <c r="Y575" s="2">
        <f t="shared" ca="1" si="294"/>
        <v>-1.614029402377854E-3</v>
      </c>
      <c r="Z575" s="11">
        <f t="shared" ca="1" si="295"/>
        <v>-1.4853760121635622E-5</v>
      </c>
      <c r="AA575" s="2">
        <f t="shared" ca="1" si="296"/>
        <v>-1.1458026838550334E-3</v>
      </c>
      <c r="AB575" s="11">
        <f t="shared" ca="1" si="297"/>
        <v>-4.9053934342410677E-4</v>
      </c>
      <c r="AC575" s="2">
        <f t="shared" ca="1" si="298"/>
        <v>-5.5074395654535931E-3</v>
      </c>
      <c r="AF575" s="11">
        <f t="shared" ca="1" si="299"/>
        <v>0</v>
      </c>
      <c r="AG575" s="2">
        <f t="shared" ca="1" si="300"/>
        <v>-1.6358405771021967E-4</v>
      </c>
      <c r="AH575" s="2">
        <f t="shared" ca="1" si="301"/>
        <v>-1.614029402377854E-3</v>
      </c>
      <c r="AI575" s="2">
        <f t="shared" ca="1" si="302"/>
        <v>-1.4853760121635622E-5</v>
      </c>
      <c r="AJ575" s="2">
        <f t="shared" ca="1" si="303"/>
        <v>-1.1458026838550334E-3</v>
      </c>
      <c r="AK575" s="2">
        <f t="shared" ca="1" si="304"/>
        <v>-4.9053934342410677E-4</v>
      </c>
      <c r="AL575" s="2">
        <f t="shared" ca="1" si="305"/>
        <v>-5.5074395654535931E-3</v>
      </c>
      <c r="AN575" s="2" t="e">
        <f t="shared" ca="1" si="284"/>
        <v>#N/A</v>
      </c>
      <c r="AO575" s="2" t="e">
        <f t="shared" ca="1" si="285"/>
        <v>#N/A</v>
      </c>
      <c r="AP575" s="2" t="e">
        <f t="shared" ca="1" si="286"/>
        <v>#N/A</v>
      </c>
      <c r="AQ575" s="2" t="e">
        <f t="shared" ca="1" si="287"/>
        <v>#N/A</v>
      </c>
      <c r="AR575" s="2" t="e">
        <f t="shared" ca="1" si="288"/>
        <v>#N/A</v>
      </c>
      <c r="AS575" s="2" t="e">
        <f t="shared" ca="1" si="289"/>
        <v>#N/A</v>
      </c>
      <c r="AT575" s="9" t="e">
        <f t="shared" ca="1" si="290"/>
        <v>#N/A</v>
      </c>
      <c r="AU575" s="9" t="e">
        <f t="shared" ca="1" si="291"/>
        <v>#N/A</v>
      </c>
      <c r="AV575" s="9"/>
      <c r="AW575" s="2" t="e">
        <f t="shared" ca="1" si="313"/>
        <v>#N/A</v>
      </c>
      <c r="AX575" s="2" t="e">
        <f t="shared" ca="1" si="314"/>
        <v>#N/A</v>
      </c>
      <c r="AY575" s="2" t="e">
        <f t="shared" ca="1" si="315"/>
        <v>#N/A</v>
      </c>
      <c r="AZ575" s="2" t="e">
        <f t="shared" ca="1" si="316"/>
        <v>#N/A</v>
      </c>
      <c r="BA575" s="2" t="e">
        <f t="shared" ca="1" si="317"/>
        <v>#N/A</v>
      </c>
      <c r="BB575" s="2" t="e">
        <f t="shared" ca="1" si="318"/>
        <v>#N/A</v>
      </c>
      <c r="BC575" s="9" t="e">
        <f t="shared" ca="1" si="319"/>
        <v>#N/A</v>
      </c>
      <c r="BD575" s="9" t="e">
        <f t="shared" ca="1" si="320"/>
        <v>#N/A</v>
      </c>
    </row>
    <row r="576" spans="1:56" ht="15" x14ac:dyDescent="0.25">
      <c r="A576" s="63"/>
      <c r="B576" s="63"/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16"/>
      <c r="O576" s="11">
        <f t="shared" ca="1" si="306"/>
        <v>-3.9378682616450625E-4</v>
      </c>
      <c r="P576" s="11">
        <f t="shared" ca="1" si="307"/>
        <v>-1.6358405771021967E-4</v>
      </c>
      <c r="Q576" s="11">
        <f t="shared" ca="1" si="308"/>
        <v>-1.614029402377854E-3</v>
      </c>
      <c r="R576" s="11">
        <f t="shared" ca="1" si="309"/>
        <v>-1.4853760121635622E-5</v>
      </c>
      <c r="S576" s="11">
        <f t="shared" ca="1" si="310"/>
        <v>-1.1458026838550334E-3</v>
      </c>
      <c r="T576" s="11">
        <f t="shared" ca="1" si="311"/>
        <v>-4.9053934342410677E-4</v>
      </c>
      <c r="U576" s="11">
        <f t="shared" ca="1" si="312"/>
        <v>-5.5074395654535931E-3</v>
      </c>
      <c r="V576" s="11"/>
      <c r="W576" s="11">
        <f t="shared" ca="1" si="292"/>
        <v>0</v>
      </c>
      <c r="X576" s="2">
        <f t="shared" ca="1" si="293"/>
        <v>-1.6358405771021967E-4</v>
      </c>
      <c r="Y576" s="2">
        <f t="shared" ca="1" si="294"/>
        <v>-1.614029402377854E-3</v>
      </c>
      <c r="Z576" s="11">
        <f t="shared" ca="1" si="295"/>
        <v>-1.4853760121635622E-5</v>
      </c>
      <c r="AA576" s="2">
        <f t="shared" ca="1" si="296"/>
        <v>-1.1458026838550334E-3</v>
      </c>
      <c r="AB576" s="11">
        <f t="shared" ca="1" si="297"/>
        <v>-4.9053934342410677E-4</v>
      </c>
      <c r="AC576" s="2">
        <f t="shared" ca="1" si="298"/>
        <v>-5.5074395654535931E-3</v>
      </c>
      <c r="AF576" s="11">
        <f t="shared" ca="1" si="299"/>
        <v>0</v>
      </c>
      <c r="AG576" s="2">
        <f t="shared" ca="1" si="300"/>
        <v>-1.6358405771021967E-4</v>
      </c>
      <c r="AH576" s="2">
        <f t="shared" ca="1" si="301"/>
        <v>-1.614029402377854E-3</v>
      </c>
      <c r="AI576" s="2">
        <f t="shared" ca="1" si="302"/>
        <v>-1.4853760121635622E-5</v>
      </c>
      <c r="AJ576" s="2">
        <f t="shared" ca="1" si="303"/>
        <v>-1.1458026838550334E-3</v>
      </c>
      <c r="AK576" s="2">
        <f t="shared" ca="1" si="304"/>
        <v>-4.9053934342410677E-4</v>
      </c>
      <c r="AL576" s="2">
        <f t="shared" ca="1" si="305"/>
        <v>-5.5074395654535931E-3</v>
      </c>
      <c r="AN576" s="2" t="e">
        <f t="shared" ca="1" si="284"/>
        <v>#N/A</v>
      </c>
      <c r="AO576" s="2" t="e">
        <f t="shared" ca="1" si="285"/>
        <v>#N/A</v>
      </c>
      <c r="AP576" s="2" t="e">
        <f t="shared" ca="1" si="286"/>
        <v>#N/A</v>
      </c>
      <c r="AQ576" s="2" t="e">
        <f t="shared" ca="1" si="287"/>
        <v>#N/A</v>
      </c>
      <c r="AR576" s="2" t="e">
        <f t="shared" ca="1" si="288"/>
        <v>#N/A</v>
      </c>
      <c r="AS576" s="2" t="e">
        <f t="shared" ca="1" si="289"/>
        <v>#N/A</v>
      </c>
      <c r="AT576" s="9" t="e">
        <f t="shared" ca="1" si="290"/>
        <v>#N/A</v>
      </c>
      <c r="AU576" s="9" t="e">
        <f t="shared" ca="1" si="291"/>
        <v>#N/A</v>
      </c>
      <c r="AV576" s="9"/>
      <c r="AW576" s="2" t="e">
        <f t="shared" ca="1" si="313"/>
        <v>#N/A</v>
      </c>
      <c r="AX576" s="2" t="e">
        <f t="shared" ca="1" si="314"/>
        <v>#N/A</v>
      </c>
      <c r="AY576" s="2" t="e">
        <f t="shared" ca="1" si="315"/>
        <v>#N/A</v>
      </c>
      <c r="AZ576" s="2" t="e">
        <f t="shared" ca="1" si="316"/>
        <v>#N/A</v>
      </c>
      <c r="BA576" s="2" t="e">
        <f t="shared" ca="1" si="317"/>
        <v>#N/A</v>
      </c>
      <c r="BB576" s="2" t="e">
        <f t="shared" ca="1" si="318"/>
        <v>#N/A</v>
      </c>
      <c r="BC576" s="9" t="e">
        <f t="shared" ca="1" si="319"/>
        <v>#N/A</v>
      </c>
      <c r="BD576" s="9" t="e">
        <f t="shared" ca="1" si="320"/>
        <v>#N/A</v>
      </c>
    </row>
    <row r="577" spans="1:56" ht="15" x14ac:dyDescent="0.25">
      <c r="A577" s="63"/>
      <c r="B577" s="63"/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16"/>
      <c r="O577" s="11">
        <f t="shared" ca="1" si="306"/>
        <v>-3.9378682616450625E-4</v>
      </c>
      <c r="P577" s="11">
        <f t="shared" ca="1" si="307"/>
        <v>-1.6358405771021967E-4</v>
      </c>
      <c r="Q577" s="11">
        <f t="shared" ca="1" si="308"/>
        <v>-1.614029402377854E-3</v>
      </c>
      <c r="R577" s="11">
        <f t="shared" ca="1" si="309"/>
        <v>-1.4853760121635622E-5</v>
      </c>
      <c r="S577" s="11">
        <f t="shared" ca="1" si="310"/>
        <v>-1.1458026838550334E-3</v>
      </c>
      <c r="T577" s="11">
        <f t="shared" ca="1" si="311"/>
        <v>-4.9053934342410677E-4</v>
      </c>
      <c r="U577" s="11">
        <f t="shared" ca="1" si="312"/>
        <v>-5.5074395654535931E-3</v>
      </c>
      <c r="V577" s="11"/>
      <c r="W577" s="11">
        <f t="shared" ca="1" si="292"/>
        <v>0</v>
      </c>
      <c r="X577" s="2">
        <f t="shared" ca="1" si="293"/>
        <v>-1.6358405771021967E-4</v>
      </c>
      <c r="Y577" s="2">
        <f t="shared" ca="1" si="294"/>
        <v>-1.614029402377854E-3</v>
      </c>
      <c r="Z577" s="11">
        <f t="shared" ca="1" si="295"/>
        <v>-1.4853760121635622E-5</v>
      </c>
      <c r="AA577" s="2">
        <f t="shared" ca="1" si="296"/>
        <v>-1.1458026838550334E-3</v>
      </c>
      <c r="AB577" s="11">
        <f t="shared" ca="1" si="297"/>
        <v>-4.9053934342410677E-4</v>
      </c>
      <c r="AC577" s="2">
        <f t="shared" ca="1" si="298"/>
        <v>-5.5074395654535931E-3</v>
      </c>
      <c r="AF577" s="11">
        <f t="shared" ca="1" si="299"/>
        <v>0</v>
      </c>
      <c r="AG577" s="2">
        <f t="shared" ca="1" si="300"/>
        <v>-1.6358405771021967E-4</v>
      </c>
      <c r="AH577" s="2">
        <f t="shared" ca="1" si="301"/>
        <v>-1.614029402377854E-3</v>
      </c>
      <c r="AI577" s="2">
        <f t="shared" ca="1" si="302"/>
        <v>-1.4853760121635622E-5</v>
      </c>
      <c r="AJ577" s="2">
        <f t="shared" ca="1" si="303"/>
        <v>-1.1458026838550334E-3</v>
      </c>
      <c r="AK577" s="2">
        <f t="shared" ca="1" si="304"/>
        <v>-4.9053934342410677E-4</v>
      </c>
      <c r="AL577" s="2">
        <f t="shared" ca="1" si="305"/>
        <v>-5.5074395654535931E-3</v>
      </c>
      <c r="AN577" s="2" t="e">
        <f t="shared" ca="1" si="284"/>
        <v>#N/A</v>
      </c>
      <c r="AO577" s="2" t="e">
        <f t="shared" ca="1" si="285"/>
        <v>#N/A</v>
      </c>
      <c r="AP577" s="2" t="e">
        <f t="shared" ca="1" si="286"/>
        <v>#N/A</v>
      </c>
      <c r="AQ577" s="2" t="e">
        <f t="shared" ca="1" si="287"/>
        <v>#N/A</v>
      </c>
      <c r="AR577" s="2" t="e">
        <f t="shared" ca="1" si="288"/>
        <v>#N/A</v>
      </c>
      <c r="AS577" s="2" t="e">
        <f t="shared" ca="1" si="289"/>
        <v>#N/A</v>
      </c>
      <c r="AT577" s="9" t="e">
        <f t="shared" ca="1" si="290"/>
        <v>#N/A</v>
      </c>
      <c r="AU577" s="9" t="e">
        <f t="shared" ca="1" si="291"/>
        <v>#N/A</v>
      </c>
      <c r="AV577" s="9"/>
      <c r="AW577" s="2" t="e">
        <f t="shared" ca="1" si="313"/>
        <v>#N/A</v>
      </c>
      <c r="AX577" s="2" t="e">
        <f t="shared" ca="1" si="314"/>
        <v>#N/A</v>
      </c>
      <c r="AY577" s="2" t="e">
        <f t="shared" ca="1" si="315"/>
        <v>#N/A</v>
      </c>
      <c r="AZ577" s="2" t="e">
        <f t="shared" ca="1" si="316"/>
        <v>#N/A</v>
      </c>
      <c r="BA577" s="2" t="e">
        <f t="shared" ca="1" si="317"/>
        <v>#N/A</v>
      </c>
      <c r="BB577" s="2" t="e">
        <f t="shared" ca="1" si="318"/>
        <v>#N/A</v>
      </c>
      <c r="BC577" s="9" t="e">
        <f t="shared" ca="1" si="319"/>
        <v>#N/A</v>
      </c>
      <c r="BD577" s="9" t="e">
        <f t="shared" ca="1" si="320"/>
        <v>#N/A</v>
      </c>
    </row>
    <row r="578" spans="1:56" ht="15" x14ac:dyDescent="0.25">
      <c r="A578" s="63"/>
      <c r="B578" s="63"/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16"/>
      <c r="O578" s="11">
        <f t="shared" ca="1" si="306"/>
        <v>-3.9378682616450625E-4</v>
      </c>
      <c r="P578" s="11">
        <f t="shared" ca="1" si="307"/>
        <v>-1.6358405771021967E-4</v>
      </c>
      <c r="Q578" s="11">
        <f t="shared" ca="1" si="308"/>
        <v>-1.614029402377854E-3</v>
      </c>
      <c r="R578" s="11">
        <f t="shared" ca="1" si="309"/>
        <v>-1.4853760121635622E-5</v>
      </c>
      <c r="S578" s="11">
        <f t="shared" ca="1" si="310"/>
        <v>-1.1458026838550334E-3</v>
      </c>
      <c r="T578" s="11">
        <f t="shared" ca="1" si="311"/>
        <v>-4.9053934342410677E-4</v>
      </c>
      <c r="U578" s="11">
        <f t="shared" ca="1" si="312"/>
        <v>-5.5074395654535931E-3</v>
      </c>
      <c r="V578" s="11"/>
      <c r="W578" s="11">
        <f t="shared" ca="1" si="292"/>
        <v>0</v>
      </c>
      <c r="X578" s="2">
        <f t="shared" ca="1" si="293"/>
        <v>-1.6358405771021967E-4</v>
      </c>
      <c r="Y578" s="2">
        <f t="shared" ca="1" si="294"/>
        <v>-1.614029402377854E-3</v>
      </c>
      <c r="Z578" s="11">
        <f t="shared" ca="1" si="295"/>
        <v>-1.4853760121635622E-5</v>
      </c>
      <c r="AA578" s="2">
        <f t="shared" ca="1" si="296"/>
        <v>-1.1458026838550334E-3</v>
      </c>
      <c r="AB578" s="11">
        <f t="shared" ca="1" si="297"/>
        <v>-4.9053934342410677E-4</v>
      </c>
      <c r="AC578" s="2">
        <f t="shared" ca="1" si="298"/>
        <v>-5.5074395654535931E-3</v>
      </c>
      <c r="AF578" s="11">
        <f t="shared" ca="1" si="299"/>
        <v>0</v>
      </c>
      <c r="AG578" s="2">
        <f t="shared" ca="1" si="300"/>
        <v>-1.6358405771021967E-4</v>
      </c>
      <c r="AH578" s="2">
        <f t="shared" ca="1" si="301"/>
        <v>-1.614029402377854E-3</v>
      </c>
      <c r="AI578" s="2">
        <f t="shared" ca="1" si="302"/>
        <v>-1.4853760121635622E-5</v>
      </c>
      <c r="AJ578" s="2">
        <f t="shared" ca="1" si="303"/>
        <v>-1.1458026838550334E-3</v>
      </c>
      <c r="AK578" s="2">
        <f t="shared" ca="1" si="304"/>
        <v>-4.9053934342410677E-4</v>
      </c>
      <c r="AL578" s="2">
        <f t="shared" ca="1" si="305"/>
        <v>-5.5074395654535931E-3</v>
      </c>
      <c r="AN578" s="2" t="e">
        <f t="shared" ca="1" si="284"/>
        <v>#N/A</v>
      </c>
      <c r="AO578" s="2" t="e">
        <f t="shared" ca="1" si="285"/>
        <v>#N/A</v>
      </c>
      <c r="AP578" s="2" t="e">
        <f t="shared" ca="1" si="286"/>
        <v>#N/A</v>
      </c>
      <c r="AQ578" s="2" t="e">
        <f t="shared" ca="1" si="287"/>
        <v>#N/A</v>
      </c>
      <c r="AR578" s="2" t="e">
        <f t="shared" ca="1" si="288"/>
        <v>#N/A</v>
      </c>
      <c r="AS578" s="2" t="e">
        <f t="shared" ca="1" si="289"/>
        <v>#N/A</v>
      </c>
      <c r="AT578" s="9" t="e">
        <f t="shared" ca="1" si="290"/>
        <v>#N/A</v>
      </c>
      <c r="AU578" s="9" t="e">
        <f t="shared" ca="1" si="291"/>
        <v>#N/A</v>
      </c>
      <c r="AV578" s="9"/>
      <c r="AW578" s="2" t="e">
        <f t="shared" ca="1" si="313"/>
        <v>#N/A</v>
      </c>
      <c r="AX578" s="2" t="e">
        <f t="shared" ca="1" si="314"/>
        <v>#N/A</v>
      </c>
      <c r="AY578" s="2" t="e">
        <f t="shared" ca="1" si="315"/>
        <v>#N/A</v>
      </c>
      <c r="AZ578" s="2" t="e">
        <f t="shared" ca="1" si="316"/>
        <v>#N/A</v>
      </c>
      <c r="BA578" s="2" t="e">
        <f t="shared" ca="1" si="317"/>
        <v>#N/A</v>
      </c>
      <c r="BB578" s="2" t="e">
        <f t="shared" ca="1" si="318"/>
        <v>#N/A</v>
      </c>
      <c r="BC578" s="9" t="e">
        <f t="shared" ca="1" si="319"/>
        <v>#N/A</v>
      </c>
      <c r="BD578" s="9" t="e">
        <f t="shared" ca="1" si="320"/>
        <v>#N/A</v>
      </c>
    </row>
    <row r="579" spans="1:56" ht="15" x14ac:dyDescent="0.25">
      <c r="A579" s="63"/>
      <c r="B579" s="63"/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16"/>
      <c r="O579" s="11">
        <f t="shared" ca="1" si="306"/>
        <v>-3.9378682616450625E-4</v>
      </c>
      <c r="P579" s="11">
        <f t="shared" ca="1" si="307"/>
        <v>-1.6358405771021967E-4</v>
      </c>
      <c r="Q579" s="11">
        <f t="shared" ca="1" si="308"/>
        <v>-1.614029402377854E-3</v>
      </c>
      <c r="R579" s="11">
        <f t="shared" ca="1" si="309"/>
        <v>-1.4853760121635622E-5</v>
      </c>
      <c r="S579" s="11">
        <f t="shared" ca="1" si="310"/>
        <v>-1.1458026838550334E-3</v>
      </c>
      <c r="T579" s="11">
        <f t="shared" ca="1" si="311"/>
        <v>-4.9053934342410677E-4</v>
      </c>
      <c r="U579" s="11">
        <f t="shared" ca="1" si="312"/>
        <v>-5.5074395654535931E-3</v>
      </c>
      <c r="V579" s="11"/>
      <c r="W579" s="11">
        <f t="shared" ca="1" si="292"/>
        <v>0</v>
      </c>
      <c r="X579" s="2">
        <f t="shared" ca="1" si="293"/>
        <v>-1.6358405771021967E-4</v>
      </c>
      <c r="Y579" s="2">
        <f t="shared" ca="1" si="294"/>
        <v>-1.614029402377854E-3</v>
      </c>
      <c r="Z579" s="11">
        <f t="shared" ca="1" si="295"/>
        <v>-1.4853760121635622E-5</v>
      </c>
      <c r="AA579" s="2">
        <f t="shared" ca="1" si="296"/>
        <v>-1.1458026838550334E-3</v>
      </c>
      <c r="AB579" s="11">
        <f t="shared" ca="1" si="297"/>
        <v>-4.9053934342410677E-4</v>
      </c>
      <c r="AC579" s="2">
        <f t="shared" ca="1" si="298"/>
        <v>-5.5074395654535931E-3</v>
      </c>
      <c r="AF579" s="11">
        <f t="shared" ca="1" si="299"/>
        <v>0</v>
      </c>
      <c r="AG579" s="2">
        <f t="shared" ca="1" si="300"/>
        <v>-1.6358405771021967E-4</v>
      </c>
      <c r="AH579" s="2">
        <f t="shared" ca="1" si="301"/>
        <v>-1.614029402377854E-3</v>
      </c>
      <c r="AI579" s="2">
        <f t="shared" ca="1" si="302"/>
        <v>-1.4853760121635622E-5</v>
      </c>
      <c r="AJ579" s="2">
        <f t="shared" ca="1" si="303"/>
        <v>-1.1458026838550334E-3</v>
      </c>
      <c r="AK579" s="2">
        <f t="shared" ca="1" si="304"/>
        <v>-4.9053934342410677E-4</v>
      </c>
      <c r="AL579" s="2">
        <f t="shared" ca="1" si="305"/>
        <v>-5.5074395654535931E-3</v>
      </c>
      <c r="AN579" s="2" t="e">
        <f t="shared" ref="AN579:AN642" ca="1" si="321">IF(AND(S579&gt;0,U579&gt;0),U579/S579, #N/A)</f>
        <v>#N/A</v>
      </c>
      <c r="AO579" s="2" t="e">
        <f t="shared" ref="AO579:AO642" ca="1" si="322">$B$8*((AN579/$B$10)^$B$11)</f>
        <v>#N/A</v>
      </c>
      <c r="AP579" s="2" t="e">
        <f t="shared" ref="AP579:AP642" ca="1" si="323">AO579*R579</f>
        <v>#N/A</v>
      </c>
      <c r="AQ579" s="2" t="e">
        <f t="shared" ref="AQ579:AQ642" ca="1" si="324">T579-AP579</f>
        <v>#N/A</v>
      </c>
      <c r="AR579" s="2" t="e">
        <f t="shared" ref="AR579:AR642" ca="1" si="325">(AQ579/S579)/((AN579/$B$10)^$B$12)</f>
        <v>#N/A</v>
      </c>
      <c r="AS579" s="2" t="e">
        <f t="shared" ref="AS579:AS642" ca="1" si="326">(Q579/S579)/((AN579/$B$10)^$B$13)</f>
        <v>#N/A</v>
      </c>
      <c r="AT579" s="9" t="e">
        <f t="shared" ref="AT579:AT642" ca="1" si="327">IF(AND(AR579&lt;$M$3,AR579&gt;$M$4),AR579,"rejected")</f>
        <v>#N/A</v>
      </c>
      <c r="AU579" s="9" t="e">
        <f t="shared" ref="AU579:AU642" ca="1" si="328">IF(AND(AR579&lt;$M$3,AR579&gt;$M$4),AR579,#N/A)</f>
        <v>#N/A</v>
      </c>
      <c r="AV579" s="9"/>
      <c r="AW579" s="2" t="e">
        <f t="shared" ca="1" si="313"/>
        <v>#N/A</v>
      </c>
      <c r="AX579" s="2" t="e">
        <f t="shared" ca="1" si="314"/>
        <v>#N/A</v>
      </c>
      <c r="AY579" s="2" t="e">
        <f t="shared" ca="1" si="315"/>
        <v>#N/A</v>
      </c>
      <c r="AZ579" s="2" t="e">
        <f t="shared" ca="1" si="316"/>
        <v>#N/A</v>
      </c>
      <c r="BA579" s="2" t="e">
        <f t="shared" ca="1" si="317"/>
        <v>#N/A</v>
      </c>
      <c r="BB579" s="2" t="e">
        <f t="shared" ca="1" si="318"/>
        <v>#N/A</v>
      </c>
      <c r="BC579" s="9" t="e">
        <f t="shared" ca="1" si="319"/>
        <v>#N/A</v>
      </c>
      <c r="BD579" s="9" t="e">
        <f t="shared" ca="1" si="320"/>
        <v>#N/A</v>
      </c>
    </row>
    <row r="580" spans="1:56" ht="15" x14ac:dyDescent="0.25">
      <c r="A580" s="63"/>
      <c r="B580" s="63"/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16"/>
      <c r="O580" s="11">
        <f t="shared" ca="1" si="306"/>
        <v>-3.9378682616450625E-4</v>
      </c>
      <c r="P580" s="11">
        <f t="shared" ca="1" si="307"/>
        <v>-1.6358405771021967E-4</v>
      </c>
      <c r="Q580" s="11">
        <f t="shared" ca="1" si="308"/>
        <v>-1.614029402377854E-3</v>
      </c>
      <c r="R580" s="11">
        <f t="shared" ca="1" si="309"/>
        <v>-1.4853760121635622E-5</v>
      </c>
      <c r="S580" s="11">
        <f t="shared" ca="1" si="310"/>
        <v>-1.1458026838550334E-3</v>
      </c>
      <c r="T580" s="11">
        <f t="shared" ca="1" si="311"/>
        <v>-4.9053934342410677E-4</v>
      </c>
      <c r="U580" s="11">
        <f t="shared" ca="1" si="312"/>
        <v>-5.5074395654535931E-3</v>
      </c>
      <c r="V580" s="11"/>
      <c r="W580" s="11">
        <f t="shared" ref="W580:W643" ca="1" si="329">O580-O580</f>
        <v>0</v>
      </c>
      <c r="X580" s="2">
        <f t="shared" ref="X580:X643" ca="1" si="330">IF(O580&gt;0,P580-(O580*$X$63/$W$63), P580)</f>
        <v>-1.6358405771021967E-4</v>
      </c>
      <c r="Y580" s="2">
        <f t="shared" ref="Y580:Y643" ca="1" si="331">IF(O580&gt;0,Q580-(O580*$Y$63/$W$63),Q580)</f>
        <v>-1.614029402377854E-3</v>
      </c>
      <c r="Z580" s="11">
        <f t="shared" ref="Z580:Z643" ca="1" si="332">R580</f>
        <v>-1.4853760121635622E-5</v>
      </c>
      <c r="AA580" s="2">
        <f t="shared" ref="AA580:AA643" ca="1" si="333">IF(O580&gt;0,S580-(O580*$AA$63/$W$63),S580)</f>
        <v>-1.1458026838550334E-3</v>
      </c>
      <c r="AB580" s="11">
        <f t="shared" ref="AB580:AB643" ca="1" si="334">T580</f>
        <v>-4.9053934342410677E-4</v>
      </c>
      <c r="AC580" s="2">
        <f t="shared" ref="AC580:AC643" ca="1" si="335">IF(O580&gt;0,U580-(O580*$AC$63/$W$63),U580)</f>
        <v>-5.5074395654535931E-3</v>
      </c>
      <c r="AF580" s="11">
        <f t="shared" ref="AF580:AF643" ca="1" si="336">W580</f>
        <v>0</v>
      </c>
      <c r="AG580" s="2">
        <f t="shared" ref="AG580:AG643" ca="1" si="337">IF(O580&gt;0, X580-(O580*$AG$63/$AF$63), X580)</f>
        <v>-1.6358405771021967E-4</v>
      </c>
      <c r="AH580" s="2">
        <f t="shared" ref="AH580:AH643" ca="1" si="338">IF(O580&gt;0, Y580-(O580*$AH$63/$AF$63), Y580)</f>
        <v>-1.614029402377854E-3</v>
      </c>
      <c r="AI580" s="2">
        <f t="shared" ref="AI580:AI643" ca="1" si="339">IF(O580&gt;0, Z580-(O580*$AI$63/$AF$63), Z580)</f>
        <v>-1.4853760121635622E-5</v>
      </c>
      <c r="AJ580" s="2">
        <f t="shared" ref="AJ580:AJ643" ca="1" si="340">IF(O580&gt;0, AA580-(O580*$AJ$63/$AF$63), AA580)</f>
        <v>-1.1458026838550334E-3</v>
      </c>
      <c r="AK580" s="2">
        <f t="shared" ref="AK580:AK643" ca="1" si="341">IF(P580&gt;0, AB580-(P580*$AK$63/$AG$63), AB580)</f>
        <v>-4.9053934342410677E-4</v>
      </c>
      <c r="AL580" s="2">
        <f t="shared" ref="AL580:AL643" ca="1" si="342">IF(O580&gt;0, AC580-(O580*$AL$63/$AF$63), AC580)</f>
        <v>-5.5074395654535931E-3</v>
      </c>
      <c r="AN580" s="2" t="e">
        <f t="shared" ca="1" si="321"/>
        <v>#N/A</v>
      </c>
      <c r="AO580" s="2" t="e">
        <f t="shared" ca="1" si="322"/>
        <v>#N/A</v>
      </c>
      <c r="AP580" s="2" t="e">
        <f t="shared" ca="1" si="323"/>
        <v>#N/A</v>
      </c>
      <c r="AQ580" s="2" t="e">
        <f t="shared" ca="1" si="324"/>
        <v>#N/A</v>
      </c>
      <c r="AR580" s="2" t="e">
        <f t="shared" ca="1" si="325"/>
        <v>#N/A</v>
      </c>
      <c r="AS580" s="2" t="e">
        <f t="shared" ca="1" si="326"/>
        <v>#N/A</v>
      </c>
      <c r="AT580" s="9" t="e">
        <f t="shared" ca="1" si="327"/>
        <v>#N/A</v>
      </c>
      <c r="AU580" s="9" t="e">
        <f t="shared" ca="1" si="328"/>
        <v>#N/A</v>
      </c>
      <c r="AV580" s="9"/>
      <c r="AW580" s="2" t="e">
        <f t="shared" ca="1" si="313"/>
        <v>#N/A</v>
      </c>
      <c r="AX580" s="2" t="e">
        <f t="shared" ca="1" si="314"/>
        <v>#N/A</v>
      </c>
      <c r="AY580" s="2" t="e">
        <f t="shared" ca="1" si="315"/>
        <v>#N/A</v>
      </c>
      <c r="AZ580" s="2" t="e">
        <f t="shared" ca="1" si="316"/>
        <v>#N/A</v>
      </c>
      <c r="BA580" s="2" t="e">
        <f t="shared" ca="1" si="317"/>
        <v>#N/A</v>
      </c>
      <c r="BB580" s="2" t="e">
        <f t="shared" ca="1" si="318"/>
        <v>#N/A</v>
      </c>
      <c r="BC580" s="9" t="e">
        <f t="shared" ca="1" si="319"/>
        <v>#N/A</v>
      </c>
      <c r="BD580" s="9" t="e">
        <f t="shared" ca="1" si="320"/>
        <v>#N/A</v>
      </c>
    </row>
    <row r="581" spans="1:56" ht="15" x14ac:dyDescent="0.25">
      <c r="A581" s="63"/>
      <c r="B581" s="63"/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16"/>
      <c r="O581" s="11">
        <f t="shared" ca="1" si="306"/>
        <v>-3.9378682616450625E-4</v>
      </c>
      <c r="P581" s="11">
        <f t="shared" ca="1" si="307"/>
        <v>-1.6358405771021967E-4</v>
      </c>
      <c r="Q581" s="11">
        <f t="shared" ca="1" si="308"/>
        <v>-1.614029402377854E-3</v>
      </c>
      <c r="R581" s="11">
        <f t="shared" ca="1" si="309"/>
        <v>-1.4853760121635622E-5</v>
      </c>
      <c r="S581" s="11">
        <f t="shared" ca="1" si="310"/>
        <v>-1.1458026838550334E-3</v>
      </c>
      <c r="T581" s="11">
        <f t="shared" ca="1" si="311"/>
        <v>-4.9053934342410677E-4</v>
      </c>
      <c r="U581" s="11">
        <f t="shared" ca="1" si="312"/>
        <v>-5.5074395654535931E-3</v>
      </c>
      <c r="V581" s="11"/>
      <c r="W581" s="11">
        <f t="shared" ca="1" si="329"/>
        <v>0</v>
      </c>
      <c r="X581" s="2">
        <f t="shared" ca="1" si="330"/>
        <v>-1.6358405771021967E-4</v>
      </c>
      <c r="Y581" s="2">
        <f t="shared" ca="1" si="331"/>
        <v>-1.614029402377854E-3</v>
      </c>
      <c r="Z581" s="11">
        <f t="shared" ca="1" si="332"/>
        <v>-1.4853760121635622E-5</v>
      </c>
      <c r="AA581" s="2">
        <f t="shared" ca="1" si="333"/>
        <v>-1.1458026838550334E-3</v>
      </c>
      <c r="AB581" s="11">
        <f t="shared" ca="1" si="334"/>
        <v>-4.9053934342410677E-4</v>
      </c>
      <c r="AC581" s="2">
        <f t="shared" ca="1" si="335"/>
        <v>-5.5074395654535931E-3</v>
      </c>
      <c r="AF581" s="11">
        <f t="shared" ca="1" si="336"/>
        <v>0</v>
      </c>
      <c r="AG581" s="2">
        <f t="shared" ca="1" si="337"/>
        <v>-1.6358405771021967E-4</v>
      </c>
      <c r="AH581" s="2">
        <f t="shared" ca="1" si="338"/>
        <v>-1.614029402377854E-3</v>
      </c>
      <c r="AI581" s="2">
        <f t="shared" ca="1" si="339"/>
        <v>-1.4853760121635622E-5</v>
      </c>
      <c r="AJ581" s="2">
        <f t="shared" ca="1" si="340"/>
        <v>-1.1458026838550334E-3</v>
      </c>
      <c r="AK581" s="2">
        <f t="shared" ca="1" si="341"/>
        <v>-4.9053934342410677E-4</v>
      </c>
      <c r="AL581" s="2">
        <f t="shared" ca="1" si="342"/>
        <v>-5.5074395654535931E-3</v>
      </c>
      <c r="AN581" s="2" t="e">
        <f t="shared" ca="1" si="321"/>
        <v>#N/A</v>
      </c>
      <c r="AO581" s="2" t="e">
        <f t="shared" ca="1" si="322"/>
        <v>#N/A</v>
      </c>
      <c r="AP581" s="2" t="e">
        <f t="shared" ca="1" si="323"/>
        <v>#N/A</v>
      </c>
      <c r="AQ581" s="2" t="e">
        <f t="shared" ca="1" si="324"/>
        <v>#N/A</v>
      </c>
      <c r="AR581" s="2" t="e">
        <f t="shared" ca="1" si="325"/>
        <v>#N/A</v>
      </c>
      <c r="AS581" s="2" t="e">
        <f t="shared" ca="1" si="326"/>
        <v>#N/A</v>
      </c>
      <c r="AT581" s="9" t="e">
        <f t="shared" ca="1" si="327"/>
        <v>#N/A</v>
      </c>
      <c r="AU581" s="9" t="e">
        <f t="shared" ca="1" si="328"/>
        <v>#N/A</v>
      </c>
      <c r="AV581" s="9"/>
      <c r="AW581" s="2" t="e">
        <f t="shared" ca="1" si="313"/>
        <v>#N/A</v>
      </c>
      <c r="AX581" s="2" t="e">
        <f t="shared" ca="1" si="314"/>
        <v>#N/A</v>
      </c>
      <c r="AY581" s="2" t="e">
        <f t="shared" ca="1" si="315"/>
        <v>#N/A</v>
      </c>
      <c r="AZ581" s="2" t="e">
        <f t="shared" ca="1" si="316"/>
        <v>#N/A</v>
      </c>
      <c r="BA581" s="2" t="e">
        <f t="shared" ca="1" si="317"/>
        <v>#N/A</v>
      </c>
      <c r="BB581" s="2" t="e">
        <f t="shared" ca="1" si="318"/>
        <v>#N/A</v>
      </c>
      <c r="BC581" s="9" t="e">
        <f t="shared" ca="1" si="319"/>
        <v>#N/A</v>
      </c>
      <c r="BD581" s="9" t="e">
        <f t="shared" ca="1" si="320"/>
        <v>#N/A</v>
      </c>
    </row>
    <row r="582" spans="1:56" ht="15" x14ac:dyDescent="0.25">
      <c r="A582" s="63"/>
      <c r="B582" s="63"/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16"/>
      <c r="O582" s="11">
        <f t="shared" ca="1" si="306"/>
        <v>-3.9378682616450625E-4</v>
      </c>
      <c r="P582" s="11">
        <f t="shared" ca="1" si="307"/>
        <v>-1.6358405771021967E-4</v>
      </c>
      <c r="Q582" s="11">
        <f t="shared" ca="1" si="308"/>
        <v>-1.614029402377854E-3</v>
      </c>
      <c r="R582" s="11">
        <f t="shared" ca="1" si="309"/>
        <v>-1.4853760121635622E-5</v>
      </c>
      <c r="S582" s="11">
        <f t="shared" ca="1" si="310"/>
        <v>-1.1458026838550334E-3</v>
      </c>
      <c r="T582" s="11">
        <f t="shared" ca="1" si="311"/>
        <v>-4.9053934342410677E-4</v>
      </c>
      <c r="U582" s="11">
        <f t="shared" ca="1" si="312"/>
        <v>-5.5074395654535931E-3</v>
      </c>
      <c r="V582" s="11"/>
      <c r="W582" s="11">
        <f t="shared" ca="1" si="329"/>
        <v>0</v>
      </c>
      <c r="X582" s="2">
        <f t="shared" ca="1" si="330"/>
        <v>-1.6358405771021967E-4</v>
      </c>
      <c r="Y582" s="2">
        <f t="shared" ca="1" si="331"/>
        <v>-1.614029402377854E-3</v>
      </c>
      <c r="Z582" s="11">
        <f t="shared" ca="1" si="332"/>
        <v>-1.4853760121635622E-5</v>
      </c>
      <c r="AA582" s="2">
        <f t="shared" ca="1" si="333"/>
        <v>-1.1458026838550334E-3</v>
      </c>
      <c r="AB582" s="11">
        <f t="shared" ca="1" si="334"/>
        <v>-4.9053934342410677E-4</v>
      </c>
      <c r="AC582" s="2">
        <f t="shared" ca="1" si="335"/>
        <v>-5.5074395654535931E-3</v>
      </c>
      <c r="AF582" s="11">
        <f t="shared" ca="1" si="336"/>
        <v>0</v>
      </c>
      <c r="AG582" s="2">
        <f t="shared" ca="1" si="337"/>
        <v>-1.6358405771021967E-4</v>
      </c>
      <c r="AH582" s="2">
        <f t="shared" ca="1" si="338"/>
        <v>-1.614029402377854E-3</v>
      </c>
      <c r="AI582" s="2">
        <f t="shared" ca="1" si="339"/>
        <v>-1.4853760121635622E-5</v>
      </c>
      <c r="AJ582" s="2">
        <f t="shared" ca="1" si="340"/>
        <v>-1.1458026838550334E-3</v>
      </c>
      <c r="AK582" s="2">
        <f t="shared" ca="1" si="341"/>
        <v>-4.9053934342410677E-4</v>
      </c>
      <c r="AL582" s="2">
        <f t="shared" ca="1" si="342"/>
        <v>-5.5074395654535931E-3</v>
      </c>
      <c r="AN582" s="2" t="e">
        <f t="shared" ca="1" si="321"/>
        <v>#N/A</v>
      </c>
      <c r="AO582" s="2" t="e">
        <f t="shared" ca="1" si="322"/>
        <v>#N/A</v>
      </c>
      <c r="AP582" s="2" t="e">
        <f t="shared" ca="1" si="323"/>
        <v>#N/A</v>
      </c>
      <c r="AQ582" s="2" t="e">
        <f t="shared" ca="1" si="324"/>
        <v>#N/A</v>
      </c>
      <c r="AR582" s="2" t="e">
        <f t="shared" ca="1" si="325"/>
        <v>#N/A</v>
      </c>
      <c r="AS582" s="2" t="e">
        <f t="shared" ca="1" si="326"/>
        <v>#N/A</v>
      </c>
      <c r="AT582" s="9" t="e">
        <f t="shared" ca="1" si="327"/>
        <v>#N/A</v>
      </c>
      <c r="AU582" s="9" t="e">
        <f t="shared" ca="1" si="328"/>
        <v>#N/A</v>
      </c>
      <c r="AV582" s="9"/>
      <c r="AW582" s="2" t="e">
        <f t="shared" ca="1" si="313"/>
        <v>#N/A</v>
      </c>
      <c r="AX582" s="2" t="e">
        <f t="shared" ca="1" si="314"/>
        <v>#N/A</v>
      </c>
      <c r="AY582" s="2" t="e">
        <f t="shared" ca="1" si="315"/>
        <v>#N/A</v>
      </c>
      <c r="AZ582" s="2" t="e">
        <f t="shared" ca="1" si="316"/>
        <v>#N/A</v>
      </c>
      <c r="BA582" s="2" t="e">
        <f t="shared" ca="1" si="317"/>
        <v>#N/A</v>
      </c>
      <c r="BB582" s="2" t="e">
        <f t="shared" ca="1" si="318"/>
        <v>#N/A</v>
      </c>
      <c r="BC582" s="9" t="e">
        <f t="shared" ca="1" si="319"/>
        <v>#N/A</v>
      </c>
      <c r="BD582" s="9" t="e">
        <f t="shared" ca="1" si="320"/>
        <v>#N/A</v>
      </c>
    </row>
    <row r="583" spans="1:56" ht="15" x14ac:dyDescent="0.25">
      <c r="A583" s="63"/>
      <c r="B583" s="63"/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16"/>
      <c r="O583" s="11">
        <f t="shared" ca="1" si="306"/>
        <v>-3.9378682616450625E-4</v>
      </c>
      <c r="P583" s="11">
        <f t="shared" ca="1" si="307"/>
        <v>-1.6358405771021967E-4</v>
      </c>
      <c r="Q583" s="11">
        <f t="shared" ca="1" si="308"/>
        <v>-1.614029402377854E-3</v>
      </c>
      <c r="R583" s="11">
        <f t="shared" ca="1" si="309"/>
        <v>-1.4853760121635622E-5</v>
      </c>
      <c r="S583" s="11">
        <f t="shared" ca="1" si="310"/>
        <v>-1.1458026838550334E-3</v>
      </c>
      <c r="T583" s="11">
        <f t="shared" ca="1" si="311"/>
        <v>-4.9053934342410677E-4</v>
      </c>
      <c r="U583" s="11">
        <f t="shared" ca="1" si="312"/>
        <v>-5.5074395654535931E-3</v>
      </c>
      <c r="V583" s="11"/>
      <c r="W583" s="11">
        <f t="shared" ca="1" si="329"/>
        <v>0</v>
      </c>
      <c r="X583" s="2">
        <f t="shared" ca="1" si="330"/>
        <v>-1.6358405771021967E-4</v>
      </c>
      <c r="Y583" s="2">
        <f t="shared" ca="1" si="331"/>
        <v>-1.614029402377854E-3</v>
      </c>
      <c r="Z583" s="11">
        <f t="shared" ca="1" si="332"/>
        <v>-1.4853760121635622E-5</v>
      </c>
      <c r="AA583" s="2">
        <f t="shared" ca="1" si="333"/>
        <v>-1.1458026838550334E-3</v>
      </c>
      <c r="AB583" s="11">
        <f t="shared" ca="1" si="334"/>
        <v>-4.9053934342410677E-4</v>
      </c>
      <c r="AC583" s="2">
        <f t="shared" ca="1" si="335"/>
        <v>-5.5074395654535931E-3</v>
      </c>
      <c r="AF583" s="11">
        <f t="shared" ca="1" si="336"/>
        <v>0</v>
      </c>
      <c r="AG583" s="2">
        <f t="shared" ca="1" si="337"/>
        <v>-1.6358405771021967E-4</v>
      </c>
      <c r="AH583" s="2">
        <f t="shared" ca="1" si="338"/>
        <v>-1.614029402377854E-3</v>
      </c>
      <c r="AI583" s="2">
        <f t="shared" ca="1" si="339"/>
        <v>-1.4853760121635622E-5</v>
      </c>
      <c r="AJ583" s="2">
        <f t="shared" ca="1" si="340"/>
        <v>-1.1458026838550334E-3</v>
      </c>
      <c r="AK583" s="2">
        <f t="shared" ca="1" si="341"/>
        <v>-4.9053934342410677E-4</v>
      </c>
      <c r="AL583" s="2">
        <f t="shared" ca="1" si="342"/>
        <v>-5.5074395654535931E-3</v>
      </c>
      <c r="AN583" s="2" t="e">
        <f t="shared" ca="1" si="321"/>
        <v>#N/A</v>
      </c>
      <c r="AO583" s="2" t="e">
        <f t="shared" ca="1" si="322"/>
        <v>#N/A</v>
      </c>
      <c r="AP583" s="2" t="e">
        <f t="shared" ca="1" si="323"/>
        <v>#N/A</v>
      </c>
      <c r="AQ583" s="2" t="e">
        <f t="shared" ca="1" si="324"/>
        <v>#N/A</v>
      </c>
      <c r="AR583" s="2" t="e">
        <f t="shared" ca="1" si="325"/>
        <v>#N/A</v>
      </c>
      <c r="AS583" s="2" t="e">
        <f t="shared" ca="1" si="326"/>
        <v>#N/A</v>
      </c>
      <c r="AT583" s="9" t="e">
        <f t="shared" ca="1" si="327"/>
        <v>#N/A</v>
      </c>
      <c r="AU583" s="9" t="e">
        <f t="shared" ca="1" si="328"/>
        <v>#N/A</v>
      </c>
      <c r="AV583" s="9"/>
      <c r="AW583" s="2" t="e">
        <f t="shared" ca="1" si="313"/>
        <v>#N/A</v>
      </c>
      <c r="AX583" s="2" t="e">
        <f t="shared" ca="1" si="314"/>
        <v>#N/A</v>
      </c>
      <c r="AY583" s="2" t="e">
        <f t="shared" ca="1" si="315"/>
        <v>#N/A</v>
      </c>
      <c r="AZ583" s="2" t="e">
        <f t="shared" ca="1" si="316"/>
        <v>#N/A</v>
      </c>
      <c r="BA583" s="2" t="e">
        <f t="shared" ca="1" si="317"/>
        <v>#N/A</v>
      </c>
      <c r="BB583" s="2" t="e">
        <f t="shared" ca="1" si="318"/>
        <v>#N/A</v>
      </c>
      <c r="BC583" s="9" t="e">
        <f t="shared" ca="1" si="319"/>
        <v>#N/A</v>
      </c>
      <c r="BD583" s="9" t="e">
        <f t="shared" ca="1" si="320"/>
        <v>#N/A</v>
      </c>
    </row>
    <row r="584" spans="1:56" ht="15" x14ac:dyDescent="0.25">
      <c r="A584" s="63"/>
      <c r="B584" s="63"/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16"/>
      <c r="O584" s="11">
        <f t="shared" ca="1" si="306"/>
        <v>-3.9378682616450625E-4</v>
      </c>
      <c r="P584" s="11">
        <f t="shared" ca="1" si="307"/>
        <v>-1.6358405771021967E-4</v>
      </c>
      <c r="Q584" s="11">
        <f t="shared" ca="1" si="308"/>
        <v>-1.614029402377854E-3</v>
      </c>
      <c r="R584" s="11">
        <f t="shared" ca="1" si="309"/>
        <v>-1.4853760121635622E-5</v>
      </c>
      <c r="S584" s="11">
        <f t="shared" ca="1" si="310"/>
        <v>-1.1458026838550334E-3</v>
      </c>
      <c r="T584" s="11">
        <f t="shared" ca="1" si="311"/>
        <v>-4.9053934342410677E-4</v>
      </c>
      <c r="U584" s="11">
        <f t="shared" ca="1" si="312"/>
        <v>-5.5074395654535931E-3</v>
      </c>
      <c r="V584" s="11"/>
      <c r="W584" s="11">
        <f t="shared" ca="1" si="329"/>
        <v>0</v>
      </c>
      <c r="X584" s="2">
        <f t="shared" ca="1" si="330"/>
        <v>-1.6358405771021967E-4</v>
      </c>
      <c r="Y584" s="2">
        <f t="shared" ca="1" si="331"/>
        <v>-1.614029402377854E-3</v>
      </c>
      <c r="Z584" s="11">
        <f t="shared" ca="1" si="332"/>
        <v>-1.4853760121635622E-5</v>
      </c>
      <c r="AA584" s="2">
        <f t="shared" ca="1" si="333"/>
        <v>-1.1458026838550334E-3</v>
      </c>
      <c r="AB584" s="11">
        <f t="shared" ca="1" si="334"/>
        <v>-4.9053934342410677E-4</v>
      </c>
      <c r="AC584" s="2">
        <f t="shared" ca="1" si="335"/>
        <v>-5.5074395654535931E-3</v>
      </c>
      <c r="AF584" s="11">
        <f t="shared" ca="1" si="336"/>
        <v>0</v>
      </c>
      <c r="AG584" s="2">
        <f t="shared" ca="1" si="337"/>
        <v>-1.6358405771021967E-4</v>
      </c>
      <c r="AH584" s="2">
        <f t="shared" ca="1" si="338"/>
        <v>-1.614029402377854E-3</v>
      </c>
      <c r="AI584" s="2">
        <f t="shared" ca="1" si="339"/>
        <v>-1.4853760121635622E-5</v>
      </c>
      <c r="AJ584" s="2">
        <f t="shared" ca="1" si="340"/>
        <v>-1.1458026838550334E-3</v>
      </c>
      <c r="AK584" s="2">
        <f t="shared" ca="1" si="341"/>
        <v>-4.9053934342410677E-4</v>
      </c>
      <c r="AL584" s="2">
        <f t="shared" ca="1" si="342"/>
        <v>-5.5074395654535931E-3</v>
      </c>
      <c r="AN584" s="2" t="e">
        <f t="shared" ca="1" si="321"/>
        <v>#N/A</v>
      </c>
      <c r="AO584" s="2" t="e">
        <f t="shared" ca="1" si="322"/>
        <v>#N/A</v>
      </c>
      <c r="AP584" s="2" t="e">
        <f t="shared" ca="1" si="323"/>
        <v>#N/A</v>
      </c>
      <c r="AQ584" s="2" t="e">
        <f t="shared" ca="1" si="324"/>
        <v>#N/A</v>
      </c>
      <c r="AR584" s="2" t="e">
        <f t="shared" ca="1" si="325"/>
        <v>#N/A</v>
      </c>
      <c r="AS584" s="2" t="e">
        <f t="shared" ca="1" si="326"/>
        <v>#N/A</v>
      </c>
      <c r="AT584" s="9" t="e">
        <f t="shared" ca="1" si="327"/>
        <v>#N/A</v>
      </c>
      <c r="AU584" s="9" t="e">
        <f t="shared" ca="1" si="328"/>
        <v>#N/A</v>
      </c>
      <c r="AV584" s="9"/>
      <c r="AW584" s="2" t="e">
        <f t="shared" ca="1" si="313"/>
        <v>#N/A</v>
      </c>
      <c r="AX584" s="2" t="e">
        <f t="shared" ca="1" si="314"/>
        <v>#N/A</v>
      </c>
      <c r="AY584" s="2" t="e">
        <f t="shared" ca="1" si="315"/>
        <v>#N/A</v>
      </c>
      <c r="AZ584" s="2" t="e">
        <f t="shared" ca="1" si="316"/>
        <v>#N/A</v>
      </c>
      <c r="BA584" s="2" t="e">
        <f t="shared" ca="1" si="317"/>
        <v>#N/A</v>
      </c>
      <c r="BB584" s="2" t="e">
        <f t="shared" ca="1" si="318"/>
        <v>#N/A</v>
      </c>
      <c r="BC584" s="9" t="e">
        <f t="shared" ca="1" si="319"/>
        <v>#N/A</v>
      </c>
      <c r="BD584" s="9" t="e">
        <f t="shared" ca="1" si="320"/>
        <v>#N/A</v>
      </c>
    </row>
    <row r="585" spans="1:56" ht="15" x14ac:dyDescent="0.25">
      <c r="A585" s="63"/>
      <c r="B585" s="63"/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16"/>
      <c r="O585" s="11">
        <f t="shared" ca="1" si="306"/>
        <v>-3.9378682616450625E-4</v>
      </c>
      <c r="P585" s="11">
        <f t="shared" ca="1" si="307"/>
        <v>-1.6358405771021967E-4</v>
      </c>
      <c r="Q585" s="11">
        <f t="shared" ca="1" si="308"/>
        <v>-1.614029402377854E-3</v>
      </c>
      <c r="R585" s="11">
        <f t="shared" ca="1" si="309"/>
        <v>-1.4853760121635622E-5</v>
      </c>
      <c r="S585" s="11">
        <f t="shared" ca="1" si="310"/>
        <v>-1.1458026838550334E-3</v>
      </c>
      <c r="T585" s="11">
        <f t="shared" ca="1" si="311"/>
        <v>-4.9053934342410677E-4</v>
      </c>
      <c r="U585" s="11">
        <f t="shared" ca="1" si="312"/>
        <v>-5.5074395654535931E-3</v>
      </c>
      <c r="V585" s="11"/>
      <c r="W585" s="11">
        <f t="shared" ca="1" si="329"/>
        <v>0</v>
      </c>
      <c r="X585" s="2">
        <f t="shared" ca="1" si="330"/>
        <v>-1.6358405771021967E-4</v>
      </c>
      <c r="Y585" s="2">
        <f t="shared" ca="1" si="331"/>
        <v>-1.614029402377854E-3</v>
      </c>
      <c r="Z585" s="11">
        <f t="shared" ca="1" si="332"/>
        <v>-1.4853760121635622E-5</v>
      </c>
      <c r="AA585" s="2">
        <f t="shared" ca="1" si="333"/>
        <v>-1.1458026838550334E-3</v>
      </c>
      <c r="AB585" s="11">
        <f t="shared" ca="1" si="334"/>
        <v>-4.9053934342410677E-4</v>
      </c>
      <c r="AC585" s="2">
        <f t="shared" ca="1" si="335"/>
        <v>-5.5074395654535931E-3</v>
      </c>
      <c r="AF585" s="11">
        <f t="shared" ca="1" si="336"/>
        <v>0</v>
      </c>
      <c r="AG585" s="2">
        <f t="shared" ca="1" si="337"/>
        <v>-1.6358405771021967E-4</v>
      </c>
      <c r="AH585" s="2">
        <f t="shared" ca="1" si="338"/>
        <v>-1.614029402377854E-3</v>
      </c>
      <c r="AI585" s="2">
        <f t="shared" ca="1" si="339"/>
        <v>-1.4853760121635622E-5</v>
      </c>
      <c r="AJ585" s="2">
        <f t="shared" ca="1" si="340"/>
        <v>-1.1458026838550334E-3</v>
      </c>
      <c r="AK585" s="2">
        <f t="shared" ca="1" si="341"/>
        <v>-4.9053934342410677E-4</v>
      </c>
      <c r="AL585" s="2">
        <f t="shared" ca="1" si="342"/>
        <v>-5.5074395654535931E-3</v>
      </c>
      <c r="AN585" s="2" t="e">
        <f t="shared" ca="1" si="321"/>
        <v>#N/A</v>
      </c>
      <c r="AO585" s="2" t="e">
        <f t="shared" ca="1" si="322"/>
        <v>#N/A</v>
      </c>
      <c r="AP585" s="2" t="e">
        <f t="shared" ca="1" si="323"/>
        <v>#N/A</v>
      </c>
      <c r="AQ585" s="2" t="e">
        <f t="shared" ca="1" si="324"/>
        <v>#N/A</v>
      </c>
      <c r="AR585" s="2" t="e">
        <f t="shared" ca="1" si="325"/>
        <v>#N/A</v>
      </c>
      <c r="AS585" s="2" t="e">
        <f t="shared" ca="1" si="326"/>
        <v>#N/A</v>
      </c>
      <c r="AT585" s="9" t="e">
        <f t="shared" ca="1" si="327"/>
        <v>#N/A</v>
      </c>
      <c r="AU585" s="9" t="e">
        <f t="shared" ca="1" si="328"/>
        <v>#N/A</v>
      </c>
      <c r="AV585" s="9"/>
      <c r="AW585" s="2" t="e">
        <f t="shared" ca="1" si="313"/>
        <v>#N/A</v>
      </c>
      <c r="AX585" s="2" t="e">
        <f t="shared" ca="1" si="314"/>
        <v>#N/A</v>
      </c>
      <c r="AY585" s="2" t="e">
        <f t="shared" ca="1" si="315"/>
        <v>#N/A</v>
      </c>
      <c r="AZ585" s="2" t="e">
        <f t="shared" ca="1" si="316"/>
        <v>#N/A</v>
      </c>
      <c r="BA585" s="2" t="e">
        <f t="shared" ca="1" si="317"/>
        <v>#N/A</v>
      </c>
      <c r="BB585" s="2" t="e">
        <f t="shared" ca="1" si="318"/>
        <v>#N/A</v>
      </c>
      <c r="BC585" s="9" t="e">
        <f t="shared" ca="1" si="319"/>
        <v>#N/A</v>
      </c>
      <c r="BD585" s="9" t="e">
        <f t="shared" ca="1" si="320"/>
        <v>#N/A</v>
      </c>
    </row>
    <row r="586" spans="1:56" ht="15" x14ac:dyDescent="0.25">
      <c r="A586" s="63"/>
      <c r="B586" s="63"/>
      <c r="C586" s="64"/>
      <c r="D586" s="64"/>
      <c r="E586" s="64"/>
      <c r="F586" s="64"/>
      <c r="G586" s="64"/>
      <c r="H586" s="64"/>
      <c r="I586" s="64"/>
      <c r="J586" s="64"/>
      <c r="K586" s="64"/>
      <c r="L586" s="64"/>
      <c r="M586" s="64"/>
      <c r="N586" s="16"/>
      <c r="O586" s="11">
        <f t="shared" ca="1" si="306"/>
        <v>-3.9378682616450625E-4</v>
      </c>
      <c r="P586" s="11">
        <f t="shared" ca="1" si="307"/>
        <v>-1.6358405771021967E-4</v>
      </c>
      <c r="Q586" s="11">
        <f t="shared" ca="1" si="308"/>
        <v>-1.614029402377854E-3</v>
      </c>
      <c r="R586" s="11">
        <f t="shared" ca="1" si="309"/>
        <v>-1.4853760121635622E-5</v>
      </c>
      <c r="S586" s="11">
        <f t="shared" ca="1" si="310"/>
        <v>-1.1458026838550334E-3</v>
      </c>
      <c r="T586" s="11">
        <f t="shared" ca="1" si="311"/>
        <v>-4.9053934342410677E-4</v>
      </c>
      <c r="U586" s="11">
        <f t="shared" ca="1" si="312"/>
        <v>-5.5074395654535931E-3</v>
      </c>
      <c r="V586" s="11"/>
      <c r="W586" s="11">
        <f t="shared" ca="1" si="329"/>
        <v>0</v>
      </c>
      <c r="X586" s="2">
        <f t="shared" ca="1" si="330"/>
        <v>-1.6358405771021967E-4</v>
      </c>
      <c r="Y586" s="2">
        <f t="shared" ca="1" si="331"/>
        <v>-1.614029402377854E-3</v>
      </c>
      <c r="Z586" s="11">
        <f t="shared" ca="1" si="332"/>
        <v>-1.4853760121635622E-5</v>
      </c>
      <c r="AA586" s="2">
        <f t="shared" ca="1" si="333"/>
        <v>-1.1458026838550334E-3</v>
      </c>
      <c r="AB586" s="11">
        <f t="shared" ca="1" si="334"/>
        <v>-4.9053934342410677E-4</v>
      </c>
      <c r="AC586" s="2">
        <f t="shared" ca="1" si="335"/>
        <v>-5.5074395654535931E-3</v>
      </c>
      <c r="AF586" s="11">
        <f t="shared" ca="1" si="336"/>
        <v>0</v>
      </c>
      <c r="AG586" s="2">
        <f t="shared" ca="1" si="337"/>
        <v>-1.6358405771021967E-4</v>
      </c>
      <c r="AH586" s="2">
        <f t="shared" ca="1" si="338"/>
        <v>-1.614029402377854E-3</v>
      </c>
      <c r="AI586" s="2">
        <f t="shared" ca="1" si="339"/>
        <v>-1.4853760121635622E-5</v>
      </c>
      <c r="AJ586" s="2">
        <f t="shared" ca="1" si="340"/>
        <v>-1.1458026838550334E-3</v>
      </c>
      <c r="AK586" s="2">
        <f t="shared" ca="1" si="341"/>
        <v>-4.9053934342410677E-4</v>
      </c>
      <c r="AL586" s="2">
        <f t="shared" ca="1" si="342"/>
        <v>-5.5074395654535931E-3</v>
      </c>
      <c r="AN586" s="2" t="e">
        <f t="shared" ca="1" si="321"/>
        <v>#N/A</v>
      </c>
      <c r="AO586" s="2" t="e">
        <f t="shared" ca="1" si="322"/>
        <v>#N/A</v>
      </c>
      <c r="AP586" s="2" t="e">
        <f t="shared" ca="1" si="323"/>
        <v>#N/A</v>
      </c>
      <c r="AQ586" s="2" t="e">
        <f t="shared" ca="1" si="324"/>
        <v>#N/A</v>
      </c>
      <c r="AR586" s="2" t="e">
        <f t="shared" ca="1" si="325"/>
        <v>#N/A</v>
      </c>
      <c r="AS586" s="2" t="e">
        <f t="shared" ca="1" si="326"/>
        <v>#N/A</v>
      </c>
      <c r="AT586" s="9" t="e">
        <f t="shared" ca="1" si="327"/>
        <v>#N/A</v>
      </c>
      <c r="AU586" s="9" t="e">
        <f t="shared" ca="1" si="328"/>
        <v>#N/A</v>
      </c>
      <c r="AV586" s="9"/>
      <c r="AW586" s="2" t="e">
        <f t="shared" ca="1" si="313"/>
        <v>#N/A</v>
      </c>
      <c r="AX586" s="2" t="e">
        <f t="shared" ca="1" si="314"/>
        <v>#N/A</v>
      </c>
      <c r="AY586" s="2" t="e">
        <f t="shared" ca="1" si="315"/>
        <v>#N/A</v>
      </c>
      <c r="AZ586" s="2" t="e">
        <f t="shared" ca="1" si="316"/>
        <v>#N/A</v>
      </c>
      <c r="BA586" s="2" t="e">
        <f t="shared" ca="1" si="317"/>
        <v>#N/A</v>
      </c>
      <c r="BB586" s="2" t="e">
        <f t="shared" ca="1" si="318"/>
        <v>#N/A</v>
      </c>
      <c r="BC586" s="9" t="e">
        <f t="shared" ca="1" si="319"/>
        <v>#N/A</v>
      </c>
      <c r="BD586" s="9" t="e">
        <f t="shared" ca="1" si="320"/>
        <v>#N/A</v>
      </c>
    </row>
    <row r="587" spans="1:56" ht="15" x14ac:dyDescent="0.25">
      <c r="A587" s="63"/>
      <c r="B587" s="63"/>
      <c r="C587" s="64"/>
      <c r="D587" s="64"/>
      <c r="E587" s="64"/>
      <c r="F587" s="64"/>
      <c r="G587" s="64"/>
      <c r="H587" s="64"/>
      <c r="I587" s="64"/>
      <c r="J587" s="64"/>
      <c r="K587" s="64"/>
      <c r="L587" s="64"/>
      <c r="M587" s="64"/>
      <c r="N587" s="16"/>
      <c r="O587" s="11">
        <f t="shared" ca="1" si="306"/>
        <v>-3.9378682616450625E-4</v>
      </c>
      <c r="P587" s="11">
        <f t="shared" ca="1" si="307"/>
        <v>-1.6358405771021967E-4</v>
      </c>
      <c r="Q587" s="11">
        <f t="shared" ca="1" si="308"/>
        <v>-1.614029402377854E-3</v>
      </c>
      <c r="R587" s="11">
        <f t="shared" ca="1" si="309"/>
        <v>-1.4853760121635622E-5</v>
      </c>
      <c r="S587" s="11">
        <f t="shared" ca="1" si="310"/>
        <v>-1.1458026838550334E-3</v>
      </c>
      <c r="T587" s="11">
        <f t="shared" ca="1" si="311"/>
        <v>-4.9053934342410677E-4</v>
      </c>
      <c r="U587" s="11">
        <f t="shared" ca="1" si="312"/>
        <v>-5.5074395654535931E-3</v>
      </c>
      <c r="V587" s="11"/>
      <c r="W587" s="11">
        <f t="shared" ca="1" si="329"/>
        <v>0</v>
      </c>
      <c r="X587" s="2">
        <f t="shared" ca="1" si="330"/>
        <v>-1.6358405771021967E-4</v>
      </c>
      <c r="Y587" s="2">
        <f t="shared" ca="1" si="331"/>
        <v>-1.614029402377854E-3</v>
      </c>
      <c r="Z587" s="11">
        <f t="shared" ca="1" si="332"/>
        <v>-1.4853760121635622E-5</v>
      </c>
      <c r="AA587" s="2">
        <f t="shared" ca="1" si="333"/>
        <v>-1.1458026838550334E-3</v>
      </c>
      <c r="AB587" s="11">
        <f t="shared" ca="1" si="334"/>
        <v>-4.9053934342410677E-4</v>
      </c>
      <c r="AC587" s="2">
        <f t="shared" ca="1" si="335"/>
        <v>-5.5074395654535931E-3</v>
      </c>
      <c r="AF587" s="11">
        <f t="shared" ca="1" si="336"/>
        <v>0</v>
      </c>
      <c r="AG587" s="2">
        <f t="shared" ca="1" si="337"/>
        <v>-1.6358405771021967E-4</v>
      </c>
      <c r="AH587" s="2">
        <f t="shared" ca="1" si="338"/>
        <v>-1.614029402377854E-3</v>
      </c>
      <c r="AI587" s="2">
        <f t="shared" ca="1" si="339"/>
        <v>-1.4853760121635622E-5</v>
      </c>
      <c r="AJ587" s="2">
        <f t="shared" ca="1" si="340"/>
        <v>-1.1458026838550334E-3</v>
      </c>
      <c r="AK587" s="2">
        <f t="shared" ca="1" si="341"/>
        <v>-4.9053934342410677E-4</v>
      </c>
      <c r="AL587" s="2">
        <f t="shared" ca="1" si="342"/>
        <v>-5.5074395654535931E-3</v>
      </c>
      <c r="AN587" s="2" t="e">
        <f t="shared" ca="1" si="321"/>
        <v>#N/A</v>
      </c>
      <c r="AO587" s="2" t="e">
        <f t="shared" ca="1" si="322"/>
        <v>#N/A</v>
      </c>
      <c r="AP587" s="2" t="e">
        <f t="shared" ca="1" si="323"/>
        <v>#N/A</v>
      </c>
      <c r="AQ587" s="2" t="e">
        <f t="shared" ca="1" si="324"/>
        <v>#N/A</v>
      </c>
      <c r="AR587" s="2" t="e">
        <f t="shared" ca="1" si="325"/>
        <v>#N/A</v>
      </c>
      <c r="AS587" s="2" t="e">
        <f t="shared" ca="1" si="326"/>
        <v>#N/A</v>
      </c>
      <c r="AT587" s="9" t="e">
        <f t="shared" ca="1" si="327"/>
        <v>#N/A</v>
      </c>
      <c r="AU587" s="9" t="e">
        <f t="shared" ca="1" si="328"/>
        <v>#N/A</v>
      </c>
      <c r="AV587" s="9"/>
      <c r="AW587" s="2" t="e">
        <f t="shared" ca="1" si="313"/>
        <v>#N/A</v>
      </c>
      <c r="AX587" s="2" t="e">
        <f t="shared" ca="1" si="314"/>
        <v>#N/A</v>
      </c>
      <c r="AY587" s="2" t="e">
        <f t="shared" ca="1" si="315"/>
        <v>#N/A</v>
      </c>
      <c r="AZ587" s="2" t="e">
        <f t="shared" ca="1" si="316"/>
        <v>#N/A</v>
      </c>
      <c r="BA587" s="2" t="e">
        <f t="shared" ca="1" si="317"/>
        <v>#N/A</v>
      </c>
      <c r="BB587" s="2" t="e">
        <f t="shared" ca="1" si="318"/>
        <v>#N/A</v>
      </c>
      <c r="BC587" s="9" t="e">
        <f t="shared" ca="1" si="319"/>
        <v>#N/A</v>
      </c>
      <c r="BD587" s="9" t="e">
        <f t="shared" ca="1" si="320"/>
        <v>#N/A</v>
      </c>
    </row>
    <row r="588" spans="1:56" ht="15" x14ac:dyDescent="0.25">
      <c r="A588" s="63"/>
      <c r="B588" s="63"/>
      <c r="C588" s="64"/>
      <c r="D588" s="64"/>
      <c r="E588" s="64"/>
      <c r="F588" s="64"/>
      <c r="G588" s="64"/>
      <c r="H588" s="64"/>
      <c r="I588" s="64"/>
      <c r="J588" s="64"/>
      <c r="K588" s="64"/>
      <c r="L588" s="64"/>
      <c r="M588" s="64"/>
      <c r="N588" s="16"/>
      <c r="O588" s="11">
        <f t="shared" ca="1" si="306"/>
        <v>-3.9378682616450625E-4</v>
      </c>
      <c r="P588" s="11">
        <f t="shared" ca="1" si="307"/>
        <v>-1.6358405771021967E-4</v>
      </c>
      <c r="Q588" s="11">
        <f t="shared" ca="1" si="308"/>
        <v>-1.614029402377854E-3</v>
      </c>
      <c r="R588" s="11">
        <f t="shared" ca="1" si="309"/>
        <v>-1.4853760121635622E-5</v>
      </c>
      <c r="S588" s="11">
        <f t="shared" ca="1" si="310"/>
        <v>-1.1458026838550334E-3</v>
      </c>
      <c r="T588" s="11">
        <f t="shared" ca="1" si="311"/>
        <v>-4.9053934342410677E-4</v>
      </c>
      <c r="U588" s="11">
        <f t="shared" ca="1" si="312"/>
        <v>-5.5074395654535931E-3</v>
      </c>
      <c r="V588" s="11"/>
      <c r="W588" s="11">
        <f t="shared" ca="1" si="329"/>
        <v>0</v>
      </c>
      <c r="X588" s="2">
        <f t="shared" ca="1" si="330"/>
        <v>-1.6358405771021967E-4</v>
      </c>
      <c r="Y588" s="2">
        <f t="shared" ca="1" si="331"/>
        <v>-1.614029402377854E-3</v>
      </c>
      <c r="Z588" s="11">
        <f t="shared" ca="1" si="332"/>
        <v>-1.4853760121635622E-5</v>
      </c>
      <c r="AA588" s="2">
        <f t="shared" ca="1" si="333"/>
        <v>-1.1458026838550334E-3</v>
      </c>
      <c r="AB588" s="11">
        <f t="shared" ca="1" si="334"/>
        <v>-4.9053934342410677E-4</v>
      </c>
      <c r="AC588" s="2">
        <f t="shared" ca="1" si="335"/>
        <v>-5.5074395654535931E-3</v>
      </c>
      <c r="AF588" s="11">
        <f t="shared" ca="1" si="336"/>
        <v>0</v>
      </c>
      <c r="AG588" s="2">
        <f t="shared" ca="1" si="337"/>
        <v>-1.6358405771021967E-4</v>
      </c>
      <c r="AH588" s="2">
        <f t="shared" ca="1" si="338"/>
        <v>-1.614029402377854E-3</v>
      </c>
      <c r="AI588" s="2">
        <f t="shared" ca="1" si="339"/>
        <v>-1.4853760121635622E-5</v>
      </c>
      <c r="AJ588" s="2">
        <f t="shared" ca="1" si="340"/>
        <v>-1.1458026838550334E-3</v>
      </c>
      <c r="AK588" s="2">
        <f t="shared" ca="1" si="341"/>
        <v>-4.9053934342410677E-4</v>
      </c>
      <c r="AL588" s="2">
        <f t="shared" ca="1" si="342"/>
        <v>-5.5074395654535931E-3</v>
      </c>
      <c r="AN588" s="2" t="e">
        <f t="shared" ca="1" si="321"/>
        <v>#N/A</v>
      </c>
      <c r="AO588" s="2" t="e">
        <f t="shared" ca="1" si="322"/>
        <v>#N/A</v>
      </c>
      <c r="AP588" s="2" t="e">
        <f t="shared" ca="1" si="323"/>
        <v>#N/A</v>
      </c>
      <c r="AQ588" s="2" t="e">
        <f t="shared" ca="1" si="324"/>
        <v>#N/A</v>
      </c>
      <c r="AR588" s="2" t="e">
        <f t="shared" ca="1" si="325"/>
        <v>#N/A</v>
      </c>
      <c r="AS588" s="2" t="e">
        <f t="shared" ca="1" si="326"/>
        <v>#N/A</v>
      </c>
      <c r="AT588" s="9" t="e">
        <f t="shared" ca="1" si="327"/>
        <v>#N/A</v>
      </c>
      <c r="AU588" s="9" t="e">
        <f t="shared" ca="1" si="328"/>
        <v>#N/A</v>
      </c>
      <c r="AV588" s="9"/>
      <c r="AW588" s="2" t="e">
        <f t="shared" ca="1" si="313"/>
        <v>#N/A</v>
      </c>
      <c r="AX588" s="2" t="e">
        <f t="shared" ca="1" si="314"/>
        <v>#N/A</v>
      </c>
      <c r="AY588" s="2" t="e">
        <f t="shared" ca="1" si="315"/>
        <v>#N/A</v>
      </c>
      <c r="AZ588" s="2" t="e">
        <f t="shared" ca="1" si="316"/>
        <v>#N/A</v>
      </c>
      <c r="BA588" s="2" t="e">
        <f t="shared" ca="1" si="317"/>
        <v>#N/A</v>
      </c>
      <c r="BB588" s="2" t="e">
        <f t="shared" ca="1" si="318"/>
        <v>#N/A</v>
      </c>
      <c r="BC588" s="9" t="e">
        <f t="shared" ca="1" si="319"/>
        <v>#N/A</v>
      </c>
      <c r="BD588" s="9" t="e">
        <f t="shared" ca="1" si="320"/>
        <v>#N/A</v>
      </c>
    </row>
    <row r="589" spans="1:56" ht="15" x14ac:dyDescent="0.25">
      <c r="A589" s="63"/>
      <c r="B589" s="63"/>
      <c r="C589" s="64"/>
      <c r="D589" s="64"/>
      <c r="E589" s="64"/>
      <c r="F589" s="64"/>
      <c r="G589" s="64"/>
      <c r="H589" s="64"/>
      <c r="I589" s="64"/>
      <c r="J589" s="64"/>
      <c r="K589" s="64"/>
      <c r="L589" s="64"/>
      <c r="M589" s="64"/>
      <c r="N589" s="16"/>
      <c r="O589" s="11">
        <f t="shared" ca="1" si="306"/>
        <v>-3.9378682616450625E-4</v>
      </c>
      <c r="P589" s="11">
        <f t="shared" ca="1" si="307"/>
        <v>-1.6358405771021967E-4</v>
      </c>
      <c r="Q589" s="11">
        <f t="shared" ca="1" si="308"/>
        <v>-1.614029402377854E-3</v>
      </c>
      <c r="R589" s="11">
        <f t="shared" ca="1" si="309"/>
        <v>-1.4853760121635622E-5</v>
      </c>
      <c r="S589" s="11">
        <f t="shared" ca="1" si="310"/>
        <v>-1.1458026838550334E-3</v>
      </c>
      <c r="T589" s="11">
        <f t="shared" ca="1" si="311"/>
        <v>-4.9053934342410677E-4</v>
      </c>
      <c r="U589" s="11">
        <f t="shared" ca="1" si="312"/>
        <v>-5.5074395654535931E-3</v>
      </c>
      <c r="V589" s="11"/>
      <c r="W589" s="11">
        <f t="shared" ca="1" si="329"/>
        <v>0</v>
      </c>
      <c r="X589" s="2">
        <f t="shared" ca="1" si="330"/>
        <v>-1.6358405771021967E-4</v>
      </c>
      <c r="Y589" s="2">
        <f t="shared" ca="1" si="331"/>
        <v>-1.614029402377854E-3</v>
      </c>
      <c r="Z589" s="11">
        <f t="shared" ca="1" si="332"/>
        <v>-1.4853760121635622E-5</v>
      </c>
      <c r="AA589" s="2">
        <f t="shared" ca="1" si="333"/>
        <v>-1.1458026838550334E-3</v>
      </c>
      <c r="AB589" s="11">
        <f t="shared" ca="1" si="334"/>
        <v>-4.9053934342410677E-4</v>
      </c>
      <c r="AC589" s="2">
        <f t="shared" ca="1" si="335"/>
        <v>-5.5074395654535931E-3</v>
      </c>
      <c r="AF589" s="11">
        <f t="shared" ca="1" si="336"/>
        <v>0</v>
      </c>
      <c r="AG589" s="2">
        <f t="shared" ca="1" si="337"/>
        <v>-1.6358405771021967E-4</v>
      </c>
      <c r="AH589" s="2">
        <f t="shared" ca="1" si="338"/>
        <v>-1.614029402377854E-3</v>
      </c>
      <c r="AI589" s="2">
        <f t="shared" ca="1" si="339"/>
        <v>-1.4853760121635622E-5</v>
      </c>
      <c r="AJ589" s="2">
        <f t="shared" ca="1" si="340"/>
        <v>-1.1458026838550334E-3</v>
      </c>
      <c r="AK589" s="2">
        <f t="shared" ca="1" si="341"/>
        <v>-4.9053934342410677E-4</v>
      </c>
      <c r="AL589" s="2">
        <f t="shared" ca="1" si="342"/>
        <v>-5.5074395654535931E-3</v>
      </c>
      <c r="AN589" s="2" t="e">
        <f t="shared" ca="1" si="321"/>
        <v>#N/A</v>
      </c>
      <c r="AO589" s="2" t="e">
        <f t="shared" ca="1" si="322"/>
        <v>#N/A</v>
      </c>
      <c r="AP589" s="2" t="e">
        <f t="shared" ca="1" si="323"/>
        <v>#N/A</v>
      </c>
      <c r="AQ589" s="2" t="e">
        <f t="shared" ca="1" si="324"/>
        <v>#N/A</v>
      </c>
      <c r="AR589" s="2" t="e">
        <f t="shared" ca="1" si="325"/>
        <v>#N/A</v>
      </c>
      <c r="AS589" s="2" t="e">
        <f t="shared" ca="1" si="326"/>
        <v>#N/A</v>
      </c>
      <c r="AT589" s="9" t="e">
        <f t="shared" ca="1" si="327"/>
        <v>#N/A</v>
      </c>
      <c r="AU589" s="9" t="e">
        <f t="shared" ca="1" si="328"/>
        <v>#N/A</v>
      </c>
      <c r="AV589" s="9"/>
      <c r="AW589" s="2" t="e">
        <f t="shared" ca="1" si="313"/>
        <v>#N/A</v>
      </c>
      <c r="AX589" s="2" t="e">
        <f t="shared" ca="1" si="314"/>
        <v>#N/A</v>
      </c>
      <c r="AY589" s="2" t="e">
        <f t="shared" ca="1" si="315"/>
        <v>#N/A</v>
      </c>
      <c r="AZ589" s="2" t="e">
        <f t="shared" ca="1" si="316"/>
        <v>#N/A</v>
      </c>
      <c r="BA589" s="2" t="e">
        <f t="shared" ca="1" si="317"/>
        <v>#N/A</v>
      </c>
      <c r="BB589" s="2" t="e">
        <f t="shared" ca="1" si="318"/>
        <v>#N/A</v>
      </c>
      <c r="BC589" s="9" t="e">
        <f t="shared" ca="1" si="319"/>
        <v>#N/A</v>
      </c>
      <c r="BD589" s="9" t="e">
        <f t="shared" ca="1" si="320"/>
        <v>#N/A</v>
      </c>
    </row>
    <row r="590" spans="1:56" ht="15" x14ac:dyDescent="0.25">
      <c r="A590" s="63"/>
      <c r="B590" s="63"/>
      <c r="C590" s="64"/>
      <c r="D590" s="64"/>
      <c r="E590" s="64"/>
      <c r="F590" s="64"/>
      <c r="G590" s="64"/>
      <c r="H590" s="64"/>
      <c r="I590" s="64"/>
      <c r="J590" s="64"/>
      <c r="K590" s="64"/>
      <c r="L590" s="64"/>
      <c r="M590" s="64"/>
      <c r="N590" s="16"/>
      <c r="O590" s="11">
        <f t="shared" ca="1" si="306"/>
        <v>-3.9378682616450625E-4</v>
      </c>
      <c r="P590" s="11">
        <f t="shared" ca="1" si="307"/>
        <v>-1.6358405771021967E-4</v>
      </c>
      <c r="Q590" s="11">
        <f t="shared" ca="1" si="308"/>
        <v>-1.614029402377854E-3</v>
      </c>
      <c r="R590" s="11">
        <f t="shared" ca="1" si="309"/>
        <v>-1.4853760121635622E-5</v>
      </c>
      <c r="S590" s="11">
        <f t="shared" ca="1" si="310"/>
        <v>-1.1458026838550334E-3</v>
      </c>
      <c r="T590" s="11">
        <f t="shared" ca="1" si="311"/>
        <v>-4.9053934342410677E-4</v>
      </c>
      <c r="U590" s="11">
        <f t="shared" ca="1" si="312"/>
        <v>-5.5074395654535931E-3</v>
      </c>
      <c r="V590" s="11"/>
      <c r="W590" s="11">
        <f t="shared" ca="1" si="329"/>
        <v>0</v>
      </c>
      <c r="X590" s="2">
        <f t="shared" ca="1" si="330"/>
        <v>-1.6358405771021967E-4</v>
      </c>
      <c r="Y590" s="2">
        <f t="shared" ca="1" si="331"/>
        <v>-1.614029402377854E-3</v>
      </c>
      <c r="Z590" s="11">
        <f t="shared" ca="1" si="332"/>
        <v>-1.4853760121635622E-5</v>
      </c>
      <c r="AA590" s="2">
        <f t="shared" ca="1" si="333"/>
        <v>-1.1458026838550334E-3</v>
      </c>
      <c r="AB590" s="11">
        <f t="shared" ca="1" si="334"/>
        <v>-4.9053934342410677E-4</v>
      </c>
      <c r="AC590" s="2">
        <f t="shared" ca="1" si="335"/>
        <v>-5.5074395654535931E-3</v>
      </c>
      <c r="AF590" s="11">
        <f t="shared" ca="1" si="336"/>
        <v>0</v>
      </c>
      <c r="AG590" s="2">
        <f t="shared" ca="1" si="337"/>
        <v>-1.6358405771021967E-4</v>
      </c>
      <c r="AH590" s="2">
        <f t="shared" ca="1" si="338"/>
        <v>-1.614029402377854E-3</v>
      </c>
      <c r="AI590" s="2">
        <f t="shared" ca="1" si="339"/>
        <v>-1.4853760121635622E-5</v>
      </c>
      <c r="AJ590" s="2">
        <f t="shared" ca="1" si="340"/>
        <v>-1.1458026838550334E-3</v>
      </c>
      <c r="AK590" s="2">
        <f t="shared" ca="1" si="341"/>
        <v>-4.9053934342410677E-4</v>
      </c>
      <c r="AL590" s="2">
        <f t="shared" ca="1" si="342"/>
        <v>-5.5074395654535931E-3</v>
      </c>
      <c r="AN590" s="2" t="e">
        <f t="shared" ca="1" si="321"/>
        <v>#N/A</v>
      </c>
      <c r="AO590" s="2" t="e">
        <f t="shared" ca="1" si="322"/>
        <v>#N/A</v>
      </c>
      <c r="AP590" s="2" t="e">
        <f t="shared" ca="1" si="323"/>
        <v>#N/A</v>
      </c>
      <c r="AQ590" s="2" t="e">
        <f t="shared" ca="1" si="324"/>
        <v>#N/A</v>
      </c>
      <c r="AR590" s="2" t="e">
        <f t="shared" ca="1" si="325"/>
        <v>#N/A</v>
      </c>
      <c r="AS590" s="2" t="e">
        <f t="shared" ca="1" si="326"/>
        <v>#N/A</v>
      </c>
      <c r="AT590" s="9" t="e">
        <f t="shared" ca="1" si="327"/>
        <v>#N/A</v>
      </c>
      <c r="AU590" s="9" t="e">
        <f t="shared" ca="1" si="328"/>
        <v>#N/A</v>
      </c>
      <c r="AV590" s="9"/>
      <c r="AW590" s="2" t="e">
        <f t="shared" ca="1" si="313"/>
        <v>#N/A</v>
      </c>
      <c r="AX590" s="2" t="e">
        <f t="shared" ca="1" si="314"/>
        <v>#N/A</v>
      </c>
      <c r="AY590" s="2" t="e">
        <f t="shared" ca="1" si="315"/>
        <v>#N/A</v>
      </c>
      <c r="AZ590" s="2" t="e">
        <f t="shared" ca="1" si="316"/>
        <v>#N/A</v>
      </c>
      <c r="BA590" s="2" t="e">
        <f t="shared" ca="1" si="317"/>
        <v>#N/A</v>
      </c>
      <c r="BB590" s="2" t="e">
        <f t="shared" ca="1" si="318"/>
        <v>#N/A</v>
      </c>
      <c r="BC590" s="9" t="e">
        <f t="shared" ca="1" si="319"/>
        <v>#N/A</v>
      </c>
      <c r="BD590" s="9" t="e">
        <f t="shared" ca="1" si="320"/>
        <v>#N/A</v>
      </c>
    </row>
    <row r="591" spans="1:56" ht="15" x14ac:dyDescent="0.25">
      <c r="A591" s="63"/>
      <c r="B591" s="63"/>
      <c r="C591" s="64"/>
      <c r="D591" s="64"/>
      <c r="E591" s="64"/>
      <c r="F591" s="64"/>
      <c r="G591" s="64"/>
      <c r="H591" s="64"/>
      <c r="I591" s="64"/>
      <c r="J591" s="64"/>
      <c r="K591" s="64"/>
      <c r="L591" s="64"/>
      <c r="M591" s="64"/>
      <c r="N591" s="16"/>
      <c r="O591" s="11">
        <f t="shared" ca="1" si="306"/>
        <v>-3.9378682616450625E-4</v>
      </c>
      <c r="P591" s="11">
        <f t="shared" ca="1" si="307"/>
        <v>-1.6358405771021967E-4</v>
      </c>
      <c r="Q591" s="11">
        <f t="shared" ca="1" si="308"/>
        <v>-1.614029402377854E-3</v>
      </c>
      <c r="R591" s="11">
        <f t="shared" ca="1" si="309"/>
        <v>-1.4853760121635622E-5</v>
      </c>
      <c r="S591" s="11">
        <f t="shared" ca="1" si="310"/>
        <v>-1.1458026838550334E-3</v>
      </c>
      <c r="T591" s="11">
        <f t="shared" ca="1" si="311"/>
        <v>-4.9053934342410677E-4</v>
      </c>
      <c r="U591" s="11">
        <f t="shared" ca="1" si="312"/>
        <v>-5.5074395654535931E-3</v>
      </c>
      <c r="V591" s="11"/>
      <c r="W591" s="11">
        <f t="shared" ca="1" si="329"/>
        <v>0</v>
      </c>
      <c r="X591" s="2">
        <f t="shared" ca="1" si="330"/>
        <v>-1.6358405771021967E-4</v>
      </c>
      <c r="Y591" s="2">
        <f t="shared" ca="1" si="331"/>
        <v>-1.614029402377854E-3</v>
      </c>
      <c r="Z591" s="11">
        <f t="shared" ca="1" si="332"/>
        <v>-1.4853760121635622E-5</v>
      </c>
      <c r="AA591" s="2">
        <f t="shared" ca="1" si="333"/>
        <v>-1.1458026838550334E-3</v>
      </c>
      <c r="AB591" s="11">
        <f t="shared" ca="1" si="334"/>
        <v>-4.9053934342410677E-4</v>
      </c>
      <c r="AC591" s="2">
        <f t="shared" ca="1" si="335"/>
        <v>-5.5074395654535931E-3</v>
      </c>
      <c r="AF591" s="11">
        <f t="shared" ca="1" si="336"/>
        <v>0</v>
      </c>
      <c r="AG591" s="2">
        <f t="shared" ca="1" si="337"/>
        <v>-1.6358405771021967E-4</v>
      </c>
      <c r="AH591" s="2">
        <f t="shared" ca="1" si="338"/>
        <v>-1.614029402377854E-3</v>
      </c>
      <c r="AI591" s="2">
        <f t="shared" ca="1" si="339"/>
        <v>-1.4853760121635622E-5</v>
      </c>
      <c r="AJ591" s="2">
        <f t="shared" ca="1" si="340"/>
        <v>-1.1458026838550334E-3</v>
      </c>
      <c r="AK591" s="2">
        <f t="shared" ca="1" si="341"/>
        <v>-4.9053934342410677E-4</v>
      </c>
      <c r="AL591" s="2">
        <f t="shared" ca="1" si="342"/>
        <v>-5.5074395654535931E-3</v>
      </c>
      <c r="AN591" s="2" t="e">
        <f t="shared" ca="1" si="321"/>
        <v>#N/A</v>
      </c>
      <c r="AO591" s="2" t="e">
        <f t="shared" ca="1" si="322"/>
        <v>#N/A</v>
      </c>
      <c r="AP591" s="2" t="e">
        <f t="shared" ca="1" si="323"/>
        <v>#N/A</v>
      </c>
      <c r="AQ591" s="2" t="e">
        <f t="shared" ca="1" si="324"/>
        <v>#N/A</v>
      </c>
      <c r="AR591" s="2" t="e">
        <f t="shared" ca="1" si="325"/>
        <v>#N/A</v>
      </c>
      <c r="AS591" s="2" t="e">
        <f t="shared" ca="1" si="326"/>
        <v>#N/A</v>
      </c>
      <c r="AT591" s="9" t="e">
        <f t="shared" ca="1" si="327"/>
        <v>#N/A</v>
      </c>
      <c r="AU591" s="9" t="e">
        <f t="shared" ca="1" si="328"/>
        <v>#N/A</v>
      </c>
      <c r="AV591" s="9"/>
      <c r="AW591" s="2" t="e">
        <f t="shared" ca="1" si="313"/>
        <v>#N/A</v>
      </c>
      <c r="AX591" s="2" t="e">
        <f t="shared" ca="1" si="314"/>
        <v>#N/A</v>
      </c>
      <c r="AY591" s="2" t="e">
        <f t="shared" ca="1" si="315"/>
        <v>#N/A</v>
      </c>
      <c r="AZ591" s="2" t="e">
        <f t="shared" ca="1" si="316"/>
        <v>#N/A</v>
      </c>
      <c r="BA591" s="2" t="e">
        <f t="shared" ca="1" si="317"/>
        <v>#N/A</v>
      </c>
      <c r="BB591" s="2" t="e">
        <f t="shared" ca="1" si="318"/>
        <v>#N/A</v>
      </c>
      <c r="BC591" s="9" t="e">
        <f t="shared" ca="1" si="319"/>
        <v>#N/A</v>
      </c>
      <c r="BD591" s="9" t="e">
        <f t="shared" ca="1" si="320"/>
        <v>#N/A</v>
      </c>
    </row>
    <row r="592" spans="1:56" ht="15" x14ac:dyDescent="0.25">
      <c r="A592" s="63"/>
      <c r="B592" s="63"/>
      <c r="C592" s="64"/>
      <c r="D592" s="64"/>
      <c r="E592" s="64"/>
      <c r="F592" s="64"/>
      <c r="G592" s="64"/>
      <c r="H592" s="64"/>
      <c r="I592" s="64"/>
      <c r="J592" s="64"/>
      <c r="K592" s="64"/>
      <c r="L592" s="64"/>
      <c r="M592" s="64"/>
      <c r="N592" s="16"/>
      <c r="O592" s="11">
        <f t="shared" ca="1" si="306"/>
        <v>-3.9378682616450625E-4</v>
      </c>
      <c r="P592" s="11">
        <f t="shared" ca="1" si="307"/>
        <v>-1.6358405771021967E-4</v>
      </c>
      <c r="Q592" s="11">
        <f t="shared" ca="1" si="308"/>
        <v>-1.614029402377854E-3</v>
      </c>
      <c r="R592" s="11">
        <f t="shared" ca="1" si="309"/>
        <v>-1.4853760121635622E-5</v>
      </c>
      <c r="S592" s="11">
        <f t="shared" ca="1" si="310"/>
        <v>-1.1458026838550334E-3</v>
      </c>
      <c r="T592" s="11">
        <f t="shared" ca="1" si="311"/>
        <v>-4.9053934342410677E-4</v>
      </c>
      <c r="U592" s="11">
        <f t="shared" ca="1" si="312"/>
        <v>-5.5074395654535931E-3</v>
      </c>
      <c r="V592" s="11"/>
      <c r="W592" s="11">
        <f t="shared" ca="1" si="329"/>
        <v>0</v>
      </c>
      <c r="X592" s="2">
        <f t="shared" ca="1" si="330"/>
        <v>-1.6358405771021967E-4</v>
      </c>
      <c r="Y592" s="2">
        <f t="shared" ca="1" si="331"/>
        <v>-1.614029402377854E-3</v>
      </c>
      <c r="Z592" s="11">
        <f t="shared" ca="1" si="332"/>
        <v>-1.4853760121635622E-5</v>
      </c>
      <c r="AA592" s="2">
        <f t="shared" ca="1" si="333"/>
        <v>-1.1458026838550334E-3</v>
      </c>
      <c r="AB592" s="11">
        <f t="shared" ca="1" si="334"/>
        <v>-4.9053934342410677E-4</v>
      </c>
      <c r="AC592" s="2">
        <f t="shared" ca="1" si="335"/>
        <v>-5.5074395654535931E-3</v>
      </c>
      <c r="AF592" s="11">
        <f t="shared" ca="1" si="336"/>
        <v>0</v>
      </c>
      <c r="AG592" s="2">
        <f t="shared" ca="1" si="337"/>
        <v>-1.6358405771021967E-4</v>
      </c>
      <c r="AH592" s="2">
        <f t="shared" ca="1" si="338"/>
        <v>-1.614029402377854E-3</v>
      </c>
      <c r="AI592" s="2">
        <f t="shared" ca="1" si="339"/>
        <v>-1.4853760121635622E-5</v>
      </c>
      <c r="AJ592" s="2">
        <f t="shared" ca="1" si="340"/>
        <v>-1.1458026838550334E-3</v>
      </c>
      <c r="AK592" s="2">
        <f t="shared" ca="1" si="341"/>
        <v>-4.9053934342410677E-4</v>
      </c>
      <c r="AL592" s="2">
        <f t="shared" ca="1" si="342"/>
        <v>-5.5074395654535931E-3</v>
      </c>
      <c r="AN592" s="2" t="e">
        <f t="shared" ca="1" si="321"/>
        <v>#N/A</v>
      </c>
      <c r="AO592" s="2" t="e">
        <f t="shared" ca="1" si="322"/>
        <v>#N/A</v>
      </c>
      <c r="AP592" s="2" t="e">
        <f t="shared" ca="1" si="323"/>
        <v>#N/A</v>
      </c>
      <c r="AQ592" s="2" t="e">
        <f t="shared" ca="1" si="324"/>
        <v>#N/A</v>
      </c>
      <c r="AR592" s="2" t="e">
        <f t="shared" ca="1" si="325"/>
        <v>#N/A</v>
      </c>
      <c r="AS592" s="2" t="e">
        <f t="shared" ca="1" si="326"/>
        <v>#N/A</v>
      </c>
      <c r="AT592" s="9" t="e">
        <f t="shared" ca="1" si="327"/>
        <v>#N/A</v>
      </c>
      <c r="AU592" s="9" t="e">
        <f t="shared" ca="1" si="328"/>
        <v>#N/A</v>
      </c>
      <c r="AV592" s="9"/>
      <c r="AW592" s="2" t="e">
        <f t="shared" ca="1" si="313"/>
        <v>#N/A</v>
      </c>
      <c r="AX592" s="2" t="e">
        <f t="shared" ca="1" si="314"/>
        <v>#N/A</v>
      </c>
      <c r="AY592" s="2" t="e">
        <f t="shared" ca="1" si="315"/>
        <v>#N/A</v>
      </c>
      <c r="AZ592" s="2" t="e">
        <f t="shared" ca="1" si="316"/>
        <v>#N/A</v>
      </c>
      <c r="BA592" s="2" t="e">
        <f t="shared" ca="1" si="317"/>
        <v>#N/A</v>
      </c>
      <c r="BB592" s="2" t="e">
        <f t="shared" ca="1" si="318"/>
        <v>#N/A</v>
      </c>
      <c r="BC592" s="9" t="e">
        <f t="shared" ca="1" si="319"/>
        <v>#N/A</v>
      </c>
      <c r="BD592" s="9" t="e">
        <f t="shared" ca="1" si="320"/>
        <v>#N/A</v>
      </c>
    </row>
    <row r="593" spans="1:56" ht="15" x14ac:dyDescent="0.25">
      <c r="A593" s="63"/>
      <c r="B593" s="63"/>
      <c r="C593" s="64"/>
      <c r="D593" s="64"/>
      <c r="E593" s="64"/>
      <c r="F593" s="64"/>
      <c r="G593" s="64"/>
      <c r="H593" s="64"/>
      <c r="I593" s="64"/>
      <c r="J593" s="64"/>
      <c r="K593" s="64"/>
      <c r="L593" s="64"/>
      <c r="M593" s="64"/>
      <c r="N593" s="16"/>
      <c r="O593" s="11">
        <f t="shared" ca="1" si="306"/>
        <v>-3.9378682616450625E-4</v>
      </c>
      <c r="P593" s="11">
        <f t="shared" ca="1" si="307"/>
        <v>-1.6358405771021967E-4</v>
      </c>
      <c r="Q593" s="11">
        <f t="shared" ca="1" si="308"/>
        <v>-1.614029402377854E-3</v>
      </c>
      <c r="R593" s="11">
        <f t="shared" ca="1" si="309"/>
        <v>-1.4853760121635622E-5</v>
      </c>
      <c r="S593" s="11">
        <f t="shared" ca="1" si="310"/>
        <v>-1.1458026838550334E-3</v>
      </c>
      <c r="T593" s="11">
        <f t="shared" ca="1" si="311"/>
        <v>-4.9053934342410677E-4</v>
      </c>
      <c r="U593" s="11">
        <f t="shared" ca="1" si="312"/>
        <v>-5.5074395654535931E-3</v>
      </c>
      <c r="V593" s="11"/>
      <c r="W593" s="11">
        <f t="shared" ca="1" si="329"/>
        <v>0</v>
      </c>
      <c r="X593" s="2">
        <f t="shared" ca="1" si="330"/>
        <v>-1.6358405771021967E-4</v>
      </c>
      <c r="Y593" s="2">
        <f t="shared" ca="1" si="331"/>
        <v>-1.614029402377854E-3</v>
      </c>
      <c r="Z593" s="11">
        <f t="shared" ca="1" si="332"/>
        <v>-1.4853760121635622E-5</v>
      </c>
      <c r="AA593" s="2">
        <f t="shared" ca="1" si="333"/>
        <v>-1.1458026838550334E-3</v>
      </c>
      <c r="AB593" s="11">
        <f t="shared" ca="1" si="334"/>
        <v>-4.9053934342410677E-4</v>
      </c>
      <c r="AC593" s="2">
        <f t="shared" ca="1" si="335"/>
        <v>-5.5074395654535931E-3</v>
      </c>
      <c r="AF593" s="11">
        <f t="shared" ca="1" si="336"/>
        <v>0</v>
      </c>
      <c r="AG593" s="2">
        <f t="shared" ca="1" si="337"/>
        <v>-1.6358405771021967E-4</v>
      </c>
      <c r="AH593" s="2">
        <f t="shared" ca="1" si="338"/>
        <v>-1.614029402377854E-3</v>
      </c>
      <c r="AI593" s="2">
        <f t="shared" ca="1" si="339"/>
        <v>-1.4853760121635622E-5</v>
      </c>
      <c r="AJ593" s="2">
        <f t="shared" ca="1" si="340"/>
        <v>-1.1458026838550334E-3</v>
      </c>
      <c r="AK593" s="2">
        <f t="shared" ca="1" si="341"/>
        <v>-4.9053934342410677E-4</v>
      </c>
      <c r="AL593" s="2">
        <f t="shared" ca="1" si="342"/>
        <v>-5.5074395654535931E-3</v>
      </c>
      <c r="AN593" s="2" t="e">
        <f t="shared" ca="1" si="321"/>
        <v>#N/A</v>
      </c>
      <c r="AO593" s="2" t="e">
        <f t="shared" ca="1" si="322"/>
        <v>#N/A</v>
      </c>
      <c r="AP593" s="2" t="e">
        <f t="shared" ca="1" si="323"/>
        <v>#N/A</v>
      </c>
      <c r="AQ593" s="2" t="e">
        <f t="shared" ca="1" si="324"/>
        <v>#N/A</v>
      </c>
      <c r="AR593" s="2" t="e">
        <f t="shared" ca="1" si="325"/>
        <v>#N/A</v>
      </c>
      <c r="AS593" s="2" t="e">
        <f t="shared" ca="1" si="326"/>
        <v>#N/A</v>
      </c>
      <c r="AT593" s="9" t="e">
        <f t="shared" ca="1" si="327"/>
        <v>#N/A</v>
      </c>
      <c r="AU593" s="9" t="e">
        <f t="shared" ca="1" si="328"/>
        <v>#N/A</v>
      </c>
      <c r="AV593" s="9"/>
      <c r="AW593" s="2" t="e">
        <f t="shared" ca="1" si="313"/>
        <v>#N/A</v>
      </c>
      <c r="AX593" s="2" t="e">
        <f t="shared" ca="1" si="314"/>
        <v>#N/A</v>
      </c>
      <c r="AY593" s="2" t="e">
        <f t="shared" ca="1" si="315"/>
        <v>#N/A</v>
      </c>
      <c r="AZ593" s="2" t="e">
        <f t="shared" ca="1" si="316"/>
        <v>#N/A</v>
      </c>
      <c r="BA593" s="2" t="e">
        <f t="shared" ca="1" si="317"/>
        <v>#N/A</v>
      </c>
      <c r="BB593" s="2" t="e">
        <f t="shared" ca="1" si="318"/>
        <v>#N/A</v>
      </c>
      <c r="BC593" s="9" t="e">
        <f t="shared" ca="1" si="319"/>
        <v>#N/A</v>
      </c>
      <c r="BD593" s="9" t="e">
        <f t="shared" ca="1" si="320"/>
        <v>#N/A</v>
      </c>
    </row>
    <row r="594" spans="1:56" ht="15" x14ac:dyDescent="0.25">
      <c r="A594" s="63"/>
      <c r="B594" s="63"/>
      <c r="C594" s="64"/>
      <c r="D594" s="64"/>
      <c r="E594" s="64"/>
      <c r="F594" s="64"/>
      <c r="G594" s="64"/>
      <c r="H594" s="64"/>
      <c r="I594" s="64"/>
      <c r="J594" s="64"/>
      <c r="K594" s="64"/>
      <c r="L594" s="64"/>
      <c r="M594" s="64"/>
      <c r="N594" s="16"/>
      <c r="O594" s="11">
        <f t="shared" ref="O594:O657" ca="1" si="343">C594-AVERAGE(OFFSET(C$67,$J$2,0,$J$3))</f>
        <v>-3.9378682616450625E-4</v>
      </c>
      <c r="P594" s="11">
        <f t="shared" ref="P594:P657" ca="1" si="344">D594-AVERAGE(OFFSET(D$67,$J$2,0,$J$3))</f>
        <v>-1.6358405771021967E-4</v>
      </c>
      <c r="Q594" s="11">
        <f t="shared" ref="Q594:Q657" ca="1" si="345">E594-AVERAGE(OFFSET(E$67,$J$2,0,$J$3))</f>
        <v>-1.614029402377854E-3</v>
      </c>
      <c r="R594" s="11">
        <f t="shared" ref="R594:R657" ca="1" si="346">F594-AVERAGE(OFFSET(F$67,$J$2,0,$J$3))</f>
        <v>-1.4853760121635622E-5</v>
      </c>
      <c r="S594" s="11">
        <f t="shared" ref="S594:S657" ca="1" si="347">G594-AVERAGE(OFFSET(G$67,$J$2,0,$J$3))</f>
        <v>-1.1458026838550334E-3</v>
      </c>
      <c r="T594" s="11">
        <f t="shared" ref="T594:T657" ca="1" si="348">H594-AVERAGE(OFFSET(H$67,$J$2,0,$J$3))</f>
        <v>-4.9053934342410677E-4</v>
      </c>
      <c r="U594" s="11">
        <f t="shared" ref="U594:U657" ca="1" si="349">I594-AVERAGE(OFFSET(I$67,$J$2,0,$J$3))</f>
        <v>-5.5074395654535931E-3</v>
      </c>
      <c r="V594" s="11"/>
      <c r="W594" s="11">
        <f t="shared" ca="1" si="329"/>
        <v>0</v>
      </c>
      <c r="X594" s="2">
        <f t="shared" ca="1" si="330"/>
        <v>-1.6358405771021967E-4</v>
      </c>
      <c r="Y594" s="2">
        <f t="shared" ca="1" si="331"/>
        <v>-1.614029402377854E-3</v>
      </c>
      <c r="Z594" s="11">
        <f t="shared" ca="1" si="332"/>
        <v>-1.4853760121635622E-5</v>
      </c>
      <c r="AA594" s="2">
        <f t="shared" ca="1" si="333"/>
        <v>-1.1458026838550334E-3</v>
      </c>
      <c r="AB594" s="11">
        <f t="shared" ca="1" si="334"/>
        <v>-4.9053934342410677E-4</v>
      </c>
      <c r="AC594" s="2">
        <f t="shared" ca="1" si="335"/>
        <v>-5.5074395654535931E-3</v>
      </c>
      <c r="AF594" s="11">
        <f t="shared" ca="1" si="336"/>
        <v>0</v>
      </c>
      <c r="AG594" s="2">
        <f t="shared" ca="1" si="337"/>
        <v>-1.6358405771021967E-4</v>
      </c>
      <c r="AH594" s="2">
        <f t="shared" ca="1" si="338"/>
        <v>-1.614029402377854E-3</v>
      </c>
      <c r="AI594" s="2">
        <f t="shared" ca="1" si="339"/>
        <v>-1.4853760121635622E-5</v>
      </c>
      <c r="AJ594" s="2">
        <f t="shared" ca="1" si="340"/>
        <v>-1.1458026838550334E-3</v>
      </c>
      <c r="AK594" s="2">
        <f t="shared" ca="1" si="341"/>
        <v>-4.9053934342410677E-4</v>
      </c>
      <c r="AL594" s="2">
        <f t="shared" ca="1" si="342"/>
        <v>-5.5074395654535931E-3</v>
      </c>
      <c r="AN594" s="2" t="e">
        <f t="shared" ca="1" si="321"/>
        <v>#N/A</v>
      </c>
      <c r="AO594" s="2" t="e">
        <f t="shared" ca="1" si="322"/>
        <v>#N/A</v>
      </c>
      <c r="AP594" s="2" t="e">
        <f t="shared" ca="1" si="323"/>
        <v>#N/A</v>
      </c>
      <c r="AQ594" s="2" t="e">
        <f t="shared" ca="1" si="324"/>
        <v>#N/A</v>
      </c>
      <c r="AR594" s="2" t="e">
        <f t="shared" ca="1" si="325"/>
        <v>#N/A</v>
      </c>
      <c r="AS594" s="2" t="e">
        <f t="shared" ca="1" si="326"/>
        <v>#N/A</v>
      </c>
      <c r="AT594" s="9" t="e">
        <f t="shared" ca="1" si="327"/>
        <v>#N/A</v>
      </c>
      <c r="AU594" s="9" t="e">
        <f t="shared" ca="1" si="328"/>
        <v>#N/A</v>
      </c>
      <c r="AV594" s="9"/>
      <c r="AW594" s="2" t="e">
        <f t="shared" ca="1" si="313"/>
        <v>#N/A</v>
      </c>
      <c r="AX594" s="2" t="e">
        <f t="shared" ca="1" si="314"/>
        <v>#N/A</v>
      </c>
      <c r="AY594" s="2" t="e">
        <f t="shared" ca="1" si="315"/>
        <v>#N/A</v>
      </c>
      <c r="AZ594" s="2" t="e">
        <f t="shared" ca="1" si="316"/>
        <v>#N/A</v>
      </c>
      <c r="BA594" s="2" t="e">
        <f t="shared" ca="1" si="317"/>
        <v>#N/A</v>
      </c>
      <c r="BB594" s="2" t="e">
        <f t="shared" ca="1" si="318"/>
        <v>#N/A</v>
      </c>
      <c r="BC594" s="9" t="e">
        <f t="shared" ca="1" si="319"/>
        <v>#N/A</v>
      </c>
      <c r="BD594" s="9" t="e">
        <f t="shared" ca="1" si="320"/>
        <v>#N/A</v>
      </c>
    </row>
    <row r="595" spans="1:56" ht="15" x14ac:dyDescent="0.25">
      <c r="A595" s="63"/>
      <c r="B595" s="63"/>
      <c r="C595" s="64"/>
      <c r="D595" s="64"/>
      <c r="E595" s="64"/>
      <c r="F595" s="64"/>
      <c r="G595" s="64"/>
      <c r="H595" s="64"/>
      <c r="I595" s="64"/>
      <c r="J595" s="64"/>
      <c r="K595" s="64"/>
      <c r="L595" s="64"/>
      <c r="M595" s="64"/>
      <c r="N595" s="16"/>
      <c r="O595" s="11">
        <f t="shared" ca="1" si="343"/>
        <v>-3.9378682616450625E-4</v>
      </c>
      <c r="P595" s="11">
        <f t="shared" ca="1" si="344"/>
        <v>-1.6358405771021967E-4</v>
      </c>
      <c r="Q595" s="11">
        <f t="shared" ca="1" si="345"/>
        <v>-1.614029402377854E-3</v>
      </c>
      <c r="R595" s="11">
        <f t="shared" ca="1" si="346"/>
        <v>-1.4853760121635622E-5</v>
      </c>
      <c r="S595" s="11">
        <f t="shared" ca="1" si="347"/>
        <v>-1.1458026838550334E-3</v>
      </c>
      <c r="T595" s="11">
        <f t="shared" ca="1" si="348"/>
        <v>-4.9053934342410677E-4</v>
      </c>
      <c r="U595" s="11">
        <f t="shared" ca="1" si="349"/>
        <v>-5.5074395654535931E-3</v>
      </c>
      <c r="V595" s="11"/>
      <c r="W595" s="11">
        <f t="shared" ca="1" si="329"/>
        <v>0</v>
      </c>
      <c r="X595" s="2">
        <f t="shared" ca="1" si="330"/>
        <v>-1.6358405771021967E-4</v>
      </c>
      <c r="Y595" s="2">
        <f t="shared" ca="1" si="331"/>
        <v>-1.614029402377854E-3</v>
      </c>
      <c r="Z595" s="11">
        <f t="shared" ca="1" si="332"/>
        <v>-1.4853760121635622E-5</v>
      </c>
      <c r="AA595" s="2">
        <f t="shared" ca="1" si="333"/>
        <v>-1.1458026838550334E-3</v>
      </c>
      <c r="AB595" s="11">
        <f t="shared" ca="1" si="334"/>
        <v>-4.9053934342410677E-4</v>
      </c>
      <c r="AC595" s="2">
        <f t="shared" ca="1" si="335"/>
        <v>-5.5074395654535931E-3</v>
      </c>
      <c r="AF595" s="11">
        <f t="shared" ca="1" si="336"/>
        <v>0</v>
      </c>
      <c r="AG595" s="2">
        <f t="shared" ca="1" si="337"/>
        <v>-1.6358405771021967E-4</v>
      </c>
      <c r="AH595" s="2">
        <f t="shared" ca="1" si="338"/>
        <v>-1.614029402377854E-3</v>
      </c>
      <c r="AI595" s="2">
        <f t="shared" ca="1" si="339"/>
        <v>-1.4853760121635622E-5</v>
      </c>
      <c r="AJ595" s="2">
        <f t="shared" ca="1" si="340"/>
        <v>-1.1458026838550334E-3</v>
      </c>
      <c r="AK595" s="2">
        <f t="shared" ca="1" si="341"/>
        <v>-4.9053934342410677E-4</v>
      </c>
      <c r="AL595" s="2">
        <f t="shared" ca="1" si="342"/>
        <v>-5.5074395654535931E-3</v>
      </c>
      <c r="AN595" s="2" t="e">
        <f t="shared" ca="1" si="321"/>
        <v>#N/A</v>
      </c>
      <c r="AO595" s="2" t="e">
        <f t="shared" ca="1" si="322"/>
        <v>#N/A</v>
      </c>
      <c r="AP595" s="2" t="e">
        <f t="shared" ca="1" si="323"/>
        <v>#N/A</v>
      </c>
      <c r="AQ595" s="2" t="e">
        <f t="shared" ca="1" si="324"/>
        <v>#N/A</v>
      </c>
      <c r="AR595" s="2" t="e">
        <f t="shared" ca="1" si="325"/>
        <v>#N/A</v>
      </c>
      <c r="AS595" s="2" t="e">
        <f t="shared" ca="1" si="326"/>
        <v>#N/A</v>
      </c>
      <c r="AT595" s="9" t="e">
        <f t="shared" ca="1" si="327"/>
        <v>#N/A</v>
      </c>
      <c r="AU595" s="9" t="e">
        <f t="shared" ca="1" si="328"/>
        <v>#N/A</v>
      </c>
      <c r="AV595" s="9"/>
      <c r="AW595" s="2" t="e">
        <f t="shared" ca="1" si="313"/>
        <v>#N/A</v>
      </c>
      <c r="AX595" s="2" t="e">
        <f t="shared" ca="1" si="314"/>
        <v>#N/A</v>
      </c>
      <c r="AY595" s="2" t="e">
        <f t="shared" ca="1" si="315"/>
        <v>#N/A</v>
      </c>
      <c r="AZ595" s="2" t="e">
        <f t="shared" ca="1" si="316"/>
        <v>#N/A</v>
      </c>
      <c r="BA595" s="2" t="e">
        <f t="shared" ca="1" si="317"/>
        <v>#N/A</v>
      </c>
      <c r="BB595" s="2" t="e">
        <f t="shared" ca="1" si="318"/>
        <v>#N/A</v>
      </c>
      <c r="BC595" s="9" t="e">
        <f t="shared" ca="1" si="319"/>
        <v>#N/A</v>
      </c>
      <c r="BD595" s="9" t="e">
        <f t="shared" ca="1" si="320"/>
        <v>#N/A</v>
      </c>
    </row>
    <row r="596" spans="1:56" ht="15" x14ac:dyDescent="0.25">
      <c r="A596" s="63"/>
      <c r="B596" s="63"/>
      <c r="C596" s="64"/>
      <c r="D596" s="64"/>
      <c r="E596" s="64"/>
      <c r="F596" s="64"/>
      <c r="G596" s="64"/>
      <c r="H596" s="64"/>
      <c r="I596" s="64"/>
      <c r="J596" s="64"/>
      <c r="K596" s="64"/>
      <c r="L596" s="64"/>
      <c r="M596" s="64"/>
      <c r="N596" s="16"/>
      <c r="O596" s="11">
        <f t="shared" ca="1" si="343"/>
        <v>-3.9378682616450625E-4</v>
      </c>
      <c r="P596" s="11">
        <f t="shared" ca="1" si="344"/>
        <v>-1.6358405771021967E-4</v>
      </c>
      <c r="Q596" s="11">
        <f t="shared" ca="1" si="345"/>
        <v>-1.614029402377854E-3</v>
      </c>
      <c r="R596" s="11">
        <f t="shared" ca="1" si="346"/>
        <v>-1.4853760121635622E-5</v>
      </c>
      <c r="S596" s="11">
        <f t="shared" ca="1" si="347"/>
        <v>-1.1458026838550334E-3</v>
      </c>
      <c r="T596" s="11">
        <f t="shared" ca="1" si="348"/>
        <v>-4.9053934342410677E-4</v>
      </c>
      <c r="U596" s="11">
        <f t="shared" ca="1" si="349"/>
        <v>-5.5074395654535931E-3</v>
      </c>
      <c r="V596" s="11"/>
      <c r="W596" s="11">
        <f t="shared" ca="1" si="329"/>
        <v>0</v>
      </c>
      <c r="X596" s="2">
        <f t="shared" ca="1" si="330"/>
        <v>-1.6358405771021967E-4</v>
      </c>
      <c r="Y596" s="2">
        <f t="shared" ca="1" si="331"/>
        <v>-1.614029402377854E-3</v>
      </c>
      <c r="Z596" s="11">
        <f t="shared" ca="1" si="332"/>
        <v>-1.4853760121635622E-5</v>
      </c>
      <c r="AA596" s="2">
        <f t="shared" ca="1" si="333"/>
        <v>-1.1458026838550334E-3</v>
      </c>
      <c r="AB596" s="11">
        <f t="shared" ca="1" si="334"/>
        <v>-4.9053934342410677E-4</v>
      </c>
      <c r="AC596" s="2">
        <f t="shared" ca="1" si="335"/>
        <v>-5.5074395654535931E-3</v>
      </c>
      <c r="AF596" s="11">
        <f t="shared" ca="1" si="336"/>
        <v>0</v>
      </c>
      <c r="AG596" s="2">
        <f t="shared" ca="1" si="337"/>
        <v>-1.6358405771021967E-4</v>
      </c>
      <c r="AH596" s="2">
        <f t="shared" ca="1" si="338"/>
        <v>-1.614029402377854E-3</v>
      </c>
      <c r="AI596" s="2">
        <f t="shared" ca="1" si="339"/>
        <v>-1.4853760121635622E-5</v>
      </c>
      <c r="AJ596" s="2">
        <f t="shared" ca="1" si="340"/>
        <v>-1.1458026838550334E-3</v>
      </c>
      <c r="AK596" s="2">
        <f t="shared" ca="1" si="341"/>
        <v>-4.9053934342410677E-4</v>
      </c>
      <c r="AL596" s="2">
        <f t="shared" ca="1" si="342"/>
        <v>-5.5074395654535931E-3</v>
      </c>
      <c r="AN596" s="2" t="e">
        <f t="shared" ca="1" si="321"/>
        <v>#N/A</v>
      </c>
      <c r="AO596" s="2" t="e">
        <f t="shared" ca="1" si="322"/>
        <v>#N/A</v>
      </c>
      <c r="AP596" s="2" t="e">
        <f t="shared" ca="1" si="323"/>
        <v>#N/A</v>
      </c>
      <c r="AQ596" s="2" t="e">
        <f t="shared" ca="1" si="324"/>
        <v>#N/A</v>
      </c>
      <c r="AR596" s="2" t="e">
        <f t="shared" ca="1" si="325"/>
        <v>#N/A</v>
      </c>
      <c r="AS596" s="2" t="e">
        <f t="shared" ca="1" si="326"/>
        <v>#N/A</v>
      </c>
      <c r="AT596" s="9" t="e">
        <f t="shared" ca="1" si="327"/>
        <v>#N/A</v>
      </c>
      <c r="AU596" s="9" t="e">
        <f t="shared" ca="1" si="328"/>
        <v>#N/A</v>
      </c>
      <c r="AV596" s="9"/>
      <c r="AW596" s="2" t="e">
        <f t="shared" ca="1" si="313"/>
        <v>#N/A</v>
      </c>
      <c r="AX596" s="2" t="e">
        <f t="shared" ca="1" si="314"/>
        <v>#N/A</v>
      </c>
      <c r="AY596" s="2" t="e">
        <f t="shared" ca="1" si="315"/>
        <v>#N/A</v>
      </c>
      <c r="AZ596" s="2" t="e">
        <f t="shared" ca="1" si="316"/>
        <v>#N/A</v>
      </c>
      <c r="BA596" s="2" t="e">
        <f t="shared" ca="1" si="317"/>
        <v>#N/A</v>
      </c>
      <c r="BB596" s="2" t="e">
        <f t="shared" ca="1" si="318"/>
        <v>#N/A</v>
      </c>
      <c r="BC596" s="9" t="e">
        <f t="shared" ca="1" si="319"/>
        <v>#N/A</v>
      </c>
      <c r="BD596" s="9" t="e">
        <f t="shared" ca="1" si="320"/>
        <v>#N/A</v>
      </c>
    </row>
    <row r="597" spans="1:56" ht="15" x14ac:dyDescent="0.25">
      <c r="A597" s="63"/>
      <c r="B597" s="63"/>
      <c r="C597" s="64"/>
      <c r="D597" s="64"/>
      <c r="E597" s="64"/>
      <c r="F597" s="64"/>
      <c r="G597" s="64"/>
      <c r="H597" s="64"/>
      <c r="I597" s="64"/>
      <c r="J597" s="64"/>
      <c r="K597" s="64"/>
      <c r="L597" s="64"/>
      <c r="M597" s="64"/>
      <c r="N597" s="16"/>
      <c r="O597" s="11">
        <f t="shared" ca="1" si="343"/>
        <v>-3.9378682616450625E-4</v>
      </c>
      <c r="P597" s="11">
        <f t="shared" ca="1" si="344"/>
        <v>-1.6358405771021967E-4</v>
      </c>
      <c r="Q597" s="11">
        <f t="shared" ca="1" si="345"/>
        <v>-1.614029402377854E-3</v>
      </c>
      <c r="R597" s="11">
        <f t="shared" ca="1" si="346"/>
        <v>-1.4853760121635622E-5</v>
      </c>
      <c r="S597" s="11">
        <f t="shared" ca="1" si="347"/>
        <v>-1.1458026838550334E-3</v>
      </c>
      <c r="T597" s="11">
        <f t="shared" ca="1" si="348"/>
        <v>-4.9053934342410677E-4</v>
      </c>
      <c r="U597" s="11">
        <f t="shared" ca="1" si="349"/>
        <v>-5.5074395654535931E-3</v>
      </c>
      <c r="V597" s="11"/>
      <c r="W597" s="11">
        <f t="shared" ca="1" si="329"/>
        <v>0</v>
      </c>
      <c r="X597" s="2">
        <f t="shared" ca="1" si="330"/>
        <v>-1.6358405771021967E-4</v>
      </c>
      <c r="Y597" s="2">
        <f t="shared" ca="1" si="331"/>
        <v>-1.614029402377854E-3</v>
      </c>
      <c r="Z597" s="11">
        <f t="shared" ca="1" si="332"/>
        <v>-1.4853760121635622E-5</v>
      </c>
      <c r="AA597" s="2">
        <f t="shared" ca="1" si="333"/>
        <v>-1.1458026838550334E-3</v>
      </c>
      <c r="AB597" s="11">
        <f t="shared" ca="1" si="334"/>
        <v>-4.9053934342410677E-4</v>
      </c>
      <c r="AC597" s="2">
        <f t="shared" ca="1" si="335"/>
        <v>-5.5074395654535931E-3</v>
      </c>
      <c r="AF597" s="11">
        <f t="shared" ca="1" si="336"/>
        <v>0</v>
      </c>
      <c r="AG597" s="2">
        <f t="shared" ca="1" si="337"/>
        <v>-1.6358405771021967E-4</v>
      </c>
      <c r="AH597" s="2">
        <f t="shared" ca="1" si="338"/>
        <v>-1.614029402377854E-3</v>
      </c>
      <c r="AI597" s="2">
        <f t="shared" ca="1" si="339"/>
        <v>-1.4853760121635622E-5</v>
      </c>
      <c r="AJ597" s="2">
        <f t="shared" ca="1" si="340"/>
        <v>-1.1458026838550334E-3</v>
      </c>
      <c r="AK597" s="2">
        <f t="shared" ca="1" si="341"/>
        <v>-4.9053934342410677E-4</v>
      </c>
      <c r="AL597" s="2">
        <f t="shared" ca="1" si="342"/>
        <v>-5.5074395654535931E-3</v>
      </c>
      <c r="AN597" s="2" t="e">
        <f t="shared" ca="1" si="321"/>
        <v>#N/A</v>
      </c>
      <c r="AO597" s="2" t="e">
        <f t="shared" ca="1" si="322"/>
        <v>#N/A</v>
      </c>
      <c r="AP597" s="2" t="e">
        <f t="shared" ca="1" si="323"/>
        <v>#N/A</v>
      </c>
      <c r="AQ597" s="2" t="e">
        <f t="shared" ca="1" si="324"/>
        <v>#N/A</v>
      </c>
      <c r="AR597" s="2" t="e">
        <f t="shared" ca="1" si="325"/>
        <v>#N/A</v>
      </c>
      <c r="AS597" s="2" t="e">
        <f t="shared" ca="1" si="326"/>
        <v>#N/A</v>
      </c>
      <c r="AT597" s="9" t="e">
        <f t="shared" ca="1" si="327"/>
        <v>#N/A</v>
      </c>
      <c r="AU597" s="9" t="e">
        <f t="shared" ca="1" si="328"/>
        <v>#N/A</v>
      </c>
      <c r="AV597" s="9"/>
      <c r="AW597" s="2" t="e">
        <f t="shared" ca="1" si="313"/>
        <v>#N/A</v>
      </c>
      <c r="AX597" s="2" t="e">
        <f t="shared" ca="1" si="314"/>
        <v>#N/A</v>
      </c>
      <c r="AY597" s="2" t="e">
        <f t="shared" ca="1" si="315"/>
        <v>#N/A</v>
      </c>
      <c r="AZ597" s="2" t="e">
        <f t="shared" ca="1" si="316"/>
        <v>#N/A</v>
      </c>
      <c r="BA597" s="2" t="e">
        <f t="shared" ca="1" si="317"/>
        <v>#N/A</v>
      </c>
      <c r="BB597" s="2" t="e">
        <f t="shared" ca="1" si="318"/>
        <v>#N/A</v>
      </c>
      <c r="BC597" s="9" t="e">
        <f t="shared" ca="1" si="319"/>
        <v>#N/A</v>
      </c>
      <c r="BD597" s="9" t="e">
        <f t="shared" ca="1" si="320"/>
        <v>#N/A</v>
      </c>
    </row>
    <row r="598" spans="1:56" ht="15" x14ac:dyDescent="0.25">
      <c r="A598" s="63"/>
      <c r="B598" s="63"/>
      <c r="C598" s="64"/>
      <c r="D598" s="64"/>
      <c r="E598" s="64"/>
      <c r="F598" s="64"/>
      <c r="G598" s="64"/>
      <c r="H598" s="64"/>
      <c r="I598" s="64"/>
      <c r="J598" s="64"/>
      <c r="K598" s="64"/>
      <c r="L598" s="64"/>
      <c r="M598" s="64"/>
      <c r="N598" s="16"/>
      <c r="O598" s="11">
        <f t="shared" ca="1" si="343"/>
        <v>-3.9378682616450625E-4</v>
      </c>
      <c r="P598" s="11">
        <f t="shared" ca="1" si="344"/>
        <v>-1.6358405771021967E-4</v>
      </c>
      <c r="Q598" s="11">
        <f t="shared" ca="1" si="345"/>
        <v>-1.614029402377854E-3</v>
      </c>
      <c r="R598" s="11">
        <f t="shared" ca="1" si="346"/>
        <v>-1.4853760121635622E-5</v>
      </c>
      <c r="S598" s="11">
        <f t="shared" ca="1" si="347"/>
        <v>-1.1458026838550334E-3</v>
      </c>
      <c r="T598" s="11">
        <f t="shared" ca="1" si="348"/>
        <v>-4.9053934342410677E-4</v>
      </c>
      <c r="U598" s="11">
        <f t="shared" ca="1" si="349"/>
        <v>-5.5074395654535931E-3</v>
      </c>
      <c r="V598" s="11"/>
      <c r="W598" s="11">
        <f t="shared" ca="1" si="329"/>
        <v>0</v>
      </c>
      <c r="X598" s="2">
        <f t="shared" ca="1" si="330"/>
        <v>-1.6358405771021967E-4</v>
      </c>
      <c r="Y598" s="2">
        <f t="shared" ca="1" si="331"/>
        <v>-1.614029402377854E-3</v>
      </c>
      <c r="Z598" s="11">
        <f t="shared" ca="1" si="332"/>
        <v>-1.4853760121635622E-5</v>
      </c>
      <c r="AA598" s="2">
        <f t="shared" ca="1" si="333"/>
        <v>-1.1458026838550334E-3</v>
      </c>
      <c r="AB598" s="11">
        <f t="shared" ca="1" si="334"/>
        <v>-4.9053934342410677E-4</v>
      </c>
      <c r="AC598" s="2">
        <f t="shared" ca="1" si="335"/>
        <v>-5.5074395654535931E-3</v>
      </c>
      <c r="AF598" s="11">
        <f t="shared" ca="1" si="336"/>
        <v>0</v>
      </c>
      <c r="AG598" s="2">
        <f t="shared" ca="1" si="337"/>
        <v>-1.6358405771021967E-4</v>
      </c>
      <c r="AH598" s="2">
        <f t="shared" ca="1" si="338"/>
        <v>-1.614029402377854E-3</v>
      </c>
      <c r="AI598" s="2">
        <f t="shared" ca="1" si="339"/>
        <v>-1.4853760121635622E-5</v>
      </c>
      <c r="AJ598" s="2">
        <f t="shared" ca="1" si="340"/>
        <v>-1.1458026838550334E-3</v>
      </c>
      <c r="AK598" s="2">
        <f t="shared" ca="1" si="341"/>
        <v>-4.9053934342410677E-4</v>
      </c>
      <c r="AL598" s="2">
        <f t="shared" ca="1" si="342"/>
        <v>-5.5074395654535931E-3</v>
      </c>
      <c r="AN598" s="2" t="e">
        <f t="shared" ca="1" si="321"/>
        <v>#N/A</v>
      </c>
      <c r="AO598" s="2" t="e">
        <f t="shared" ca="1" si="322"/>
        <v>#N/A</v>
      </c>
      <c r="AP598" s="2" t="e">
        <f t="shared" ca="1" si="323"/>
        <v>#N/A</v>
      </c>
      <c r="AQ598" s="2" t="e">
        <f t="shared" ca="1" si="324"/>
        <v>#N/A</v>
      </c>
      <c r="AR598" s="2" t="e">
        <f t="shared" ca="1" si="325"/>
        <v>#N/A</v>
      </c>
      <c r="AS598" s="2" t="e">
        <f t="shared" ca="1" si="326"/>
        <v>#N/A</v>
      </c>
      <c r="AT598" s="9" t="e">
        <f t="shared" ca="1" si="327"/>
        <v>#N/A</v>
      </c>
      <c r="AU598" s="9" t="e">
        <f t="shared" ca="1" si="328"/>
        <v>#N/A</v>
      </c>
      <c r="AV598" s="9"/>
      <c r="AW598" s="2" t="e">
        <f t="shared" ca="1" si="313"/>
        <v>#N/A</v>
      </c>
      <c r="AX598" s="2" t="e">
        <f t="shared" ca="1" si="314"/>
        <v>#N/A</v>
      </c>
      <c r="AY598" s="2" t="e">
        <f t="shared" ca="1" si="315"/>
        <v>#N/A</v>
      </c>
      <c r="AZ598" s="2" t="e">
        <f t="shared" ca="1" si="316"/>
        <v>#N/A</v>
      </c>
      <c r="BA598" s="2" t="e">
        <f t="shared" ca="1" si="317"/>
        <v>#N/A</v>
      </c>
      <c r="BB598" s="2" t="e">
        <f t="shared" ca="1" si="318"/>
        <v>#N/A</v>
      </c>
      <c r="BC598" s="9" t="e">
        <f t="shared" ca="1" si="319"/>
        <v>#N/A</v>
      </c>
      <c r="BD598" s="9" t="e">
        <f t="shared" ca="1" si="320"/>
        <v>#N/A</v>
      </c>
    </row>
    <row r="599" spans="1:56" ht="15" x14ac:dyDescent="0.25">
      <c r="A599" s="63"/>
      <c r="B599" s="63"/>
      <c r="C599" s="64"/>
      <c r="D599" s="64"/>
      <c r="E599" s="64"/>
      <c r="F599" s="64"/>
      <c r="G599" s="64"/>
      <c r="H599" s="64"/>
      <c r="I599" s="64"/>
      <c r="J599" s="64"/>
      <c r="K599" s="64"/>
      <c r="L599" s="64"/>
      <c r="M599" s="64"/>
      <c r="N599" s="16"/>
      <c r="O599" s="11">
        <f t="shared" ca="1" si="343"/>
        <v>-3.9378682616450625E-4</v>
      </c>
      <c r="P599" s="11">
        <f t="shared" ca="1" si="344"/>
        <v>-1.6358405771021967E-4</v>
      </c>
      <c r="Q599" s="11">
        <f t="shared" ca="1" si="345"/>
        <v>-1.614029402377854E-3</v>
      </c>
      <c r="R599" s="11">
        <f t="shared" ca="1" si="346"/>
        <v>-1.4853760121635622E-5</v>
      </c>
      <c r="S599" s="11">
        <f t="shared" ca="1" si="347"/>
        <v>-1.1458026838550334E-3</v>
      </c>
      <c r="T599" s="11">
        <f t="shared" ca="1" si="348"/>
        <v>-4.9053934342410677E-4</v>
      </c>
      <c r="U599" s="11">
        <f t="shared" ca="1" si="349"/>
        <v>-5.5074395654535931E-3</v>
      </c>
      <c r="V599" s="11"/>
      <c r="W599" s="11">
        <f t="shared" ca="1" si="329"/>
        <v>0</v>
      </c>
      <c r="X599" s="2">
        <f t="shared" ca="1" si="330"/>
        <v>-1.6358405771021967E-4</v>
      </c>
      <c r="Y599" s="2">
        <f t="shared" ca="1" si="331"/>
        <v>-1.614029402377854E-3</v>
      </c>
      <c r="Z599" s="11">
        <f t="shared" ca="1" si="332"/>
        <v>-1.4853760121635622E-5</v>
      </c>
      <c r="AA599" s="2">
        <f t="shared" ca="1" si="333"/>
        <v>-1.1458026838550334E-3</v>
      </c>
      <c r="AB599" s="11">
        <f t="shared" ca="1" si="334"/>
        <v>-4.9053934342410677E-4</v>
      </c>
      <c r="AC599" s="2">
        <f t="shared" ca="1" si="335"/>
        <v>-5.5074395654535931E-3</v>
      </c>
      <c r="AF599" s="11">
        <f t="shared" ca="1" si="336"/>
        <v>0</v>
      </c>
      <c r="AG599" s="2">
        <f t="shared" ca="1" si="337"/>
        <v>-1.6358405771021967E-4</v>
      </c>
      <c r="AH599" s="2">
        <f t="shared" ca="1" si="338"/>
        <v>-1.614029402377854E-3</v>
      </c>
      <c r="AI599" s="2">
        <f t="shared" ca="1" si="339"/>
        <v>-1.4853760121635622E-5</v>
      </c>
      <c r="AJ599" s="2">
        <f t="shared" ca="1" si="340"/>
        <v>-1.1458026838550334E-3</v>
      </c>
      <c r="AK599" s="2">
        <f t="shared" ca="1" si="341"/>
        <v>-4.9053934342410677E-4</v>
      </c>
      <c r="AL599" s="2">
        <f t="shared" ca="1" si="342"/>
        <v>-5.5074395654535931E-3</v>
      </c>
      <c r="AN599" s="2" t="e">
        <f t="shared" ca="1" si="321"/>
        <v>#N/A</v>
      </c>
      <c r="AO599" s="2" t="e">
        <f t="shared" ca="1" si="322"/>
        <v>#N/A</v>
      </c>
      <c r="AP599" s="2" t="e">
        <f t="shared" ca="1" si="323"/>
        <v>#N/A</v>
      </c>
      <c r="AQ599" s="2" t="e">
        <f t="shared" ca="1" si="324"/>
        <v>#N/A</v>
      </c>
      <c r="AR599" s="2" t="e">
        <f t="shared" ca="1" si="325"/>
        <v>#N/A</v>
      </c>
      <c r="AS599" s="2" t="e">
        <f t="shared" ca="1" si="326"/>
        <v>#N/A</v>
      </c>
      <c r="AT599" s="9" t="e">
        <f t="shared" ca="1" si="327"/>
        <v>#N/A</v>
      </c>
      <c r="AU599" s="9" t="e">
        <f t="shared" ca="1" si="328"/>
        <v>#N/A</v>
      </c>
      <c r="AV599" s="9"/>
      <c r="AW599" s="2" t="e">
        <f t="shared" ref="AW599:AW662" ca="1" si="350">IF(AND(AL599&gt;0, AJ599&gt;0), AL599/AJ599, #N/A)</f>
        <v>#N/A</v>
      </c>
      <c r="AX599" s="2" t="e">
        <f t="shared" ref="AX599:AX662" ca="1" si="351">$B$8*((AW599/$B$10)^$B$11)</f>
        <v>#N/A</v>
      </c>
      <c r="AY599" s="2" t="e">
        <f t="shared" ref="AY599:AY662" ca="1" si="352">AX599*AI599</f>
        <v>#N/A</v>
      </c>
      <c r="AZ599" s="2" t="e">
        <f t="shared" ref="AZ599:AZ662" ca="1" si="353">AK599-AY599</f>
        <v>#N/A</v>
      </c>
      <c r="BA599" s="2" t="e">
        <f t="shared" ref="BA599:BA662" ca="1" si="354">(AZ599/AJ599)/((AW599/$B$10)^$B$12)</f>
        <v>#N/A</v>
      </c>
      <c r="BB599" s="2" t="e">
        <f t="shared" ref="BB599:BB662" ca="1" si="355">(AH599/AJ599)/((AW599/$B$10)^$B$13)</f>
        <v>#N/A</v>
      </c>
      <c r="BC599" s="9" t="e">
        <f t="shared" ref="BC599:BC662" ca="1" si="356">IF(AND(BA599&lt;$P$3,BA599&gt;$P$4),BA599,"rejected")</f>
        <v>#N/A</v>
      </c>
      <c r="BD599" s="9" t="e">
        <f t="shared" ref="BD599:BD662" ca="1" si="357">IF(AND(BA599&lt;$P$3,BA599&gt;$P$4),BA599,#N/A)</f>
        <v>#N/A</v>
      </c>
    </row>
    <row r="600" spans="1:56" ht="15" x14ac:dyDescent="0.25">
      <c r="A600" s="63"/>
      <c r="B600" s="63"/>
      <c r="C600" s="64"/>
      <c r="D600" s="64"/>
      <c r="E600" s="64"/>
      <c r="F600" s="64"/>
      <c r="G600" s="64"/>
      <c r="H600" s="64"/>
      <c r="I600" s="64"/>
      <c r="J600" s="64"/>
      <c r="K600" s="64"/>
      <c r="L600" s="64"/>
      <c r="M600" s="64"/>
      <c r="N600" s="16"/>
      <c r="O600" s="11">
        <f t="shared" ca="1" si="343"/>
        <v>-3.9378682616450625E-4</v>
      </c>
      <c r="P600" s="11">
        <f t="shared" ca="1" si="344"/>
        <v>-1.6358405771021967E-4</v>
      </c>
      <c r="Q600" s="11">
        <f t="shared" ca="1" si="345"/>
        <v>-1.614029402377854E-3</v>
      </c>
      <c r="R600" s="11">
        <f t="shared" ca="1" si="346"/>
        <v>-1.4853760121635622E-5</v>
      </c>
      <c r="S600" s="11">
        <f t="shared" ca="1" si="347"/>
        <v>-1.1458026838550334E-3</v>
      </c>
      <c r="T600" s="11">
        <f t="shared" ca="1" si="348"/>
        <v>-4.9053934342410677E-4</v>
      </c>
      <c r="U600" s="11">
        <f t="shared" ca="1" si="349"/>
        <v>-5.5074395654535931E-3</v>
      </c>
      <c r="V600" s="11"/>
      <c r="W600" s="11">
        <f t="shared" ca="1" si="329"/>
        <v>0</v>
      </c>
      <c r="X600" s="2">
        <f t="shared" ca="1" si="330"/>
        <v>-1.6358405771021967E-4</v>
      </c>
      <c r="Y600" s="2">
        <f t="shared" ca="1" si="331"/>
        <v>-1.614029402377854E-3</v>
      </c>
      <c r="Z600" s="11">
        <f t="shared" ca="1" si="332"/>
        <v>-1.4853760121635622E-5</v>
      </c>
      <c r="AA600" s="2">
        <f t="shared" ca="1" si="333"/>
        <v>-1.1458026838550334E-3</v>
      </c>
      <c r="AB600" s="11">
        <f t="shared" ca="1" si="334"/>
        <v>-4.9053934342410677E-4</v>
      </c>
      <c r="AC600" s="2">
        <f t="shared" ca="1" si="335"/>
        <v>-5.5074395654535931E-3</v>
      </c>
      <c r="AF600" s="11">
        <f t="shared" ca="1" si="336"/>
        <v>0</v>
      </c>
      <c r="AG600" s="2">
        <f t="shared" ca="1" si="337"/>
        <v>-1.6358405771021967E-4</v>
      </c>
      <c r="AH600" s="2">
        <f t="shared" ca="1" si="338"/>
        <v>-1.614029402377854E-3</v>
      </c>
      <c r="AI600" s="2">
        <f t="shared" ca="1" si="339"/>
        <v>-1.4853760121635622E-5</v>
      </c>
      <c r="AJ600" s="2">
        <f t="shared" ca="1" si="340"/>
        <v>-1.1458026838550334E-3</v>
      </c>
      <c r="AK600" s="2">
        <f t="shared" ca="1" si="341"/>
        <v>-4.9053934342410677E-4</v>
      </c>
      <c r="AL600" s="2">
        <f t="shared" ca="1" si="342"/>
        <v>-5.5074395654535931E-3</v>
      </c>
      <c r="AN600" s="2" t="e">
        <f t="shared" ca="1" si="321"/>
        <v>#N/A</v>
      </c>
      <c r="AO600" s="2" t="e">
        <f t="shared" ca="1" si="322"/>
        <v>#N/A</v>
      </c>
      <c r="AP600" s="2" t="e">
        <f t="shared" ca="1" si="323"/>
        <v>#N/A</v>
      </c>
      <c r="AQ600" s="2" t="e">
        <f t="shared" ca="1" si="324"/>
        <v>#N/A</v>
      </c>
      <c r="AR600" s="2" t="e">
        <f t="shared" ca="1" si="325"/>
        <v>#N/A</v>
      </c>
      <c r="AS600" s="2" t="e">
        <f t="shared" ca="1" si="326"/>
        <v>#N/A</v>
      </c>
      <c r="AT600" s="9" t="e">
        <f t="shared" ca="1" si="327"/>
        <v>#N/A</v>
      </c>
      <c r="AU600" s="9" t="e">
        <f t="shared" ca="1" si="328"/>
        <v>#N/A</v>
      </c>
      <c r="AV600" s="9"/>
      <c r="AW600" s="2" t="e">
        <f t="shared" ca="1" si="350"/>
        <v>#N/A</v>
      </c>
      <c r="AX600" s="2" t="e">
        <f t="shared" ca="1" si="351"/>
        <v>#N/A</v>
      </c>
      <c r="AY600" s="2" t="e">
        <f t="shared" ca="1" si="352"/>
        <v>#N/A</v>
      </c>
      <c r="AZ600" s="2" t="e">
        <f t="shared" ca="1" si="353"/>
        <v>#N/A</v>
      </c>
      <c r="BA600" s="2" t="e">
        <f t="shared" ca="1" si="354"/>
        <v>#N/A</v>
      </c>
      <c r="BB600" s="2" t="e">
        <f t="shared" ca="1" si="355"/>
        <v>#N/A</v>
      </c>
      <c r="BC600" s="9" t="e">
        <f t="shared" ca="1" si="356"/>
        <v>#N/A</v>
      </c>
      <c r="BD600" s="9" t="e">
        <f t="shared" ca="1" si="357"/>
        <v>#N/A</v>
      </c>
    </row>
    <row r="601" spans="1:56" ht="15" x14ac:dyDescent="0.25">
      <c r="A601" s="63"/>
      <c r="B601" s="63"/>
      <c r="C601" s="64"/>
      <c r="D601" s="64"/>
      <c r="E601" s="64"/>
      <c r="F601" s="64"/>
      <c r="G601" s="64"/>
      <c r="H601" s="64"/>
      <c r="I601" s="64"/>
      <c r="J601" s="64"/>
      <c r="K601" s="64"/>
      <c r="L601" s="64"/>
      <c r="M601" s="64"/>
      <c r="N601" s="16"/>
      <c r="O601" s="11">
        <f t="shared" ca="1" si="343"/>
        <v>-3.9378682616450625E-4</v>
      </c>
      <c r="P601" s="11">
        <f t="shared" ca="1" si="344"/>
        <v>-1.6358405771021967E-4</v>
      </c>
      <c r="Q601" s="11">
        <f t="shared" ca="1" si="345"/>
        <v>-1.614029402377854E-3</v>
      </c>
      <c r="R601" s="11">
        <f t="shared" ca="1" si="346"/>
        <v>-1.4853760121635622E-5</v>
      </c>
      <c r="S601" s="11">
        <f t="shared" ca="1" si="347"/>
        <v>-1.1458026838550334E-3</v>
      </c>
      <c r="T601" s="11">
        <f t="shared" ca="1" si="348"/>
        <v>-4.9053934342410677E-4</v>
      </c>
      <c r="U601" s="11">
        <f t="shared" ca="1" si="349"/>
        <v>-5.5074395654535931E-3</v>
      </c>
      <c r="V601" s="11"/>
      <c r="W601" s="11">
        <f t="shared" ca="1" si="329"/>
        <v>0</v>
      </c>
      <c r="X601" s="2">
        <f t="shared" ca="1" si="330"/>
        <v>-1.6358405771021967E-4</v>
      </c>
      <c r="Y601" s="2">
        <f t="shared" ca="1" si="331"/>
        <v>-1.614029402377854E-3</v>
      </c>
      <c r="Z601" s="11">
        <f t="shared" ca="1" si="332"/>
        <v>-1.4853760121635622E-5</v>
      </c>
      <c r="AA601" s="2">
        <f t="shared" ca="1" si="333"/>
        <v>-1.1458026838550334E-3</v>
      </c>
      <c r="AB601" s="11">
        <f t="shared" ca="1" si="334"/>
        <v>-4.9053934342410677E-4</v>
      </c>
      <c r="AC601" s="2">
        <f t="shared" ca="1" si="335"/>
        <v>-5.5074395654535931E-3</v>
      </c>
      <c r="AF601" s="11">
        <f t="shared" ca="1" si="336"/>
        <v>0</v>
      </c>
      <c r="AG601" s="2">
        <f t="shared" ca="1" si="337"/>
        <v>-1.6358405771021967E-4</v>
      </c>
      <c r="AH601" s="2">
        <f t="shared" ca="1" si="338"/>
        <v>-1.614029402377854E-3</v>
      </c>
      <c r="AI601" s="2">
        <f t="shared" ca="1" si="339"/>
        <v>-1.4853760121635622E-5</v>
      </c>
      <c r="AJ601" s="2">
        <f t="shared" ca="1" si="340"/>
        <v>-1.1458026838550334E-3</v>
      </c>
      <c r="AK601" s="2">
        <f t="shared" ca="1" si="341"/>
        <v>-4.9053934342410677E-4</v>
      </c>
      <c r="AL601" s="2">
        <f t="shared" ca="1" si="342"/>
        <v>-5.5074395654535931E-3</v>
      </c>
      <c r="AN601" s="2" t="e">
        <f t="shared" ca="1" si="321"/>
        <v>#N/A</v>
      </c>
      <c r="AO601" s="2" t="e">
        <f t="shared" ca="1" si="322"/>
        <v>#N/A</v>
      </c>
      <c r="AP601" s="2" t="e">
        <f t="shared" ca="1" si="323"/>
        <v>#N/A</v>
      </c>
      <c r="AQ601" s="2" t="e">
        <f t="shared" ca="1" si="324"/>
        <v>#N/A</v>
      </c>
      <c r="AR601" s="2" t="e">
        <f t="shared" ca="1" si="325"/>
        <v>#N/A</v>
      </c>
      <c r="AS601" s="2" t="e">
        <f t="shared" ca="1" si="326"/>
        <v>#N/A</v>
      </c>
      <c r="AT601" s="9" t="e">
        <f t="shared" ca="1" si="327"/>
        <v>#N/A</v>
      </c>
      <c r="AU601" s="9" t="e">
        <f t="shared" ca="1" si="328"/>
        <v>#N/A</v>
      </c>
      <c r="AV601" s="9"/>
      <c r="AW601" s="2" t="e">
        <f t="shared" ca="1" si="350"/>
        <v>#N/A</v>
      </c>
      <c r="AX601" s="2" t="e">
        <f t="shared" ca="1" si="351"/>
        <v>#N/A</v>
      </c>
      <c r="AY601" s="2" t="e">
        <f t="shared" ca="1" si="352"/>
        <v>#N/A</v>
      </c>
      <c r="AZ601" s="2" t="e">
        <f t="shared" ca="1" si="353"/>
        <v>#N/A</v>
      </c>
      <c r="BA601" s="2" t="e">
        <f t="shared" ca="1" si="354"/>
        <v>#N/A</v>
      </c>
      <c r="BB601" s="2" t="e">
        <f t="shared" ca="1" si="355"/>
        <v>#N/A</v>
      </c>
      <c r="BC601" s="9" t="e">
        <f t="shared" ca="1" si="356"/>
        <v>#N/A</v>
      </c>
      <c r="BD601" s="9" t="e">
        <f t="shared" ca="1" si="357"/>
        <v>#N/A</v>
      </c>
    </row>
    <row r="602" spans="1:56" ht="15" x14ac:dyDescent="0.25">
      <c r="A602" s="63"/>
      <c r="B602" s="63"/>
      <c r="C602" s="64"/>
      <c r="D602" s="64"/>
      <c r="E602" s="64"/>
      <c r="F602" s="64"/>
      <c r="G602" s="64"/>
      <c r="H602" s="64"/>
      <c r="I602" s="64"/>
      <c r="J602" s="64"/>
      <c r="K602" s="64"/>
      <c r="L602" s="64"/>
      <c r="M602" s="64"/>
      <c r="N602" s="16"/>
      <c r="O602" s="11">
        <f t="shared" ca="1" si="343"/>
        <v>-3.9378682616450625E-4</v>
      </c>
      <c r="P602" s="11">
        <f t="shared" ca="1" si="344"/>
        <v>-1.6358405771021967E-4</v>
      </c>
      <c r="Q602" s="11">
        <f t="shared" ca="1" si="345"/>
        <v>-1.614029402377854E-3</v>
      </c>
      <c r="R602" s="11">
        <f t="shared" ca="1" si="346"/>
        <v>-1.4853760121635622E-5</v>
      </c>
      <c r="S602" s="11">
        <f t="shared" ca="1" si="347"/>
        <v>-1.1458026838550334E-3</v>
      </c>
      <c r="T602" s="11">
        <f t="shared" ca="1" si="348"/>
        <v>-4.9053934342410677E-4</v>
      </c>
      <c r="U602" s="11">
        <f t="shared" ca="1" si="349"/>
        <v>-5.5074395654535931E-3</v>
      </c>
      <c r="V602" s="11"/>
      <c r="W602" s="11">
        <f t="shared" ca="1" si="329"/>
        <v>0</v>
      </c>
      <c r="X602" s="2">
        <f t="shared" ca="1" si="330"/>
        <v>-1.6358405771021967E-4</v>
      </c>
      <c r="Y602" s="2">
        <f t="shared" ca="1" si="331"/>
        <v>-1.614029402377854E-3</v>
      </c>
      <c r="Z602" s="11">
        <f t="shared" ca="1" si="332"/>
        <v>-1.4853760121635622E-5</v>
      </c>
      <c r="AA602" s="2">
        <f t="shared" ca="1" si="333"/>
        <v>-1.1458026838550334E-3</v>
      </c>
      <c r="AB602" s="11">
        <f t="shared" ca="1" si="334"/>
        <v>-4.9053934342410677E-4</v>
      </c>
      <c r="AC602" s="2">
        <f t="shared" ca="1" si="335"/>
        <v>-5.5074395654535931E-3</v>
      </c>
      <c r="AF602" s="11">
        <f t="shared" ca="1" si="336"/>
        <v>0</v>
      </c>
      <c r="AG602" s="2">
        <f t="shared" ca="1" si="337"/>
        <v>-1.6358405771021967E-4</v>
      </c>
      <c r="AH602" s="2">
        <f t="shared" ca="1" si="338"/>
        <v>-1.614029402377854E-3</v>
      </c>
      <c r="AI602" s="2">
        <f t="shared" ca="1" si="339"/>
        <v>-1.4853760121635622E-5</v>
      </c>
      <c r="AJ602" s="2">
        <f t="shared" ca="1" si="340"/>
        <v>-1.1458026838550334E-3</v>
      </c>
      <c r="AK602" s="2">
        <f t="shared" ca="1" si="341"/>
        <v>-4.9053934342410677E-4</v>
      </c>
      <c r="AL602" s="2">
        <f t="shared" ca="1" si="342"/>
        <v>-5.5074395654535931E-3</v>
      </c>
      <c r="AN602" s="2" t="e">
        <f t="shared" ca="1" si="321"/>
        <v>#N/A</v>
      </c>
      <c r="AO602" s="2" t="e">
        <f t="shared" ca="1" si="322"/>
        <v>#N/A</v>
      </c>
      <c r="AP602" s="2" t="e">
        <f t="shared" ca="1" si="323"/>
        <v>#N/A</v>
      </c>
      <c r="AQ602" s="2" t="e">
        <f t="shared" ca="1" si="324"/>
        <v>#N/A</v>
      </c>
      <c r="AR602" s="2" t="e">
        <f t="shared" ca="1" si="325"/>
        <v>#N/A</v>
      </c>
      <c r="AS602" s="2" t="e">
        <f t="shared" ca="1" si="326"/>
        <v>#N/A</v>
      </c>
      <c r="AT602" s="9" t="e">
        <f t="shared" ca="1" si="327"/>
        <v>#N/A</v>
      </c>
      <c r="AU602" s="9" t="e">
        <f t="shared" ca="1" si="328"/>
        <v>#N/A</v>
      </c>
      <c r="AV602" s="9"/>
      <c r="AW602" s="2" t="e">
        <f t="shared" ca="1" si="350"/>
        <v>#N/A</v>
      </c>
      <c r="AX602" s="2" t="e">
        <f t="shared" ca="1" si="351"/>
        <v>#N/A</v>
      </c>
      <c r="AY602" s="2" t="e">
        <f t="shared" ca="1" si="352"/>
        <v>#N/A</v>
      </c>
      <c r="AZ602" s="2" t="e">
        <f t="shared" ca="1" si="353"/>
        <v>#N/A</v>
      </c>
      <c r="BA602" s="2" t="e">
        <f t="shared" ca="1" si="354"/>
        <v>#N/A</v>
      </c>
      <c r="BB602" s="2" t="e">
        <f t="shared" ca="1" si="355"/>
        <v>#N/A</v>
      </c>
      <c r="BC602" s="9" t="e">
        <f t="shared" ca="1" si="356"/>
        <v>#N/A</v>
      </c>
      <c r="BD602" s="9" t="e">
        <f t="shared" ca="1" si="357"/>
        <v>#N/A</v>
      </c>
    </row>
    <row r="603" spans="1:56" ht="15" x14ac:dyDescent="0.25">
      <c r="A603" s="63"/>
      <c r="B603" s="63"/>
      <c r="C603" s="64"/>
      <c r="D603" s="64"/>
      <c r="E603" s="64"/>
      <c r="F603" s="64"/>
      <c r="G603" s="64"/>
      <c r="H603" s="64"/>
      <c r="I603" s="64"/>
      <c r="J603" s="64"/>
      <c r="K603" s="64"/>
      <c r="L603" s="64"/>
      <c r="M603" s="64"/>
      <c r="N603" s="16"/>
      <c r="O603" s="11">
        <f t="shared" ca="1" si="343"/>
        <v>-3.9378682616450625E-4</v>
      </c>
      <c r="P603" s="11">
        <f t="shared" ca="1" si="344"/>
        <v>-1.6358405771021967E-4</v>
      </c>
      <c r="Q603" s="11">
        <f t="shared" ca="1" si="345"/>
        <v>-1.614029402377854E-3</v>
      </c>
      <c r="R603" s="11">
        <f t="shared" ca="1" si="346"/>
        <v>-1.4853760121635622E-5</v>
      </c>
      <c r="S603" s="11">
        <f t="shared" ca="1" si="347"/>
        <v>-1.1458026838550334E-3</v>
      </c>
      <c r="T603" s="11">
        <f t="shared" ca="1" si="348"/>
        <v>-4.9053934342410677E-4</v>
      </c>
      <c r="U603" s="11">
        <f t="shared" ca="1" si="349"/>
        <v>-5.5074395654535931E-3</v>
      </c>
      <c r="V603" s="11"/>
      <c r="W603" s="11">
        <f t="shared" ca="1" si="329"/>
        <v>0</v>
      </c>
      <c r="X603" s="2">
        <f t="shared" ca="1" si="330"/>
        <v>-1.6358405771021967E-4</v>
      </c>
      <c r="Y603" s="2">
        <f t="shared" ca="1" si="331"/>
        <v>-1.614029402377854E-3</v>
      </c>
      <c r="Z603" s="11">
        <f t="shared" ca="1" si="332"/>
        <v>-1.4853760121635622E-5</v>
      </c>
      <c r="AA603" s="2">
        <f t="shared" ca="1" si="333"/>
        <v>-1.1458026838550334E-3</v>
      </c>
      <c r="AB603" s="11">
        <f t="shared" ca="1" si="334"/>
        <v>-4.9053934342410677E-4</v>
      </c>
      <c r="AC603" s="2">
        <f t="shared" ca="1" si="335"/>
        <v>-5.5074395654535931E-3</v>
      </c>
      <c r="AF603" s="11">
        <f t="shared" ca="1" si="336"/>
        <v>0</v>
      </c>
      <c r="AG603" s="2">
        <f t="shared" ca="1" si="337"/>
        <v>-1.6358405771021967E-4</v>
      </c>
      <c r="AH603" s="2">
        <f t="shared" ca="1" si="338"/>
        <v>-1.614029402377854E-3</v>
      </c>
      <c r="AI603" s="2">
        <f t="shared" ca="1" si="339"/>
        <v>-1.4853760121635622E-5</v>
      </c>
      <c r="AJ603" s="2">
        <f t="shared" ca="1" si="340"/>
        <v>-1.1458026838550334E-3</v>
      </c>
      <c r="AK603" s="2">
        <f t="shared" ca="1" si="341"/>
        <v>-4.9053934342410677E-4</v>
      </c>
      <c r="AL603" s="2">
        <f t="shared" ca="1" si="342"/>
        <v>-5.5074395654535931E-3</v>
      </c>
      <c r="AN603" s="2" t="e">
        <f t="shared" ca="1" si="321"/>
        <v>#N/A</v>
      </c>
      <c r="AO603" s="2" t="e">
        <f t="shared" ca="1" si="322"/>
        <v>#N/A</v>
      </c>
      <c r="AP603" s="2" t="e">
        <f t="shared" ca="1" si="323"/>
        <v>#N/A</v>
      </c>
      <c r="AQ603" s="2" t="e">
        <f t="shared" ca="1" si="324"/>
        <v>#N/A</v>
      </c>
      <c r="AR603" s="2" t="e">
        <f t="shared" ca="1" si="325"/>
        <v>#N/A</v>
      </c>
      <c r="AS603" s="2" t="e">
        <f t="shared" ca="1" si="326"/>
        <v>#N/A</v>
      </c>
      <c r="AT603" s="9" t="e">
        <f t="shared" ca="1" si="327"/>
        <v>#N/A</v>
      </c>
      <c r="AU603" s="9" t="e">
        <f t="shared" ca="1" si="328"/>
        <v>#N/A</v>
      </c>
      <c r="AV603" s="9"/>
      <c r="AW603" s="2" t="e">
        <f t="shared" ca="1" si="350"/>
        <v>#N/A</v>
      </c>
      <c r="AX603" s="2" t="e">
        <f t="shared" ca="1" si="351"/>
        <v>#N/A</v>
      </c>
      <c r="AY603" s="2" t="e">
        <f t="shared" ca="1" si="352"/>
        <v>#N/A</v>
      </c>
      <c r="AZ603" s="2" t="e">
        <f t="shared" ca="1" si="353"/>
        <v>#N/A</v>
      </c>
      <c r="BA603" s="2" t="e">
        <f t="shared" ca="1" si="354"/>
        <v>#N/A</v>
      </c>
      <c r="BB603" s="2" t="e">
        <f t="shared" ca="1" si="355"/>
        <v>#N/A</v>
      </c>
      <c r="BC603" s="9" t="e">
        <f t="shared" ca="1" si="356"/>
        <v>#N/A</v>
      </c>
      <c r="BD603" s="9" t="e">
        <f t="shared" ca="1" si="357"/>
        <v>#N/A</v>
      </c>
    </row>
    <row r="604" spans="1:56" ht="15" x14ac:dyDescent="0.25">
      <c r="A604" s="63"/>
      <c r="B604" s="63"/>
      <c r="C604" s="64"/>
      <c r="D604" s="64"/>
      <c r="E604" s="64"/>
      <c r="F604" s="64"/>
      <c r="G604" s="64"/>
      <c r="H604" s="64"/>
      <c r="I604" s="64"/>
      <c r="J604" s="64"/>
      <c r="K604" s="64"/>
      <c r="L604" s="64"/>
      <c r="M604" s="64"/>
      <c r="N604" s="16"/>
      <c r="O604" s="11">
        <f t="shared" ca="1" si="343"/>
        <v>-3.9378682616450625E-4</v>
      </c>
      <c r="P604" s="11">
        <f t="shared" ca="1" si="344"/>
        <v>-1.6358405771021967E-4</v>
      </c>
      <c r="Q604" s="11">
        <f t="shared" ca="1" si="345"/>
        <v>-1.614029402377854E-3</v>
      </c>
      <c r="R604" s="11">
        <f t="shared" ca="1" si="346"/>
        <v>-1.4853760121635622E-5</v>
      </c>
      <c r="S604" s="11">
        <f t="shared" ca="1" si="347"/>
        <v>-1.1458026838550334E-3</v>
      </c>
      <c r="T604" s="11">
        <f t="shared" ca="1" si="348"/>
        <v>-4.9053934342410677E-4</v>
      </c>
      <c r="U604" s="11">
        <f t="shared" ca="1" si="349"/>
        <v>-5.5074395654535931E-3</v>
      </c>
      <c r="V604" s="11"/>
      <c r="W604" s="11">
        <f t="shared" ca="1" si="329"/>
        <v>0</v>
      </c>
      <c r="X604" s="2">
        <f t="shared" ca="1" si="330"/>
        <v>-1.6358405771021967E-4</v>
      </c>
      <c r="Y604" s="2">
        <f t="shared" ca="1" si="331"/>
        <v>-1.614029402377854E-3</v>
      </c>
      <c r="Z604" s="11">
        <f t="shared" ca="1" si="332"/>
        <v>-1.4853760121635622E-5</v>
      </c>
      <c r="AA604" s="2">
        <f t="shared" ca="1" si="333"/>
        <v>-1.1458026838550334E-3</v>
      </c>
      <c r="AB604" s="11">
        <f t="shared" ca="1" si="334"/>
        <v>-4.9053934342410677E-4</v>
      </c>
      <c r="AC604" s="2">
        <f t="shared" ca="1" si="335"/>
        <v>-5.5074395654535931E-3</v>
      </c>
      <c r="AF604" s="11">
        <f t="shared" ca="1" si="336"/>
        <v>0</v>
      </c>
      <c r="AG604" s="2">
        <f t="shared" ca="1" si="337"/>
        <v>-1.6358405771021967E-4</v>
      </c>
      <c r="AH604" s="2">
        <f t="shared" ca="1" si="338"/>
        <v>-1.614029402377854E-3</v>
      </c>
      <c r="AI604" s="2">
        <f t="shared" ca="1" si="339"/>
        <v>-1.4853760121635622E-5</v>
      </c>
      <c r="AJ604" s="2">
        <f t="shared" ca="1" si="340"/>
        <v>-1.1458026838550334E-3</v>
      </c>
      <c r="AK604" s="2">
        <f t="shared" ca="1" si="341"/>
        <v>-4.9053934342410677E-4</v>
      </c>
      <c r="AL604" s="2">
        <f t="shared" ca="1" si="342"/>
        <v>-5.5074395654535931E-3</v>
      </c>
      <c r="AN604" s="2" t="e">
        <f t="shared" ca="1" si="321"/>
        <v>#N/A</v>
      </c>
      <c r="AO604" s="2" t="e">
        <f t="shared" ca="1" si="322"/>
        <v>#N/A</v>
      </c>
      <c r="AP604" s="2" t="e">
        <f t="shared" ca="1" si="323"/>
        <v>#N/A</v>
      </c>
      <c r="AQ604" s="2" t="e">
        <f t="shared" ca="1" si="324"/>
        <v>#N/A</v>
      </c>
      <c r="AR604" s="2" t="e">
        <f t="shared" ca="1" si="325"/>
        <v>#N/A</v>
      </c>
      <c r="AS604" s="2" t="e">
        <f t="shared" ca="1" si="326"/>
        <v>#N/A</v>
      </c>
      <c r="AT604" s="9" t="e">
        <f t="shared" ca="1" si="327"/>
        <v>#N/A</v>
      </c>
      <c r="AU604" s="9" t="e">
        <f t="shared" ca="1" si="328"/>
        <v>#N/A</v>
      </c>
      <c r="AV604" s="9"/>
      <c r="AW604" s="2" t="e">
        <f t="shared" ca="1" si="350"/>
        <v>#N/A</v>
      </c>
      <c r="AX604" s="2" t="e">
        <f t="shared" ca="1" si="351"/>
        <v>#N/A</v>
      </c>
      <c r="AY604" s="2" t="e">
        <f t="shared" ca="1" si="352"/>
        <v>#N/A</v>
      </c>
      <c r="AZ604" s="2" t="e">
        <f t="shared" ca="1" si="353"/>
        <v>#N/A</v>
      </c>
      <c r="BA604" s="2" t="e">
        <f t="shared" ca="1" si="354"/>
        <v>#N/A</v>
      </c>
      <c r="BB604" s="2" t="e">
        <f t="shared" ca="1" si="355"/>
        <v>#N/A</v>
      </c>
      <c r="BC604" s="9" t="e">
        <f t="shared" ca="1" si="356"/>
        <v>#N/A</v>
      </c>
      <c r="BD604" s="9" t="e">
        <f t="shared" ca="1" si="357"/>
        <v>#N/A</v>
      </c>
    </row>
    <row r="605" spans="1:56" ht="15" x14ac:dyDescent="0.25">
      <c r="A605" s="63"/>
      <c r="B605" s="63"/>
      <c r="C605" s="64"/>
      <c r="D605" s="64"/>
      <c r="E605" s="64"/>
      <c r="F605" s="64"/>
      <c r="G605" s="64"/>
      <c r="H605" s="64"/>
      <c r="I605" s="64"/>
      <c r="J605" s="64"/>
      <c r="K605" s="64"/>
      <c r="L605" s="64"/>
      <c r="M605" s="64"/>
      <c r="N605" s="16"/>
      <c r="O605" s="11">
        <f t="shared" ca="1" si="343"/>
        <v>-3.9378682616450625E-4</v>
      </c>
      <c r="P605" s="11">
        <f t="shared" ca="1" si="344"/>
        <v>-1.6358405771021967E-4</v>
      </c>
      <c r="Q605" s="11">
        <f t="shared" ca="1" si="345"/>
        <v>-1.614029402377854E-3</v>
      </c>
      <c r="R605" s="11">
        <f t="shared" ca="1" si="346"/>
        <v>-1.4853760121635622E-5</v>
      </c>
      <c r="S605" s="11">
        <f t="shared" ca="1" si="347"/>
        <v>-1.1458026838550334E-3</v>
      </c>
      <c r="T605" s="11">
        <f t="shared" ca="1" si="348"/>
        <v>-4.9053934342410677E-4</v>
      </c>
      <c r="U605" s="11">
        <f t="shared" ca="1" si="349"/>
        <v>-5.5074395654535931E-3</v>
      </c>
      <c r="V605" s="11"/>
      <c r="W605" s="11">
        <f t="shared" ca="1" si="329"/>
        <v>0</v>
      </c>
      <c r="X605" s="2">
        <f t="shared" ca="1" si="330"/>
        <v>-1.6358405771021967E-4</v>
      </c>
      <c r="Y605" s="2">
        <f t="shared" ca="1" si="331"/>
        <v>-1.614029402377854E-3</v>
      </c>
      <c r="Z605" s="11">
        <f t="shared" ca="1" si="332"/>
        <v>-1.4853760121635622E-5</v>
      </c>
      <c r="AA605" s="2">
        <f t="shared" ca="1" si="333"/>
        <v>-1.1458026838550334E-3</v>
      </c>
      <c r="AB605" s="11">
        <f t="shared" ca="1" si="334"/>
        <v>-4.9053934342410677E-4</v>
      </c>
      <c r="AC605" s="2">
        <f t="shared" ca="1" si="335"/>
        <v>-5.5074395654535931E-3</v>
      </c>
      <c r="AF605" s="11">
        <f t="shared" ca="1" si="336"/>
        <v>0</v>
      </c>
      <c r="AG605" s="2">
        <f t="shared" ca="1" si="337"/>
        <v>-1.6358405771021967E-4</v>
      </c>
      <c r="AH605" s="2">
        <f t="shared" ca="1" si="338"/>
        <v>-1.614029402377854E-3</v>
      </c>
      <c r="AI605" s="2">
        <f t="shared" ca="1" si="339"/>
        <v>-1.4853760121635622E-5</v>
      </c>
      <c r="AJ605" s="2">
        <f t="shared" ca="1" si="340"/>
        <v>-1.1458026838550334E-3</v>
      </c>
      <c r="AK605" s="2">
        <f t="shared" ca="1" si="341"/>
        <v>-4.9053934342410677E-4</v>
      </c>
      <c r="AL605" s="2">
        <f t="shared" ca="1" si="342"/>
        <v>-5.5074395654535931E-3</v>
      </c>
      <c r="AN605" s="2" t="e">
        <f t="shared" ca="1" si="321"/>
        <v>#N/A</v>
      </c>
      <c r="AO605" s="2" t="e">
        <f t="shared" ca="1" si="322"/>
        <v>#N/A</v>
      </c>
      <c r="AP605" s="2" t="e">
        <f t="shared" ca="1" si="323"/>
        <v>#N/A</v>
      </c>
      <c r="AQ605" s="2" t="e">
        <f t="shared" ca="1" si="324"/>
        <v>#N/A</v>
      </c>
      <c r="AR605" s="2" t="e">
        <f t="shared" ca="1" si="325"/>
        <v>#N/A</v>
      </c>
      <c r="AS605" s="2" t="e">
        <f t="shared" ca="1" si="326"/>
        <v>#N/A</v>
      </c>
      <c r="AT605" s="9" t="e">
        <f t="shared" ca="1" si="327"/>
        <v>#N/A</v>
      </c>
      <c r="AU605" s="9" t="e">
        <f t="shared" ca="1" si="328"/>
        <v>#N/A</v>
      </c>
      <c r="AV605" s="9"/>
      <c r="AW605" s="2" t="e">
        <f t="shared" ca="1" si="350"/>
        <v>#N/A</v>
      </c>
      <c r="AX605" s="2" t="e">
        <f t="shared" ca="1" si="351"/>
        <v>#N/A</v>
      </c>
      <c r="AY605" s="2" t="e">
        <f t="shared" ca="1" si="352"/>
        <v>#N/A</v>
      </c>
      <c r="AZ605" s="2" t="e">
        <f t="shared" ca="1" si="353"/>
        <v>#N/A</v>
      </c>
      <c r="BA605" s="2" t="e">
        <f t="shared" ca="1" si="354"/>
        <v>#N/A</v>
      </c>
      <c r="BB605" s="2" t="e">
        <f t="shared" ca="1" si="355"/>
        <v>#N/A</v>
      </c>
      <c r="BC605" s="9" t="e">
        <f t="shared" ca="1" si="356"/>
        <v>#N/A</v>
      </c>
      <c r="BD605" s="9" t="e">
        <f t="shared" ca="1" si="357"/>
        <v>#N/A</v>
      </c>
    </row>
    <row r="606" spans="1:56" ht="15" x14ac:dyDescent="0.25">
      <c r="A606" s="63"/>
      <c r="B606" s="63"/>
      <c r="C606" s="64"/>
      <c r="D606" s="64"/>
      <c r="E606" s="64"/>
      <c r="F606" s="64"/>
      <c r="G606" s="64"/>
      <c r="H606" s="64"/>
      <c r="I606" s="64"/>
      <c r="J606" s="64"/>
      <c r="K606" s="64"/>
      <c r="L606" s="64"/>
      <c r="M606" s="64"/>
      <c r="N606" s="16"/>
      <c r="O606" s="11">
        <f t="shared" ca="1" si="343"/>
        <v>-3.9378682616450625E-4</v>
      </c>
      <c r="P606" s="11">
        <f t="shared" ca="1" si="344"/>
        <v>-1.6358405771021967E-4</v>
      </c>
      <c r="Q606" s="11">
        <f t="shared" ca="1" si="345"/>
        <v>-1.614029402377854E-3</v>
      </c>
      <c r="R606" s="11">
        <f t="shared" ca="1" si="346"/>
        <v>-1.4853760121635622E-5</v>
      </c>
      <c r="S606" s="11">
        <f t="shared" ca="1" si="347"/>
        <v>-1.1458026838550334E-3</v>
      </c>
      <c r="T606" s="11">
        <f t="shared" ca="1" si="348"/>
        <v>-4.9053934342410677E-4</v>
      </c>
      <c r="U606" s="11">
        <f t="shared" ca="1" si="349"/>
        <v>-5.5074395654535931E-3</v>
      </c>
      <c r="V606" s="11"/>
      <c r="W606" s="11">
        <f t="shared" ca="1" si="329"/>
        <v>0</v>
      </c>
      <c r="X606" s="2">
        <f t="shared" ca="1" si="330"/>
        <v>-1.6358405771021967E-4</v>
      </c>
      <c r="Y606" s="2">
        <f t="shared" ca="1" si="331"/>
        <v>-1.614029402377854E-3</v>
      </c>
      <c r="Z606" s="11">
        <f t="shared" ca="1" si="332"/>
        <v>-1.4853760121635622E-5</v>
      </c>
      <c r="AA606" s="2">
        <f t="shared" ca="1" si="333"/>
        <v>-1.1458026838550334E-3</v>
      </c>
      <c r="AB606" s="11">
        <f t="shared" ca="1" si="334"/>
        <v>-4.9053934342410677E-4</v>
      </c>
      <c r="AC606" s="2">
        <f t="shared" ca="1" si="335"/>
        <v>-5.5074395654535931E-3</v>
      </c>
      <c r="AF606" s="11">
        <f t="shared" ca="1" si="336"/>
        <v>0</v>
      </c>
      <c r="AG606" s="2">
        <f t="shared" ca="1" si="337"/>
        <v>-1.6358405771021967E-4</v>
      </c>
      <c r="AH606" s="2">
        <f t="shared" ca="1" si="338"/>
        <v>-1.614029402377854E-3</v>
      </c>
      <c r="AI606" s="2">
        <f t="shared" ca="1" si="339"/>
        <v>-1.4853760121635622E-5</v>
      </c>
      <c r="AJ606" s="2">
        <f t="shared" ca="1" si="340"/>
        <v>-1.1458026838550334E-3</v>
      </c>
      <c r="AK606" s="2">
        <f t="shared" ca="1" si="341"/>
        <v>-4.9053934342410677E-4</v>
      </c>
      <c r="AL606" s="2">
        <f t="shared" ca="1" si="342"/>
        <v>-5.5074395654535931E-3</v>
      </c>
      <c r="AN606" s="2" t="e">
        <f t="shared" ca="1" si="321"/>
        <v>#N/A</v>
      </c>
      <c r="AO606" s="2" t="e">
        <f t="shared" ca="1" si="322"/>
        <v>#N/A</v>
      </c>
      <c r="AP606" s="2" t="e">
        <f t="shared" ca="1" si="323"/>
        <v>#N/A</v>
      </c>
      <c r="AQ606" s="2" t="e">
        <f t="shared" ca="1" si="324"/>
        <v>#N/A</v>
      </c>
      <c r="AR606" s="2" t="e">
        <f t="shared" ca="1" si="325"/>
        <v>#N/A</v>
      </c>
      <c r="AS606" s="2" t="e">
        <f t="shared" ca="1" si="326"/>
        <v>#N/A</v>
      </c>
      <c r="AT606" s="9" t="e">
        <f t="shared" ca="1" si="327"/>
        <v>#N/A</v>
      </c>
      <c r="AU606" s="9" t="e">
        <f t="shared" ca="1" si="328"/>
        <v>#N/A</v>
      </c>
      <c r="AV606" s="9"/>
      <c r="AW606" s="2" t="e">
        <f t="shared" ca="1" si="350"/>
        <v>#N/A</v>
      </c>
      <c r="AX606" s="2" t="e">
        <f t="shared" ca="1" si="351"/>
        <v>#N/A</v>
      </c>
      <c r="AY606" s="2" t="e">
        <f t="shared" ca="1" si="352"/>
        <v>#N/A</v>
      </c>
      <c r="AZ606" s="2" t="e">
        <f t="shared" ca="1" si="353"/>
        <v>#N/A</v>
      </c>
      <c r="BA606" s="2" t="e">
        <f t="shared" ca="1" si="354"/>
        <v>#N/A</v>
      </c>
      <c r="BB606" s="2" t="e">
        <f t="shared" ca="1" si="355"/>
        <v>#N/A</v>
      </c>
      <c r="BC606" s="9" t="e">
        <f t="shared" ca="1" si="356"/>
        <v>#N/A</v>
      </c>
      <c r="BD606" s="9" t="e">
        <f t="shared" ca="1" si="357"/>
        <v>#N/A</v>
      </c>
    </row>
    <row r="607" spans="1:56" ht="15" x14ac:dyDescent="0.25">
      <c r="A607" s="63"/>
      <c r="B607" s="63"/>
      <c r="C607" s="64"/>
      <c r="D607" s="64"/>
      <c r="E607" s="64"/>
      <c r="F607" s="64"/>
      <c r="G607" s="64"/>
      <c r="H607" s="64"/>
      <c r="I607" s="64"/>
      <c r="J607" s="64"/>
      <c r="K607" s="64"/>
      <c r="L607" s="64"/>
      <c r="M607" s="64"/>
      <c r="N607" s="16"/>
      <c r="O607" s="11">
        <f t="shared" ca="1" si="343"/>
        <v>-3.9378682616450625E-4</v>
      </c>
      <c r="P607" s="11">
        <f t="shared" ca="1" si="344"/>
        <v>-1.6358405771021967E-4</v>
      </c>
      <c r="Q607" s="11">
        <f t="shared" ca="1" si="345"/>
        <v>-1.614029402377854E-3</v>
      </c>
      <c r="R607" s="11">
        <f t="shared" ca="1" si="346"/>
        <v>-1.4853760121635622E-5</v>
      </c>
      <c r="S607" s="11">
        <f t="shared" ca="1" si="347"/>
        <v>-1.1458026838550334E-3</v>
      </c>
      <c r="T607" s="11">
        <f t="shared" ca="1" si="348"/>
        <v>-4.9053934342410677E-4</v>
      </c>
      <c r="U607" s="11">
        <f t="shared" ca="1" si="349"/>
        <v>-5.5074395654535931E-3</v>
      </c>
      <c r="V607" s="11"/>
      <c r="W607" s="11">
        <f t="shared" ca="1" si="329"/>
        <v>0</v>
      </c>
      <c r="X607" s="2">
        <f t="shared" ca="1" si="330"/>
        <v>-1.6358405771021967E-4</v>
      </c>
      <c r="Y607" s="2">
        <f t="shared" ca="1" si="331"/>
        <v>-1.614029402377854E-3</v>
      </c>
      <c r="Z607" s="11">
        <f t="shared" ca="1" si="332"/>
        <v>-1.4853760121635622E-5</v>
      </c>
      <c r="AA607" s="2">
        <f t="shared" ca="1" si="333"/>
        <v>-1.1458026838550334E-3</v>
      </c>
      <c r="AB607" s="11">
        <f t="shared" ca="1" si="334"/>
        <v>-4.9053934342410677E-4</v>
      </c>
      <c r="AC607" s="2">
        <f t="shared" ca="1" si="335"/>
        <v>-5.5074395654535931E-3</v>
      </c>
      <c r="AF607" s="11">
        <f t="shared" ca="1" si="336"/>
        <v>0</v>
      </c>
      <c r="AG607" s="2">
        <f t="shared" ca="1" si="337"/>
        <v>-1.6358405771021967E-4</v>
      </c>
      <c r="AH607" s="2">
        <f t="shared" ca="1" si="338"/>
        <v>-1.614029402377854E-3</v>
      </c>
      <c r="AI607" s="2">
        <f t="shared" ca="1" si="339"/>
        <v>-1.4853760121635622E-5</v>
      </c>
      <c r="AJ607" s="2">
        <f t="shared" ca="1" si="340"/>
        <v>-1.1458026838550334E-3</v>
      </c>
      <c r="AK607" s="2">
        <f t="shared" ca="1" si="341"/>
        <v>-4.9053934342410677E-4</v>
      </c>
      <c r="AL607" s="2">
        <f t="shared" ca="1" si="342"/>
        <v>-5.5074395654535931E-3</v>
      </c>
      <c r="AN607" s="2" t="e">
        <f t="shared" ca="1" si="321"/>
        <v>#N/A</v>
      </c>
      <c r="AO607" s="2" t="e">
        <f t="shared" ca="1" si="322"/>
        <v>#N/A</v>
      </c>
      <c r="AP607" s="2" t="e">
        <f t="shared" ca="1" si="323"/>
        <v>#N/A</v>
      </c>
      <c r="AQ607" s="2" t="e">
        <f t="shared" ca="1" si="324"/>
        <v>#N/A</v>
      </c>
      <c r="AR607" s="2" t="e">
        <f t="shared" ca="1" si="325"/>
        <v>#N/A</v>
      </c>
      <c r="AS607" s="2" t="e">
        <f t="shared" ca="1" si="326"/>
        <v>#N/A</v>
      </c>
      <c r="AT607" s="9" t="e">
        <f t="shared" ca="1" si="327"/>
        <v>#N/A</v>
      </c>
      <c r="AU607" s="9" t="e">
        <f t="shared" ca="1" si="328"/>
        <v>#N/A</v>
      </c>
      <c r="AV607" s="9"/>
      <c r="AW607" s="2" t="e">
        <f t="shared" ca="1" si="350"/>
        <v>#N/A</v>
      </c>
      <c r="AX607" s="2" t="e">
        <f t="shared" ca="1" si="351"/>
        <v>#N/A</v>
      </c>
      <c r="AY607" s="2" t="e">
        <f t="shared" ca="1" si="352"/>
        <v>#N/A</v>
      </c>
      <c r="AZ607" s="2" t="e">
        <f t="shared" ca="1" si="353"/>
        <v>#N/A</v>
      </c>
      <c r="BA607" s="2" t="e">
        <f t="shared" ca="1" si="354"/>
        <v>#N/A</v>
      </c>
      <c r="BB607" s="2" t="e">
        <f t="shared" ca="1" si="355"/>
        <v>#N/A</v>
      </c>
      <c r="BC607" s="9" t="e">
        <f t="shared" ca="1" si="356"/>
        <v>#N/A</v>
      </c>
      <c r="BD607" s="9" t="e">
        <f t="shared" ca="1" si="357"/>
        <v>#N/A</v>
      </c>
    </row>
    <row r="608" spans="1:56" ht="15" x14ac:dyDescent="0.25">
      <c r="A608" s="63"/>
      <c r="B608" s="63"/>
      <c r="C608" s="64"/>
      <c r="D608" s="64"/>
      <c r="E608" s="64"/>
      <c r="F608" s="64"/>
      <c r="G608" s="64"/>
      <c r="H608" s="64"/>
      <c r="I608" s="64"/>
      <c r="J608" s="64"/>
      <c r="K608" s="64"/>
      <c r="L608" s="64"/>
      <c r="M608" s="64"/>
      <c r="N608" s="16"/>
      <c r="O608" s="11">
        <f t="shared" ca="1" si="343"/>
        <v>-3.9378682616450625E-4</v>
      </c>
      <c r="P608" s="11">
        <f t="shared" ca="1" si="344"/>
        <v>-1.6358405771021967E-4</v>
      </c>
      <c r="Q608" s="11">
        <f t="shared" ca="1" si="345"/>
        <v>-1.614029402377854E-3</v>
      </c>
      <c r="R608" s="11">
        <f t="shared" ca="1" si="346"/>
        <v>-1.4853760121635622E-5</v>
      </c>
      <c r="S608" s="11">
        <f t="shared" ca="1" si="347"/>
        <v>-1.1458026838550334E-3</v>
      </c>
      <c r="T608" s="11">
        <f t="shared" ca="1" si="348"/>
        <v>-4.9053934342410677E-4</v>
      </c>
      <c r="U608" s="11">
        <f t="shared" ca="1" si="349"/>
        <v>-5.5074395654535931E-3</v>
      </c>
      <c r="V608" s="11"/>
      <c r="W608" s="11">
        <f t="shared" ca="1" si="329"/>
        <v>0</v>
      </c>
      <c r="X608" s="2">
        <f t="shared" ca="1" si="330"/>
        <v>-1.6358405771021967E-4</v>
      </c>
      <c r="Y608" s="2">
        <f t="shared" ca="1" si="331"/>
        <v>-1.614029402377854E-3</v>
      </c>
      <c r="Z608" s="11">
        <f t="shared" ca="1" si="332"/>
        <v>-1.4853760121635622E-5</v>
      </c>
      <c r="AA608" s="2">
        <f t="shared" ca="1" si="333"/>
        <v>-1.1458026838550334E-3</v>
      </c>
      <c r="AB608" s="11">
        <f t="shared" ca="1" si="334"/>
        <v>-4.9053934342410677E-4</v>
      </c>
      <c r="AC608" s="2">
        <f t="shared" ca="1" si="335"/>
        <v>-5.5074395654535931E-3</v>
      </c>
      <c r="AF608" s="11">
        <f t="shared" ca="1" si="336"/>
        <v>0</v>
      </c>
      <c r="AG608" s="2">
        <f t="shared" ca="1" si="337"/>
        <v>-1.6358405771021967E-4</v>
      </c>
      <c r="AH608" s="2">
        <f t="shared" ca="1" si="338"/>
        <v>-1.614029402377854E-3</v>
      </c>
      <c r="AI608" s="2">
        <f t="shared" ca="1" si="339"/>
        <v>-1.4853760121635622E-5</v>
      </c>
      <c r="AJ608" s="2">
        <f t="shared" ca="1" si="340"/>
        <v>-1.1458026838550334E-3</v>
      </c>
      <c r="AK608" s="2">
        <f t="shared" ca="1" si="341"/>
        <v>-4.9053934342410677E-4</v>
      </c>
      <c r="AL608" s="2">
        <f t="shared" ca="1" si="342"/>
        <v>-5.5074395654535931E-3</v>
      </c>
      <c r="AN608" s="2" t="e">
        <f t="shared" ca="1" si="321"/>
        <v>#N/A</v>
      </c>
      <c r="AO608" s="2" t="e">
        <f t="shared" ca="1" si="322"/>
        <v>#N/A</v>
      </c>
      <c r="AP608" s="2" t="e">
        <f t="shared" ca="1" si="323"/>
        <v>#N/A</v>
      </c>
      <c r="AQ608" s="2" t="e">
        <f t="shared" ca="1" si="324"/>
        <v>#N/A</v>
      </c>
      <c r="AR608" s="2" t="e">
        <f t="shared" ca="1" si="325"/>
        <v>#N/A</v>
      </c>
      <c r="AS608" s="2" t="e">
        <f t="shared" ca="1" si="326"/>
        <v>#N/A</v>
      </c>
      <c r="AT608" s="9" t="e">
        <f t="shared" ca="1" si="327"/>
        <v>#N/A</v>
      </c>
      <c r="AU608" s="9" t="e">
        <f t="shared" ca="1" si="328"/>
        <v>#N/A</v>
      </c>
      <c r="AV608" s="9"/>
      <c r="AW608" s="2" t="e">
        <f t="shared" ca="1" si="350"/>
        <v>#N/A</v>
      </c>
      <c r="AX608" s="2" t="e">
        <f t="shared" ca="1" si="351"/>
        <v>#N/A</v>
      </c>
      <c r="AY608" s="2" t="e">
        <f t="shared" ca="1" si="352"/>
        <v>#N/A</v>
      </c>
      <c r="AZ608" s="2" t="e">
        <f t="shared" ca="1" si="353"/>
        <v>#N/A</v>
      </c>
      <c r="BA608" s="2" t="e">
        <f t="shared" ca="1" si="354"/>
        <v>#N/A</v>
      </c>
      <c r="BB608" s="2" t="e">
        <f t="shared" ca="1" si="355"/>
        <v>#N/A</v>
      </c>
      <c r="BC608" s="9" t="e">
        <f t="shared" ca="1" si="356"/>
        <v>#N/A</v>
      </c>
      <c r="BD608" s="9" t="e">
        <f t="shared" ca="1" si="357"/>
        <v>#N/A</v>
      </c>
    </row>
    <row r="609" spans="1:56" ht="15" x14ac:dyDescent="0.25">
      <c r="A609" s="63"/>
      <c r="B609" s="63"/>
      <c r="C609" s="64"/>
      <c r="D609" s="64"/>
      <c r="E609" s="64"/>
      <c r="F609" s="64"/>
      <c r="G609" s="64"/>
      <c r="H609" s="64"/>
      <c r="I609" s="64"/>
      <c r="J609" s="64"/>
      <c r="K609" s="64"/>
      <c r="L609" s="64"/>
      <c r="M609" s="64"/>
      <c r="N609" s="16"/>
      <c r="O609" s="11">
        <f t="shared" ca="1" si="343"/>
        <v>-3.9378682616450625E-4</v>
      </c>
      <c r="P609" s="11">
        <f t="shared" ca="1" si="344"/>
        <v>-1.6358405771021967E-4</v>
      </c>
      <c r="Q609" s="11">
        <f t="shared" ca="1" si="345"/>
        <v>-1.614029402377854E-3</v>
      </c>
      <c r="R609" s="11">
        <f t="shared" ca="1" si="346"/>
        <v>-1.4853760121635622E-5</v>
      </c>
      <c r="S609" s="11">
        <f t="shared" ca="1" si="347"/>
        <v>-1.1458026838550334E-3</v>
      </c>
      <c r="T609" s="11">
        <f t="shared" ca="1" si="348"/>
        <v>-4.9053934342410677E-4</v>
      </c>
      <c r="U609" s="11">
        <f t="shared" ca="1" si="349"/>
        <v>-5.5074395654535931E-3</v>
      </c>
      <c r="V609" s="11"/>
      <c r="W609" s="11">
        <f t="shared" ca="1" si="329"/>
        <v>0</v>
      </c>
      <c r="X609" s="2">
        <f t="shared" ca="1" si="330"/>
        <v>-1.6358405771021967E-4</v>
      </c>
      <c r="Y609" s="2">
        <f t="shared" ca="1" si="331"/>
        <v>-1.614029402377854E-3</v>
      </c>
      <c r="Z609" s="11">
        <f t="shared" ca="1" si="332"/>
        <v>-1.4853760121635622E-5</v>
      </c>
      <c r="AA609" s="2">
        <f t="shared" ca="1" si="333"/>
        <v>-1.1458026838550334E-3</v>
      </c>
      <c r="AB609" s="11">
        <f t="shared" ca="1" si="334"/>
        <v>-4.9053934342410677E-4</v>
      </c>
      <c r="AC609" s="2">
        <f t="shared" ca="1" si="335"/>
        <v>-5.5074395654535931E-3</v>
      </c>
      <c r="AF609" s="11">
        <f t="shared" ca="1" si="336"/>
        <v>0</v>
      </c>
      <c r="AG609" s="2">
        <f t="shared" ca="1" si="337"/>
        <v>-1.6358405771021967E-4</v>
      </c>
      <c r="AH609" s="2">
        <f t="shared" ca="1" si="338"/>
        <v>-1.614029402377854E-3</v>
      </c>
      <c r="AI609" s="2">
        <f t="shared" ca="1" si="339"/>
        <v>-1.4853760121635622E-5</v>
      </c>
      <c r="AJ609" s="2">
        <f t="shared" ca="1" si="340"/>
        <v>-1.1458026838550334E-3</v>
      </c>
      <c r="AK609" s="2">
        <f t="shared" ca="1" si="341"/>
        <v>-4.9053934342410677E-4</v>
      </c>
      <c r="AL609" s="2">
        <f t="shared" ca="1" si="342"/>
        <v>-5.5074395654535931E-3</v>
      </c>
      <c r="AN609" s="2" t="e">
        <f t="shared" ca="1" si="321"/>
        <v>#N/A</v>
      </c>
      <c r="AO609" s="2" t="e">
        <f t="shared" ca="1" si="322"/>
        <v>#N/A</v>
      </c>
      <c r="AP609" s="2" t="e">
        <f t="shared" ca="1" si="323"/>
        <v>#N/A</v>
      </c>
      <c r="AQ609" s="2" t="e">
        <f t="shared" ca="1" si="324"/>
        <v>#N/A</v>
      </c>
      <c r="AR609" s="2" t="e">
        <f t="shared" ca="1" si="325"/>
        <v>#N/A</v>
      </c>
      <c r="AS609" s="2" t="e">
        <f t="shared" ca="1" si="326"/>
        <v>#N/A</v>
      </c>
      <c r="AT609" s="9" t="e">
        <f t="shared" ca="1" si="327"/>
        <v>#N/A</v>
      </c>
      <c r="AU609" s="9" t="e">
        <f t="shared" ca="1" si="328"/>
        <v>#N/A</v>
      </c>
      <c r="AV609" s="9"/>
      <c r="AW609" s="2" t="e">
        <f t="shared" ca="1" si="350"/>
        <v>#N/A</v>
      </c>
      <c r="AX609" s="2" t="e">
        <f t="shared" ca="1" si="351"/>
        <v>#N/A</v>
      </c>
      <c r="AY609" s="2" t="e">
        <f t="shared" ca="1" si="352"/>
        <v>#N/A</v>
      </c>
      <c r="AZ609" s="2" t="e">
        <f t="shared" ca="1" si="353"/>
        <v>#N/A</v>
      </c>
      <c r="BA609" s="2" t="e">
        <f t="shared" ca="1" si="354"/>
        <v>#N/A</v>
      </c>
      <c r="BB609" s="2" t="e">
        <f t="shared" ca="1" si="355"/>
        <v>#N/A</v>
      </c>
      <c r="BC609" s="9" t="e">
        <f t="shared" ca="1" si="356"/>
        <v>#N/A</v>
      </c>
      <c r="BD609" s="9" t="e">
        <f t="shared" ca="1" si="357"/>
        <v>#N/A</v>
      </c>
    </row>
    <row r="610" spans="1:56" ht="15" x14ac:dyDescent="0.25">
      <c r="A610" s="63"/>
      <c r="B610" s="63"/>
      <c r="C610" s="64"/>
      <c r="D610" s="64"/>
      <c r="E610" s="64"/>
      <c r="F610" s="64"/>
      <c r="G610" s="64"/>
      <c r="H610" s="64"/>
      <c r="I610" s="64"/>
      <c r="J610" s="64"/>
      <c r="K610" s="64"/>
      <c r="L610" s="64"/>
      <c r="M610" s="64"/>
      <c r="N610" s="16"/>
      <c r="O610" s="11">
        <f t="shared" ca="1" si="343"/>
        <v>-3.9378682616450625E-4</v>
      </c>
      <c r="P610" s="11">
        <f t="shared" ca="1" si="344"/>
        <v>-1.6358405771021967E-4</v>
      </c>
      <c r="Q610" s="11">
        <f t="shared" ca="1" si="345"/>
        <v>-1.614029402377854E-3</v>
      </c>
      <c r="R610" s="11">
        <f t="shared" ca="1" si="346"/>
        <v>-1.4853760121635622E-5</v>
      </c>
      <c r="S610" s="11">
        <f t="shared" ca="1" si="347"/>
        <v>-1.1458026838550334E-3</v>
      </c>
      <c r="T610" s="11">
        <f t="shared" ca="1" si="348"/>
        <v>-4.9053934342410677E-4</v>
      </c>
      <c r="U610" s="11">
        <f t="shared" ca="1" si="349"/>
        <v>-5.5074395654535931E-3</v>
      </c>
      <c r="V610" s="11"/>
      <c r="W610" s="11">
        <f t="shared" ca="1" si="329"/>
        <v>0</v>
      </c>
      <c r="X610" s="2">
        <f t="shared" ca="1" si="330"/>
        <v>-1.6358405771021967E-4</v>
      </c>
      <c r="Y610" s="2">
        <f t="shared" ca="1" si="331"/>
        <v>-1.614029402377854E-3</v>
      </c>
      <c r="Z610" s="11">
        <f t="shared" ca="1" si="332"/>
        <v>-1.4853760121635622E-5</v>
      </c>
      <c r="AA610" s="2">
        <f t="shared" ca="1" si="333"/>
        <v>-1.1458026838550334E-3</v>
      </c>
      <c r="AB610" s="11">
        <f t="shared" ca="1" si="334"/>
        <v>-4.9053934342410677E-4</v>
      </c>
      <c r="AC610" s="2">
        <f t="shared" ca="1" si="335"/>
        <v>-5.5074395654535931E-3</v>
      </c>
      <c r="AF610" s="11">
        <f t="shared" ca="1" si="336"/>
        <v>0</v>
      </c>
      <c r="AG610" s="2">
        <f t="shared" ca="1" si="337"/>
        <v>-1.6358405771021967E-4</v>
      </c>
      <c r="AH610" s="2">
        <f t="shared" ca="1" si="338"/>
        <v>-1.614029402377854E-3</v>
      </c>
      <c r="AI610" s="2">
        <f t="shared" ca="1" si="339"/>
        <v>-1.4853760121635622E-5</v>
      </c>
      <c r="AJ610" s="2">
        <f t="shared" ca="1" si="340"/>
        <v>-1.1458026838550334E-3</v>
      </c>
      <c r="AK610" s="2">
        <f t="shared" ca="1" si="341"/>
        <v>-4.9053934342410677E-4</v>
      </c>
      <c r="AL610" s="2">
        <f t="shared" ca="1" si="342"/>
        <v>-5.5074395654535931E-3</v>
      </c>
      <c r="AN610" s="2" t="e">
        <f t="shared" ca="1" si="321"/>
        <v>#N/A</v>
      </c>
      <c r="AO610" s="2" t="e">
        <f t="shared" ca="1" si="322"/>
        <v>#N/A</v>
      </c>
      <c r="AP610" s="2" t="e">
        <f t="shared" ca="1" si="323"/>
        <v>#N/A</v>
      </c>
      <c r="AQ610" s="2" t="e">
        <f t="shared" ca="1" si="324"/>
        <v>#N/A</v>
      </c>
      <c r="AR610" s="2" t="e">
        <f t="shared" ca="1" si="325"/>
        <v>#N/A</v>
      </c>
      <c r="AS610" s="2" t="e">
        <f t="shared" ca="1" si="326"/>
        <v>#N/A</v>
      </c>
      <c r="AT610" s="9" t="e">
        <f t="shared" ca="1" si="327"/>
        <v>#N/A</v>
      </c>
      <c r="AU610" s="9" t="e">
        <f t="shared" ca="1" si="328"/>
        <v>#N/A</v>
      </c>
      <c r="AV610" s="9"/>
      <c r="AW610" s="2" t="e">
        <f t="shared" ca="1" si="350"/>
        <v>#N/A</v>
      </c>
      <c r="AX610" s="2" t="e">
        <f t="shared" ca="1" si="351"/>
        <v>#N/A</v>
      </c>
      <c r="AY610" s="2" t="e">
        <f t="shared" ca="1" si="352"/>
        <v>#N/A</v>
      </c>
      <c r="AZ610" s="2" t="e">
        <f t="shared" ca="1" si="353"/>
        <v>#N/A</v>
      </c>
      <c r="BA610" s="2" t="e">
        <f t="shared" ca="1" si="354"/>
        <v>#N/A</v>
      </c>
      <c r="BB610" s="2" t="e">
        <f t="shared" ca="1" si="355"/>
        <v>#N/A</v>
      </c>
      <c r="BC610" s="9" t="e">
        <f t="shared" ca="1" si="356"/>
        <v>#N/A</v>
      </c>
      <c r="BD610" s="9" t="e">
        <f t="shared" ca="1" si="357"/>
        <v>#N/A</v>
      </c>
    </row>
    <row r="611" spans="1:56" ht="15" x14ac:dyDescent="0.25">
      <c r="A611" s="63"/>
      <c r="B611" s="63"/>
      <c r="C611" s="64"/>
      <c r="D611" s="64"/>
      <c r="E611" s="64"/>
      <c r="F611" s="64"/>
      <c r="G611" s="64"/>
      <c r="H611" s="64"/>
      <c r="I611" s="64"/>
      <c r="J611" s="64"/>
      <c r="K611" s="64"/>
      <c r="L611" s="64"/>
      <c r="M611" s="64"/>
      <c r="N611" s="16"/>
      <c r="O611" s="11">
        <f t="shared" ca="1" si="343"/>
        <v>-3.9378682616450625E-4</v>
      </c>
      <c r="P611" s="11">
        <f t="shared" ca="1" si="344"/>
        <v>-1.6358405771021967E-4</v>
      </c>
      <c r="Q611" s="11">
        <f t="shared" ca="1" si="345"/>
        <v>-1.614029402377854E-3</v>
      </c>
      <c r="R611" s="11">
        <f t="shared" ca="1" si="346"/>
        <v>-1.4853760121635622E-5</v>
      </c>
      <c r="S611" s="11">
        <f t="shared" ca="1" si="347"/>
        <v>-1.1458026838550334E-3</v>
      </c>
      <c r="T611" s="11">
        <f t="shared" ca="1" si="348"/>
        <v>-4.9053934342410677E-4</v>
      </c>
      <c r="U611" s="11">
        <f t="shared" ca="1" si="349"/>
        <v>-5.5074395654535931E-3</v>
      </c>
      <c r="V611" s="11"/>
      <c r="W611" s="11">
        <f t="shared" ca="1" si="329"/>
        <v>0</v>
      </c>
      <c r="X611" s="2">
        <f t="shared" ca="1" si="330"/>
        <v>-1.6358405771021967E-4</v>
      </c>
      <c r="Y611" s="2">
        <f t="shared" ca="1" si="331"/>
        <v>-1.614029402377854E-3</v>
      </c>
      <c r="Z611" s="11">
        <f t="shared" ca="1" si="332"/>
        <v>-1.4853760121635622E-5</v>
      </c>
      <c r="AA611" s="2">
        <f t="shared" ca="1" si="333"/>
        <v>-1.1458026838550334E-3</v>
      </c>
      <c r="AB611" s="11">
        <f t="shared" ca="1" si="334"/>
        <v>-4.9053934342410677E-4</v>
      </c>
      <c r="AC611" s="2">
        <f t="shared" ca="1" si="335"/>
        <v>-5.5074395654535931E-3</v>
      </c>
      <c r="AF611" s="11">
        <f t="shared" ca="1" si="336"/>
        <v>0</v>
      </c>
      <c r="AG611" s="2">
        <f t="shared" ca="1" si="337"/>
        <v>-1.6358405771021967E-4</v>
      </c>
      <c r="AH611" s="2">
        <f t="shared" ca="1" si="338"/>
        <v>-1.614029402377854E-3</v>
      </c>
      <c r="AI611" s="2">
        <f t="shared" ca="1" si="339"/>
        <v>-1.4853760121635622E-5</v>
      </c>
      <c r="AJ611" s="2">
        <f t="shared" ca="1" si="340"/>
        <v>-1.1458026838550334E-3</v>
      </c>
      <c r="AK611" s="2">
        <f t="shared" ca="1" si="341"/>
        <v>-4.9053934342410677E-4</v>
      </c>
      <c r="AL611" s="2">
        <f t="shared" ca="1" si="342"/>
        <v>-5.5074395654535931E-3</v>
      </c>
      <c r="AN611" s="2" t="e">
        <f t="shared" ca="1" si="321"/>
        <v>#N/A</v>
      </c>
      <c r="AO611" s="2" t="e">
        <f t="shared" ca="1" si="322"/>
        <v>#N/A</v>
      </c>
      <c r="AP611" s="2" t="e">
        <f t="shared" ca="1" si="323"/>
        <v>#N/A</v>
      </c>
      <c r="AQ611" s="2" t="e">
        <f t="shared" ca="1" si="324"/>
        <v>#N/A</v>
      </c>
      <c r="AR611" s="2" t="e">
        <f t="shared" ca="1" si="325"/>
        <v>#N/A</v>
      </c>
      <c r="AS611" s="2" t="e">
        <f t="shared" ca="1" si="326"/>
        <v>#N/A</v>
      </c>
      <c r="AT611" s="9" t="e">
        <f t="shared" ca="1" si="327"/>
        <v>#N/A</v>
      </c>
      <c r="AU611" s="9" t="e">
        <f t="shared" ca="1" si="328"/>
        <v>#N/A</v>
      </c>
      <c r="AV611" s="9"/>
      <c r="AW611" s="2" t="e">
        <f t="shared" ca="1" si="350"/>
        <v>#N/A</v>
      </c>
      <c r="AX611" s="2" t="e">
        <f t="shared" ca="1" si="351"/>
        <v>#N/A</v>
      </c>
      <c r="AY611" s="2" t="e">
        <f t="shared" ca="1" si="352"/>
        <v>#N/A</v>
      </c>
      <c r="AZ611" s="2" t="e">
        <f t="shared" ca="1" si="353"/>
        <v>#N/A</v>
      </c>
      <c r="BA611" s="2" t="e">
        <f t="shared" ca="1" si="354"/>
        <v>#N/A</v>
      </c>
      <c r="BB611" s="2" t="e">
        <f t="shared" ca="1" si="355"/>
        <v>#N/A</v>
      </c>
      <c r="BC611" s="9" t="e">
        <f t="shared" ca="1" si="356"/>
        <v>#N/A</v>
      </c>
      <c r="BD611" s="9" t="e">
        <f t="shared" ca="1" si="357"/>
        <v>#N/A</v>
      </c>
    </row>
    <row r="612" spans="1:56" ht="15" x14ac:dyDescent="0.25">
      <c r="A612" s="63"/>
      <c r="B612" s="63"/>
      <c r="C612" s="64"/>
      <c r="D612" s="64"/>
      <c r="E612" s="64"/>
      <c r="F612" s="64"/>
      <c r="G612" s="64"/>
      <c r="H612" s="64"/>
      <c r="I612" s="64"/>
      <c r="J612" s="64"/>
      <c r="K612" s="64"/>
      <c r="L612" s="64"/>
      <c r="M612" s="64"/>
      <c r="N612" s="16"/>
      <c r="O612" s="11">
        <f t="shared" ca="1" si="343"/>
        <v>-3.9378682616450625E-4</v>
      </c>
      <c r="P612" s="11">
        <f t="shared" ca="1" si="344"/>
        <v>-1.6358405771021967E-4</v>
      </c>
      <c r="Q612" s="11">
        <f t="shared" ca="1" si="345"/>
        <v>-1.614029402377854E-3</v>
      </c>
      <c r="R612" s="11">
        <f t="shared" ca="1" si="346"/>
        <v>-1.4853760121635622E-5</v>
      </c>
      <c r="S612" s="11">
        <f t="shared" ca="1" si="347"/>
        <v>-1.1458026838550334E-3</v>
      </c>
      <c r="T612" s="11">
        <f t="shared" ca="1" si="348"/>
        <v>-4.9053934342410677E-4</v>
      </c>
      <c r="U612" s="11">
        <f t="shared" ca="1" si="349"/>
        <v>-5.5074395654535931E-3</v>
      </c>
      <c r="V612" s="11"/>
      <c r="W612" s="11">
        <f t="shared" ca="1" si="329"/>
        <v>0</v>
      </c>
      <c r="X612" s="2">
        <f t="shared" ca="1" si="330"/>
        <v>-1.6358405771021967E-4</v>
      </c>
      <c r="Y612" s="2">
        <f t="shared" ca="1" si="331"/>
        <v>-1.614029402377854E-3</v>
      </c>
      <c r="Z612" s="11">
        <f t="shared" ca="1" si="332"/>
        <v>-1.4853760121635622E-5</v>
      </c>
      <c r="AA612" s="2">
        <f t="shared" ca="1" si="333"/>
        <v>-1.1458026838550334E-3</v>
      </c>
      <c r="AB612" s="11">
        <f t="shared" ca="1" si="334"/>
        <v>-4.9053934342410677E-4</v>
      </c>
      <c r="AC612" s="2">
        <f t="shared" ca="1" si="335"/>
        <v>-5.5074395654535931E-3</v>
      </c>
      <c r="AF612" s="11">
        <f t="shared" ca="1" si="336"/>
        <v>0</v>
      </c>
      <c r="AG612" s="2">
        <f t="shared" ca="1" si="337"/>
        <v>-1.6358405771021967E-4</v>
      </c>
      <c r="AH612" s="2">
        <f t="shared" ca="1" si="338"/>
        <v>-1.614029402377854E-3</v>
      </c>
      <c r="AI612" s="2">
        <f t="shared" ca="1" si="339"/>
        <v>-1.4853760121635622E-5</v>
      </c>
      <c r="AJ612" s="2">
        <f t="shared" ca="1" si="340"/>
        <v>-1.1458026838550334E-3</v>
      </c>
      <c r="AK612" s="2">
        <f t="shared" ca="1" si="341"/>
        <v>-4.9053934342410677E-4</v>
      </c>
      <c r="AL612" s="2">
        <f t="shared" ca="1" si="342"/>
        <v>-5.5074395654535931E-3</v>
      </c>
      <c r="AN612" s="2" t="e">
        <f t="shared" ca="1" si="321"/>
        <v>#N/A</v>
      </c>
      <c r="AO612" s="2" t="e">
        <f t="shared" ca="1" si="322"/>
        <v>#N/A</v>
      </c>
      <c r="AP612" s="2" t="e">
        <f t="shared" ca="1" si="323"/>
        <v>#N/A</v>
      </c>
      <c r="AQ612" s="2" t="e">
        <f t="shared" ca="1" si="324"/>
        <v>#N/A</v>
      </c>
      <c r="AR612" s="2" t="e">
        <f t="shared" ca="1" si="325"/>
        <v>#N/A</v>
      </c>
      <c r="AS612" s="2" t="e">
        <f t="shared" ca="1" si="326"/>
        <v>#N/A</v>
      </c>
      <c r="AT612" s="9" t="e">
        <f t="shared" ca="1" si="327"/>
        <v>#N/A</v>
      </c>
      <c r="AU612" s="9" t="e">
        <f t="shared" ca="1" si="328"/>
        <v>#N/A</v>
      </c>
      <c r="AV612" s="9"/>
      <c r="AW612" s="2" t="e">
        <f t="shared" ca="1" si="350"/>
        <v>#N/A</v>
      </c>
      <c r="AX612" s="2" t="e">
        <f t="shared" ca="1" si="351"/>
        <v>#N/A</v>
      </c>
      <c r="AY612" s="2" t="e">
        <f t="shared" ca="1" si="352"/>
        <v>#N/A</v>
      </c>
      <c r="AZ612" s="2" t="e">
        <f t="shared" ca="1" si="353"/>
        <v>#N/A</v>
      </c>
      <c r="BA612" s="2" t="e">
        <f t="shared" ca="1" si="354"/>
        <v>#N/A</v>
      </c>
      <c r="BB612" s="2" t="e">
        <f t="shared" ca="1" si="355"/>
        <v>#N/A</v>
      </c>
      <c r="BC612" s="9" t="e">
        <f t="shared" ca="1" si="356"/>
        <v>#N/A</v>
      </c>
      <c r="BD612" s="9" t="e">
        <f t="shared" ca="1" si="357"/>
        <v>#N/A</v>
      </c>
    </row>
    <row r="613" spans="1:56" ht="15" x14ac:dyDescent="0.25">
      <c r="A613" s="63"/>
      <c r="B613" s="63"/>
      <c r="C613" s="64"/>
      <c r="D613" s="64"/>
      <c r="E613" s="64"/>
      <c r="F613" s="64"/>
      <c r="G613" s="64"/>
      <c r="H613" s="64"/>
      <c r="I613" s="64"/>
      <c r="J613" s="64"/>
      <c r="K613" s="64"/>
      <c r="L613" s="64"/>
      <c r="M613" s="64"/>
      <c r="N613" s="16"/>
      <c r="O613" s="11">
        <f t="shared" ca="1" si="343"/>
        <v>-3.9378682616450625E-4</v>
      </c>
      <c r="P613" s="11">
        <f t="shared" ca="1" si="344"/>
        <v>-1.6358405771021967E-4</v>
      </c>
      <c r="Q613" s="11">
        <f t="shared" ca="1" si="345"/>
        <v>-1.614029402377854E-3</v>
      </c>
      <c r="R613" s="11">
        <f t="shared" ca="1" si="346"/>
        <v>-1.4853760121635622E-5</v>
      </c>
      <c r="S613" s="11">
        <f t="shared" ca="1" si="347"/>
        <v>-1.1458026838550334E-3</v>
      </c>
      <c r="T613" s="11">
        <f t="shared" ca="1" si="348"/>
        <v>-4.9053934342410677E-4</v>
      </c>
      <c r="U613" s="11">
        <f t="shared" ca="1" si="349"/>
        <v>-5.5074395654535931E-3</v>
      </c>
      <c r="V613" s="11"/>
      <c r="W613" s="11">
        <f t="shared" ca="1" si="329"/>
        <v>0</v>
      </c>
      <c r="X613" s="2">
        <f t="shared" ca="1" si="330"/>
        <v>-1.6358405771021967E-4</v>
      </c>
      <c r="Y613" s="2">
        <f t="shared" ca="1" si="331"/>
        <v>-1.614029402377854E-3</v>
      </c>
      <c r="Z613" s="11">
        <f t="shared" ca="1" si="332"/>
        <v>-1.4853760121635622E-5</v>
      </c>
      <c r="AA613" s="2">
        <f t="shared" ca="1" si="333"/>
        <v>-1.1458026838550334E-3</v>
      </c>
      <c r="AB613" s="11">
        <f t="shared" ca="1" si="334"/>
        <v>-4.9053934342410677E-4</v>
      </c>
      <c r="AC613" s="2">
        <f t="shared" ca="1" si="335"/>
        <v>-5.5074395654535931E-3</v>
      </c>
      <c r="AF613" s="11">
        <f t="shared" ca="1" si="336"/>
        <v>0</v>
      </c>
      <c r="AG613" s="2">
        <f t="shared" ca="1" si="337"/>
        <v>-1.6358405771021967E-4</v>
      </c>
      <c r="AH613" s="2">
        <f t="shared" ca="1" si="338"/>
        <v>-1.614029402377854E-3</v>
      </c>
      <c r="AI613" s="2">
        <f t="shared" ca="1" si="339"/>
        <v>-1.4853760121635622E-5</v>
      </c>
      <c r="AJ613" s="2">
        <f t="shared" ca="1" si="340"/>
        <v>-1.1458026838550334E-3</v>
      </c>
      <c r="AK613" s="2">
        <f t="shared" ca="1" si="341"/>
        <v>-4.9053934342410677E-4</v>
      </c>
      <c r="AL613" s="2">
        <f t="shared" ca="1" si="342"/>
        <v>-5.5074395654535931E-3</v>
      </c>
      <c r="AN613" s="2" t="e">
        <f t="shared" ca="1" si="321"/>
        <v>#N/A</v>
      </c>
      <c r="AO613" s="2" t="e">
        <f t="shared" ca="1" si="322"/>
        <v>#N/A</v>
      </c>
      <c r="AP613" s="2" t="e">
        <f t="shared" ca="1" si="323"/>
        <v>#N/A</v>
      </c>
      <c r="AQ613" s="2" t="e">
        <f t="shared" ca="1" si="324"/>
        <v>#N/A</v>
      </c>
      <c r="AR613" s="2" t="e">
        <f t="shared" ca="1" si="325"/>
        <v>#N/A</v>
      </c>
      <c r="AS613" s="2" t="e">
        <f t="shared" ca="1" si="326"/>
        <v>#N/A</v>
      </c>
      <c r="AT613" s="9" t="e">
        <f t="shared" ca="1" si="327"/>
        <v>#N/A</v>
      </c>
      <c r="AU613" s="9" t="e">
        <f t="shared" ca="1" si="328"/>
        <v>#N/A</v>
      </c>
      <c r="AV613" s="9"/>
      <c r="AW613" s="2" t="e">
        <f t="shared" ca="1" si="350"/>
        <v>#N/A</v>
      </c>
      <c r="AX613" s="2" t="e">
        <f t="shared" ca="1" si="351"/>
        <v>#N/A</v>
      </c>
      <c r="AY613" s="2" t="e">
        <f t="shared" ca="1" si="352"/>
        <v>#N/A</v>
      </c>
      <c r="AZ613" s="2" t="e">
        <f t="shared" ca="1" si="353"/>
        <v>#N/A</v>
      </c>
      <c r="BA613" s="2" t="e">
        <f t="shared" ca="1" si="354"/>
        <v>#N/A</v>
      </c>
      <c r="BB613" s="2" t="e">
        <f t="shared" ca="1" si="355"/>
        <v>#N/A</v>
      </c>
      <c r="BC613" s="9" t="e">
        <f t="shared" ca="1" si="356"/>
        <v>#N/A</v>
      </c>
      <c r="BD613" s="9" t="e">
        <f t="shared" ca="1" si="357"/>
        <v>#N/A</v>
      </c>
    </row>
    <row r="614" spans="1:56" ht="15" x14ac:dyDescent="0.25">
      <c r="A614" s="63"/>
      <c r="B614" s="63"/>
      <c r="C614" s="64"/>
      <c r="D614" s="64"/>
      <c r="E614" s="64"/>
      <c r="F614" s="64"/>
      <c r="G614" s="64"/>
      <c r="H614" s="64"/>
      <c r="I614" s="64"/>
      <c r="J614" s="64"/>
      <c r="K614" s="64"/>
      <c r="L614" s="64"/>
      <c r="M614" s="64"/>
      <c r="N614" s="16"/>
      <c r="O614" s="11">
        <f t="shared" ca="1" si="343"/>
        <v>-3.9378682616450625E-4</v>
      </c>
      <c r="P614" s="11">
        <f t="shared" ca="1" si="344"/>
        <v>-1.6358405771021967E-4</v>
      </c>
      <c r="Q614" s="11">
        <f t="shared" ca="1" si="345"/>
        <v>-1.614029402377854E-3</v>
      </c>
      <c r="R614" s="11">
        <f t="shared" ca="1" si="346"/>
        <v>-1.4853760121635622E-5</v>
      </c>
      <c r="S614" s="11">
        <f t="shared" ca="1" si="347"/>
        <v>-1.1458026838550334E-3</v>
      </c>
      <c r="T614" s="11">
        <f t="shared" ca="1" si="348"/>
        <v>-4.9053934342410677E-4</v>
      </c>
      <c r="U614" s="11">
        <f t="shared" ca="1" si="349"/>
        <v>-5.5074395654535931E-3</v>
      </c>
      <c r="V614" s="11"/>
      <c r="W614" s="11">
        <f t="shared" ca="1" si="329"/>
        <v>0</v>
      </c>
      <c r="X614" s="2">
        <f t="shared" ca="1" si="330"/>
        <v>-1.6358405771021967E-4</v>
      </c>
      <c r="Y614" s="2">
        <f t="shared" ca="1" si="331"/>
        <v>-1.614029402377854E-3</v>
      </c>
      <c r="Z614" s="11">
        <f t="shared" ca="1" si="332"/>
        <v>-1.4853760121635622E-5</v>
      </c>
      <c r="AA614" s="2">
        <f t="shared" ca="1" si="333"/>
        <v>-1.1458026838550334E-3</v>
      </c>
      <c r="AB614" s="11">
        <f t="shared" ca="1" si="334"/>
        <v>-4.9053934342410677E-4</v>
      </c>
      <c r="AC614" s="2">
        <f t="shared" ca="1" si="335"/>
        <v>-5.5074395654535931E-3</v>
      </c>
      <c r="AF614" s="11">
        <f t="shared" ca="1" si="336"/>
        <v>0</v>
      </c>
      <c r="AG614" s="2">
        <f t="shared" ca="1" si="337"/>
        <v>-1.6358405771021967E-4</v>
      </c>
      <c r="AH614" s="2">
        <f t="shared" ca="1" si="338"/>
        <v>-1.614029402377854E-3</v>
      </c>
      <c r="AI614" s="2">
        <f t="shared" ca="1" si="339"/>
        <v>-1.4853760121635622E-5</v>
      </c>
      <c r="AJ614" s="2">
        <f t="shared" ca="1" si="340"/>
        <v>-1.1458026838550334E-3</v>
      </c>
      <c r="AK614" s="2">
        <f t="shared" ca="1" si="341"/>
        <v>-4.9053934342410677E-4</v>
      </c>
      <c r="AL614" s="2">
        <f t="shared" ca="1" si="342"/>
        <v>-5.5074395654535931E-3</v>
      </c>
      <c r="AN614" s="2" t="e">
        <f t="shared" ca="1" si="321"/>
        <v>#N/A</v>
      </c>
      <c r="AO614" s="2" t="e">
        <f t="shared" ca="1" si="322"/>
        <v>#N/A</v>
      </c>
      <c r="AP614" s="2" t="e">
        <f t="shared" ca="1" si="323"/>
        <v>#N/A</v>
      </c>
      <c r="AQ614" s="2" t="e">
        <f t="shared" ca="1" si="324"/>
        <v>#N/A</v>
      </c>
      <c r="AR614" s="2" t="e">
        <f t="shared" ca="1" si="325"/>
        <v>#N/A</v>
      </c>
      <c r="AS614" s="2" t="e">
        <f t="shared" ca="1" si="326"/>
        <v>#N/A</v>
      </c>
      <c r="AT614" s="9" t="e">
        <f t="shared" ca="1" si="327"/>
        <v>#N/A</v>
      </c>
      <c r="AU614" s="9" t="e">
        <f t="shared" ca="1" si="328"/>
        <v>#N/A</v>
      </c>
      <c r="AV614" s="9"/>
      <c r="AW614" s="2" t="e">
        <f t="shared" ca="1" si="350"/>
        <v>#N/A</v>
      </c>
      <c r="AX614" s="2" t="e">
        <f t="shared" ca="1" si="351"/>
        <v>#N/A</v>
      </c>
      <c r="AY614" s="2" t="e">
        <f t="shared" ca="1" si="352"/>
        <v>#N/A</v>
      </c>
      <c r="AZ614" s="2" t="e">
        <f t="shared" ca="1" si="353"/>
        <v>#N/A</v>
      </c>
      <c r="BA614" s="2" t="e">
        <f t="shared" ca="1" si="354"/>
        <v>#N/A</v>
      </c>
      <c r="BB614" s="2" t="e">
        <f t="shared" ca="1" si="355"/>
        <v>#N/A</v>
      </c>
      <c r="BC614" s="9" t="e">
        <f t="shared" ca="1" si="356"/>
        <v>#N/A</v>
      </c>
      <c r="BD614" s="9" t="e">
        <f t="shared" ca="1" si="357"/>
        <v>#N/A</v>
      </c>
    </row>
    <row r="615" spans="1:56" ht="15" x14ac:dyDescent="0.25">
      <c r="A615" s="63"/>
      <c r="B615" s="63"/>
      <c r="C615" s="64"/>
      <c r="D615" s="64"/>
      <c r="E615" s="64"/>
      <c r="F615" s="64"/>
      <c r="G615" s="64"/>
      <c r="H615" s="64"/>
      <c r="I615" s="64"/>
      <c r="J615" s="64"/>
      <c r="K615" s="64"/>
      <c r="L615" s="64"/>
      <c r="M615" s="64"/>
      <c r="N615" s="16"/>
      <c r="O615" s="11">
        <f t="shared" ca="1" si="343"/>
        <v>-3.9378682616450625E-4</v>
      </c>
      <c r="P615" s="11">
        <f t="shared" ca="1" si="344"/>
        <v>-1.6358405771021967E-4</v>
      </c>
      <c r="Q615" s="11">
        <f t="shared" ca="1" si="345"/>
        <v>-1.614029402377854E-3</v>
      </c>
      <c r="R615" s="11">
        <f t="shared" ca="1" si="346"/>
        <v>-1.4853760121635622E-5</v>
      </c>
      <c r="S615" s="11">
        <f t="shared" ca="1" si="347"/>
        <v>-1.1458026838550334E-3</v>
      </c>
      <c r="T615" s="11">
        <f t="shared" ca="1" si="348"/>
        <v>-4.9053934342410677E-4</v>
      </c>
      <c r="U615" s="11">
        <f t="shared" ca="1" si="349"/>
        <v>-5.5074395654535931E-3</v>
      </c>
      <c r="V615" s="11"/>
      <c r="W615" s="11">
        <f t="shared" ca="1" si="329"/>
        <v>0</v>
      </c>
      <c r="X615" s="2">
        <f t="shared" ca="1" si="330"/>
        <v>-1.6358405771021967E-4</v>
      </c>
      <c r="Y615" s="2">
        <f t="shared" ca="1" si="331"/>
        <v>-1.614029402377854E-3</v>
      </c>
      <c r="Z615" s="11">
        <f t="shared" ca="1" si="332"/>
        <v>-1.4853760121635622E-5</v>
      </c>
      <c r="AA615" s="2">
        <f t="shared" ca="1" si="333"/>
        <v>-1.1458026838550334E-3</v>
      </c>
      <c r="AB615" s="11">
        <f t="shared" ca="1" si="334"/>
        <v>-4.9053934342410677E-4</v>
      </c>
      <c r="AC615" s="2">
        <f t="shared" ca="1" si="335"/>
        <v>-5.5074395654535931E-3</v>
      </c>
      <c r="AF615" s="11">
        <f t="shared" ca="1" si="336"/>
        <v>0</v>
      </c>
      <c r="AG615" s="2">
        <f t="shared" ca="1" si="337"/>
        <v>-1.6358405771021967E-4</v>
      </c>
      <c r="AH615" s="2">
        <f t="shared" ca="1" si="338"/>
        <v>-1.614029402377854E-3</v>
      </c>
      <c r="AI615" s="2">
        <f t="shared" ca="1" si="339"/>
        <v>-1.4853760121635622E-5</v>
      </c>
      <c r="AJ615" s="2">
        <f t="shared" ca="1" si="340"/>
        <v>-1.1458026838550334E-3</v>
      </c>
      <c r="AK615" s="2">
        <f t="shared" ca="1" si="341"/>
        <v>-4.9053934342410677E-4</v>
      </c>
      <c r="AL615" s="2">
        <f t="shared" ca="1" si="342"/>
        <v>-5.5074395654535931E-3</v>
      </c>
      <c r="AN615" s="2" t="e">
        <f t="shared" ca="1" si="321"/>
        <v>#N/A</v>
      </c>
      <c r="AO615" s="2" t="e">
        <f t="shared" ca="1" si="322"/>
        <v>#N/A</v>
      </c>
      <c r="AP615" s="2" t="e">
        <f t="shared" ca="1" si="323"/>
        <v>#N/A</v>
      </c>
      <c r="AQ615" s="2" t="e">
        <f t="shared" ca="1" si="324"/>
        <v>#N/A</v>
      </c>
      <c r="AR615" s="2" t="e">
        <f t="shared" ca="1" si="325"/>
        <v>#N/A</v>
      </c>
      <c r="AS615" s="2" t="e">
        <f t="shared" ca="1" si="326"/>
        <v>#N/A</v>
      </c>
      <c r="AT615" s="9" t="e">
        <f t="shared" ca="1" si="327"/>
        <v>#N/A</v>
      </c>
      <c r="AU615" s="9" t="e">
        <f t="shared" ca="1" si="328"/>
        <v>#N/A</v>
      </c>
      <c r="AV615" s="9"/>
      <c r="AW615" s="2" t="e">
        <f t="shared" ca="1" si="350"/>
        <v>#N/A</v>
      </c>
      <c r="AX615" s="2" t="e">
        <f t="shared" ca="1" si="351"/>
        <v>#N/A</v>
      </c>
      <c r="AY615" s="2" t="e">
        <f t="shared" ca="1" si="352"/>
        <v>#N/A</v>
      </c>
      <c r="AZ615" s="2" t="e">
        <f t="shared" ca="1" si="353"/>
        <v>#N/A</v>
      </c>
      <c r="BA615" s="2" t="e">
        <f t="shared" ca="1" si="354"/>
        <v>#N/A</v>
      </c>
      <c r="BB615" s="2" t="e">
        <f t="shared" ca="1" si="355"/>
        <v>#N/A</v>
      </c>
      <c r="BC615" s="9" t="e">
        <f t="shared" ca="1" si="356"/>
        <v>#N/A</v>
      </c>
      <c r="BD615" s="9" t="e">
        <f t="shared" ca="1" si="357"/>
        <v>#N/A</v>
      </c>
    </row>
    <row r="616" spans="1:56" ht="15" x14ac:dyDescent="0.25">
      <c r="A616" s="63"/>
      <c r="B616" s="63"/>
      <c r="C616" s="64"/>
      <c r="D616" s="64"/>
      <c r="E616" s="64"/>
      <c r="F616" s="64"/>
      <c r="G616" s="64"/>
      <c r="H616" s="64"/>
      <c r="I616" s="64"/>
      <c r="J616" s="64"/>
      <c r="K616" s="64"/>
      <c r="L616" s="64"/>
      <c r="M616" s="64"/>
      <c r="N616" s="16"/>
      <c r="O616" s="11">
        <f t="shared" ca="1" si="343"/>
        <v>-3.9378682616450625E-4</v>
      </c>
      <c r="P616" s="11">
        <f t="shared" ca="1" si="344"/>
        <v>-1.6358405771021967E-4</v>
      </c>
      <c r="Q616" s="11">
        <f t="shared" ca="1" si="345"/>
        <v>-1.614029402377854E-3</v>
      </c>
      <c r="R616" s="11">
        <f t="shared" ca="1" si="346"/>
        <v>-1.4853760121635622E-5</v>
      </c>
      <c r="S616" s="11">
        <f t="shared" ca="1" si="347"/>
        <v>-1.1458026838550334E-3</v>
      </c>
      <c r="T616" s="11">
        <f t="shared" ca="1" si="348"/>
        <v>-4.9053934342410677E-4</v>
      </c>
      <c r="U616" s="11">
        <f t="shared" ca="1" si="349"/>
        <v>-5.5074395654535931E-3</v>
      </c>
      <c r="V616" s="11"/>
      <c r="W616" s="11">
        <f t="shared" ca="1" si="329"/>
        <v>0</v>
      </c>
      <c r="X616" s="2">
        <f t="shared" ca="1" si="330"/>
        <v>-1.6358405771021967E-4</v>
      </c>
      <c r="Y616" s="2">
        <f t="shared" ca="1" si="331"/>
        <v>-1.614029402377854E-3</v>
      </c>
      <c r="Z616" s="11">
        <f t="shared" ca="1" si="332"/>
        <v>-1.4853760121635622E-5</v>
      </c>
      <c r="AA616" s="2">
        <f t="shared" ca="1" si="333"/>
        <v>-1.1458026838550334E-3</v>
      </c>
      <c r="AB616" s="11">
        <f t="shared" ca="1" si="334"/>
        <v>-4.9053934342410677E-4</v>
      </c>
      <c r="AC616" s="2">
        <f t="shared" ca="1" si="335"/>
        <v>-5.5074395654535931E-3</v>
      </c>
      <c r="AF616" s="11">
        <f t="shared" ca="1" si="336"/>
        <v>0</v>
      </c>
      <c r="AG616" s="2">
        <f t="shared" ca="1" si="337"/>
        <v>-1.6358405771021967E-4</v>
      </c>
      <c r="AH616" s="2">
        <f t="shared" ca="1" si="338"/>
        <v>-1.614029402377854E-3</v>
      </c>
      <c r="AI616" s="2">
        <f t="shared" ca="1" si="339"/>
        <v>-1.4853760121635622E-5</v>
      </c>
      <c r="AJ616" s="2">
        <f t="shared" ca="1" si="340"/>
        <v>-1.1458026838550334E-3</v>
      </c>
      <c r="AK616" s="2">
        <f t="shared" ca="1" si="341"/>
        <v>-4.9053934342410677E-4</v>
      </c>
      <c r="AL616" s="2">
        <f t="shared" ca="1" si="342"/>
        <v>-5.5074395654535931E-3</v>
      </c>
      <c r="AN616" s="2" t="e">
        <f t="shared" ca="1" si="321"/>
        <v>#N/A</v>
      </c>
      <c r="AO616" s="2" t="e">
        <f t="shared" ca="1" si="322"/>
        <v>#N/A</v>
      </c>
      <c r="AP616" s="2" t="e">
        <f t="shared" ca="1" si="323"/>
        <v>#N/A</v>
      </c>
      <c r="AQ616" s="2" t="e">
        <f t="shared" ca="1" si="324"/>
        <v>#N/A</v>
      </c>
      <c r="AR616" s="2" t="e">
        <f t="shared" ca="1" si="325"/>
        <v>#N/A</v>
      </c>
      <c r="AS616" s="2" t="e">
        <f t="shared" ca="1" si="326"/>
        <v>#N/A</v>
      </c>
      <c r="AT616" s="9" t="e">
        <f t="shared" ca="1" si="327"/>
        <v>#N/A</v>
      </c>
      <c r="AU616" s="9" t="e">
        <f t="shared" ca="1" si="328"/>
        <v>#N/A</v>
      </c>
      <c r="AV616" s="9"/>
      <c r="AW616" s="2" t="e">
        <f t="shared" ca="1" si="350"/>
        <v>#N/A</v>
      </c>
      <c r="AX616" s="2" t="e">
        <f t="shared" ca="1" si="351"/>
        <v>#N/A</v>
      </c>
      <c r="AY616" s="2" t="e">
        <f t="shared" ca="1" si="352"/>
        <v>#N/A</v>
      </c>
      <c r="AZ616" s="2" t="e">
        <f t="shared" ca="1" si="353"/>
        <v>#N/A</v>
      </c>
      <c r="BA616" s="2" t="e">
        <f t="shared" ca="1" si="354"/>
        <v>#N/A</v>
      </c>
      <c r="BB616" s="2" t="e">
        <f t="shared" ca="1" si="355"/>
        <v>#N/A</v>
      </c>
      <c r="BC616" s="9" t="e">
        <f t="shared" ca="1" si="356"/>
        <v>#N/A</v>
      </c>
      <c r="BD616" s="9" t="e">
        <f t="shared" ca="1" si="357"/>
        <v>#N/A</v>
      </c>
    </row>
    <row r="617" spans="1:56" ht="15" x14ac:dyDescent="0.25">
      <c r="A617" s="63"/>
      <c r="B617" s="63"/>
      <c r="C617" s="64"/>
      <c r="D617" s="64"/>
      <c r="E617" s="64"/>
      <c r="F617" s="64"/>
      <c r="G617" s="64"/>
      <c r="H617" s="64"/>
      <c r="I617" s="64"/>
      <c r="J617" s="64"/>
      <c r="K617" s="64"/>
      <c r="L617" s="64"/>
      <c r="M617" s="64"/>
      <c r="N617" s="16"/>
      <c r="O617" s="11">
        <f t="shared" ca="1" si="343"/>
        <v>-3.9378682616450625E-4</v>
      </c>
      <c r="P617" s="11">
        <f t="shared" ca="1" si="344"/>
        <v>-1.6358405771021967E-4</v>
      </c>
      <c r="Q617" s="11">
        <f t="shared" ca="1" si="345"/>
        <v>-1.614029402377854E-3</v>
      </c>
      <c r="R617" s="11">
        <f t="shared" ca="1" si="346"/>
        <v>-1.4853760121635622E-5</v>
      </c>
      <c r="S617" s="11">
        <f t="shared" ca="1" si="347"/>
        <v>-1.1458026838550334E-3</v>
      </c>
      <c r="T617" s="11">
        <f t="shared" ca="1" si="348"/>
        <v>-4.9053934342410677E-4</v>
      </c>
      <c r="U617" s="11">
        <f t="shared" ca="1" si="349"/>
        <v>-5.5074395654535931E-3</v>
      </c>
      <c r="V617" s="11"/>
      <c r="W617" s="11">
        <f t="shared" ca="1" si="329"/>
        <v>0</v>
      </c>
      <c r="X617" s="2">
        <f t="shared" ca="1" si="330"/>
        <v>-1.6358405771021967E-4</v>
      </c>
      <c r="Y617" s="2">
        <f t="shared" ca="1" si="331"/>
        <v>-1.614029402377854E-3</v>
      </c>
      <c r="Z617" s="11">
        <f t="shared" ca="1" si="332"/>
        <v>-1.4853760121635622E-5</v>
      </c>
      <c r="AA617" s="2">
        <f t="shared" ca="1" si="333"/>
        <v>-1.1458026838550334E-3</v>
      </c>
      <c r="AB617" s="11">
        <f t="shared" ca="1" si="334"/>
        <v>-4.9053934342410677E-4</v>
      </c>
      <c r="AC617" s="2">
        <f t="shared" ca="1" si="335"/>
        <v>-5.5074395654535931E-3</v>
      </c>
      <c r="AF617" s="11">
        <f t="shared" ca="1" si="336"/>
        <v>0</v>
      </c>
      <c r="AG617" s="2">
        <f t="shared" ca="1" si="337"/>
        <v>-1.6358405771021967E-4</v>
      </c>
      <c r="AH617" s="2">
        <f t="shared" ca="1" si="338"/>
        <v>-1.614029402377854E-3</v>
      </c>
      <c r="AI617" s="2">
        <f t="shared" ca="1" si="339"/>
        <v>-1.4853760121635622E-5</v>
      </c>
      <c r="AJ617" s="2">
        <f t="shared" ca="1" si="340"/>
        <v>-1.1458026838550334E-3</v>
      </c>
      <c r="AK617" s="2">
        <f t="shared" ca="1" si="341"/>
        <v>-4.9053934342410677E-4</v>
      </c>
      <c r="AL617" s="2">
        <f t="shared" ca="1" si="342"/>
        <v>-5.5074395654535931E-3</v>
      </c>
      <c r="AN617" s="2" t="e">
        <f t="shared" ca="1" si="321"/>
        <v>#N/A</v>
      </c>
      <c r="AO617" s="2" t="e">
        <f t="shared" ca="1" si="322"/>
        <v>#N/A</v>
      </c>
      <c r="AP617" s="2" t="e">
        <f t="shared" ca="1" si="323"/>
        <v>#N/A</v>
      </c>
      <c r="AQ617" s="2" t="e">
        <f t="shared" ca="1" si="324"/>
        <v>#N/A</v>
      </c>
      <c r="AR617" s="2" t="e">
        <f t="shared" ca="1" si="325"/>
        <v>#N/A</v>
      </c>
      <c r="AS617" s="2" t="e">
        <f t="shared" ca="1" si="326"/>
        <v>#N/A</v>
      </c>
      <c r="AT617" s="9" t="e">
        <f t="shared" ca="1" si="327"/>
        <v>#N/A</v>
      </c>
      <c r="AU617" s="9" t="e">
        <f t="shared" ca="1" si="328"/>
        <v>#N/A</v>
      </c>
      <c r="AV617" s="9"/>
      <c r="AW617" s="2" t="e">
        <f t="shared" ca="1" si="350"/>
        <v>#N/A</v>
      </c>
      <c r="AX617" s="2" t="e">
        <f t="shared" ca="1" si="351"/>
        <v>#N/A</v>
      </c>
      <c r="AY617" s="2" t="e">
        <f t="shared" ca="1" si="352"/>
        <v>#N/A</v>
      </c>
      <c r="AZ617" s="2" t="e">
        <f t="shared" ca="1" si="353"/>
        <v>#N/A</v>
      </c>
      <c r="BA617" s="2" t="e">
        <f t="shared" ca="1" si="354"/>
        <v>#N/A</v>
      </c>
      <c r="BB617" s="2" t="e">
        <f t="shared" ca="1" si="355"/>
        <v>#N/A</v>
      </c>
      <c r="BC617" s="9" t="e">
        <f t="shared" ca="1" si="356"/>
        <v>#N/A</v>
      </c>
      <c r="BD617" s="9" t="e">
        <f t="shared" ca="1" si="357"/>
        <v>#N/A</v>
      </c>
    </row>
    <row r="618" spans="1:56" ht="15" x14ac:dyDescent="0.25">
      <c r="A618" s="63"/>
      <c r="B618" s="63"/>
      <c r="C618" s="64"/>
      <c r="D618" s="64"/>
      <c r="E618" s="64"/>
      <c r="F618" s="64"/>
      <c r="G618" s="64"/>
      <c r="H618" s="64"/>
      <c r="I618" s="64"/>
      <c r="J618" s="64"/>
      <c r="K618" s="64"/>
      <c r="L618" s="64"/>
      <c r="M618" s="64"/>
      <c r="N618" s="16"/>
      <c r="O618" s="11">
        <f t="shared" ca="1" si="343"/>
        <v>-3.9378682616450625E-4</v>
      </c>
      <c r="P618" s="11">
        <f t="shared" ca="1" si="344"/>
        <v>-1.6358405771021967E-4</v>
      </c>
      <c r="Q618" s="11">
        <f t="shared" ca="1" si="345"/>
        <v>-1.614029402377854E-3</v>
      </c>
      <c r="R618" s="11">
        <f t="shared" ca="1" si="346"/>
        <v>-1.4853760121635622E-5</v>
      </c>
      <c r="S618" s="11">
        <f t="shared" ca="1" si="347"/>
        <v>-1.1458026838550334E-3</v>
      </c>
      <c r="T618" s="11">
        <f t="shared" ca="1" si="348"/>
        <v>-4.9053934342410677E-4</v>
      </c>
      <c r="U618" s="11">
        <f t="shared" ca="1" si="349"/>
        <v>-5.5074395654535931E-3</v>
      </c>
      <c r="V618" s="11"/>
      <c r="W618" s="11">
        <f t="shared" ca="1" si="329"/>
        <v>0</v>
      </c>
      <c r="X618" s="2">
        <f t="shared" ca="1" si="330"/>
        <v>-1.6358405771021967E-4</v>
      </c>
      <c r="Y618" s="2">
        <f t="shared" ca="1" si="331"/>
        <v>-1.614029402377854E-3</v>
      </c>
      <c r="Z618" s="11">
        <f t="shared" ca="1" si="332"/>
        <v>-1.4853760121635622E-5</v>
      </c>
      <c r="AA618" s="2">
        <f t="shared" ca="1" si="333"/>
        <v>-1.1458026838550334E-3</v>
      </c>
      <c r="AB618" s="11">
        <f t="shared" ca="1" si="334"/>
        <v>-4.9053934342410677E-4</v>
      </c>
      <c r="AC618" s="2">
        <f t="shared" ca="1" si="335"/>
        <v>-5.5074395654535931E-3</v>
      </c>
      <c r="AF618" s="11">
        <f t="shared" ca="1" si="336"/>
        <v>0</v>
      </c>
      <c r="AG618" s="2">
        <f t="shared" ca="1" si="337"/>
        <v>-1.6358405771021967E-4</v>
      </c>
      <c r="AH618" s="2">
        <f t="shared" ca="1" si="338"/>
        <v>-1.614029402377854E-3</v>
      </c>
      <c r="AI618" s="2">
        <f t="shared" ca="1" si="339"/>
        <v>-1.4853760121635622E-5</v>
      </c>
      <c r="AJ618" s="2">
        <f t="shared" ca="1" si="340"/>
        <v>-1.1458026838550334E-3</v>
      </c>
      <c r="AK618" s="2">
        <f t="shared" ca="1" si="341"/>
        <v>-4.9053934342410677E-4</v>
      </c>
      <c r="AL618" s="2">
        <f t="shared" ca="1" si="342"/>
        <v>-5.5074395654535931E-3</v>
      </c>
      <c r="AN618" s="2" t="e">
        <f t="shared" ca="1" si="321"/>
        <v>#N/A</v>
      </c>
      <c r="AO618" s="2" t="e">
        <f t="shared" ca="1" si="322"/>
        <v>#N/A</v>
      </c>
      <c r="AP618" s="2" t="e">
        <f t="shared" ca="1" si="323"/>
        <v>#N/A</v>
      </c>
      <c r="AQ618" s="2" t="e">
        <f t="shared" ca="1" si="324"/>
        <v>#N/A</v>
      </c>
      <c r="AR618" s="2" t="e">
        <f t="shared" ca="1" si="325"/>
        <v>#N/A</v>
      </c>
      <c r="AS618" s="2" t="e">
        <f t="shared" ca="1" si="326"/>
        <v>#N/A</v>
      </c>
      <c r="AT618" s="9" t="e">
        <f t="shared" ca="1" si="327"/>
        <v>#N/A</v>
      </c>
      <c r="AU618" s="9" t="e">
        <f t="shared" ca="1" si="328"/>
        <v>#N/A</v>
      </c>
      <c r="AV618" s="9"/>
      <c r="AW618" s="2" t="e">
        <f t="shared" ca="1" si="350"/>
        <v>#N/A</v>
      </c>
      <c r="AX618" s="2" t="e">
        <f t="shared" ca="1" si="351"/>
        <v>#N/A</v>
      </c>
      <c r="AY618" s="2" t="e">
        <f t="shared" ca="1" si="352"/>
        <v>#N/A</v>
      </c>
      <c r="AZ618" s="2" t="e">
        <f t="shared" ca="1" si="353"/>
        <v>#N/A</v>
      </c>
      <c r="BA618" s="2" t="e">
        <f t="shared" ca="1" si="354"/>
        <v>#N/A</v>
      </c>
      <c r="BB618" s="2" t="e">
        <f t="shared" ca="1" si="355"/>
        <v>#N/A</v>
      </c>
      <c r="BC618" s="9" t="e">
        <f t="shared" ca="1" si="356"/>
        <v>#N/A</v>
      </c>
      <c r="BD618" s="9" t="e">
        <f t="shared" ca="1" si="357"/>
        <v>#N/A</v>
      </c>
    </row>
    <row r="619" spans="1:56" ht="15" x14ac:dyDescent="0.25">
      <c r="A619" s="63"/>
      <c r="B619" s="63"/>
      <c r="C619" s="64"/>
      <c r="D619" s="64"/>
      <c r="E619" s="64"/>
      <c r="F619" s="64"/>
      <c r="G619" s="64"/>
      <c r="H619" s="64"/>
      <c r="I619" s="64"/>
      <c r="J619" s="64"/>
      <c r="K619" s="64"/>
      <c r="L619" s="64"/>
      <c r="M619" s="64"/>
      <c r="N619" s="16"/>
      <c r="O619" s="11">
        <f t="shared" ca="1" si="343"/>
        <v>-3.9378682616450625E-4</v>
      </c>
      <c r="P619" s="11">
        <f t="shared" ca="1" si="344"/>
        <v>-1.6358405771021967E-4</v>
      </c>
      <c r="Q619" s="11">
        <f t="shared" ca="1" si="345"/>
        <v>-1.614029402377854E-3</v>
      </c>
      <c r="R619" s="11">
        <f t="shared" ca="1" si="346"/>
        <v>-1.4853760121635622E-5</v>
      </c>
      <c r="S619" s="11">
        <f t="shared" ca="1" si="347"/>
        <v>-1.1458026838550334E-3</v>
      </c>
      <c r="T619" s="11">
        <f t="shared" ca="1" si="348"/>
        <v>-4.9053934342410677E-4</v>
      </c>
      <c r="U619" s="11">
        <f t="shared" ca="1" si="349"/>
        <v>-5.5074395654535931E-3</v>
      </c>
      <c r="V619" s="11"/>
      <c r="W619" s="11">
        <f t="shared" ca="1" si="329"/>
        <v>0</v>
      </c>
      <c r="X619" s="2">
        <f t="shared" ca="1" si="330"/>
        <v>-1.6358405771021967E-4</v>
      </c>
      <c r="Y619" s="2">
        <f t="shared" ca="1" si="331"/>
        <v>-1.614029402377854E-3</v>
      </c>
      <c r="Z619" s="11">
        <f t="shared" ca="1" si="332"/>
        <v>-1.4853760121635622E-5</v>
      </c>
      <c r="AA619" s="2">
        <f t="shared" ca="1" si="333"/>
        <v>-1.1458026838550334E-3</v>
      </c>
      <c r="AB619" s="11">
        <f t="shared" ca="1" si="334"/>
        <v>-4.9053934342410677E-4</v>
      </c>
      <c r="AC619" s="2">
        <f t="shared" ca="1" si="335"/>
        <v>-5.5074395654535931E-3</v>
      </c>
      <c r="AF619" s="11">
        <f t="shared" ca="1" si="336"/>
        <v>0</v>
      </c>
      <c r="AG619" s="2">
        <f t="shared" ca="1" si="337"/>
        <v>-1.6358405771021967E-4</v>
      </c>
      <c r="AH619" s="2">
        <f t="shared" ca="1" si="338"/>
        <v>-1.614029402377854E-3</v>
      </c>
      <c r="AI619" s="2">
        <f t="shared" ca="1" si="339"/>
        <v>-1.4853760121635622E-5</v>
      </c>
      <c r="AJ619" s="2">
        <f t="shared" ca="1" si="340"/>
        <v>-1.1458026838550334E-3</v>
      </c>
      <c r="AK619" s="2">
        <f t="shared" ca="1" si="341"/>
        <v>-4.9053934342410677E-4</v>
      </c>
      <c r="AL619" s="2">
        <f t="shared" ca="1" si="342"/>
        <v>-5.5074395654535931E-3</v>
      </c>
      <c r="AN619" s="2" t="e">
        <f t="shared" ca="1" si="321"/>
        <v>#N/A</v>
      </c>
      <c r="AO619" s="2" t="e">
        <f t="shared" ca="1" si="322"/>
        <v>#N/A</v>
      </c>
      <c r="AP619" s="2" t="e">
        <f t="shared" ca="1" si="323"/>
        <v>#N/A</v>
      </c>
      <c r="AQ619" s="2" t="e">
        <f t="shared" ca="1" si="324"/>
        <v>#N/A</v>
      </c>
      <c r="AR619" s="2" t="e">
        <f t="shared" ca="1" si="325"/>
        <v>#N/A</v>
      </c>
      <c r="AS619" s="2" t="e">
        <f t="shared" ca="1" si="326"/>
        <v>#N/A</v>
      </c>
      <c r="AT619" s="9" t="e">
        <f t="shared" ca="1" si="327"/>
        <v>#N/A</v>
      </c>
      <c r="AU619" s="9" t="e">
        <f t="shared" ca="1" si="328"/>
        <v>#N/A</v>
      </c>
      <c r="AV619" s="9"/>
      <c r="AW619" s="2" t="e">
        <f t="shared" ca="1" si="350"/>
        <v>#N/A</v>
      </c>
      <c r="AX619" s="2" t="e">
        <f t="shared" ca="1" si="351"/>
        <v>#N/A</v>
      </c>
      <c r="AY619" s="2" t="e">
        <f t="shared" ca="1" si="352"/>
        <v>#N/A</v>
      </c>
      <c r="AZ619" s="2" t="e">
        <f t="shared" ca="1" si="353"/>
        <v>#N/A</v>
      </c>
      <c r="BA619" s="2" t="e">
        <f t="shared" ca="1" si="354"/>
        <v>#N/A</v>
      </c>
      <c r="BB619" s="2" t="e">
        <f t="shared" ca="1" si="355"/>
        <v>#N/A</v>
      </c>
      <c r="BC619" s="9" t="e">
        <f t="shared" ca="1" si="356"/>
        <v>#N/A</v>
      </c>
      <c r="BD619" s="9" t="e">
        <f t="shared" ca="1" si="357"/>
        <v>#N/A</v>
      </c>
    </row>
    <row r="620" spans="1:56" ht="15" x14ac:dyDescent="0.25">
      <c r="A620" s="63"/>
      <c r="B620" s="63"/>
      <c r="C620" s="64"/>
      <c r="D620" s="64"/>
      <c r="E620" s="64"/>
      <c r="F620" s="64"/>
      <c r="G620" s="64"/>
      <c r="H620" s="64"/>
      <c r="I620" s="64"/>
      <c r="J620" s="64"/>
      <c r="K620" s="64"/>
      <c r="L620" s="64"/>
      <c r="M620" s="64"/>
      <c r="N620" s="16"/>
      <c r="O620" s="11">
        <f t="shared" ca="1" si="343"/>
        <v>-3.9378682616450625E-4</v>
      </c>
      <c r="P620" s="11">
        <f t="shared" ca="1" si="344"/>
        <v>-1.6358405771021967E-4</v>
      </c>
      <c r="Q620" s="11">
        <f t="shared" ca="1" si="345"/>
        <v>-1.614029402377854E-3</v>
      </c>
      <c r="R620" s="11">
        <f t="shared" ca="1" si="346"/>
        <v>-1.4853760121635622E-5</v>
      </c>
      <c r="S620" s="11">
        <f t="shared" ca="1" si="347"/>
        <v>-1.1458026838550334E-3</v>
      </c>
      <c r="T620" s="11">
        <f t="shared" ca="1" si="348"/>
        <v>-4.9053934342410677E-4</v>
      </c>
      <c r="U620" s="11">
        <f t="shared" ca="1" si="349"/>
        <v>-5.5074395654535931E-3</v>
      </c>
      <c r="V620" s="11"/>
      <c r="W620" s="11">
        <f t="shared" ca="1" si="329"/>
        <v>0</v>
      </c>
      <c r="X620" s="2">
        <f t="shared" ca="1" si="330"/>
        <v>-1.6358405771021967E-4</v>
      </c>
      <c r="Y620" s="2">
        <f t="shared" ca="1" si="331"/>
        <v>-1.614029402377854E-3</v>
      </c>
      <c r="Z620" s="11">
        <f t="shared" ca="1" si="332"/>
        <v>-1.4853760121635622E-5</v>
      </c>
      <c r="AA620" s="2">
        <f t="shared" ca="1" si="333"/>
        <v>-1.1458026838550334E-3</v>
      </c>
      <c r="AB620" s="11">
        <f t="shared" ca="1" si="334"/>
        <v>-4.9053934342410677E-4</v>
      </c>
      <c r="AC620" s="2">
        <f t="shared" ca="1" si="335"/>
        <v>-5.5074395654535931E-3</v>
      </c>
      <c r="AF620" s="11">
        <f t="shared" ca="1" si="336"/>
        <v>0</v>
      </c>
      <c r="AG620" s="2">
        <f t="shared" ca="1" si="337"/>
        <v>-1.6358405771021967E-4</v>
      </c>
      <c r="AH620" s="2">
        <f t="shared" ca="1" si="338"/>
        <v>-1.614029402377854E-3</v>
      </c>
      <c r="AI620" s="2">
        <f t="shared" ca="1" si="339"/>
        <v>-1.4853760121635622E-5</v>
      </c>
      <c r="AJ620" s="2">
        <f t="shared" ca="1" si="340"/>
        <v>-1.1458026838550334E-3</v>
      </c>
      <c r="AK620" s="2">
        <f t="shared" ca="1" si="341"/>
        <v>-4.9053934342410677E-4</v>
      </c>
      <c r="AL620" s="2">
        <f t="shared" ca="1" si="342"/>
        <v>-5.5074395654535931E-3</v>
      </c>
      <c r="AN620" s="2" t="e">
        <f t="shared" ca="1" si="321"/>
        <v>#N/A</v>
      </c>
      <c r="AO620" s="2" t="e">
        <f t="shared" ca="1" si="322"/>
        <v>#N/A</v>
      </c>
      <c r="AP620" s="2" t="e">
        <f t="shared" ca="1" si="323"/>
        <v>#N/A</v>
      </c>
      <c r="AQ620" s="2" t="e">
        <f t="shared" ca="1" si="324"/>
        <v>#N/A</v>
      </c>
      <c r="AR620" s="2" t="e">
        <f t="shared" ca="1" si="325"/>
        <v>#N/A</v>
      </c>
      <c r="AS620" s="2" t="e">
        <f t="shared" ca="1" si="326"/>
        <v>#N/A</v>
      </c>
      <c r="AT620" s="9" t="e">
        <f t="shared" ca="1" si="327"/>
        <v>#N/A</v>
      </c>
      <c r="AU620" s="9" t="e">
        <f t="shared" ca="1" si="328"/>
        <v>#N/A</v>
      </c>
      <c r="AV620" s="9"/>
      <c r="AW620" s="2" t="e">
        <f t="shared" ca="1" si="350"/>
        <v>#N/A</v>
      </c>
      <c r="AX620" s="2" t="e">
        <f t="shared" ca="1" si="351"/>
        <v>#N/A</v>
      </c>
      <c r="AY620" s="2" t="e">
        <f t="shared" ca="1" si="352"/>
        <v>#N/A</v>
      </c>
      <c r="AZ620" s="2" t="e">
        <f t="shared" ca="1" si="353"/>
        <v>#N/A</v>
      </c>
      <c r="BA620" s="2" t="e">
        <f t="shared" ca="1" si="354"/>
        <v>#N/A</v>
      </c>
      <c r="BB620" s="2" t="e">
        <f t="shared" ca="1" si="355"/>
        <v>#N/A</v>
      </c>
      <c r="BC620" s="9" t="e">
        <f t="shared" ca="1" si="356"/>
        <v>#N/A</v>
      </c>
      <c r="BD620" s="9" t="e">
        <f t="shared" ca="1" si="357"/>
        <v>#N/A</v>
      </c>
    </row>
    <row r="621" spans="1:56" ht="15" x14ac:dyDescent="0.25">
      <c r="A621" s="63"/>
      <c r="B621" s="63"/>
      <c r="C621" s="64"/>
      <c r="D621" s="64"/>
      <c r="E621" s="64"/>
      <c r="F621" s="64"/>
      <c r="G621" s="64"/>
      <c r="H621" s="64"/>
      <c r="I621" s="64"/>
      <c r="J621" s="64"/>
      <c r="K621" s="64"/>
      <c r="L621" s="64"/>
      <c r="M621" s="64"/>
      <c r="N621" s="16"/>
      <c r="O621" s="11">
        <f t="shared" ca="1" si="343"/>
        <v>-3.9378682616450625E-4</v>
      </c>
      <c r="P621" s="11">
        <f t="shared" ca="1" si="344"/>
        <v>-1.6358405771021967E-4</v>
      </c>
      <c r="Q621" s="11">
        <f t="shared" ca="1" si="345"/>
        <v>-1.614029402377854E-3</v>
      </c>
      <c r="R621" s="11">
        <f t="shared" ca="1" si="346"/>
        <v>-1.4853760121635622E-5</v>
      </c>
      <c r="S621" s="11">
        <f t="shared" ca="1" si="347"/>
        <v>-1.1458026838550334E-3</v>
      </c>
      <c r="T621" s="11">
        <f t="shared" ca="1" si="348"/>
        <v>-4.9053934342410677E-4</v>
      </c>
      <c r="U621" s="11">
        <f t="shared" ca="1" si="349"/>
        <v>-5.5074395654535931E-3</v>
      </c>
      <c r="V621" s="11"/>
      <c r="W621" s="11">
        <f t="shared" ca="1" si="329"/>
        <v>0</v>
      </c>
      <c r="X621" s="2">
        <f t="shared" ca="1" si="330"/>
        <v>-1.6358405771021967E-4</v>
      </c>
      <c r="Y621" s="2">
        <f t="shared" ca="1" si="331"/>
        <v>-1.614029402377854E-3</v>
      </c>
      <c r="Z621" s="11">
        <f t="shared" ca="1" si="332"/>
        <v>-1.4853760121635622E-5</v>
      </c>
      <c r="AA621" s="2">
        <f t="shared" ca="1" si="333"/>
        <v>-1.1458026838550334E-3</v>
      </c>
      <c r="AB621" s="11">
        <f t="shared" ca="1" si="334"/>
        <v>-4.9053934342410677E-4</v>
      </c>
      <c r="AC621" s="2">
        <f t="shared" ca="1" si="335"/>
        <v>-5.5074395654535931E-3</v>
      </c>
      <c r="AF621" s="11">
        <f t="shared" ca="1" si="336"/>
        <v>0</v>
      </c>
      <c r="AG621" s="2">
        <f t="shared" ca="1" si="337"/>
        <v>-1.6358405771021967E-4</v>
      </c>
      <c r="AH621" s="2">
        <f t="shared" ca="1" si="338"/>
        <v>-1.614029402377854E-3</v>
      </c>
      <c r="AI621" s="2">
        <f t="shared" ca="1" si="339"/>
        <v>-1.4853760121635622E-5</v>
      </c>
      <c r="AJ621" s="2">
        <f t="shared" ca="1" si="340"/>
        <v>-1.1458026838550334E-3</v>
      </c>
      <c r="AK621" s="2">
        <f t="shared" ca="1" si="341"/>
        <v>-4.9053934342410677E-4</v>
      </c>
      <c r="AL621" s="2">
        <f t="shared" ca="1" si="342"/>
        <v>-5.5074395654535931E-3</v>
      </c>
      <c r="AN621" s="2" t="e">
        <f t="shared" ca="1" si="321"/>
        <v>#N/A</v>
      </c>
      <c r="AO621" s="2" t="e">
        <f t="shared" ca="1" si="322"/>
        <v>#N/A</v>
      </c>
      <c r="AP621" s="2" t="e">
        <f t="shared" ca="1" si="323"/>
        <v>#N/A</v>
      </c>
      <c r="AQ621" s="2" t="e">
        <f t="shared" ca="1" si="324"/>
        <v>#N/A</v>
      </c>
      <c r="AR621" s="2" t="e">
        <f t="shared" ca="1" si="325"/>
        <v>#N/A</v>
      </c>
      <c r="AS621" s="2" t="e">
        <f t="shared" ca="1" si="326"/>
        <v>#N/A</v>
      </c>
      <c r="AT621" s="9" t="e">
        <f t="shared" ca="1" si="327"/>
        <v>#N/A</v>
      </c>
      <c r="AU621" s="9" t="e">
        <f t="shared" ca="1" si="328"/>
        <v>#N/A</v>
      </c>
      <c r="AV621" s="9"/>
      <c r="AW621" s="2" t="e">
        <f t="shared" ca="1" si="350"/>
        <v>#N/A</v>
      </c>
      <c r="AX621" s="2" t="e">
        <f t="shared" ca="1" si="351"/>
        <v>#N/A</v>
      </c>
      <c r="AY621" s="2" t="e">
        <f t="shared" ca="1" si="352"/>
        <v>#N/A</v>
      </c>
      <c r="AZ621" s="2" t="e">
        <f t="shared" ca="1" si="353"/>
        <v>#N/A</v>
      </c>
      <c r="BA621" s="2" t="e">
        <f t="shared" ca="1" si="354"/>
        <v>#N/A</v>
      </c>
      <c r="BB621" s="2" t="e">
        <f t="shared" ca="1" si="355"/>
        <v>#N/A</v>
      </c>
      <c r="BC621" s="9" t="e">
        <f t="shared" ca="1" si="356"/>
        <v>#N/A</v>
      </c>
      <c r="BD621" s="9" t="e">
        <f t="shared" ca="1" si="357"/>
        <v>#N/A</v>
      </c>
    </row>
    <row r="622" spans="1:56" ht="15" x14ac:dyDescent="0.25">
      <c r="A622" s="63"/>
      <c r="B622" s="63"/>
      <c r="C622" s="64"/>
      <c r="D622" s="64"/>
      <c r="E622" s="64"/>
      <c r="F622" s="64"/>
      <c r="G622" s="64"/>
      <c r="H622" s="64"/>
      <c r="I622" s="64"/>
      <c r="J622" s="64"/>
      <c r="K622" s="64"/>
      <c r="L622" s="64"/>
      <c r="M622" s="64"/>
      <c r="N622" s="16"/>
      <c r="O622" s="11">
        <f t="shared" ca="1" si="343"/>
        <v>-3.9378682616450625E-4</v>
      </c>
      <c r="P622" s="11">
        <f t="shared" ca="1" si="344"/>
        <v>-1.6358405771021967E-4</v>
      </c>
      <c r="Q622" s="11">
        <f t="shared" ca="1" si="345"/>
        <v>-1.614029402377854E-3</v>
      </c>
      <c r="R622" s="11">
        <f t="shared" ca="1" si="346"/>
        <v>-1.4853760121635622E-5</v>
      </c>
      <c r="S622" s="11">
        <f t="shared" ca="1" si="347"/>
        <v>-1.1458026838550334E-3</v>
      </c>
      <c r="T622" s="11">
        <f t="shared" ca="1" si="348"/>
        <v>-4.9053934342410677E-4</v>
      </c>
      <c r="U622" s="11">
        <f t="shared" ca="1" si="349"/>
        <v>-5.5074395654535931E-3</v>
      </c>
      <c r="V622" s="11"/>
      <c r="W622" s="11">
        <f t="shared" ca="1" si="329"/>
        <v>0</v>
      </c>
      <c r="X622" s="2">
        <f t="shared" ca="1" si="330"/>
        <v>-1.6358405771021967E-4</v>
      </c>
      <c r="Y622" s="2">
        <f t="shared" ca="1" si="331"/>
        <v>-1.614029402377854E-3</v>
      </c>
      <c r="Z622" s="11">
        <f t="shared" ca="1" si="332"/>
        <v>-1.4853760121635622E-5</v>
      </c>
      <c r="AA622" s="2">
        <f t="shared" ca="1" si="333"/>
        <v>-1.1458026838550334E-3</v>
      </c>
      <c r="AB622" s="11">
        <f t="shared" ca="1" si="334"/>
        <v>-4.9053934342410677E-4</v>
      </c>
      <c r="AC622" s="2">
        <f t="shared" ca="1" si="335"/>
        <v>-5.5074395654535931E-3</v>
      </c>
      <c r="AF622" s="11">
        <f t="shared" ca="1" si="336"/>
        <v>0</v>
      </c>
      <c r="AG622" s="2">
        <f t="shared" ca="1" si="337"/>
        <v>-1.6358405771021967E-4</v>
      </c>
      <c r="AH622" s="2">
        <f t="shared" ca="1" si="338"/>
        <v>-1.614029402377854E-3</v>
      </c>
      <c r="AI622" s="2">
        <f t="shared" ca="1" si="339"/>
        <v>-1.4853760121635622E-5</v>
      </c>
      <c r="AJ622" s="2">
        <f t="shared" ca="1" si="340"/>
        <v>-1.1458026838550334E-3</v>
      </c>
      <c r="AK622" s="2">
        <f t="shared" ca="1" si="341"/>
        <v>-4.9053934342410677E-4</v>
      </c>
      <c r="AL622" s="2">
        <f t="shared" ca="1" si="342"/>
        <v>-5.5074395654535931E-3</v>
      </c>
      <c r="AN622" s="2" t="e">
        <f t="shared" ca="1" si="321"/>
        <v>#N/A</v>
      </c>
      <c r="AO622" s="2" t="e">
        <f t="shared" ca="1" si="322"/>
        <v>#N/A</v>
      </c>
      <c r="AP622" s="2" t="e">
        <f t="shared" ca="1" si="323"/>
        <v>#N/A</v>
      </c>
      <c r="AQ622" s="2" t="e">
        <f t="shared" ca="1" si="324"/>
        <v>#N/A</v>
      </c>
      <c r="AR622" s="2" t="e">
        <f t="shared" ca="1" si="325"/>
        <v>#N/A</v>
      </c>
      <c r="AS622" s="2" t="e">
        <f t="shared" ca="1" si="326"/>
        <v>#N/A</v>
      </c>
      <c r="AT622" s="9" t="e">
        <f t="shared" ca="1" si="327"/>
        <v>#N/A</v>
      </c>
      <c r="AU622" s="9" t="e">
        <f t="shared" ca="1" si="328"/>
        <v>#N/A</v>
      </c>
      <c r="AV622" s="9"/>
      <c r="AW622" s="2" t="e">
        <f t="shared" ca="1" si="350"/>
        <v>#N/A</v>
      </c>
      <c r="AX622" s="2" t="e">
        <f t="shared" ca="1" si="351"/>
        <v>#N/A</v>
      </c>
      <c r="AY622" s="2" t="e">
        <f t="shared" ca="1" si="352"/>
        <v>#N/A</v>
      </c>
      <c r="AZ622" s="2" t="e">
        <f t="shared" ca="1" si="353"/>
        <v>#N/A</v>
      </c>
      <c r="BA622" s="2" t="e">
        <f t="shared" ca="1" si="354"/>
        <v>#N/A</v>
      </c>
      <c r="BB622" s="2" t="e">
        <f t="shared" ca="1" si="355"/>
        <v>#N/A</v>
      </c>
      <c r="BC622" s="9" t="e">
        <f t="shared" ca="1" si="356"/>
        <v>#N/A</v>
      </c>
      <c r="BD622" s="9" t="e">
        <f t="shared" ca="1" si="357"/>
        <v>#N/A</v>
      </c>
    </row>
    <row r="623" spans="1:56" ht="15" x14ac:dyDescent="0.25">
      <c r="A623" s="63"/>
      <c r="B623" s="63"/>
      <c r="C623" s="64"/>
      <c r="D623" s="64"/>
      <c r="E623" s="64"/>
      <c r="F623" s="64"/>
      <c r="G623" s="64"/>
      <c r="H623" s="64"/>
      <c r="I623" s="64"/>
      <c r="J623" s="64"/>
      <c r="K623" s="64"/>
      <c r="L623" s="64"/>
      <c r="M623" s="64"/>
      <c r="N623" s="16"/>
      <c r="O623" s="11">
        <f t="shared" ca="1" si="343"/>
        <v>-3.9378682616450625E-4</v>
      </c>
      <c r="P623" s="11">
        <f t="shared" ca="1" si="344"/>
        <v>-1.6358405771021967E-4</v>
      </c>
      <c r="Q623" s="11">
        <f t="shared" ca="1" si="345"/>
        <v>-1.614029402377854E-3</v>
      </c>
      <c r="R623" s="11">
        <f t="shared" ca="1" si="346"/>
        <v>-1.4853760121635622E-5</v>
      </c>
      <c r="S623" s="11">
        <f t="shared" ca="1" si="347"/>
        <v>-1.1458026838550334E-3</v>
      </c>
      <c r="T623" s="11">
        <f t="shared" ca="1" si="348"/>
        <v>-4.9053934342410677E-4</v>
      </c>
      <c r="U623" s="11">
        <f t="shared" ca="1" si="349"/>
        <v>-5.5074395654535931E-3</v>
      </c>
      <c r="V623" s="11"/>
      <c r="W623" s="11">
        <f t="shared" ca="1" si="329"/>
        <v>0</v>
      </c>
      <c r="X623" s="2">
        <f t="shared" ca="1" si="330"/>
        <v>-1.6358405771021967E-4</v>
      </c>
      <c r="Y623" s="2">
        <f t="shared" ca="1" si="331"/>
        <v>-1.614029402377854E-3</v>
      </c>
      <c r="Z623" s="11">
        <f t="shared" ca="1" si="332"/>
        <v>-1.4853760121635622E-5</v>
      </c>
      <c r="AA623" s="2">
        <f t="shared" ca="1" si="333"/>
        <v>-1.1458026838550334E-3</v>
      </c>
      <c r="AB623" s="11">
        <f t="shared" ca="1" si="334"/>
        <v>-4.9053934342410677E-4</v>
      </c>
      <c r="AC623" s="2">
        <f t="shared" ca="1" si="335"/>
        <v>-5.5074395654535931E-3</v>
      </c>
      <c r="AF623" s="11">
        <f t="shared" ca="1" si="336"/>
        <v>0</v>
      </c>
      <c r="AG623" s="2">
        <f t="shared" ca="1" si="337"/>
        <v>-1.6358405771021967E-4</v>
      </c>
      <c r="AH623" s="2">
        <f t="shared" ca="1" si="338"/>
        <v>-1.614029402377854E-3</v>
      </c>
      <c r="AI623" s="2">
        <f t="shared" ca="1" si="339"/>
        <v>-1.4853760121635622E-5</v>
      </c>
      <c r="AJ623" s="2">
        <f t="shared" ca="1" si="340"/>
        <v>-1.1458026838550334E-3</v>
      </c>
      <c r="AK623" s="2">
        <f t="shared" ca="1" si="341"/>
        <v>-4.9053934342410677E-4</v>
      </c>
      <c r="AL623" s="2">
        <f t="shared" ca="1" si="342"/>
        <v>-5.5074395654535931E-3</v>
      </c>
      <c r="AN623" s="2" t="e">
        <f t="shared" ca="1" si="321"/>
        <v>#N/A</v>
      </c>
      <c r="AO623" s="2" t="e">
        <f t="shared" ca="1" si="322"/>
        <v>#N/A</v>
      </c>
      <c r="AP623" s="2" t="e">
        <f t="shared" ca="1" si="323"/>
        <v>#N/A</v>
      </c>
      <c r="AQ623" s="2" t="e">
        <f t="shared" ca="1" si="324"/>
        <v>#N/A</v>
      </c>
      <c r="AR623" s="2" t="e">
        <f t="shared" ca="1" si="325"/>
        <v>#N/A</v>
      </c>
      <c r="AS623" s="2" t="e">
        <f t="shared" ca="1" si="326"/>
        <v>#N/A</v>
      </c>
      <c r="AT623" s="9" t="e">
        <f t="shared" ca="1" si="327"/>
        <v>#N/A</v>
      </c>
      <c r="AU623" s="9" t="e">
        <f t="shared" ca="1" si="328"/>
        <v>#N/A</v>
      </c>
      <c r="AV623" s="9"/>
      <c r="AW623" s="2" t="e">
        <f t="shared" ca="1" si="350"/>
        <v>#N/A</v>
      </c>
      <c r="AX623" s="2" t="e">
        <f t="shared" ca="1" si="351"/>
        <v>#N/A</v>
      </c>
      <c r="AY623" s="2" t="e">
        <f t="shared" ca="1" si="352"/>
        <v>#N/A</v>
      </c>
      <c r="AZ623" s="2" t="e">
        <f t="shared" ca="1" si="353"/>
        <v>#N/A</v>
      </c>
      <c r="BA623" s="2" t="e">
        <f t="shared" ca="1" si="354"/>
        <v>#N/A</v>
      </c>
      <c r="BB623" s="2" t="e">
        <f t="shared" ca="1" si="355"/>
        <v>#N/A</v>
      </c>
      <c r="BC623" s="9" t="e">
        <f t="shared" ca="1" si="356"/>
        <v>#N/A</v>
      </c>
      <c r="BD623" s="9" t="e">
        <f t="shared" ca="1" si="357"/>
        <v>#N/A</v>
      </c>
    </row>
    <row r="624" spans="1:56" ht="15" x14ac:dyDescent="0.25">
      <c r="A624" s="63"/>
      <c r="B624" s="63"/>
      <c r="C624" s="64"/>
      <c r="D624" s="64"/>
      <c r="E624" s="64"/>
      <c r="F624" s="64"/>
      <c r="G624" s="64"/>
      <c r="H624" s="64"/>
      <c r="I624" s="64"/>
      <c r="J624" s="64"/>
      <c r="K624" s="64"/>
      <c r="L624" s="64"/>
      <c r="M624" s="64"/>
      <c r="N624" s="16"/>
      <c r="O624" s="11">
        <f t="shared" ca="1" si="343"/>
        <v>-3.9378682616450625E-4</v>
      </c>
      <c r="P624" s="11">
        <f t="shared" ca="1" si="344"/>
        <v>-1.6358405771021967E-4</v>
      </c>
      <c r="Q624" s="11">
        <f t="shared" ca="1" si="345"/>
        <v>-1.614029402377854E-3</v>
      </c>
      <c r="R624" s="11">
        <f t="shared" ca="1" si="346"/>
        <v>-1.4853760121635622E-5</v>
      </c>
      <c r="S624" s="11">
        <f t="shared" ca="1" si="347"/>
        <v>-1.1458026838550334E-3</v>
      </c>
      <c r="T624" s="11">
        <f t="shared" ca="1" si="348"/>
        <v>-4.9053934342410677E-4</v>
      </c>
      <c r="U624" s="11">
        <f t="shared" ca="1" si="349"/>
        <v>-5.5074395654535931E-3</v>
      </c>
      <c r="V624" s="11"/>
      <c r="W624" s="11">
        <f t="shared" ca="1" si="329"/>
        <v>0</v>
      </c>
      <c r="X624" s="2">
        <f t="shared" ca="1" si="330"/>
        <v>-1.6358405771021967E-4</v>
      </c>
      <c r="Y624" s="2">
        <f t="shared" ca="1" si="331"/>
        <v>-1.614029402377854E-3</v>
      </c>
      <c r="Z624" s="11">
        <f t="shared" ca="1" si="332"/>
        <v>-1.4853760121635622E-5</v>
      </c>
      <c r="AA624" s="2">
        <f t="shared" ca="1" si="333"/>
        <v>-1.1458026838550334E-3</v>
      </c>
      <c r="AB624" s="11">
        <f t="shared" ca="1" si="334"/>
        <v>-4.9053934342410677E-4</v>
      </c>
      <c r="AC624" s="2">
        <f t="shared" ca="1" si="335"/>
        <v>-5.5074395654535931E-3</v>
      </c>
      <c r="AF624" s="11">
        <f t="shared" ca="1" si="336"/>
        <v>0</v>
      </c>
      <c r="AG624" s="2">
        <f t="shared" ca="1" si="337"/>
        <v>-1.6358405771021967E-4</v>
      </c>
      <c r="AH624" s="2">
        <f t="shared" ca="1" si="338"/>
        <v>-1.614029402377854E-3</v>
      </c>
      <c r="AI624" s="2">
        <f t="shared" ca="1" si="339"/>
        <v>-1.4853760121635622E-5</v>
      </c>
      <c r="AJ624" s="2">
        <f t="shared" ca="1" si="340"/>
        <v>-1.1458026838550334E-3</v>
      </c>
      <c r="AK624" s="2">
        <f t="shared" ca="1" si="341"/>
        <v>-4.9053934342410677E-4</v>
      </c>
      <c r="AL624" s="2">
        <f t="shared" ca="1" si="342"/>
        <v>-5.5074395654535931E-3</v>
      </c>
      <c r="AN624" s="2" t="e">
        <f t="shared" ca="1" si="321"/>
        <v>#N/A</v>
      </c>
      <c r="AO624" s="2" t="e">
        <f t="shared" ca="1" si="322"/>
        <v>#N/A</v>
      </c>
      <c r="AP624" s="2" t="e">
        <f t="shared" ca="1" si="323"/>
        <v>#N/A</v>
      </c>
      <c r="AQ624" s="2" t="e">
        <f t="shared" ca="1" si="324"/>
        <v>#N/A</v>
      </c>
      <c r="AR624" s="2" t="e">
        <f t="shared" ca="1" si="325"/>
        <v>#N/A</v>
      </c>
      <c r="AS624" s="2" t="e">
        <f t="shared" ca="1" si="326"/>
        <v>#N/A</v>
      </c>
      <c r="AT624" s="9" t="e">
        <f t="shared" ca="1" si="327"/>
        <v>#N/A</v>
      </c>
      <c r="AU624" s="9" t="e">
        <f t="shared" ca="1" si="328"/>
        <v>#N/A</v>
      </c>
      <c r="AV624" s="9"/>
      <c r="AW624" s="2" t="e">
        <f t="shared" ca="1" si="350"/>
        <v>#N/A</v>
      </c>
      <c r="AX624" s="2" t="e">
        <f t="shared" ca="1" si="351"/>
        <v>#N/A</v>
      </c>
      <c r="AY624" s="2" t="e">
        <f t="shared" ca="1" si="352"/>
        <v>#N/A</v>
      </c>
      <c r="AZ624" s="2" t="e">
        <f t="shared" ca="1" si="353"/>
        <v>#N/A</v>
      </c>
      <c r="BA624" s="2" t="e">
        <f t="shared" ca="1" si="354"/>
        <v>#N/A</v>
      </c>
      <c r="BB624" s="2" t="e">
        <f t="shared" ca="1" si="355"/>
        <v>#N/A</v>
      </c>
      <c r="BC624" s="9" t="e">
        <f t="shared" ca="1" si="356"/>
        <v>#N/A</v>
      </c>
      <c r="BD624" s="9" t="e">
        <f t="shared" ca="1" si="357"/>
        <v>#N/A</v>
      </c>
    </row>
    <row r="625" spans="1:56" ht="15" x14ac:dyDescent="0.25">
      <c r="A625" s="63"/>
      <c r="B625" s="63"/>
      <c r="C625" s="64"/>
      <c r="D625" s="64"/>
      <c r="E625" s="64"/>
      <c r="F625" s="64"/>
      <c r="G625" s="64"/>
      <c r="H625" s="64"/>
      <c r="I625" s="64"/>
      <c r="J625" s="64"/>
      <c r="K625" s="64"/>
      <c r="L625" s="64"/>
      <c r="M625" s="64"/>
      <c r="N625" s="16"/>
      <c r="O625" s="11">
        <f t="shared" ca="1" si="343"/>
        <v>-3.9378682616450625E-4</v>
      </c>
      <c r="P625" s="11">
        <f t="shared" ca="1" si="344"/>
        <v>-1.6358405771021967E-4</v>
      </c>
      <c r="Q625" s="11">
        <f t="shared" ca="1" si="345"/>
        <v>-1.614029402377854E-3</v>
      </c>
      <c r="R625" s="11">
        <f t="shared" ca="1" si="346"/>
        <v>-1.4853760121635622E-5</v>
      </c>
      <c r="S625" s="11">
        <f t="shared" ca="1" si="347"/>
        <v>-1.1458026838550334E-3</v>
      </c>
      <c r="T625" s="11">
        <f t="shared" ca="1" si="348"/>
        <v>-4.9053934342410677E-4</v>
      </c>
      <c r="U625" s="11">
        <f t="shared" ca="1" si="349"/>
        <v>-5.5074395654535931E-3</v>
      </c>
      <c r="V625" s="11"/>
      <c r="W625" s="11">
        <f t="shared" ca="1" si="329"/>
        <v>0</v>
      </c>
      <c r="X625" s="2">
        <f t="shared" ca="1" si="330"/>
        <v>-1.6358405771021967E-4</v>
      </c>
      <c r="Y625" s="2">
        <f t="shared" ca="1" si="331"/>
        <v>-1.614029402377854E-3</v>
      </c>
      <c r="Z625" s="11">
        <f t="shared" ca="1" si="332"/>
        <v>-1.4853760121635622E-5</v>
      </c>
      <c r="AA625" s="2">
        <f t="shared" ca="1" si="333"/>
        <v>-1.1458026838550334E-3</v>
      </c>
      <c r="AB625" s="11">
        <f t="shared" ca="1" si="334"/>
        <v>-4.9053934342410677E-4</v>
      </c>
      <c r="AC625" s="2">
        <f t="shared" ca="1" si="335"/>
        <v>-5.5074395654535931E-3</v>
      </c>
      <c r="AF625" s="11">
        <f t="shared" ca="1" si="336"/>
        <v>0</v>
      </c>
      <c r="AG625" s="2">
        <f t="shared" ca="1" si="337"/>
        <v>-1.6358405771021967E-4</v>
      </c>
      <c r="AH625" s="2">
        <f t="shared" ca="1" si="338"/>
        <v>-1.614029402377854E-3</v>
      </c>
      <c r="AI625" s="2">
        <f t="shared" ca="1" si="339"/>
        <v>-1.4853760121635622E-5</v>
      </c>
      <c r="AJ625" s="2">
        <f t="shared" ca="1" si="340"/>
        <v>-1.1458026838550334E-3</v>
      </c>
      <c r="AK625" s="2">
        <f t="shared" ca="1" si="341"/>
        <v>-4.9053934342410677E-4</v>
      </c>
      <c r="AL625" s="2">
        <f t="shared" ca="1" si="342"/>
        <v>-5.5074395654535931E-3</v>
      </c>
      <c r="AN625" s="2" t="e">
        <f t="shared" ca="1" si="321"/>
        <v>#N/A</v>
      </c>
      <c r="AO625" s="2" t="e">
        <f t="shared" ca="1" si="322"/>
        <v>#N/A</v>
      </c>
      <c r="AP625" s="2" t="e">
        <f t="shared" ca="1" si="323"/>
        <v>#N/A</v>
      </c>
      <c r="AQ625" s="2" t="e">
        <f t="shared" ca="1" si="324"/>
        <v>#N/A</v>
      </c>
      <c r="AR625" s="2" t="e">
        <f t="shared" ca="1" si="325"/>
        <v>#N/A</v>
      </c>
      <c r="AS625" s="2" t="e">
        <f t="shared" ca="1" si="326"/>
        <v>#N/A</v>
      </c>
      <c r="AT625" s="9" t="e">
        <f t="shared" ca="1" si="327"/>
        <v>#N/A</v>
      </c>
      <c r="AU625" s="9" t="e">
        <f t="shared" ca="1" si="328"/>
        <v>#N/A</v>
      </c>
      <c r="AV625" s="9"/>
      <c r="AW625" s="2" t="e">
        <f t="shared" ca="1" si="350"/>
        <v>#N/A</v>
      </c>
      <c r="AX625" s="2" t="e">
        <f t="shared" ca="1" si="351"/>
        <v>#N/A</v>
      </c>
      <c r="AY625" s="2" t="e">
        <f t="shared" ca="1" si="352"/>
        <v>#N/A</v>
      </c>
      <c r="AZ625" s="2" t="e">
        <f t="shared" ca="1" si="353"/>
        <v>#N/A</v>
      </c>
      <c r="BA625" s="2" t="e">
        <f t="shared" ca="1" si="354"/>
        <v>#N/A</v>
      </c>
      <c r="BB625" s="2" t="e">
        <f t="shared" ca="1" si="355"/>
        <v>#N/A</v>
      </c>
      <c r="BC625" s="9" t="e">
        <f t="shared" ca="1" si="356"/>
        <v>#N/A</v>
      </c>
      <c r="BD625" s="9" t="e">
        <f t="shared" ca="1" si="357"/>
        <v>#N/A</v>
      </c>
    </row>
    <row r="626" spans="1:56" ht="15" x14ac:dyDescent="0.25">
      <c r="A626" s="63"/>
      <c r="B626" s="63"/>
      <c r="C626" s="64"/>
      <c r="D626" s="64"/>
      <c r="E626" s="64"/>
      <c r="F626" s="64"/>
      <c r="G626" s="64"/>
      <c r="H626" s="64"/>
      <c r="I626" s="64"/>
      <c r="J626" s="64"/>
      <c r="K626" s="64"/>
      <c r="L626" s="64"/>
      <c r="M626" s="64"/>
      <c r="N626" s="16"/>
      <c r="O626" s="11">
        <f t="shared" ca="1" si="343"/>
        <v>-3.9378682616450625E-4</v>
      </c>
      <c r="P626" s="11">
        <f t="shared" ca="1" si="344"/>
        <v>-1.6358405771021967E-4</v>
      </c>
      <c r="Q626" s="11">
        <f t="shared" ca="1" si="345"/>
        <v>-1.614029402377854E-3</v>
      </c>
      <c r="R626" s="11">
        <f t="shared" ca="1" si="346"/>
        <v>-1.4853760121635622E-5</v>
      </c>
      <c r="S626" s="11">
        <f t="shared" ca="1" si="347"/>
        <v>-1.1458026838550334E-3</v>
      </c>
      <c r="T626" s="11">
        <f t="shared" ca="1" si="348"/>
        <v>-4.9053934342410677E-4</v>
      </c>
      <c r="U626" s="11">
        <f t="shared" ca="1" si="349"/>
        <v>-5.5074395654535931E-3</v>
      </c>
      <c r="V626" s="11"/>
      <c r="W626" s="11">
        <f t="shared" ca="1" si="329"/>
        <v>0</v>
      </c>
      <c r="X626" s="2">
        <f t="shared" ca="1" si="330"/>
        <v>-1.6358405771021967E-4</v>
      </c>
      <c r="Y626" s="2">
        <f t="shared" ca="1" si="331"/>
        <v>-1.614029402377854E-3</v>
      </c>
      <c r="Z626" s="11">
        <f t="shared" ca="1" si="332"/>
        <v>-1.4853760121635622E-5</v>
      </c>
      <c r="AA626" s="2">
        <f t="shared" ca="1" si="333"/>
        <v>-1.1458026838550334E-3</v>
      </c>
      <c r="AB626" s="11">
        <f t="shared" ca="1" si="334"/>
        <v>-4.9053934342410677E-4</v>
      </c>
      <c r="AC626" s="2">
        <f t="shared" ca="1" si="335"/>
        <v>-5.5074395654535931E-3</v>
      </c>
      <c r="AF626" s="11">
        <f t="shared" ca="1" si="336"/>
        <v>0</v>
      </c>
      <c r="AG626" s="2">
        <f t="shared" ca="1" si="337"/>
        <v>-1.6358405771021967E-4</v>
      </c>
      <c r="AH626" s="2">
        <f t="shared" ca="1" si="338"/>
        <v>-1.614029402377854E-3</v>
      </c>
      <c r="AI626" s="2">
        <f t="shared" ca="1" si="339"/>
        <v>-1.4853760121635622E-5</v>
      </c>
      <c r="AJ626" s="2">
        <f t="shared" ca="1" si="340"/>
        <v>-1.1458026838550334E-3</v>
      </c>
      <c r="AK626" s="2">
        <f t="shared" ca="1" si="341"/>
        <v>-4.9053934342410677E-4</v>
      </c>
      <c r="AL626" s="2">
        <f t="shared" ca="1" si="342"/>
        <v>-5.5074395654535931E-3</v>
      </c>
      <c r="AN626" s="2" t="e">
        <f t="shared" ca="1" si="321"/>
        <v>#N/A</v>
      </c>
      <c r="AO626" s="2" t="e">
        <f t="shared" ca="1" si="322"/>
        <v>#N/A</v>
      </c>
      <c r="AP626" s="2" t="e">
        <f t="shared" ca="1" si="323"/>
        <v>#N/A</v>
      </c>
      <c r="AQ626" s="2" t="e">
        <f t="shared" ca="1" si="324"/>
        <v>#N/A</v>
      </c>
      <c r="AR626" s="2" t="e">
        <f t="shared" ca="1" si="325"/>
        <v>#N/A</v>
      </c>
      <c r="AS626" s="2" t="e">
        <f t="shared" ca="1" si="326"/>
        <v>#N/A</v>
      </c>
      <c r="AT626" s="9" t="e">
        <f t="shared" ca="1" si="327"/>
        <v>#N/A</v>
      </c>
      <c r="AU626" s="9" t="e">
        <f t="shared" ca="1" si="328"/>
        <v>#N/A</v>
      </c>
      <c r="AV626" s="9"/>
      <c r="AW626" s="2" t="e">
        <f t="shared" ca="1" si="350"/>
        <v>#N/A</v>
      </c>
      <c r="AX626" s="2" t="e">
        <f t="shared" ca="1" si="351"/>
        <v>#N/A</v>
      </c>
      <c r="AY626" s="2" t="e">
        <f t="shared" ca="1" si="352"/>
        <v>#N/A</v>
      </c>
      <c r="AZ626" s="2" t="e">
        <f t="shared" ca="1" si="353"/>
        <v>#N/A</v>
      </c>
      <c r="BA626" s="2" t="e">
        <f t="shared" ca="1" si="354"/>
        <v>#N/A</v>
      </c>
      <c r="BB626" s="2" t="e">
        <f t="shared" ca="1" si="355"/>
        <v>#N/A</v>
      </c>
      <c r="BC626" s="9" t="e">
        <f t="shared" ca="1" si="356"/>
        <v>#N/A</v>
      </c>
      <c r="BD626" s="9" t="e">
        <f t="shared" ca="1" si="357"/>
        <v>#N/A</v>
      </c>
    </row>
    <row r="627" spans="1:56" ht="15" x14ac:dyDescent="0.25">
      <c r="A627" s="63"/>
      <c r="B627" s="63"/>
      <c r="C627" s="64"/>
      <c r="D627" s="64"/>
      <c r="E627" s="64"/>
      <c r="F627" s="64"/>
      <c r="G627" s="64"/>
      <c r="H627" s="64"/>
      <c r="I627" s="64"/>
      <c r="J627" s="64"/>
      <c r="K627" s="64"/>
      <c r="L627" s="64"/>
      <c r="M627" s="64"/>
      <c r="N627" s="16"/>
      <c r="O627" s="11">
        <f t="shared" ca="1" si="343"/>
        <v>-3.9378682616450625E-4</v>
      </c>
      <c r="P627" s="11">
        <f t="shared" ca="1" si="344"/>
        <v>-1.6358405771021967E-4</v>
      </c>
      <c r="Q627" s="11">
        <f t="shared" ca="1" si="345"/>
        <v>-1.614029402377854E-3</v>
      </c>
      <c r="R627" s="11">
        <f t="shared" ca="1" si="346"/>
        <v>-1.4853760121635622E-5</v>
      </c>
      <c r="S627" s="11">
        <f t="shared" ca="1" si="347"/>
        <v>-1.1458026838550334E-3</v>
      </c>
      <c r="T627" s="11">
        <f t="shared" ca="1" si="348"/>
        <v>-4.9053934342410677E-4</v>
      </c>
      <c r="U627" s="11">
        <f t="shared" ca="1" si="349"/>
        <v>-5.5074395654535931E-3</v>
      </c>
      <c r="V627" s="11"/>
      <c r="W627" s="11">
        <f t="shared" ca="1" si="329"/>
        <v>0</v>
      </c>
      <c r="X627" s="2">
        <f t="shared" ca="1" si="330"/>
        <v>-1.6358405771021967E-4</v>
      </c>
      <c r="Y627" s="2">
        <f t="shared" ca="1" si="331"/>
        <v>-1.614029402377854E-3</v>
      </c>
      <c r="Z627" s="11">
        <f t="shared" ca="1" si="332"/>
        <v>-1.4853760121635622E-5</v>
      </c>
      <c r="AA627" s="2">
        <f t="shared" ca="1" si="333"/>
        <v>-1.1458026838550334E-3</v>
      </c>
      <c r="AB627" s="11">
        <f t="shared" ca="1" si="334"/>
        <v>-4.9053934342410677E-4</v>
      </c>
      <c r="AC627" s="2">
        <f t="shared" ca="1" si="335"/>
        <v>-5.5074395654535931E-3</v>
      </c>
      <c r="AF627" s="11">
        <f t="shared" ca="1" si="336"/>
        <v>0</v>
      </c>
      <c r="AG627" s="2">
        <f t="shared" ca="1" si="337"/>
        <v>-1.6358405771021967E-4</v>
      </c>
      <c r="AH627" s="2">
        <f t="shared" ca="1" si="338"/>
        <v>-1.614029402377854E-3</v>
      </c>
      <c r="AI627" s="2">
        <f t="shared" ca="1" si="339"/>
        <v>-1.4853760121635622E-5</v>
      </c>
      <c r="AJ627" s="2">
        <f t="shared" ca="1" si="340"/>
        <v>-1.1458026838550334E-3</v>
      </c>
      <c r="AK627" s="2">
        <f t="shared" ca="1" si="341"/>
        <v>-4.9053934342410677E-4</v>
      </c>
      <c r="AL627" s="2">
        <f t="shared" ca="1" si="342"/>
        <v>-5.5074395654535931E-3</v>
      </c>
      <c r="AN627" s="2" t="e">
        <f t="shared" ca="1" si="321"/>
        <v>#N/A</v>
      </c>
      <c r="AO627" s="2" t="e">
        <f t="shared" ca="1" si="322"/>
        <v>#N/A</v>
      </c>
      <c r="AP627" s="2" t="e">
        <f t="shared" ca="1" si="323"/>
        <v>#N/A</v>
      </c>
      <c r="AQ627" s="2" t="e">
        <f t="shared" ca="1" si="324"/>
        <v>#N/A</v>
      </c>
      <c r="AR627" s="2" t="e">
        <f t="shared" ca="1" si="325"/>
        <v>#N/A</v>
      </c>
      <c r="AS627" s="2" t="e">
        <f t="shared" ca="1" si="326"/>
        <v>#N/A</v>
      </c>
      <c r="AT627" s="9" t="e">
        <f t="shared" ca="1" si="327"/>
        <v>#N/A</v>
      </c>
      <c r="AU627" s="9" t="e">
        <f t="shared" ca="1" si="328"/>
        <v>#N/A</v>
      </c>
      <c r="AV627" s="9"/>
      <c r="AW627" s="2" t="e">
        <f t="shared" ca="1" si="350"/>
        <v>#N/A</v>
      </c>
      <c r="AX627" s="2" t="e">
        <f t="shared" ca="1" si="351"/>
        <v>#N/A</v>
      </c>
      <c r="AY627" s="2" t="e">
        <f t="shared" ca="1" si="352"/>
        <v>#N/A</v>
      </c>
      <c r="AZ627" s="2" t="e">
        <f t="shared" ca="1" si="353"/>
        <v>#N/A</v>
      </c>
      <c r="BA627" s="2" t="e">
        <f t="shared" ca="1" si="354"/>
        <v>#N/A</v>
      </c>
      <c r="BB627" s="2" t="e">
        <f t="shared" ca="1" si="355"/>
        <v>#N/A</v>
      </c>
      <c r="BC627" s="9" t="e">
        <f t="shared" ca="1" si="356"/>
        <v>#N/A</v>
      </c>
      <c r="BD627" s="9" t="e">
        <f t="shared" ca="1" si="357"/>
        <v>#N/A</v>
      </c>
    </row>
    <row r="628" spans="1:56" ht="15" x14ac:dyDescent="0.25">
      <c r="A628" s="63"/>
      <c r="B628" s="63"/>
      <c r="C628" s="64"/>
      <c r="D628" s="64"/>
      <c r="E628" s="64"/>
      <c r="F628" s="64"/>
      <c r="G628" s="64"/>
      <c r="H628" s="64"/>
      <c r="I628" s="64"/>
      <c r="J628" s="64"/>
      <c r="K628" s="64"/>
      <c r="L628" s="64"/>
      <c r="M628" s="64"/>
      <c r="N628" s="16"/>
      <c r="O628" s="11">
        <f t="shared" ca="1" si="343"/>
        <v>-3.9378682616450625E-4</v>
      </c>
      <c r="P628" s="11">
        <f t="shared" ca="1" si="344"/>
        <v>-1.6358405771021967E-4</v>
      </c>
      <c r="Q628" s="11">
        <f t="shared" ca="1" si="345"/>
        <v>-1.614029402377854E-3</v>
      </c>
      <c r="R628" s="11">
        <f t="shared" ca="1" si="346"/>
        <v>-1.4853760121635622E-5</v>
      </c>
      <c r="S628" s="11">
        <f t="shared" ca="1" si="347"/>
        <v>-1.1458026838550334E-3</v>
      </c>
      <c r="T628" s="11">
        <f t="shared" ca="1" si="348"/>
        <v>-4.9053934342410677E-4</v>
      </c>
      <c r="U628" s="11">
        <f t="shared" ca="1" si="349"/>
        <v>-5.5074395654535931E-3</v>
      </c>
      <c r="V628" s="11"/>
      <c r="W628" s="11">
        <f t="shared" ca="1" si="329"/>
        <v>0</v>
      </c>
      <c r="X628" s="2">
        <f t="shared" ca="1" si="330"/>
        <v>-1.6358405771021967E-4</v>
      </c>
      <c r="Y628" s="2">
        <f t="shared" ca="1" si="331"/>
        <v>-1.614029402377854E-3</v>
      </c>
      <c r="Z628" s="11">
        <f t="shared" ca="1" si="332"/>
        <v>-1.4853760121635622E-5</v>
      </c>
      <c r="AA628" s="2">
        <f t="shared" ca="1" si="333"/>
        <v>-1.1458026838550334E-3</v>
      </c>
      <c r="AB628" s="11">
        <f t="shared" ca="1" si="334"/>
        <v>-4.9053934342410677E-4</v>
      </c>
      <c r="AC628" s="2">
        <f t="shared" ca="1" si="335"/>
        <v>-5.5074395654535931E-3</v>
      </c>
      <c r="AF628" s="11">
        <f t="shared" ca="1" si="336"/>
        <v>0</v>
      </c>
      <c r="AG628" s="2">
        <f t="shared" ca="1" si="337"/>
        <v>-1.6358405771021967E-4</v>
      </c>
      <c r="AH628" s="2">
        <f t="shared" ca="1" si="338"/>
        <v>-1.614029402377854E-3</v>
      </c>
      <c r="AI628" s="2">
        <f t="shared" ca="1" si="339"/>
        <v>-1.4853760121635622E-5</v>
      </c>
      <c r="AJ628" s="2">
        <f t="shared" ca="1" si="340"/>
        <v>-1.1458026838550334E-3</v>
      </c>
      <c r="AK628" s="2">
        <f t="shared" ca="1" si="341"/>
        <v>-4.9053934342410677E-4</v>
      </c>
      <c r="AL628" s="2">
        <f t="shared" ca="1" si="342"/>
        <v>-5.5074395654535931E-3</v>
      </c>
      <c r="AN628" s="2" t="e">
        <f t="shared" ca="1" si="321"/>
        <v>#N/A</v>
      </c>
      <c r="AO628" s="2" t="e">
        <f t="shared" ca="1" si="322"/>
        <v>#N/A</v>
      </c>
      <c r="AP628" s="2" t="e">
        <f t="shared" ca="1" si="323"/>
        <v>#N/A</v>
      </c>
      <c r="AQ628" s="2" t="e">
        <f t="shared" ca="1" si="324"/>
        <v>#N/A</v>
      </c>
      <c r="AR628" s="2" t="e">
        <f t="shared" ca="1" si="325"/>
        <v>#N/A</v>
      </c>
      <c r="AS628" s="2" t="e">
        <f t="shared" ca="1" si="326"/>
        <v>#N/A</v>
      </c>
      <c r="AT628" s="9" t="e">
        <f t="shared" ca="1" si="327"/>
        <v>#N/A</v>
      </c>
      <c r="AU628" s="9" t="e">
        <f t="shared" ca="1" si="328"/>
        <v>#N/A</v>
      </c>
      <c r="AV628" s="9"/>
      <c r="AW628" s="2" t="e">
        <f t="shared" ca="1" si="350"/>
        <v>#N/A</v>
      </c>
      <c r="AX628" s="2" t="e">
        <f t="shared" ca="1" si="351"/>
        <v>#N/A</v>
      </c>
      <c r="AY628" s="2" t="e">
        <f t="shared" ca="1" si="352"/>
        <v>#N/A</v>
      </c>
      <c r="AZ628" s="2" t="e">
        <f t="shared" ca="1" si="353"/>
        <v>#N/A</v>
      </c>
      <c r="BA628" s="2" t="e">
        <f t="shared" ca="1" si="354"/>
        <v>#N/A</v>
      </c>
      <c r="BB628" s="2" t="e">
        <f t="shared" ca="1" si="355"/>
        <v>#N/A</v>
      </c>
      <c r="BC628" s="9" t="e">
        <f t="shared" ca="1" si="356"/>
        <v>#N/A</v>
      </c>
      <c r="BD628" s="9" t="e">
        <f t="shared" ca="1" si="357"/>
        <v>#N/A</v>
      </c>
    </row>
    <row r="629" spans="1:56" ht="15" x14ac:dyDescent="0.25">
      <c r="A629" s="63"/>
      <c r="B629" s="63"/>
      <c r="C629" s="64"/>
      <c r="D629" s="64"/>
      <c r="E629" s="64"/>
      <c r="F629" s="64"/>
      <c r="G629" s="64"/>
      <c r="H629" s="64"/>
      <c r="I629" s="64"/>
      <c r="J629" s="64"/>
      <c r="K629" s="64"/>
      <c r="L629" s="64"/>
      <c r="M629" s="64"/>
      <c r="N629" s="16"/>
      <c r="O629" s="11">
        <f t="shared" ca="1" si="343"/>
        <v>-3.9378682616450625E-4</v>
      </c>
      <c r="P629" s="11">
        <f t="shared" ca="1" si="344"/>
        <v>-1.6358405771021967E-4</v>
      </c>
      <c r="Q629" s="11">
        <f t="shared" ca="1" si="345"/>
        <v>-1.614029402377854E-3</v>
      </c>
      <c r="R629" s="11">
        <f t="shared" ca="1" si="346"/>
        <v>-1.4853760121635622E-5</v>
      </c>
      <c r="S629" s="11">
        <f t="shared" ca="1" si="347"/>
        <v>-1.1458026838550334E-3</v>
      </c>
      <c r="T629" s="11">
        <f t="shared" ca="1" si="348"/>
        <v>-4.9053934342410677E-4</v>
      </c>
      <c r="U629" s="11">
        <f t="shared" ca="1" si="349"/>
        <v>-5.5074395654535931E-3</v>
      </c>
      <c r="V629" s="11"/>
      <c r="W629" s="11">
        <f t="shared" ca="1" si="329"/>
        <v>0</v>
      </c>
      <c r="X629" s="2">
        <f t="shared" ca="1" si="330"/>
        <v>-1.6358405771021967E-4</v>
      </c>
      <c r="Y629" s="2">
        <f t="shared" ca="1" si="331"/>
        <v>-1.614029402377854E-3</v>
      </c>
      <c r="Z629" s="11">
        <f t="shared" ca="1" si="332"/>
        <v>-1.4853760121635622E-5</v>
      </c>
      <c r="AA629" s="2">
        <f t="shared" ca="1" si="333"/>
        <v>-1.1458026838550334E-3</v>
      </c>
      <c r="AB629" s="11">
        <f t="shared" ca="1" si="334"/>
        <v>-4.9053934342410677E-4</v>
      </c>
      <c r="AC629" s="2">
        <f t="shared" ca="1" si="335"/>
        <v>-5.5074395654535931E-3</v>
      </c>
      <c r="AF629" s="11">
        <f t="shared" ca="1" si="336"/>
        <v>0</v>
      </c>
      <c r="AG629" s="2">
        <f t="shared" ca="1" si="337"/>
        <v>-1.6358405771021967E-4</v>
      </c>
      <c r="AH629" s="2">
        <f t="shared" ca="1" si="338"/>
        <v>-1.614029402377854E-3</v>
      </c>
      <c r="AI629" s="2">
        <f t="shared" ca="1" si="339"/>
        <v>-1.4853760121635622E-5</v>
      </c>
      <c r="AJ629" s="2">
        <f t="shared" ca="1" si="340"/>
        <v>-1.1458026838550334E-3</v>
      </c>
      <c r="AK629" s="2">
        <f t="shared" ca="1" si="341"/>
        <v>-4.9053934342410677E-4</v>
      </c>
      <c r="AL629" s="2">
        <f t="shared" ca="1" si="342"/>
        <v>-5.5074395654535931E-3</v>
      </c>
      <c r="AN629" s="2" t="e">
        <f t="shared" ca="1" si="321"/>
        <v>#N/A</v>
      </c>
      <c r="AO629" s="2" t="e">
        <f t="shared" ca="1" si="322"/>
        <v>#N/A</v>
      </c>
      <c r="AP629" s="2" t="e">
        <f t="shared" ca="1" si="323"/>
        <v>#N/A</v>
      </c>
      <c r="AQ629" s="2" t="e">
        <f t="shared" ca="1" si="324"/>
        <v>#N/A</v>
      </c>
      <c r="AR629" s="2" t="e">
        <f t="shared" ca="1" si="325"/>
        <v>#N/A</v>
      </c>
      <c r="AS629" s="2" t="e">
        <f t="shared" ca="1" si="326"/>
        <v>#N/A</v>
      </c>
      <c r="AT629" s="9" t="e">
        <f t="shared" ca="1" si="327"/>
        <v>#N/A</v>
      </c>
      <c r="AU629" s="9" t="e">
        <f t="shared" ca="1" si="328"/>
        <v>#N/A</v>
      </c>
      <c r="AV629" s="9"/>
      <c r="AW629" s="2" t="e">
        <f t="shared" ca="1" si="350"/>
        <v>#N/A</v>
      </c>
      <c r="AX629" s="2" t="e">
        <f t="shared" ca="1" si="351"/>
        <v>#N/A</v>
      </c>
      <c r="AY629" s="2" t="e">
        <f t="shared" ca="1" si="352"/>
        <v>#N/A</v>
      </c>
      <c r="AZ629" s="2" t="e">
        <f t="shared" ca="1" si="353"/>
        <v>#N/A</v>
      </c>
      <c r="BA629" s="2" t="e">
        <f t="shared" ca="1" si="354"/>
        <v>#N/A</v>
      </c>
      <c r="BB629" s="2" t="e">
        <f t="shared" ca="1" si="355"/>
        <v>#N/A</v>
      </c>
      <c r="BC629" s="9" t="e">
        <f t="shared" ca="1" si="356"/>
        <v>#N/A</v>
      </c>
      <c r="BD629" s="9" t="e">
        <f t="shared" ca="1" si="357"/>
        <v>#N/A</v>
      </c>
    </row>
    <row r="630" spans="1:56" ht="15" x14ac:dyDescent="0.25">
      <c r="A630" s="63"/>
      <c r="B630" s="63"/>
      <c r="C630" s="64"/>
      <c r="D630" s="64"/>
      <c r="E630" s="64"/>
      <c r="F630" s="64"/>
      <c r="G630" s="64"/>
      <c r="H630" s="64"/>
      <c r="I630" s="64"/>
      <c r="J630" s="64"/>
      <c r="K630" s="64"/>
      <c r="L630" s="64"/>
      <c r="M630" s="64"/>
      <c r="N630" s="16"/>
      <c r="O630" s="11">
        <f t="shared" ca="1" si="343"/>
        <v>-3.9378682616450625E-4</v>
      </c>
      <c r="P630" s="11">
        <f t="shared" ca="1" si="344"/>
        <v>-1.6358405771021967E-4</v>
      </c>
      <c r="Q630" s="11">
        <f t="shared" ca="1" si="345"/>
        <v>-1.614029402377854E-3</v>
      </c>
      <c r="R630" s="11">
        <f t="shared" ca="1" si="346"/>
        <v>-1.4853760121635622E-5</v>
      </c>
      <c r="S630" s="11">
        <f t="shared" ca="1" si="347"/>
        <v>-1.1458026838550334E-3</v>
      </c>
      <c r="T630" s="11">
        <f t="shared" ca="1" si="348"/>
        <v>-4.9053934342410677E-4</v>
      </c>
      <c r="U630" s="11">
        <f t="shared" ca="1" si="349"/>
        <v>-5.5074395654535931E-3</v>
      </c>
      <c r="V630" s="11"/>
      <c r="W630" s="11">
        <f t="shared" ca="1" si="329"/>
        <v>0</v>
      </c>
      <c r="X630" s="2">
        <f t="shared" ca="1" si="330"/>
        <v>-1.6358405771021967E-4</v>
      </c>
      <c r="Y630" s="2">
        <f t="shared" ca="1" si="331"/>
        <v>-1.614029402377854E-3</v>
      </c>
      <c r="Z630" s="11">
        <f t="shared" ca="1" si="332"/>
        <v>-1.4853760121635622E-5</v>
      </c>
      <c r="AA630" s="2">
        <f t="shared" ca="1" si="333"/>
        <v>-1.1458026838550334E-3</v>
      </c>
      <c r="AB630" s="11">
        <f t="shared" ca="1" si="334"/>
        <v>-4.9053934342410677E-4</v>
      </c>
      <c r="AC630" s="2">
        <f t="shared" ca="1" si="335"/>
        <v>-5.5074395654535931E-3</v>
      </c>
      <c r="AF630" s="11">
        <f t="shared" ca="1" si="336"/>
        <v>0</v>
      </c>
      <c r="AG630" s="2">
        <f t="shared" ca="1" si="337"/>
        <v>-1.6358405771021967E-4</v>
      </c>
      <c r="AH630" s="2">
        <f t="shared" ca="1" si="338"/>
        <v>-1.614029402377854E-3</v>
      </c>
      <c r="AI630" s="2">
        <f t="shared" ca="1" si="339"/>
        <v>-1.4853760121635622E-5</v>
      </c>
      <c r="AJ630" s="2">
        <f t="shared" ca="1" si="340"/>
        <v>-1.1458026838550334E-3</v>
      </c>
      <c r="AK630" s="2">
        <f t="shared" ca="1" si="341"/>
        <v>-4.9053934342410677E-4</v>
      </c>
      <c r="AL630" s="2">
        <f t="shared" ca="1" si="342"/>
        <v>-5.5074395654535931E-3</v>
      </c>
      <c r="AN630" s="2" t="e">
        <f t="shared" ca="1" si="321"/>
        <v>#N/A</v>
      </c>
      <c r="AO630" s="2" t="e">
        <f t="shared" ca="1" si="322"/>
        <v>#N/A</v>
      </c>
      <c r="AP630" s="2" t="e">
        <f t="shared" ca="1" si="323"/>
        <v>#N/A</v>
      </c>
      <c r="AQ630" s="2" t="e">
        <f t="shared" ca="1" si="324"/>
        <v>#N/A</v>
      </c>
      <c r="AR630" s="2" t="e">
        <f t="shared" ca="1" si="325"/>
        <v>#N/A</v>
      </c>
      <c r="AS630" s="2" t="e">
        <f t="shared" ca="1" si="326"/>
        <v>#N/A</v>
      </c>
      <c r="AT630" s="9" t="e">
        <f t="shared" ca="1" si="327"/>
        <v>#N/A</v>
      </c>
      <c r="AU630" s="9" t="e">
        <f t="shared" ca="1" si="328"/>
        <v>#N/A</v>
      </c>
      <c r="AV630" s="9"/>
      <c r="AW630" s="2" t="e">
        <f t="shared" ca="1" si="350"/>
        <v>#N/A</v>
      </c>
      <c r="AX630" s="2" t="e">
        <f t="shared" ca="1" si="351"/>
        <v>#N/A</v>
      </c>
      <c r="AY630" s="2" t="e">
        <f t="shared" ca="1" si="352"/>
        <v>#N/A</v>
      </c>
      <c r="AZ630" s="2" t="e">
        <f t="shared" ca="1" si="353"/>
        <v>#N/A</v>
      </c>
      <c r="BA630" s="2" t="e">
        <f t="shared" ca="1" si="354"/>
        <v>#N/A</v>
      </c>
      <c r="BB630" s="2" t="e">
        <f t="shared" ca="1" si="355"/>
        <v>#N/A</v>
      </c>
      <c r="BC630" s="9" t="e">
        <f t="shared" ca="1" si="356"/>
        <v>#N/A</v>
      </c>
      <c r="BD630" s="9" t="e">
        <f t="shared" ca="1" si="357"/>
        <v>#N/A</v>
      </c>
    </row>
    <row r="631" spans="1:56" ht="15" x14ac:dyDescent="0.25">
      <c r="A631" s="63"/>
      <c r="B631" s="63"/>
      <c r="C631" s="64"/>
      <c r="D631" s="64"/>
      <c r="E631" s="64"/>
      <c r="F631" s="64"/>
      <c r="G631" s="64"/>
      <c r="H631" s="64"/>
      <c r="I631" s="64"/>
      <c r="J631" s="64"/>
      <c r="K631" s="64"/>
      <c r="L631" s="64"/>
      <c r="M631" s="64"/>
      <c r="N631" s="16"/>
      <c r="O631" s="11">
        <f t="shared" ca="1" si="343"/>
        <v>-3.9378682616450625E-4</v>
      </c>
      <c r="P631" s="11">
        <f t="shared" ca="1" si="344"/>
        <v>-1.6358405771021967E-4</v>
      </c>
      <c r="Q631" s="11">
        <f t="shared" ca="1" si="345"/>
        <v>-1.614029402377854E-3</v>
      </c>
      <c r="R631" s="11">
        <f t="shared" ca="1" si="346"/>
        <v>-1.4853760121635622E-5</v>
      </c>
      <c r="S631" s="11">
        <f t="shared" ca="1" si="347"/>
        <v>-1.1458026838550334E-3</v>
      </c>
      <c r="T631" s="11">
        <f t="shared" ca="1" si="348"/>
        <v>-4.9053934342410677E-4</v>
      </c>
      <c r="U631" s="11">
        <f t="shared" ca="1" si="349"/>
        <v>-5.5074395654535931E-3</v>
      </c>
      <c r="V631" s="11"/>
      <c r="W631" s="11">
        <f t="shared" ca="1" si="329"/>
        <v>0</v>
      </c>
      <c r="X631" s="2">
        <f t="shared" ca="1" si="330"/>
        <v>-1.6358405771021967E-4</v>
      </c>
      <c r="Y631" s="2">
        <f t="shared" ca="1" si="331"/>
        <v>-1.614029402377854E-3</v>
      </c>
      <c r="Z631" s="11">
        <f t="shared" ca="1" si="332"/>
        <v>-1.4853760121635622E-5</v>
      </c>
      <c r="AA631" s="2">
        <f t="shared" ca="1" si="333"/>
        <v>-1.1458026838550334E-3</v>
      </c>
      <c r="AB631" s="11">
        <f t="shared" ca="1" si="334"/>
        <v>-4.9053934342410677E-4</v>
      </c>
      <c r="AC631" s="2">
        <f t="shared" ca="1" si="335"/>
        <v>-5.5074395654535931E-3</v>
      </c>
      <c r="AF631" s="11">
        <f t="shared" ca="1" si="336"/>
        <v>0</v>
      </c>
      <c r="AG631" s="2">
        <f t="shared" ca="1" si="337"/>
        <v>-1.6358405771021967E-4</v>
      </c>
      <c r="AH631" s="2">
        <f t="shared" ca="1" si="338"/>
        <v>-1.614029402377854E-3</v>
      </c>
      <c r="AI631" s="2">
        <f t="shared" ca="1" si="339"/>
        <v>-1.4853760121635622E-5</v>
      </c>
      <c r="AJ631" s="2">
        <f t="shared" ca="1" si="340"/>
        <v>-1.1458026838550334E-3</v>
      </c>
      <c r="AK631" s="2">
        <f t="shared" ca="1" si="341"/>
        <v>-4.9053934342410677E-4</v>
      </c>
      <c r="AL631" s="2">
        <f t="shared" ca="1" si="342"/>
        <v>-5.5074395654535931E-3</v>
      </c>
      <c r="AN631" s="2" t="e">
        <f t="shared" ca="1" si="321"/>
        <v>#N/A</v>
      </c>
      <c r="AO631" s="2" t="e">
        <f t="shared" ca="1" si="322"/>
        <v>#N/A</v>
      </c>
      <c r="AP631" s="2" t="e">
        <f t="shared" ca="1" si="323"/>
        <v>#N/A</v>
      </c>
      <c r="AQ631" s="2" t="e">
        <f t="shared" ca="1" si="324"/>
        <v>#N/A</v>
      </c>
      <c r="AR631" s="2" t="e">
        <f t="shared" ca="1" si="325"/>
        <v>#N/A</v>
      </c>
      <c r="AS631" s="2" t="e">
        <f t="shared" ca="1" si="326"/>
        <v>#N/A</v>
      </c>
      <c r="AT631" s="9" t="e">
        <f t="shared" ca="1" si="327"/>
        <v>#N/A</v>
      </c>
      <c r="AU631" s="9" t="e">
        <f t="shared" ca="1" si="328"/>
        <v>#N/A</v>
      </c>
      <c r="AV631" s="9"/>
      <c r="AW631" s="2" t="e">
        <f t="shared" ca="1" si="350"/>
        <v>#N/A</v>
      </c>
      <c r="AX631" s="2" t="e">
        <f t="shared" ca="1" si="351"/>
        <v>#N/A</v>
      </c>
      <c r="AY631" s="2" t="e">
        <f t="shared" ca="1" si="352"/>
        <v>#N/A</v>
      </c>
      <c r="AZ631" s="2" t="e">
        <f t="shared" ca="1" si="353"/>
        <v>#N/A</v>
      </c>
      <c r="BA631" s="2" t="e">
        <f t="shared" ca="1" si="354"/>
        <v>#N/A</v>
      </c>
      <c r="BB631" s="2" t="e">
        <f t="shared" ca="1" si="355"/>
        <v>#N/A</v>
      </c>
      <c r="BC631" s="9" t="e">
        <f t="shared" ca="1" si="356"/>
        <v>#N/A</v>
      </c>
      <c r="BD631" s="9" t="e">
        <f t="shared" ca="1" si="357"/>
        <v>#N/A</v>
      </c>
    </row>
    <row r="632" spans="1:56" ht="15" x14ac:dyDescent="0.25">
      <c r="A632" s="63"/>
      <c r="B632" s="63"/>
      <c r="C632" s="64"/>
      <c r="D632" s="64"/>
      <c r="E632" s="64"/>
      <c r="F632" s="64"/>
      <c r="G632" s="64"/>
      <c r="H632" s="64"/>
      <c r="I632" s="64"/>
      <c r="J632" s="64"/>
      <c r="K632" s="64"/>
      <c r="L632" s="64"/>
      <c r="M632" s="64"/>
      <c r="N632" s="16"/>
      <c r="O632" s="11">
        <f t="shared" ca="1" si="343"/>
        <v>-3.9378682616450625E-4</v>
      </c>
      <c r="P632" s="11">
        <f t="shared" ca="1" si="344"/>
        <v>-1.6358405771021967E-4</v>
      </c>
      <c r="Q632" s="11">
        <f t="shared" ca="1" si="345"/>
        <v>-1.614029402377854E-3</v>
      </c>
      <c r="R632" s="11">
        <f t="shared" ca="1" si="346"/>
        <v>-1.4853760121635622E-5</v>
      </c>
      <c r="S632" s="11">
        <f t="shared" ca="1" si="347"/>
        <v>-1.1458026838550334E-3</v>
      </c>
      <c r="T632" s="11">
        <f t="shared" ca="1" si="348"/>
        <v>-4.9053934342410677E-4</v>
      </c>
      <c r="U632" s="11">
        <f t="shared" ca="1" si="349"/>
        <v>-5.5074395654535931E-3</v>
      </c>
      <c r="V632" s="11"/>
      <c r="W632" s="11">
        <f t="shared" ca="1" si="329"/>
        <v>0</v>
      </c>
      <c r="X632" s="2">
        <f t="shared" ca="1" si="330"/>
        <v>-1.6358405771021967E-4</v>
      </c>
      <c r="Y632" s="2">
        <f t="shared" ca="1" si="331"/>
        <v>-1.614029402377854E-3</v>
      </c>
      <c r="Z632" s="11">
        <f t="shared" ca="1" si="332"/>
        <v>-1.4853760121635622E-5</v>
      </c>
      <c r="AA632" s="2">
        <f t="shared" ca="1" si="333"/>
        <v>-1.1458026838550334E-3</v>
      </c>
      <c r="AB632" s="11">
        <f t="shared" ca="1" si="334"/>
        <v>-4.9053934342410677E-4</v>
      </c>
      <c r="AC632" s="2">
        <f t="shared" ca="1" si="335"/>
        <v>-5.5074395654535931E-3</v>
      </c>
      <c r="AF632" s="11">
        <f t="shared" ca="1" si="336"/>
        <v>0</v>
      </c>
      <c r="AG632" s="2">
        <f t="shared" ca="1" si="337"/>
        <v>-1.6358405771021967E-4</v>
      </c>
      <c r="AH632" s="2">
        <f t="shared" ca="1" si="338"/>
        <v>-1.614029402377854E-3</v>
      </c>
      <c r="AI632" s="2">
        <f t="shared" ca="1" si="339"/>
        <v>-1.4853760121635622E-5</v>
      </c>
      <c r="AJ632" s="2">
        <f t="shared" ca="1" si="340"/>
        <v>-1.1458026838550334E-3</v>
      </c>
      <c r="AK632" s="2">
        <f t="shared" ca="1" si="341"/>
        <v>-4.9053934342410677E-4</v>
      </c>
      <c r="AL632" s="2">
        <f t="shared" ca="1" si="342"/>
        <v>-5.5074395654535931E-3</v>
      </c>
      <c r="AN632" s="2" t="e">
        <f t="shared" ca="1" si="321"/>
        <v>#N/A</v>
      </c>
      <c r="AO632" s="2" t="e">
        <f t="shared" ca="1" si="322"/>
        <v>#N/A</v>
      </c>
      <c r="AP632" s="2" t="e">
        <f t="shared" ca="1" si="323"/>
        <v>#N/A</v>
      </c>
      <c r="AQ632" s="2" t="e">
        <f t="shared" ca="1" si="324"/>
        <v>#N/A</v>
      </c>
      <c r="AR632" s="2" t="e">
        <f t="shared" ca="1" si="325"/>
        <v>#N/A</v>
      </c>
      <c r="AS632" s="2" t="e">
        <f t="shared" ca="1" si="326"/>
        <v>#N/A</v>
      </c>
      <c r="AT632" s="9" t="e">
        <f t="shared" ca="1" si="327"/>
        <v>#N/A</v>
      </c>
      <c r="AU632" s="9" t="e">
        <f t="shared" ca="1" si="328"/>
        <v>#N/A</v>
      </c>
      <c r="AV632" s="9"/>
      <c r="AW632" s="2" t="e">
        <f t="shared" ca="1" si="350"/>
        <v>#N/A</v>
      </c>
      <c r="AX632" s="2" t="e">
        <f t="shared" ca="1" si="351"/>
        <v>#N/A</v>
      </c>
      <c r="AY632" s="2" t="e">
        <f t="shared" ca="1" si="352"/>
        <v>#N/A</v>
      </c>
      <c r="AZ632" s="2" t="e">
        <f t="shared" ca="1" si="353"/>
        <v>#N/A</v>
      </c>
      <c r="BA632" s="2" t="e">
        <f t="shared" ca="1" si="354"/>
        <v>#N/A</v>
      </c>
      <c r="BB632" s="2" t="e">
        <f t="shared" ca="1" si="355"/>
        <v>#N/A</v>
      </c>
      <c r="BC632" s="9" t="e">
        <f t="shared" ca="1" si="356"/>
        <v>#N/A</v>
      </c>
      <c r="BD632" s="9" t="e">
        <f t="shared" ca="1" si="357"/>
        <v>#N/A</v>
      </c>
    </row>
    <row r="633" spans="1:56" ht="15" x14ac:dyDescent="0.25">
      <c r="A633" s="63"/>
      <c r="B633" s="63"/>
      <c r="C633" s="64"/>
      <c r="D633" s="64"/>
      <c r="E633" s="64"/>
      <c r="F633" s="64"/>
      <c r="G633" s="64"/>
      <c r="H633" s="64"/>
      <c r="I633" s="64"/>
      <c r="J633" s="64"/>
      <c r="K633" s="64"/>
      <c r="L633" s="64"/>
      <c r="M633" s="64"/>
      <c r="N633" s="16"/>
      <c r="O633" s="11">
        <f t="shared" ca="1" si="343"/>
        <v>-3.9378682616450625E-4</v>
      </c>
      <c r="P633" s="11">
        <f t="shared" ca="1" si="344"/>
        <v>-1.6358405771021967E-4</v>
      </c>
      <c r="Q633" s="11">
        <f t="shared" ca="1" si="345"/>
        <v>-1.614029402377854E-3</v>
      </c>
      <c r="R633" s="11">
        <f t="shared" ca="1" si="346"/>
        <v>-1.4853760121635622E-5</v>
      </c>
      <c r="S633" s="11">
        <f t="shared" ca="1" si="347"/>
        <v>-1.1458026838550334E-3</v>
      </c>
      <c r="T633" s="11">
        <f t="shared" ca="1" si="348"/>
        <v>-4.9053934342410677E-4</v>
      </c>
      <c r="U633" s="11">
        <f t="shared" ca="1" si="349"/>
        <v>-5.5074395654535931E-3</v>
      </c>
      <c r="V633" s="11"/>
      <c r="W633" s="11">
        <f t="shared" ca="1" si="329"/>
        <v>0</v>
      </c>
      <c r="X633" s="2">
        <f t="shared" ca="1" si="330"/>
        <v>-1.6358405771021967E-4</v>
      </c>
      <c r="Y633" s="2">
        <f t="shared" ca="1" si="331"/>
        <v>-1.614029402377854E-3</v>
      </c>
      <c r="Z633" s="11">
        <f t="shared" ca="1" si="332"/>
        <v>-1.4853760121635622E-5</v>
      </c>
      <c r="AA633" s="2">
        <f t="shared" ca="1" si="333"/>
        <v>-1.1458026838550334E-3</v>
      </c>
      <c r="AB633" s="11">
        <f t="shared" ca="1" si="334"/>
        <v>-4.9053934342410677E-4</v>
      </c>
      <c r="AC633" s="2">
        <f t="shared" ca="1" si="335"/>
        <v>-5.5074395654535931E-3</v>
      </c>
      <c r="AF633" s="11">
        <f t="shared" ca="1" si="336"/>
        <v>0</v>
      </c>
      <c r="AG633" s="2">
        <f t="shared" ca="1" si="337"/>
        <v>-1.6358405771021967E-4</v>
      </c>
      <c r="AH633" s="2">
        <f t="shared" ca="1" si="338"/>
        <v>-1.614029402377854E-3</v>
      </c>
      <c r="AI633" s="2">
        <f t="shared" ca="1" si="339"/>
        <v>-1.4853760121635622E-5</v>
      </c>
      <c r="AJ633" s="2">
        <f t="shared" ca="1" si="340"/>
        <v>-1.1458026838550334E-3</v>
      </c>
      <c r="AK633" s="2">
        <f t="shared" ca="1" si="341"/>
        <v>-4.9053934342410677E-4</v>
      </c>
      <c r="AL633" s="2">
        <f t="shared" ca="1" si="342"/>
        <v>-5.5074395654535931E-3</v>
      </c>
      <c r="AN633" s="2" t="e">
        <f t="shared" ca="1" si="321"/>
        <v>#N/A</v>
      </c>
      <c r="AO633" s="2" t="e">
        <f t="shared" ca="1" si="322"/>
        <v>#N/A</v>
      </c>
      <c r="AP633" s="2" t="e">
        <f t="shared" ca="1" si="323"/>
        <v>#N/A</v>
      </c>
      <c r="AQ633" s="2" t="e">
        <f t="shared" ca="1" si="324"/>
        <v>#N/A</v>
      </c>
      <c r="AR633" s="2" t="e">
        <f t="shared" ca="1" si="325"/>
        <v>#N/A</v>
      </c>
      <c r="AS633" s="2" t="e">
        <f t="shared" ca="1" si="326"/>
        <v>#N/A</v>
      </c>
      <c r="AT633" s="9" t="e">
        <f t="shared" ca="1" si="327"/>
        <v>#N/A</v>
      </c>
      <c r="AU633" s="9" t="e">
        <f t="shared" ca="1" si="328"/>
        <v>#N/A</v>
      </c>
      <c r="AV633" s="9"/>
      <c r="AW633" s="2" t="e">
        <f t="shared" ca="1" si="350"/>
        <v>#N/A</v>
      </c>
      <c r="AX633" s="2" t="e">
        <f t="shared" ca="1" si="351"/>
        <v>#N/A</v>
      </c>
      <c r="AY633" s="2" t="e">
        <f t="shared" ca="1" si="352"/>
        <v>#N/A</v>
      </c>
      <c r="AZ633" s="2" t="e">
        <f t="shared" ca="1" si="353"/>
        <v>#N/A</v>
      </c>
      <c r="BA633" s="2" t="e">
        <f t="shared" ca="1" si="354"/>
        <v>#N/A</v>
      </c>
      <c r="BB633" s="2" t="e">
        <f t="shared" ca="1" si="355"/>
        <v>#N/A</v>
      </c>
      <c r="BC633" s="9" t="e">
        <f t="shared" ca="1" si="356"/>
        <v>#N/A</v>
      </c>
      <c r="BD633" s="9" t="e">
        <f t="shared" ca="1" si="357"/>
        <v>#N/A</v>
      </c>
    </row>
    <row r="634" spans="1:56" ht="15" x14ac:dyDescent="0.25">
      <c r="A634" s="63"/>
      <c r="B634" s="63"/>
      <c r="C634" s="64"/>
      <c r="D634" s="64"/>
      <c r="E634" s="64"/>
      <c r="F634" s="64"/>
      <c r="G634" s="64"/>
      <c r="H634" s="64"/>
      <c r="I634" s="64"/>
      <c r="J634" s="64"/>
      <c r="K634" s="64"/>
      <c r="L634" s="64"/>
      <c r="M634" s="64"/>
      <c r="N634" s="16"/>
      <c r="O634" s="11">
        <f t="shared" ca="1" si="343"/>
        <v>-3.9378682616450625E-4</v>
      </c>
      <c r="P634" s="11">
        <f t="shared" ca="1" si="344"/>
        <v>-1.6358405771021967E-4</v>
      </c>
      <c r="Q634" s="11">
        <f t="shared" ca="1" si="345"/>
        <v>-1.614029402377854E-3</v>
      </c>
      <c r="R634" s="11">
        <f t="shared" ca="1" si="346"/>
        <v>-1.4853760121635622E-5</v>
      </c>
      <c r="S634" s="11">
        <f t="shared" ca="1" si="347"/>
        <v>-1.1458026838550334E-3</v>
      </c>
      <c r="T634" s="11">
        <f t="shared" ca="1" si="348"/>
        <v>-4.9053934342410677E-4</v>
      </c>
      <c r="U634" s="11">
        <f t="shared" ca="1" si="349"/>
        <v>-5.5074395654535931E-3</v>
      </c>
      <c r="V634" s="11"/>
      <c r="W634" s="11">
        <f t="shared" ca="1" si="329"/>
        <v>0</v>
      </c>
      <c r="X634" s="2">
        <f t="shared" ca="1" si="330"/>
        <v>-1.6358405771021967E-4</v>
      </c>
      <c r="Y634" s="2">
        <f t="shared" ca="1" si="331"/>
        <v>-1.614029402377854E-3</v>
      </c>
      <c r="Z634" s="11">
        <f t="shared" ca="1" si="332"/>
        <v>-1.4853760121635622E-5</v>
      </c>
      <c r="AA634" s="2">
        <f t="shared" ca="1" si="333"/>
        <v>-1.1458026838550334E-3</v>
      </c>
      <c r="AB634" s="11">
        <f t="shared" ca="1" si="334"/>
        <v>-4.9053934342410677E-4</v>
      </c>
      <c r="AC634" s="2">
        <f t="shared" ca="1" si="335"/>
        <v>-5.5074395654535931E-3</v>
      </c>
      <c r="AF634" s="11">
        <f t="shared" ca="1" si="336"/>
        <v>0</v>
      </c>
      <c r="AG634" s="2">
        <f t="shared" ca="1" si="337"/>
        <v>-1.6358405771021967E-4</v>
      </c>
      <c r="AH634" s="2">
        <f t="shared" ca="1" si="338"/>
        <v>-1.614029402377854E-3</v>
      </c>
      <c r="AI634" s="2">
        <f t="shared" ca="1" si="339"/>
        <v>-1.4853760121635622E-5</v>
      </c>
      <c r="AJ634" s="2">
        <f t="shared" ca="1" si="340"/>
        <v>-1.1458026838550334E-3</v>
      </c>
      <c r="AK634" s="2">
        <f t="shared" ca="1" si="341"/>
        <v>-4.9053934342410677E-4</v>
      </c>
      <c r="AL634" s="2">
        <f t="shared" ca="1" si="342"/>
        <v>-5.5074395654535931E-3</v>
      </c>
      <c r="AN634" s="2" t="e">
        <f t="shared" ca="1" si="321"/>
        <v>#N/A</v>
      </c>
      <c r="AO634" s="2" t="e">
        <f t="shared" ca="1" si="322"/>
        <v>#N/A</v>
      </c>
      <c r="AP634" s="2" t="e">
        <f t="shared" ca="1" si="323"/>
        <v>#N/A</v>
      </c>
      <c r="AQ634" s="2" t="e">
        <f t="shared" ca="1" si="324"/>
        <v>#N/A</v>
      </c>
      <c r="AR634" s="2" t="e">
        <f t="shared" ca="1" si="325"/>
        <v>#N/A</v>
      </c>
      <c r="AS634" s="2" t="e">
        <f t="shared" ca="1" si="326"/>
        <v>#N/A</v>
      </c>
      <c r="AT634" s="9" t="e">
        <f t="shared" ca="1" si="327"/>
        <v>#N/A</v>
      </c>
      <c r="AU634" s="9" t="e">
        <f t="shared" ca="1" si="328"/>
        <v>#N/A</v>
      </c>
      <c r="AV634" s="9"/>
      <c r="AW634" s="2" t="e">
        <f t="shared" ca="1" si="350"/>
        <v>#N/A</v>
      </c>
      <c r="AX634" s="2" t="e">
        <f t="shared" ca="1" si="351"/>
        <v>#N/A</v>
      </c>
      <c r="AY634" s="2" t="e">
        <f t="shared" ca="1" si="352"/>
        <v>#N/A</v>
      </c>
      <c r="AZ634" s="2" t="e">
        <f t="shared" ca="1" si="353"/>
        <v>#N/A</v>
      </c>
      <c r="BA634" s="2" t="e">
        <f t="shared" ca="1" si="354"/>
        <v>#N/A</v>
      </c>
      <c r="BB634" s="2" t="e">
        <f t="shared" ca="1" si="355"/>
        <v>#N/A</v>
      </c>
      <c r="BC634" s="9" t="e">
        <f t="shared" ca="1" si="356"/>
        <v>#N/A</v>
      </c>
      <c r="BD634" s="9" t="e">
        <f t="shared" ca="1" si="357"/>
        <v>#N/A</v>
      </c>
    </row>
    <row r="635" spans="1:56" ht="15" x14ac:dyDescent="0.25">
      <c r="A635" s="63"/>
      <c r="B635" s="63"/>
      <c r="C635" s="64"/>
      <c r="D635" s="64"/>
      <c r="E635" s="64"/>
      <c r="F635" s="64"/>
      <c r="G635" s="64"/>
      <c r="H635" s="64"/>
      <c r="I635" s="64"/>
      <c r="J635" s="64"/>
      <c r="K635" s="64"/>
      <c r="L635" s="64"/>
      <c r="M635" s="64"/>
      <c r="N635" s="16"/>
      <c r="O635" s="11">
        <f t="shared" ca="1" si="343"/>
        <v>-3.9378682616450625E-4</v>
      </c>
      <c r="P635" s="11">
        <f t="shared" ca="1" si="344"/>
        <v>-1.6358405771021967E-4</v>
      </c>
      <c r="Q635" s="11">
        <f t="shared" ca="1" si="345"/>
        <v>-1.614029402377854E-3</v>
      </c>
      <c r="R635" s="11">
        <f t="shared" ca="1" si="346"/>
        <v>-1.4853760121635622E-5</v>
      </c>
      <c r="S635" s="11">
        <f t="shared" ca="1" si="347"/>
        <v>-1.1458026838550334E-3</v>
      </c>
      <c r="T635" s="11">
        <f t="shared" ca="1" si="348"/>
        <v>-4.9053934342410677E-4</v>
      </c>
      <c r="U635" s="11">
        <f t="shared" ca="1" si="349"/>
        <v>-5.5074395654535931E-3</v>
      </c>
      <c r="V635" s="11"/>
      <c r="W635" s="11">
        <f t="shared" ca="1" si="329"/>
        <v>0</v>
      </c>
      <c r="X635" s="2">
        <f t="shared" ca="1" si="330"/>
        <v>-1.6358405771021967E-4</v>
      </c>
      <c r="Y635" s="2">
        <f t="shared" ca="1" si="331"/>
        <v>-1.614029402377854E-3</v>
      </c>
      <c r="Z635" s="11">
        <f t="shared" ca="1" si="332"/>
        <v>-1.4853760121635622E-5</v>
      </c>
      <c r="AA635" s="2">
        <f t="shared" ca="1" si="333"/>
        <v>-1.1458026838550334E-3</v>
      </c>
      <c r="AB635" s="11">
        <f t="shared" ca="1" si="334"/>
        <v>-4.9053934342410677E-4</v>
      </c>
      <c r="AC635" s="2">
        <f t="shared" ca="1" si="335"/>
        <v>-5.5074395654535931E-3</v>
      </c>
      <c r="AF635" s="11">
        <f t="shared" ca="1" si="336"/>
        <v>0</v>
      </c>
      <c r="AG635" s="2">
        <f t="shared" ca="1" si="337"/>
        <v>-1.6358405771021967E-4</v>
      </c>
      <c r="AH635" s="2">
        <f t="shared" ca="1" si="338"/>
        <v>-1.614029402377854E-3</v>
      </c>
      <c r="AI635" s="2">
        <f t="shared" ca="1" si="339"/>
        <v>-1.4853760121635622E-5</v>
      </c>
      <c r="AJ635" s="2">
        <f t="shared" ca="1" si="340"/>
        <v>-1.1458026838550334E-3</v>
      </c>
      <c r="AK635" s="2">
        <f t="shared" ca="1" si="341"/>
        <v>-4.9053934342410677E-4</v>
      </c>
      <c r="AL635" s="2">
        <f t="shared" ca="1" si="342"/>
        <v>-5.5074395654535931E-3</v>
      </c>
      <c r="AN635" s="2" t="e">
        <f t="shared" ca="1" si="321"/>
        <v>#N/A</v>
      </c>
      <c r="AO635" s="2" t="e">
        <f t="shared" ca="1" si="322"/>
        <v>#N/A</v>
      </c>
      <c r="AP635" s="2" t="e">
        <f t="shared" ca="1" si="323"/>
        <v>#N/A</v>
      </c>
      <c r="AQ635" s="2" t="e">
        <f t="shared" ca="1" si="324"/>
        <v>#N/A</v>
      </c>
      <c r="AR635" s="2" t="e">
        <f t="shared" ca="1" si="325"/>
        <v>#N/A</v>
      </c>
      <c r="AS635" s="2" t="e">
        <f t="shared" ca="1" si="326"/>
        <v>#N/A</v>
      </c>
      <c r="AT635" s="9" t="e">
        <f t="shared" ca="1" si="327"/>
        <v>#N/A</v>
      </c>
      <c r="AU635" s="9" t="e">
        <f t="shared" ca="1" si="328"/>
        <v>#N/A</v>
      </c>
      <c r="AV635" s="9"/>
      <c r="AW635" s="2" t="e">
        <f t="shared" ca="1" si="350"/>
        <v>#N/A</v>
      </c>
      <c r="AX635" s="2" t="e">
        <f t="shared" ca="1" si="351"/>
        <v>#N/A</v>
      </c>
      <c r="AY635" s="2" t="e">
        <f t="shared" ca="1" si="352"/>
        <v>#N/A</v>
      </c>
      <c r="AZ635" s="2" t="e">
        <f t="shared" ca="1" si="353"/>
        <v>#N/A</v>
      </c>
      <c r="BA635" s="2" t="e">
        <f t="shared" ca="1" si="354"/>
        <v>#N/A</v>
      </c>
      <c r="BB635" s="2" t="e">
        <f t="shared" ca="1" si="355"/>
        <v>#N/A</v>
      </c>
      <c r="BC635" s="9" t="e">
        <f t="shared" ca="1" si="356"/>
        <v>#N/A</v>
      </c>
      <c r="BD635" s="9" t="e">
        <f t="shared" ca="1" si="357"/>
        <v>#N/A</v>
      </c>
    </row>
    <row r="636" spans="1:56" ht="15" x14ac:dyDescent="0.25">
      <c r="A636" s="63"/>
      <c r="B636" s="63"/>
      <c r="C636" s="64"/>
      <c r="D636" s="64"/>
      <c r="E636" s="64"/>
      <c r="F636" s="64"/>
      <c r="G636" s="64"/>
      <c r="H636" s="64"/>
      <c r="I636" s="64"/>
      <c r="J636" s="64"/>
      <c r="K636" s="64"/>
      <c r="L636" s="64"/>
      <c r="M636" s="64"/>
      <c r="N636" s="16"/>
      <c r="O636" s="11">
        <f t="shared" ca="1" si="343"/>
        <v>-3.9378682616450625E-4</v>
      </c>
      <c r="P636" s="11">
        <f t="shared" ca="1" si="344"/>
        <v>-1.6358405771021967E-4</v>
      </c>
      <c r="Q636" s="11">
        <f t="shared" ca="1" si="345"/>
        <v>-1.614029402377854E-3</v>
      </c>
      <c r="R636" s="11">
        <f t="shared" ca="1" si="346"/>
        <v>-1.4853760121635622E-5</v>
      </c>
      <c r="S636" s="11">
        <f t="shared" ca="1" si="347"/>
        <v>-1.1458026838550334E-3</v>
      </c>
      <c r="T636" s="11">
        <f t="shared" ca="1" si="348"/>
        <v>-4.9053934342410677E-4</v>
      </c>
      <c r="U636" s="11">
        <f t="shared" ca="1" si="349"/>
        <v>-5.5074395654535931E-3</v>
      </c>
      <c r="V636" s="11"/>
      <c r="W636" s="11">
        <f t="shared" ca="1" si="329"/>
        <v>0</v>
      </c>
      <c r="X636" s="2">
        <f t="shared" ca="1" si="330"/>
        <v>-1.6358405771021967E-4</v>
      </c>
      <c r="Y636" s="2">
        <f t="shared" ca="1" si="331"/>
        <v>-1.614029402377854E-3</v>
      </c>
      <c r="Z636" s="11">
        <f t="shared" ca="1" si="332"/>
        <v>-1.4853760121635622E-5</v>
      </c>
      <c r="AA636" s="2">
        <f t="shared" ca="1" si="333"/>
        <v>-1.1458026838550334E-3</v>
      </c>
      <c r="AB636" s="11">
        <f t="shared" ca="1" si="334"/>
        <v>-4.9053934342410677E-4</v>
      </c>
      <c r="AC636" s="2">
        <f t="shared" ca="1" si="335"/>
        <v>-5.5074395654535931E-3</v>
      </c>
      <c r="AF636" s="11">
        <f t="shared" ca="1" si="336"/>
        <v>0</v>
      </c>
      <c r="AG636" s="2">
        <f t="shared" ca="1" si="337"/>
        <v>-1.6358405771021967E-4</v>
      </c>
      <c r="AH636" s="2">
        <f t="shared" ca="1" si="338"/>
        <v>-1.614029402377854E-3</v>
      </c>
      <c r="AI636" s="2">
        <f t="shared" ca="1" si="339"/>
        <v>-1.4853760121635622E-5</v>
      </c>
      <c r="AJ636" s="2">
        <f t="shared" ca="1" si="340"/>
        <v>-1.1458026838550334E-3</v>
      </c>
      <c r="AK636" s="2">
        <f t="shared" ca="1" si="341"/>
        <v>-4.9053934342410677E-4</v>
      </c>
      <c r="AL636" s="2">
        <f t="shared" ca="1" si="342"/>
        <v>-5.5074395654535931E-3</v>
      </c>
      <c r="AN636" s="2" t="e">
        <f t="shared" ca="1" si="321"/>
        <v>#N/A</v>
      </c>
      <c r="AO636" s="2" t="e">
        <f t="shared" ca="1" si="322"/>
        <v>#N/A</v>
      </c>
      <c r="AP636" s="2" t="e">
        <f t="shared" ca="1" si="323"/>
        <v>#N/A</v>
      </c>
      <c r="AQ636" s="2" t="e">
        <f t="shared" ca="1" si="324"/>
        <v>#N/A</v>
      </c>
      <c r="AR636" s="2" t="e">
        <f t="shared" ca="1" si="325"/>
        <v>#N/A</v>
      </c>
      <c r="AS636" s="2" t="e">
        <f t="shared" ca="1" si="326"/>
        <v>#N/A</v>
      </c>
      <c r="AT636" s="9" t="e">
        <f t="shared" ca="1" si="327"/>
        <v>#N/A</v>
      </c>
      <c r="AU636" s="9" t="e">
        <f t="shared" ca="1" si="328"/>
        <v>#N/A</v>
      </c>
      <c r="AV636" s="9"/>
      <c r="AW636" s="2" t="e">
        <f t="shared" ca="1" si="350"/>
        <v>#N/A</v>
      </c>
      <c r="AX636" s="2" t="e">
        <f t="shared" ca="1" si="351"/>
        <v>#N/A</v>
      </c>
      <c r="AY636" s="2" t="e">
        <f t="shared" ca="1" si="352"/>
        <v>#N/A</v>
      </c>
      <c r="AZ636" s="2" t="e">
        <f t="shared" ca="1" si="353"/>
        <v>#N/A</v>
      </c>
      <c r="BA636" s="2" t="e">
        <f t="shared" ca="1" si="354"/>
        <v>#N/A</v>
      </c>
      <c r="BB636" s="2" t="e">
        <f t="shared" ca="1" si="355"/>
        <v>#N/A</v>
      </c>
      <c r="BC636" s="9" t="e">
        <f t="shared" ca="1" si="356"/>
        <v>#N/A</v>
      </c>
      <c r="BD636" s="9" t="e">
        <f t="shared" ca="1" si="357"/>
        <v>#N/A</v>
      </c>
    </row>
    <row r="637" spans="1:56" ht="15" x14ac:dyDescent="0.25">
      <c r="A637" s="63"/>
      <c r="B637" s="63"/>
      <c r="C637" s="64"/>
      <c r="D637" s="64"/>
      <c r="E637" s="64"/>
      <c r="F637" s="64"/>
      <c r="G637" s="64"/>
      <c r="H637" s="64"/>
      <c r="I637" s="64"/>
      <c r="J637" s="64"/>
      <c r="K637" s="64"/>
      <c r="L637" s="64"/>
      <c r="M637" s="64"/>
      <c r="N637" s="16"/>
      <c r="O637" s="11">
        <f t="shared" ca="1" si="343"/>
        <v>-3.9378682616450625E-4</v>
      </c>
      <c r="P637" s="11">
        <f t="shared" ca="1" si="344"/>
        <v>-1.6358405771021967E-4</v>
      </c>
      <c r="Q637" s="11">
        <f t="shared" ca="1" si="345"/>
        <v>-1.614029402377854E-3</v>
      </c>
      <c r="R637" s="11">
        <f t="shared" ca="1" si="346"/>
        <v>-1.4853760121635622E-5</v>
      </c>
      <c r="S637" s="11">
        <f t="shared" ca="1" si="347"/>
        <v>-1.1458026838550334E-3</v>
      </c>
      <c r="T637" s="11">
        <f t="shared" ca="1" si="348"/>
        <v>-4.9053934342410677E-4</v>
      </c>
      <c r="U637" s="11">
        <f t="shared" ca="1" si="349"/>
        <v>-5.5074395654535931E-3</v>
      </c>
      <c r="V637" s="11"/>
      <c r="W637" s="11">
        <f t="shared" ca="1" si="329"/>
        <v>0</v>
      </c>
      <c r="X637" s="2">
        <f t="shared" ca="1" si="330"/>
        <v>-1.6358405771021967E-4</v>
      </c>
      <c r="Y637" s="2">
        <f t="shared" ca="1" si="331"/>
        <v>-1.614029402377854E-3</v>
      </c>
      <c r="Z637" s="11">
        <f t="shared" ca="1" si="332"/>
        <v>-1.4853760121635622E-5</v>
      </c>
      <c r="AA637" s="2">
        <f t="shared" ca="1" si="333"/>
        <v>-1.1458026838550334E-3</v>
      </c>
      <c r="AB637" s="11">
        <f t="shared" ca="1" si="334"/>
        <v>-4.9053934342410677E-4</v>
      </c>
      <c r="AC637" s="2">
        <f t="shared" ca="1" si="335"/>
        <v>-5.5074395654535931E-3</v>
      </c>
      <c r="AF637" s="11">
        <f t="shared" ca="1" si="336"/>
        <v>0</v>
      </c>
      <c r="AG637" s="2">
        <f t="shared" ca="1" si="337"/>
        <v>-1.6358405771021967E-4</v>
      </c>
      <c r="AH637" s="2">
        <f t="shared" ca="1" si="338"/>
        <v>-1.614029402377854E-3</v>
      </c>
      <c r="AI637" s="2">
        <f t="shared" ca="1" si="339"/>
        <v>-1.4853760121635622E-5</v>
      </c>
      <c r="AJ637" s="2">
        <f t="shared" ca="1" si="340"/>
        <v>-1.1458026838550334E-3</v>
      </c>
      <c r="AK637" s="2">
        <f t="shared" ca="1" si="341"/>
        <v>-4.9053934342410677E-4</v>
      </c>
      <c r="AL637" s="2">
        <f t="shared" ca="1" si="342"/>
        <v>-5.5074395654535931E-3</v>
      </c>
      <c r="AN637" s="2" t="e">
        <f t="shared" ca="1" si="321"/>
        <v>#N/A</v>
      </c>
      <c r="AO637" s="2" t="e">
        <f t="shared" ca="1" si="322"/>
        <v>#N/A</v>
      </c>
      <c r="AP637" s="2" t="e">
        <f t="shared" ca="1" si="323"/>
        <v>#N/A</v>
      </c>
      <c r="AQ637" s="2" t="e">
        <f t="shared" ca="1" si="324"/>
        <v>#N/A</v>
      </c>
      <c r="AR637" s="2" t="e">
        <f t="shared" ca="1" si="325"/>
        <v>#N/A</v>
      </c>
      <c r="AS637" s="2" t="e">
        <f t="shared" ca="1" si="326"/>
        <v>#N/A</v>
      </c>
      <c r="AT637" s="9" t="e">
        <f t="shared" ca="1" si="327"/>
        <v>#N/A</v>
      </c>
      <c r="AU637" s="9" t="e">
        <f t="shared" ca="1" si="328"/>
        <v>#N/A</v>
      </c>
      <c r="AV637" s="9"/>
      <c r="AW637" s="2" t="e">
        <f t="shared" ca="1" si="350"/>
        <v>#N/A</v>
      </c>
      <c r="AX637" s="2" t="e">
        <f t="shared" ca="1" si="351"/>
        <v>#N/A</v>
      </c>
      <c r="AY637" s="2" t="e">
        <f t="shared" ca="1" si="352"/>
        <v>#N/A</v>
      </c>
      <c r="AZ637" s="2" t="e">
        <f t="shared" ca="1" si="353"/>
        <v>#N/A</v>
      </c>
      <c r="BA637" s="2" t="e">
        <f t="shared" ca="1" si="354"/>
        <v>#N/A</v>
      </c>
      <c r="BB637" s="2" t="e">
        <f t="shared" ca="1" si="355"/>
        <v>#N/A</v>
      </c>
      <c r="BC637" s="9" t="e">
        <f t="shared" ca="1" si="356"/>
        <v>#N/A</v>
      </c>
      <c r="BD637" s="9" t="e">
        <f t="shared" ca="1" si="357"/>
        <v>#N/A</v>
      </c>
    </row>
    <row r="638" spans="1:56" ht="15" x14ac:dyDescent="0.25">
      <c r="A638" s="63"/>
      <c r="B638" s="63"/>
      <c r="C638" s="64"/>
      <c r="D638" s="64"/>
      <c r="E638" s="64"/>
      <c r="F638" s="64"/>
      <c r="G638" s="64"/>
      <c r="H638" s="64"/>
      <c r="I638" s="64"/>
      <c r="J638" s="64"/>
      <c r="K638" s="64"/>
      <c r="L638" s="64"/>
      <c r="M638" s="64"/>
      <c r="N638" s="16"/>
      <c r="O638" s="11">
        <f t="shared" ca="1" si="343"/>
        <v>-3.9378682616450625E-4</v>
      </c>
      <c r="P638" s="11">
        <f t="shared" ca="1" si="344"/>
        <v>-1.6358405771021967E-4</v>
      </c>
      <c r="Q638" s="11">
        <f t="shared" ca="1" si="345"/>
        <v>-1.614029402377854E-3</v>
      </c>
      <c r="R638" s="11">
        <f t="shared" ca="1" si="346"/>
        <v>-1.4853760121635622E-5</v>
      </c>
      <c r="S638" s="11">
        <f t="shared" ca="1" si="347"/>
        <v>-1.1458026838550334E-3</v>
      </c>
      <c r="T638" s="11">
        <f t="shared" ca="1" si="348"/>
        <v>-4.9053934342410677E-4</v>
      </c>
      <c r="U638" s="11">
        <f t="shared" ca="1" si="349"/>
        <v>-5.5074395654535931E-3</v>
      </c>
      <c r="V638" s="11"/>
      <c r="W638" s="11">
        <f t="shared" ca="1" si="329"/>
        <v>0</v>
      </c>
      <c r="X638" s="2">
        <f t="shared" ca="1" si="330"/>
        <v>-1.6358405771021967E-4</v>
      </c>
      <c r="Y638" s="2">
        <f t="shared" ca="1" si="331"/>
        <v>-1.614029402377854E-3</v>
      </c>
      <c r="Z638" s="11">
        <f t="shared" ca="1" si="332"/>
        <v>-1.4853760121635622E-5</v>
      </c>
      <c r="AA638" s="2">
        <f t="shared" ca="1" si="333"/>
        <v>-1.1458026838550334E-3</v>
      </c>
      <c r="AB638" s="11">
        <f t="shared" ca="1" si="334"/>
        <v>-4.9053934342410677E-4</v>
      </c>
      <c r="AC638" s="2">
        <f t="shared" ca="1" si="335"/>
        <v>-5.5074395654535931E-3</v>
      </c>
      <c r="AF638" s="11">
        <f t="shared" ca="1" si="336"/>
        <v>0</v>
      </c>
      <c r="AG638" s="2">
        <f t="shared" ca="1" si="337"/>
        <v>-1.6358405771021967E-4</v>
      </c>
      <c r="AH638" s="2">
        <f t="shared" ca="1" si="338"/>
        <v>-1.614029402377854E-3</v>
      </c>
      <c r="AI638" s="2">
        <f t="shared" ca="1" si="339"/>
        <v>-1.4853760121635622E-5</v>
      </c>
      <c r="AJ638" s="2">
        <f t="shared" ca="1" si="340"/>
        <v>-1.1458026838550334E-3</v>
      </c>
      <c r="AK638" s="2">
        <f t="shared" ca="1" si="341"/>
        <v>-4.9053934342410677E-4</v>
      </c>
      <c r="AL638" s="2">
        <f t="shared" ca="1" si="342"/>
        <v>-5.5074395654535931E-3</v>
      </c>
      <c r="AN638" s="2" t="e">
        <f t="shared" ca="1" si="321"/>
        <v>#N/A</v>
      </c>
      <c r="AO638" s="2" t="e">
        <f t="shared" ca="1" si="322"/>
        <v>#N/A</v>
      </c>
      <c r="AP638" s="2" t="e">
        <f t="shared" ca="1" si="323"/>
        <v>#N/A</v>
      </c>
      <c r="AQ638" s="2" t="e">
        <f t="shared" ca="1" si="324"/>
        <v>#N/A</v>
      </c>
      <c r="AR638" s="2" t="e">
        <f t="shared" ca="1" si="325"/>
        <v>#N/A</v>
      </c>
      <c r="AS638" s="2" t="e">
        <f t="shared" ca="1" si="326"/>
        <v>#N/A</v>
      </c>
      <c r="AT638" s="9" t="e">
        <f t="shared" ca="1" si="327"/>
        <v>#N/A</v>
      </c>
      <c r="AU638" s="9" t="e">
        <f t="shared" ca="1" si="328"/>
        <v>#N/A</v>
      </c>
      <c r="AV638" s="9"/>
      <c r="AW638" s="2" t="e">
        <f t="shared" ca="1" si="350"/>
        <v>#N/A</v>
      </c>
      <c r="AX638" s="2" t="e">
        <f t="shared" ca="1" si="351"/>
        <v>#N/A</v>
      </c>
      <c r="AY638" s="2" t="e">
        <f t="shared" ca="1" si="352"/>
        <v>#N/A</v>
      </c>
      <c r="AZ638" s="2" t="e">
        <f t="shared" ca="1" si="353"/>
        <v>#N/A</v>
      </c>
      <c r="BA638" s="2" t="e">
        <f t="shared" ca="1" si="354"/>
        <v>#N/A</v>
      </c>
      <c r="BB638" s="2" t="e">
        <f t="shared" ca="1" si="355"/>
        <v>#N/A</v>
      </c>
      <c r="BC638" s="9" t="e">
        <f t="shared" ca="1" si="356"/>
        <v>#N/A</v>
      </c>
      <c r="BD638" s="9" t="e">
        <f t="shared" ca="1" si="357"/>
        <v>#N/A</v>
      </c>
    </row>
    <row r="639" spans="1:56" ht="15" x14ac:dyDescent="0.25">
      <c r="A639" s="63"/>
      <c r="B639" s="63"/>
      <c r="C639" s="64"/>
      <c r="D639" s="64"/>
      <c r="E639" s="64"/>
      <c r="F639" s="64"/>
      <c r="G639" s="64"/>
      <c r="H639" s="64"/>
      <c r="I639" s="64"/>
      <c r="J639" s="64"/>
      <c r="K639" s="64"/>
      <c r="L639" s="64"/>
      <c r="M639" s="64"/>
      <c r="N639" s="16"/>
      <c r="O639" s="11">
        <f t="shared" ca="1" si="343"/>
        <v>-3.9378682616450625E-4</v>
      </c>
      <c r="P639" s="11">
        <f t="shared" ca="1" si="344"/>
        <v>-1.6358405771021967E-4</v>
      </c>
      <c r="Q639" s="11">
        <f t="shared" ca="1" si="345"/>
        <v>-1.614029402377854E-3</v>
      </c>
      <c r="R639" s="11">
        <f t="shared" ca="1" si="346"/>
        <v>-1.4853760121635622E-5</v>
      </c>
      <c r="S639" s="11">
        <f t="shared" ca="1" si="347"/>
        <v>-1.1458026838550334E-3</v>
      </c>
      <c r="T639" s="11">
        <f t="shared" ca="1" si="348"/>
        <v>-4.9053934342410677E-4</v>
      </c>
      <c r="U639" s="11">
        <f t="shared" ca="1" si="349"/>
        <v>-5.5074395654535931E-3</v>
      </c>
      <c r="V639" s="11"/>
      <c r="W639" s="11">
        <f t="shared" ca="1" si="329"/>
        <v>0</v>
      </c>
      <c r="X639" s="2">
        <f t="shared" ca="1" si="330"/>
        <v>-1.6358405771021967E-4</v>
      </c>
      <c r="Y639" s="2">
        <f t="shared" ca="1" si="331"/>
        <v>-1.614029402377854E-3</v>
      </c>
      <c r="Z639" s="11">
        <f t="shared" ca="1" si="332"/>
        <v>-1.4853760121635622E-5</v>
      </c>
      <c r="AA639" s="2">
        <f t="shared" ca="1" si="333"/>
        <v>-1.1458026838550334E-3</v>
      </c>
      <c r="AB639" s="11">
        <f t="shared" ca="1" si="334"/>
        <v>-4.9053934342410677E-4</v>
      </c>
      <c r="AC639" s="2">
        <f t="shared" ca="1" si="335"/>
        <v>-5.5074395654535931E-3</v>
      </c>
      <c r="AF639" s="11">
        <f t="shared" ca="1" si="336"/>
        <v>0</v>
      </c>
      <c r="AG639" s="2">
        <f t="shared" ca="1" si="337"/>
        <v>-1.6358405771021967E-4</v>
      </c>
      <c r="AH639" s="2">
        <f t="shared" ca="1" si="338"/>
        <v>-1.614029402377854E-3</v>
      </c>
      <c r="AI639" s="2">
        <f t="shared" ca="1" si="339"/>
        <v>-1.4853760121635622E-5</v>
      </c>
      <c r="AJ639" s="2">
        <f t="shared" ca="1" si="340"/>
        <v>-1.1458026838550334E-3</v>
      </c>
      <c r="AK639" s="2">
        <f t="shared" ca="1" si="341"/>
        <v>-4.9053934342410677E-4</v>
      </c>
      <c r="AL639" s="2">
        <f t="shared" ca="1" si="342"/>
        <v>-5.5074395654535931E-3</v>
      </c>
      <c r="AN639" s="2" t="e">
        <f t="shared" ca="1" si="321"/>
        <v>#N/A</v>
      </c>
      <c r="AO639" s="2" t="e">
        <f t="shared" ca="1" si="322"/>
        <v>#N/A</v>
      </c>
      <c r="AP639" s="2" t="e">
        <f t="shared" ca="1" si="323"/>
        <v>#N/A</v>
      </c>
      <c r="AQ639" s="2" t="e">
        <f t="shared" ca="1" si="324"/>
        <v>#N/A</v>
      </c>
      <c r="AR639" s="2" t="e">
        <f t="shared" ca="1" si="325"/>
        <v>#N/A</v>
      </c>
      <c r="AS639" s="2" t="e">
        <f t="shared" ca="1" si="326"/>
        <v>#N/A</v>
      </c>
      <c r="AT639" s="9" t="e">
        <f t="shared" ca="1" si="327"/>
        <v>#N/A</v>
      </c>
      <c r="AU639" s="9" t="e">
        <f t="shared" ca="1" si="328"/>
        <v>#N/A</v>
      </c>
      <c r="AV639" s="9"/>
      <c r="AW639" s="2" t="e">
        <f t="shared" ca="1" si="350"/>
        <v>#N/A</v>
      </c>
      <c r="AX639" s="2" t="e">
        <f t="shared" ca="1" si="351"/>
        <v>#N/A</v>
      </c>
      <c r="AY639" s="2" t="e">
        <f t="shared" ca="1" si="352"/>
        <v>#N/A</v>
      </c>
      <c r="AZ639" s="2" t="e">
        <f t="shared" ca="1" si="353"/>
        <v>#N/A</v>
      </c>
      <c r="BA639" s="2" t="e">
        <f t="shared" ca="1" si="354"/>
        <v>#N/A</v>
      </c>
      <c r="BB639" s="2" t="e">
        <f t="shared" ca="1" si="355"/>
        <v>#N/A</v>
      </c>
      <c r="BC639" s="9" t="e">
        <f t="shared" ca="1" si="356"/>
        <v>#N/A</v>
      </c>
      <c r="BD639" s="9" t="e">
        <f t="shared" ca="1" si="357"/>
        <v>#N/A</v>
      </c>
    </row>
    <row r="640" spans="1:56" ht="15" x14ac:dyDescent="0.25">
      <c r="A640" s="63"/>
      <c r="B640" s="63"/>
      <c r="C640" s="64"/>
      <c r="D640" s="64"/>
      <c r="E640" s="64"/>
      <c r="F640" s="64"/>
      <c r="G640" s="64"/>
      <c r="H640" s="64"/>
      <c r="I640" s="64"/>
      <c r="J640" s="64"/>
      <c r="K640" s="64"/>
      <c r="L640" s="64"/>
      <c r="M640" s="64"/>
      <c r="N640" s="16"/>
      <c r="O640" s="11">
        <f t="shared" ca="1" si="343"/>
        <v>-3.9378682616450625E-4</v>
      </c>
      <c r="P640" s="11">
        <f t="shared" ca="1" si="344"/>
        <v>-1.6358405771021967E-4</v>
      </c>
      <c r="Q640" s="11">
        <f t="shared" ca="1" si="345"/>
        <v>-1.614029402377854E-3</v>
      </c>
      <c r="R640" s="11">
        <f t="shared" ca="1" si="346"/>
        <v>-1.4853760121635622E-5</v>
      </c>
      <c r="S640" s="11">
        <f t="shared" ca="1" si="347"/>
        <v>-1.1458026838550334E-3</v>
      </c>
      <c r="T640" s="11">
        <f t="shared" ca="1" si="348"/>
        <v>-4.9053934342410677E-4</v>
      </c>
      <c r="U640" s="11">
        <f t="shared" ca="1" si="349"/>
        <v>-5.5074395654535931E-3</v>
      </c>
      <c r="V640" s="11"/>
      <c r="W640" s="11">
        <f t="shared" ca="1" si="329"/>
        <v>0</v>
      </c>
      <c r="X640" s="2">
        <f t="shared" ca="1" si="330"/>
        <v>-1.6358405771021967E-4</v>
      </c>
      <c r="Y640" s="2">
        <f t="shared" ca="1" si="331"/>
        <v>-1.614029402377854E-3</v>
      </c>
      <c r="Z640" s="11">
        <f t="shared" ca="1" si="332"/>
        <v>-1.4853760121635622E-5</v>
      </c>
      <c r="AA640" s="2">
        <f t="shared" ca="1" si="333"/>
        <v>-1.1458026838550334E-3</v>
      </c>
      <c r="AB640" s="11">
        <f t="shared" ca="1" si="334"/>
        <v>-4.9053934342410677E-4</v>
      </c>
      <c r="AC640" s="2">
        <f t="shared" ca="1" si="335"/>
        <v>-5.5074395654535931E-3</v>
      </c>
      <c r="AF640" s="11">
        <f t="shared" ca="1" si="336"/>
        <v>0</v>
      </c>
      <c r="AG640" s="2">
        <f t="shared" ca="1" si="337"/>
        <v>-1.6358405771021967E-4</v>
      </c>
      <c r="AH640" s="2">
        <f t="shared" ca="1" si="338"/>
        <v>-1.614029402377854E-3</v>
      </c>
      <c r="AI640" s="2">
        <f t="shared" ca="1" si="339"/>
        <v>-1.4853760121635622E-5</v>
      </c>
      <c r="AJ640" s="2">
        <f t="shared" ca="1" si="340"/>
        <v>-1.1458026838550334E-3</v>
      </c>
      <c r="AK640" s="2">
        <f t="shared" ca="1" si="341"/>
        <v>-4.9053934342410677E-4</v>
      </c>
      <c r="AL640" s="2">
        <f t="shared" ca="1" si="342"/>
        <v>-5.5074395654535931E-3</v>
      </c>
      <c r="AN640" s="2" t="e">
        <f t="shared" ca="1" si="321"/>
        <v>#N/A</v>
      </c>
      <c r="AO640" s="2" t="e">
        <f t="shared" ca="1" si="322"/>
        <v>#N/A</v>
      </c>
      <c r="AP640" s="2" t="e">
        <f t="shared" ca="1" si="323"/>
        <v>#N/A</v>
      </c>
      <c r="AQ640" s="2" t="e">
        <f t="shared" ca="1" si="324"/>
        <v>#N/A</v>
      </c>
      <c r="AR640" s="2" t="e">
        <f t="shared" ca="1" si="325"/>
        <v>#N/A</v>
      </c>
      <c r="AS640" s="2" t="e">
        <f t="shared" ca="1" si="326"/>
        <v>#N/A</v>
      </c>
      <c r="AT640" s="9" t="e">
        <f t="shared" ca="1" si="327"/>
        <v>#N/A</v>
      </c>
      <c r="AU640" s="9" t="e">
        <f t="shared" ca="1" si="328"/>
        <v>#N/A</v>
      </c>
      <c r="AV640" s="9"/>
      <c r="AW640" s="2" t="e">
        <f t="shared" ca="1" si="350"/>
        <v>#N/A</v>
      </c>
      <c r="AX640" s="2" t="e">
        <f t="shared" ca="1" si="351"/>
        <v>#N/A</v>
      </c>
      <c r="AY640" s="2" t="e">
        <f t="shared" ca="1" si="352"/>
        <v>#N/A</v>
      </c>
      <c r="AZ640" s="2" t="e">
        <f t="shared" ca="1" si="353"/>
        <v>#N/A</v>
      </c>
      <c r="BA640" s="2" t="e">
        <f t="shared" ca="1" si="354"/>
        <v>#N/A</v>
      </c>
      <c r="BB640" s="2" t="e">
        <f t="shared" ca="1" si="355"/>
        <v>#N/A</v>
      </c>
      <c r="BC640" s="9" t="e">
        <f t="shared" ca="1" si="356"/>
        <v>#N/A</v>
      </c>
      <c r="BD640" s="9" t="e">
        <f t="shared" ca="1" si="357"/>
        <v>#N/A</v>
      </c>
    </row>
    <row r="641" spans="1:56" ht="15" x14ac:dyDescent="0.25">
      <c r="A641" s="63"/>
      <c r="B641" s="63"/>
      <c r="C641" s="64"/>
      <c r="D641" s="64"/>
      <c r="E641" s="64"/>
      <c r="F641" s="64"/>
      <c r="G641" s="64"/>
      <c r="H641" s="64"/>
      <c r="I641" s="64"/>
      <c r="J641" s="64"/>
      <c r="K641" s="64"/>
      <c r="L641" s="64"/>
      <c r="M641" s="64"/>
      <c r="N641" s="16"/>
      <c r="O641" s="11">
        <f t="shared" ca="1" si="343"/>
        <v>-3.9378682616450625E-4</v>
      </c>
      <c r="P641" s="11">
        <f t="shared" ca="1" si="344"/>
        <v>-1.6358405771021967E-4</v>
      </c>
      <c r="Q641" s="11">
        <f t="shared" ca="1" si="345"/>
        <v>-1.614029402377854E-3</v>
      </c>
      <c r="R641" s="11">
        <f t="shared" ca="1" si="346"/>
        <v>-1.4853760121635622E-5</v>
      </c>
      <c r="S641" s="11">
        <f t="shared" ca="1" si="347"/>
        <v>-1.1458026838550334E-3</v>
      </c>
      <c r="T641" s="11">
        <f t="shared" ca="1" si="348"/>
        <v>-4.9053934342410677E-4</v>
      </c>
      <c r="U641" s="11">
        <f t="shared" ca="1" si="349"/>
        <v>-5.5074395654535931E-3</v>
      </c>
      <c r="V641" s="11"/>
      <c r="W641" s="11">
        <f t="shared" ca="1" si="329"/>
        <v>0</v>
      </c>
      <c r="X641" s="2">
        <f t="shared" ca="1" si="330"/>
        <v>-1.6358405771021967E-4</v>
      </c>
      <c r="Y641" s="2">
        <f t="shared" ca="1" si="331"/>
        <v>-1.614029402377854E-3</v>
      </c>
      <c r="Z641" s="11">
        <f t="shared" ca="1" si="332"/>
        <v>-1.4853760121635622E-5</v>
      </c>
      <c r="AA641" s="2">
        <f t="shared" ca="1" si="333"/>
        <v>-1.1458026838550334E-3</v>
      </c>
      <c r="AB641" s="11">
        <f t="shared" ca="1" si="334"/>
        <v>-4.9053934342410677E-4</v>
      </c>
      <c r="AC641" s="2">
        <f t="shared" ca="1" si="335"/>
        <v>-5.5074395654535931E-3</v>
      </c>
      <c r="AF641" s="11">
        <f t="shared" ca="1" si="336"/>
        <v>0</v>
      </c>
      <c r="AG641" s="2">
        <f t="shared" ca="1" si="337"/>
        <v>-1.6358405771021967E-4</v>
      </c>
      <c r="AH641" s="2">
        <f t="shared" ca="1" si="338"/>
        <v>-1.614029402377854E-3</v>
      </c>
      <c r="AI641" s="2">
        <f t="shared" ca="1" si="339"/>
        <v>-1.4853760121635622E-5</v>
      </c>
      <c r="AJ641" s="2">
        <f t="shared" ca="1" si="340"/>
        <v>-1.1458026838550334E-3</v>
      </c>
      <c r="AK641" s="2">
        <f t="shared" ca="1" si="341"/>
        <v>-4.9053934342410677E-4</v>
      </c>
      <c r="AL641" s="2">
        <f t="shared" ca="1" si="342"/>
        <v>-5.5074395654535931E-3</v>
      </c>
      <c r="AN641" s="2" t="e">
        <f t="shared" ca="1" si="321"/>
        <v>#N/A</v>
      </c>
      <c r="AO641" s="2" t="e">
        <f t="shared" ca="1" si="322"/>
        <v>#N/A</v>
      </c>
      <c r="AP641" s="2" t="e">
        <f t="shared" ca="1" si="323"/>
        <v>#N/A</v>
      </c>
      <c r="AQ641" s="2" t="e">
        <f t="shared" ca="1" si="324"/>
        <v>#N/A</v>
      </c>
      <c r="AR641" s="2" t="e">
        <f t="shared" ca="1" si="325"/>
        <v>#N/A</v>
      </c>
      <c r="AS641" s="2" t="e">
        <f t="shared" ca="1" si="326"/>
        <v>#N/A</v>
      </c>
      <c r="AT641" s="9" t="e">
        <f t="shared" ca="1" si="327"/>
        <v>#N/A</v>
      </c>
      <c r="AU641" s="9" t="e">
        <f t="shared" ca="1" si="328"/>
        <v>#N/A</v>
      </c>
      <c r="AV641" s="9"/>
      <c r="AW641" s="2" t="e">
        <f t="shared" ca="1" si="350"/>
        <v>#N/A</v>
      </c>
      <c r="AX641" s="2" t="e">
        <f t="shared" ca="1" si="351"/>
        <v>#N/A</v>
      </c>
      <c r="AY641" s="2" t="e">
        <f t="shared" ca="1" si="352"/>
        <v>#N/A</v>
      </c>
      <c r="AZ641" s="2" t="e">
        <f t="shared" ca="1" si="353"/>
        <v>#N/A</v>
      </c>
      <c r="BA641" s="2" t="e">
        <f t="shared" ca="1" si="354"/>
        <v>#N/A</v>
      </c>
      <c r="BB641" s="2" t="e">
        <f t="shared" ca="1" si="355"/>
        <v>#N/A</v>
      </c>
      <c r="BC641" s="9" t="e">
        <f t="shared" ca="1" si="356"/>
        <v>#N/A</v>
      </c>
      <c r="BD641" s="9" t="e">
        <f t="shared" ca="1" si="357"/>
        <v>#N/A</v>
      </c>
    </row>
    <row r="642" spans="1:56" ht="15" x14ac:dyDescent="0.25">
      <c r="A642" s="63"/>
      <c r="B642" s="63"/>
      <c r="C642" s="64"/>
      <c r="D642" s="64"/>
      <c r="E642" s="64"/>
      <c r="F642" s="64"/>
      <c r="G642" s="64"/>
      <c r="H642" s="64"/>
      <c r="I642" s="64"/>
      <c r="J642" s="64"/>
      <c r="K642" s="64"/>
      <c r="L642" s="64"/>
      <c r="M642" s="64"/>
      <c r="N642" s="16"/>
      <c r="O642" s="11">
        <f t="shared" ca="1" si="343"/>
        <v>-3.9378682616450625E-4</v>
      </c>
      <c r="P642" s="11">
        <f t="shared" ca="1" si="344"/>
        <v>-1.6358405771021967E-4</v>
      </c>
      <c r="Q642" s="11">
        <f t="shared" ca="1" si="345"/>
        <v>-1.614029402377854E-3</v>
      </c>
      <c r="R642" s="11">
        <f t="shared" ca="1" si="346"/>
        <v>-1.4853760121635622E-5</v>
      </c>
      <c r="S642" s="11">
        <f t="shared" ca="1" si="347"/>
        <v>-1.1458026838550334E-3</v>
      </c>
      <c r="T642" s="11">
        <f t="shared" ca="1" si="348"/>
        <v>-4.9053934342410677E-4</v>
      </c>
      <c r="U642" s="11">
        <f t="shared" ca="1" si="349"/>
        <v>-5.5074395654535931E-3</v>
      </c>
      <c r="V642" s="11"/>
      <c r="W642" s="11">
        <f t="shared" ca="1" si="329"/>
        <v>0</v>
      </c>
      <c r="X642" s="2">
        <f t="shared" ca="1" si="330"/>
        <v>-1.6358405771021967E-4</v>
      </c>
      <c r="Y642" s="2">
        <f t="shared" ca="1" si="331"/>
        <v>-1.614029402377854E-3</v>
      </c>
      <c r="Z642" s="11">
        <f t="shared" ca="1" si="332"/>
        <v>-1.4853760121635622E-5</v>
      </c>
      <c r="AA642" s="2">
        <f t="shared" ca="1" si="333"/>
        <v>-1.1458026838550334E-3</v>
      </c>
      <c r="AB642" s="11">
        <f t="shared" ca="1" si="334"/>
        <v>-4.9053934342410677E-4</v>
      </c>
      <c r="AC642" s="2">
        <f t="shared" ca="1" si="335"/>
        <v>-5.5074395654535931E-3</v>
      </c>
      <c r="AF642" s="11">
        <f t="shared" ca="1" si="336"/>
        <v>0</v>
      </c>
      <c r="AG642" s="2">
        <f t="shared" ca="1" si="337"/>
        <v>-1.6358405771021967E-4</v>
      </c>
      <c r="AH642" s="2">
        <f t="shared" ca="1" si="338"/>
        <v>-1.614029402377854E-3</v>
      </c>
      <c r="AI642" s="2">
        <f t="shared" ca="1" si="339"/>
        <v>-1.4853760121635622E-5</v>
      </c>
      <c r="AJ642" s="2">
        <f t="shared" ca="1" si="340"/>
        <v>-1.1458026838550334E-3</v>
      </c>
      <c r="AK642" s="2">
        <f t="shared" ca="1" si="341"/>
        <v>-4.9053934342410677E-4</v>
      </c>
      <c r="AL642" s="2">
        <f t="shared" ca="1" si="342"/>
        <v>-5.5074395654535931E-3</v>
      </c>
      <c r="AN642" s="2" t="e">
        <f t="shared" ca="1" si="321"/>
        <v>#N/A</v>
      </c>
      <c r="AO642" s="2" t="e">
        <f t="shared" ca="1" si="322"/>
        <v>#N/A</v>
      </c>
      <c r="AP642" s="2" t="e">
        <f t="shared" ca="1" si="323"/>
        <v>#N/A</v>
      </c>
      <c r="AQ642" s="2" t="e">
        <f t="shared" ca="1" si="324"/>
        <v>#N/A</v>
      </c>
      <c r="AR642" s="2" t="e">
        <f t="shared" ca="1" si="325"/>
        <v>#N/A</v>
      </c>
      <c r="AS642" s="2" t="e">
        <f t="shared" ca="1" si="326"/>
        <v>#N/A</v>
      </c>
      <c r="AT642" s="9" t="e">
        <f t="shared" ca="1" si="327"/>
        <v>#N/A</v>
      </c>
      <c r="AU642" s="9" t="e">
        <f t="shared" ca="1" si="328"/>
        <v>#N/A</v>
      </c>
      <c r="AV642" s="9"/>
      <c r="AW642" s="2" t="e">
        <f t="shared" ca="1" si="350"/>
        <v>#N/A</v>
      </c>
      <c r="AX642" s="2" t="e">
        <f t="shared" ca="1" si="351"/>
        <v>#N/A</v>
      </c>
      <c r="AY642" s="2" t="e">
        <f t="shared" ca="1" si="352"/>
        <v>#N/A</v>
      </c>
      <c r="AZ642" s="2" t="e">
        <f t="shared" ca="1" si="353"/>
        <v>#N/A</v>
      </c>
      <c r="BA642" s="2" t="e">
        <f t="shared" ca="1" si="354"/>
        <v>#N/A</v>
      </c>
      <c r="BB642" s="2" t="e">
        <f t="shared" ca="1" si="355"/>
        <v>#N/A</v>
      </c>
      <c r="BC642" s="9" t="e">
        <f t="shared" ca="1" si="356"/>
        <v>#N/A</v>
      </c>
      <c r="BD642" s="9" t="e">
        <f t="shared" ca="1" si="357"/>
        <v>#N/A</v>
      </c>
    </row>
    <row r="643" spans="1:56" ht="15" x14ac:dyDescent="0.25">
      <c r="A643" s="63"/>
      <c r="B643" s="63"/>
      <c r="C643" s="64"/>
      <c r="D643" s="64"/>
      <c r="E643" s="64"/>
      <c r="F643" s="64"/>
      <c r="G643" s="64"/>
      <c r="H643" s="64"/>
      <c r="I643" s="64"/>
      <c r="J643" s="64"/>
      <c r="K643" s="64"/>
      <c r="L643" s="64"/>
      <c r="M643" s="64"/>
      <c r="N643" s="16"/>
      <c r="O643" s="11">
        <f t="shared" ca="1" si="343"/>
        <v>-3.9378682616450625E-4</v>
      </c>
      <c r="P643" s="11">
        <f t="shared" ca="1" si="344"/>
        <v>-1.6358405771021967E-4</v>
      </c>
      <c r="Q643" s="11">
        <f t="shared" ca="1" si="345"/>
        <v>-1.614029402377854E-3</v>
      </c>
      <c r="R643" s="11">
        <f t="shared" ca="1" si="346"/>
        <v>-1.4853760121635622E-5</v>
      </c>
      <c r="S643" s="11">
        <f t="shared" ca="1" si="347"/>
        <v>-1.1458026838550334E-3</v>
      </c>
      <c r="T643" s="11">
        <f t="shared" ca="1" si="348"/>
        <v>-4.9053934342410677E-4</v>
      </c>
      <c r="U643" s="11">
        <f t="shared" ca="1" si="349"/>
        <v>-5.5074395654535931E-3</v>
      </c>
      <c r="V643" s="11"/>
      <c r="W643" s="11">
        <f t="shared" ca="1" si="329"/>
        <v>0</v>
      </c>
      <c r="X643" s="2">
        <f t="shared" ca="1" si="330"/>
        <v>-1.6358405771021967E-4</v>
      </c>
      <c r="Y643" s="2">
        <f t="shared" ca="1" si="331"/>
        <v>-1.614029402377854E-3</v>
      </c>
      <c r="Z643" s="11">
        <f t="shared" ca="1" si="332"/>
        <v>-1.4853760121635622E-5</v>
      </c>
      <c r="AA643" s="2">
        <f t="shared" ca="1" si="333"/>
        <v>-1.1458026838550334E-3</v>
      </c>
      <c r="AB643" s="11">
        <f t="shared" ca="1" si="334"/>
        <v>-4.9053934342410677E-4</v>
      </c>
      <c r="AC643" s="2">
        <f t="shared" ca="1" si="335"/>
        <v>-5.5074395654535931E-3</v>
      </c>
      <c r="AF643" s="11">
        <f t="shared" ca="1" si="336"/>
        <v>0</v>
      </c>
      <c r="AG643" s="2">
        <f t="shared" ca="1" si="337"/>
        <v>-1.6358405771021967E-4</v>
      </c>
      <c r="AH643" s="2">
        <f t="shared" ca="1" si="338"/>
        <v>-1.614029402377854E-3</v>
      </c>
      <c r="AI643" s="2">
        <f t="shared" ca="1" si="339"/>
        <v>-1.4853760121635622E-5</v>
      </c>
      <c r="AJ643" s="2">
        <f t="shared" ca="1" si="340"/>
        <v>-1.1458026838550334E-3</v>
      </c>
      <c r="AK643" s="2">
        <f t="shared" ca="1" si="341"/>
        <v>-4.9053934342410677E-4</v>
      </c>
      <c r="AL643" s="2">
        <f t="shared" ca="1" si="342"/>
        <v>-5.5074395654535931E-3</v>
      </c>
      <c r="AN643" s="2" t="e">
        <f t="shared" ref="AN643:AN666" ca="1" si="358">IF(AND(S643&gt;0,U643&gt;0),U643/S643, #N/A)</f>
        <v>#N/A</v>
      </c>
      <c r="AO643" s="2" t="e">
        <f t="shared" ref="AO643:AO666" ca="1" si="359">$B$8*((AN643/$B$10)^$B$11)</f>
        <v>#N/A</v>
      </c>
      <c r="AP643" s="2" t="e">
        <f t="shared" ref="AP643:AP666" ca="1" si="360">AO643*R643</f>
        <v>#N/A</v>
      </c>
      <c r="AQ643" s="2" t="e">
        <f t="shared" ref="AQ643:AQ666" ca="1" si="361">T643-AP643</f>
        <v>#N/A</v>
      </c>
      <c r="AR643" s="2" t="e">
        <f t="shared" ref="AR643:AR666" ca="1" si="362">(AQ643/S643)/((AN643/$B$10)^$B$12)</f>
        <v>#N/A</v>
      </c>
      <c r="AS643" s="2" t="e">
        <f t="shared" ref="AS643:AS666" ca="1" si="363">(Q643/S643)/((AN643/$B$10)^$B$13)</f>
        <v>#N/A</v>
      </c>
      <c r="AT643" s="9" t="e">
        <f t="shared" ref="AT643:AT666" ca="1" si="364">IF(AND(AR643&lt;$M$3,AR643&gt;$M$4),AR643,"rejected")</f>
        <v>#N/A</v>
      </c>
      <c r="AU643" s="9" t="e">
        <f t="shared" ref="AU643:AU666" ca="1" si="365">IF(AND(AR643&lt;$M$3,AR643&gt;$M$4),AR643,#N/A)</f>
        <v>#N/A</v>
      </c>
      <c r="AV643" s="9"/>
      <c r="AW643" s="2" t="e">
        <f t="shared" ca="1" si="350"/>
        <v>#N/A</v>
      </c>
      <c r="AX643" s="2" t="e">
        <f t="shared" ca="1" si="351"/>
        <v>#N/A</v>
      </c>
      <c r="AY643" s="2" t="e">
        <f t="shared" ca="1" si="352"/>
        <v>#N/A</v>
      </c>
      <c r="AZ643" s="2" t="e">
        <f t="shared" ca="1" si="353"/>
        <v>#N/A</v>
      </c>
      <c r="BA643" s="2" t="e">
        <f t="shared" ca="1" si="354"/>
        <v>#N/A</v>
      </c>
      <c r="BB643" s="2" t="e">
        <f t="shared" ca="1" si="355"/>
        <v>#N/A</v>
      </c>
      <c r="BC643" s="9" t="e">
        <f t="shared" ca="1" si="356"/>
        <v>#N/A</v>
      </c>
      <c r="BD643" s="9" t="e">
        <f t="shared" ca="1" si="357"/>
        <v>#N/A</v>
      </c>
    </row>
    <row r="644" spans="1:56" ht="15" x14ac:dyDescent="0.25">
      <c r="A644" s="63"/>
      <c r="B644" s="63"/>
      <c r="C644" s="64"/>
      <c r="D644" s="64"/>
      <c r="E644" s="64"/>
      <c r="F644" s="64"/>
      <c r="G644" s="64"/>
      <c r="H644" s="64"/>
      <c r="I644" s="64"/>
      <c r="J644" s="64"/>
      <c r="K644" s="64"/>
      <c r="L644" s="64"/>
      <c r="M644" s="64"/>
      <c r="N644" s="16"/>
      <c r="O644" s="11">
        <f t="shared" ca="1" si="343"/>
        <v>-3.9378682616450625E-4</v>
      </c>
      <c r="P644" s="11">
        <f t="shared" ca="1" si="344"/>
        <v>-1.6358405771021967E-4</v>
      </c>
      <c r="Q644" s="11">
        <f t="shared" ca="1" si="345"/>
        <v>-1.614029402377854E-3</v>
      </c>
      <c r="R644" s="11">
        <f t="shared" ca="1" si="346"/>
        <v>-1.4853760121635622E-5</v>
      </c>
      <c r="S644" s="11">
        <f t="shared" ca="1" si="347"/>
        <v>-1.1458026838550334E-3</v>
      </c>
      <c r="T644" s="11">
        <f t="shared" ca="1" si="348"/>
        <v>-4.9053934342410677E-4</v>
      </c>
      <c r="U644" s="11">
        <f t="shared" ca="1" si="349"/>
        <v>-5.5074395654535931E-3</v>
      </c>
      <c r="V644" s="11"/>
      <c r="W644" s="11">
        <f t="shared" ref="W644:W707" ca="1" si="366">O644-O644</f>
        <v>0</v>
      </c>
      <c r="X644" s="2">
        <f t="shared" ref="X644:X707" ca="1" si="367">IF(O644&gt;0,P644-(O644*$X$63/$W$63), P644)</f>
        <v>-1.6358405771021967E-4</v>
      </c>
      <c r="Y644" s="2">
        <f t="shared" ref="Y644:Y707" ca="1" si="368">IF(O644&gt;0,Q644-(O644*$Y$63/$W$63),Q644)</f>
        <v>-1.614029402377854E-3</v>
      </c>
      <c r="Z644" s="11">
        <f t="shared" ref="Z644:Z707" ca="1" si="369">R644</f>
        <v>-1.4853760121635622E-5</v>
      </c>
      <c r="AA644" s="2">
        <f t="shared" ref="AA644:AA707" ca="1" si="370">IF(O644&gt;0,S644-(O644*$AA$63/$W$63),S644)</f>
        <v>-1.1458026838550334E-3</v>
      </c>
      <c r="AB644" s="11">
        <f t="shared" ref="AB644:AB707" ca="1" si="371">T644</f>
        <v>-4.9053934342410677E-4</v>
      </c>
      <c r="AC644" s="2">
        <f t="shared" ref="AC644:AC707" ca="1" si="372">IF(O644&gt;0,U644-(O644*$AC$63/$W$63),U644)</f>
        <v>-5.5074395654535931E-3</v>
      </c>
      <c r="AF644" s="11">
        <f t="shared" ref="AF644:AF707" ca="1" si="373">W644</f>
        <v>0</v>
      </c>
      <c r="AG644" s="2">
        <f t="shared" ref="AG644:AG707" ca="1" si="374">IF(O644&gt;0, X644-(O644*$AG$63/$AF$63), X644)</f>
        <v>-1.6358405771021967E-4</v>
      </c>
      <c r="AH644" s="2">
        <f t="shared" ref="AH644:AH707" ca="1" si="375">IF(O644&gt;0, Y644-(O644*$AH$63/$AF$63), Y644)</f>
        <v>-1.614029402377854E-3</v>
      </c>
      <c r="AI644" s="2">
        <f t="shared" ref="AI644:AI707" ca="1" si="376">IF(O644&gt;0, Z644-(O644*$AI$63/$AF$63), Z644)</f>
        <v>-1.4853760121635622E-5</v>
      </c>
      <c r="AJ644" s="2">
        <f t="shared" ref="AJ644:AJ707" ca="1" si="377">IF(O644&gt;0, AA644-(O644*$AJ$63/$AF$63), AA644)</f>
        <v>-1.1458026838550334E-3</v>
      </c>
      <c r="AK644" s="2">
        <f t="shared" ref="AK644:AK707" ca="1" si="378">IF(P644&gt;0, AB644-(P644*$AK$63/$AG$63), AB644)</f>
        <v>-4.9053934342410677E-4</v>
      </c>
      <c r="AL644" s="2">
        <f t="shared" ref="AL644:AL707" ca="1" si="379">IF(O644&gt;0, AC644-(O644*$AL$63/$AF$63), AC644)</f>
        <v>-5.5074395654535931E-3</v>
      </c>
      <c r="AN644" s="2" t="e">
        <f t="shared" ca="1" si="358"/>
        <v>#N/A</v>
      </c>
      <c r="AO644" s="2" t="e">
        <f t="shared" ca="1" si="359"/>
        <v>#N/A</v>
      </c>
      <c r="AP644" s="2" t="e">
        <f t="shared" ca="1" si="360"/>
        <v>#N/A</v>
      </c>
      <c r="AQ644" s="2" t="e">
        <f t="shared" ca="1" si="361"/>
        <v>#N/A</v>
      </c>
      <c r="AR644" s="2" t="e">
        <f t="shared" ca="1" si="362"/>
        <v>#N/A</v>
      </c>
      <c r="AS644" s="2" t="e">
        <f t="shared" ca="1" si="363"/>
        <v>#N/A</v>
      </c>
      <c r="AT644" s="9" t="e">
        <f t="shared" ca="1" si="364"/>
        <v>#N/A</v>
      </c>
      <c r="AU644" s="9" t="e">
        <f t="shared" ca="1" si="365"/>
        <v>#N/A</v>
      </c>
      <c r="AV644" s="9"/>
      <c r="AW644" s="2" t="e">
        <f t="shared" ca="1" si="350"/>
        <v>#N/A</v>
      </c>
      <c r="AX644" s="2" t="e">
        <f t="shared" ca="1" si="351"/>
        <v>#N/A</v>
      </c>
      <c r="AY644" s="2" t="e">
        <f t="shared" ca="1" si="352"/>
        <v>#N/A</v>
      </c>
      <c r="AZ644" s="2" t="e">
        <f t="shared" ca="1" si="353"/>
        <v>#N/A</v>
      </c>
      <c r="BA644" s="2" t="e">
        <f t="shared" ca="1" si="354"/>
        <v>#N/A</v>
      </c>
      <c r="BB644" s="2" t="e">
        <f t="shared" ca="1" si="355"/>
        <v>#N/A</v>
      </c>
      <c r="BC644" s="9" t="e">
        <f t="shared" ca="1" si="356"/>
        <v>#N/A</v>
      </c>
      <c r="BD644" s="9" t="e">
        <f t="shared" ca="1" si="357"/>
        <v>#N/A</v>
      </c>
    </row>
    <row r="645" spans="1:56" ht="15" x14ac:dyDescent="0.25">
      <c r="A645" s="63"/>
      <c r="B645" s="63"/>
      <c r="C645" s="64"/>
      <c r="D645" s="64"/>
      <c r="E645" s="64"/>
      <c r="F645" s="64"/>
      <c r="G645" s="64"/>
      <c r="H645" s="64"/>
      <c r="I645" s="64"/>
      <c r="J645" s="64"/>
      <c r="K645" s="64"/>
      <c r="L645" s="64"/>
      <c r="M645" s="64"/>
      <c r="N645" s="16"/>
      <c r="O645" s="11">
        <f t="shared" ca="1" si="343"/>
        <v>-3.9378682616450625E-4</v>
      </c>
      <c r="P645" s="11">
        <f t="shared" ca="1" si="344"/>
        <v>-1.6358405771021967E-4</v>
      </c>
      <c r="Q645" s="11">
        <f t="shared" ca="1" si="345"/>
        <v>-1.614029402377854E-3</v>
      </c>
      <c r="R645" s="11">
        <f t="shared" ca="1" si="346"/>
        <v>-1.4853760121635622E-5</v>
      </c>
      <c r="S645" s="11">
        <f t="shared" ca="1" si="347"/>
        <v>-1.1458026838550334E-3</v>
      </c>
      <c r="T645" s="11">
        <f t="shared" ca="1" si="348"/>
        <v>-4.9053934342410677E-4</v>
      </c>
      <c r="U645" s="11">
        <f t="shared" ca="1" si="349"/>
        <v>-5.5074395654535931E-3</v>
      </c>
      <c r="V645" s="11"/>
      <c r="W645" s="11">
        <f t="shared" ca="1" si="366"/>
        <v>0</v>
      </c>
      <c r="X645" s="2">
        <f t="shared" ca="1" si="367"/>
        <v>-1.6358405771021967E-4</v>
      </c>
      <c r="Y645" s="2">
        <f t="shared" ca="1" si="368"/>
        <v>-1.614029402377854E-3</v>
      </c>
      <c r="Z645" s="11">
        <f t="shared" ca="1" si="369"/>
        <v>-1.4853760121635622E-5</v>
      </c>
      <c r="AA645" s="2">
        <f t="shared" ca="1" si="370"/>
        <v>-1.1458026838550334E-3</v>
      </c>
      <c r="AB645" s="11">
        <f t="shared" ca="1" si="371"/>
        <v>-4.9053934342410677E-4</v>
      </c>
      <c r="AC645" s="2">
        <f t="shared" ca="1" si="372"/>
        <v>-5.5074395654535931E-3</v>
      </c>
      <c r="AF645" s="11">
        <f t="shared" ca="1" si="373"/>
        <v>0</v>
      </c>
      <c r="AG645" s="2">
        <f t="shared" ca="1" si="374"/>
        <v>-1.6358405771021967E-4</v>
      </c>
      <c r="AH645" s="2">
        <f t="shared" ca="1" si="375"/>
        <v>-1.614029402377854E-3</v>
      </c>
      <c r="AI645" s="2">
        <f t="shared" ca="1" si="376"/>
        <v>-1.4853760121635622E-5</v>
      </c>
      <c r="AJ645" s="2">
        <f t="shared" ca="1" si="377"/>
        <v>-1.1458026838550334E-3</v>
      </c>
      <c r="AK645" s="2">
        <f t="shared" ca="1" si="378"/>
        <v>-4.9053934342410677E-4</v>
      </c>
      <c r="AL645" s="2">
        <f t="shared" ca="1" si="379"/>
        <v>-5.5074395654535931E-3</v>
      </c>
      <c r="AN645" s="2" t="e">
        <f t="shared" ca="1" si="358"/>
        <v>#N/A</v>
      </c>
      <c r="AO645" s="2" t="e">
        <f t="shared" ca="1" si="359"/>
        <v>#N/A</v>
      </c>
      <c r="AP645" s="2" t="e">
        <f t="shared" ca="1" si="360"/>
        <v>#N/A</v>
      </c>
      <c r="AQ645" s="2" t="e">
        <f t="shared" ca="1" si="361"/>
        <v>#N/A</v>
      </c>
      <c r="AR645" s="2" t="e">
        <f t="shared" ca="1" si="362"/>
        <v>#N/A</v>
      </c>
      <c r="AS645" s="2" t="e">
        <f t="shared" ca="1" si="363"/>
        <v>#N/A</v>
      </c>
      <c r="AT645" s="9" t="e">
        <f t="shared" ca="1" si="364"/>
        <v>#N/A</v>
      </c>
      <c r="AU645" s="9" t="e">
        <f t="shared" ca="1" si="365"/>
        <v>#N/A</v>
      </c>
      <c r="AV645" s="9"/>
      <c r="AW645" s="2" t="e">
        <f t="shared" ca="1" si="350"/>
        <v>#N/A</v>
      </c>
      <c r="AX645" s="2" t="e">
        <f t="shared" ca="1" si="351"/>
        <v>#N/A</v>
      </c>
      <c r="AY645" s="2" t="e">
        <f t="shared" ca="1" si="352"/>
        <v>#N/A</v>
      </c>
      <c r="AZ645" s="2" t="e">
        <f t="shared" ca="1" si="353"/>
        <v>#N/A</v>
      </c>
      <c r="BA645" s="2" t="e">
        <f t="shared" ca="1" si="354"/>
        <v>#N/A</v>
      </c>
      <c r="BB645" s="2" t="e">
        <f t="shared" ca="1" si="355"/>
        <v>#N/A</v>
      </c>
      <c r="BC645" s="9" t="e">
        <f t="shared" ca="1" si="356"/>
        <v>#N/A</v>
      </c>
      <c r="BD645" s="9" t="e">
        <f t="shared" ca="1" si="357"/>
        <v>#N/A</v>
      </c>
    </row>
    <row r="646" spans="1:56" ht="15" x14ac:dyDescent="0.25">
      <c r="A646" s="63"/>
      <c r="B646" s="63"/>
      <c r="C646" s="64"/>
      <c r="D646" s="64"/>
      <c r="E646" s="64"/>
      <c r="F646" s="64"/>
      <c r="G646" s="64"/>
      <c r="H646" s="64"/>
      <c r="I646" s="64"/>
      <c r="J646" s="64"/>
      <c r="K646" s="64"/>
      <c r="L646" s="64"/>
      <c r="M646" s="64"/>
      <c r="N646" s="16"/>
      <c r="O646" s="11">
        <f t="shared" ca="1" si="343"/>
        <v>-3.9378682616450625E-4</v>
      </c>
      <c r="P646" s="11">
        <f t="shared" ca="1" si="344"/>
        <v>-1.6358405771021967E-4</v>
      </c>
      <c r="Q646" s="11">
        <f t="shared" ca="1" si="345"/>
        <v>-1.614029402377854E-3</v>
      </c>
      <c r="R646" s="11">
        <f t="shared" ca="1" si="346"/>
        <v>-1.4853760121635622E-5</v>
      </c>
      <c r="S646" s="11">
        <f t="shared" ca="1" si="347"/>
        <v>-1.1458026838550334E-3</v>
      </c>
      <c r="T646" s="11">
        <f t="shared" ca="1" si="348"/>
        <v>-4.9053934342410677E-4</v>
      </c>
      <c r="U646" s="11">
        <f t="shared" ca="1" si="349"/>
        <v>-5.5074395654535931E-3</v>
      </c>
      <c r="V646" s="11"/>
      <c r="W646" s="11">
        <f t="shared" ca="1" si="366"/>
        <v>0</v>
      </c>
      <c r="X646" s="2">
        <f t="shared" ca="1" si="367"/>
        <v>-1.6358405771021967E-4</v>
      </c>
      <c r="Y646" s="2">
        <f t="shared" ca="1" si="368"/>
        <v>-1.614029402377854E-3</v>
      </c>
      <c r="Z646" s="11">
        <f t="shared" ca="1" si="369"/>
        <v>-1.4853760121635622E-5</v>
      </c>
      <c r="AA646" s="2">
        <f t="shared" ca="1" si="370"/>
        <v>-1.1458026838550334E-3</v>
      </c>
      <c r="AB646" s="11">
        <f t="shared" ca="1" si="371"/>
        <v>-4.9053934342410677E-4</v>
      </c>
      <c r="AC646" s="2">
        <f t="shared" ca="1" si="372"/>
        <v>-5.5074395654535931E-3</v>
      </c>
      <c r="AF646" s="11">
        <f t="shared" ca="1" si="373"/>
        <v>0</v>
      </c>
      <c r="AG646" s="2">
        <f t="shared" ca="1" si="374"/>
        <v>-1.6358405771021967E-4</v>
      </c>
      <c r="AH646" s="2">
        <f t="shared" ca="1" si="375"/>
        <v>-1.614029402377854E-3</v>
      </c>
      <c r="AI646" s="2">
        <f t="shared" ca="1" si="376"/>
        <v>-1.4853760121635622E-5</v>
      </c>
      <c r="AJ646" s="2">
        <f t="shared" ca="1" si="377"/>
        <v>-1.1458026838550334E-3</v>
      </c>
      <c r="AK646" s="2">
        <f t="shared" ca="1" si="378"/>
        <v>-4.9053934342410677E-4</v>
      </c>
      <c r="AL646" s="2">
        <f t="shared" ca="1" si="379"/>
        <v>-5.5074395654535931E-3</v>
      </c>
      <c r="AN646" s="2" t="e">
        <f t="shared" ca="1" si="358"/>
        <v>#N/A</v>
      </c>
      <c r="AO646" s="2" t="e">
        <f t="shared" ca="1" si="359"/>
        <v>#N/A</v>
      </c>
      <c r="AP646" s="2" t="e">
        <f t="shared" ca="1" si="360"/>
        <v>#N/A</v>
      </c>
      <c r="AQ646" s="2" t="e">
        <f t="shared" ca="1" si="361"/>
        <v>#N/A</v>
      </c>
      <c r="AR646" s="2" t="e">
        <f t="shared" ca="1" si="362"/>
        <v>#N/A</v>
      </c>
      <c r="AS646" s="2" t="e">
        <f t="shared" ca="1" si="363"/>
        <v>#N/A</v>
      </c>
      <c r="AT646" s="9" t="e">
        <f t="shared" ca="1" si="364"/>
        <v>#N/A</v>
      </c>
      <c r="AU646" s="9" t="e">
        <f t="shared" ca="1" si="365"/>
        <v>#N/A</v>
      </c>
      <c r="AV646" s="9"/>
      <c r="AW646" s="2" t="e">
        <f t="shared" ca="1" si="350"/>
        <v>#N/A</v>
      </c>
      <c r="AX646" s="2" t="e">
        <f t="shared" ca="1" si="351"/>
        <v>#N/A</v>
      </c>
      <c r="AY646" s="2" t="e">
        <f t="shared" ca="1" si="352"/>
        <v>#N/A</v>
      </c>
      <c r="AZ646" s="2" t="e">
        <f t="shared" ca="1" si="353"/>
        <v>#N/A</v>
      </c>
      <c r="BA646" s="2" t="e">
        <f t="shared" ca="1" si="354"/>
        <v>#N/A</v>
      </c>
      <c r="BB646" s="2" t="e">
        <f t="shared" ca="1" si="355"/>
        <v>#N/A</v>
      </c>
      <c r="BC646" s="9" t="e">
        <f t="shared" ca="1" si="356"/>
        <v>#N/A</v>
      </c>
      <c r="BD646" s="9" t="e">
        <f t="shared" ca="1" si="357"/>
        <v>#N/A</v>
      </c>
    </row>
    <row r="647" spans="1:56" ht="15" x14ac:dyDescent="0.25">
      <c r="A647" s="63"/>
      <c r="B647" s="63"/>
      <c r="C647" s="64"/>
      <c r="D647" s="64"/>
      <c r="E647" s="64"/>
      <c r="F647" s="64"/>
      <c r="G647" s="64"/>
      <c r="H647" s="64"/>
      <c r="I647" s="64"/>
      <c r="J647" s="64"/>
      <c r="K647" s="64"/>
      <c r="L647" s="64"/>
      <c r="M647" s="64"/>
      <c r="N647" s="16"/>
      <c r="O647" s="11">
        <f t="shared" ca="1" si="343"/>
        <v>-3.9378682616450625E-4</v>
      </c>
      <c r="P647" s="11">
        <f t="shared" ca="1" si="344"/>
        <v>-1.6358405771021967E-4</v>
      </c>
      <c r="Q647" s="11">
        <f t="shared" ca="1" si="345"/>
        <v>-1.614029402377854E-3</v>
      </c>
      <c r="R647" s="11">
        <f t="shared" ca="1" si="346"/>
        <v>-1.4853760121635622E-5</v>
      </c>
      <c r="S647" s="11">
        <f t="shared" ca="1" si="347"/>
        <v>-1.1458026838550334E-3</v>
      </c>
      <c r="T647" s="11">
        <f t="shared" ca="1" si="348"/>
        <v>-4.9053934342410677E-4</v>
      </c>
      <c r="U647" s="11">
        <f t="shared" ca="1" si="349"/>
        <v>-5.5074395654535931E-3</v>
      </c>
      <c r="V647" s="11"/>
      <c r="W647" s="11">
        <f t="shared" ca="1" si="366"/>
        <v>0</v>
      </c>
      <c r="X647" s="2">
        <f t="shared" ca="1" si="367"/>
        <v>-1.6358405771021967E-4</v>
      </c>
      <c r="Y647" s="2">
        <f t="shared" ca="1" si="368"/>
        <v>-1.614029402377854E-3</v>
      </c>
      <c r="Z647" s="11">
        <f t="shared" ca="1" si="369"/>
        <v>-1.4853760121635622E-5</v>
      </c>
      <c r="AA647" s="2">
        <f t="shared" ca="1" si="370"/>
        <v>-1.1458026838550334E-3</v>
      </c>
      <c r="AB647" s="11">
        <f t="shared" ca="1" si="371"/>
        <v>-4.9053934342410677E-4</v>
      </c>
      <c r="AC647" s="2">
        <f t="shared" ca="1" si="372"/>
        <v>-5.5074395654535931E-3</v>
      </c>
      <c r="AF647" s="11">
        <f t="shared" ca="1" si="373"/>
        <v>0</v>
      </c>
      <c r="AG647" s="2">
        <f t="shared" ca="1" si="374"/>
        <v>-1.6358405771021967E-4</v>
      </c>
      <c r="AH647" s="2">
        <f t="shared" ca="1" si="375"/>
        <v>-1.614029402377854E-3</v>
      </c>
      <c r="AI647" s="2">
        <f t="shared" ca="1" si="376"/>
        <v>-1.4853760121635622E-5</v>
      </c>
      <c r="AJ647" s="2">
        <f t="shared" ca="1" si="377"/>
        <v>-1.1458026838550334E-3</v>
      </c>
      <c r="AK647" s="2">
        <f t="shared" ca="1" si="378"/>
        <v>-4.9053934342410677E-4</v>
      </c>
      <c r="AL647" s="2">
        <f t="shared" ca="1" si="379"/>
        <v>-5.5074395654535931E-3</v>
      </c>
      <c r="AN647" s="2" t="e">
        <f t="shared" ca="1" si="358"/>
        <v>#N/A</v>
      </c>
      <c r="AO647" s="2" t="e">
        <f t="shared" ca="1" si="359"/>
        <v>#N/A</v>
      </c>
      <c r="AP647" s="2" t="e">
        <f t="shared" ca="1" si="360"/>
        <v>#N/A</v>
      </c>
      <c r="AQ647" s="2" t="e">
        <f t="shared" ca="1" si="361"/>
        <v>#N/A</v>
      </c>
      <c r="AR647" s="2" t="e">
        <f t="shared" ca="1" si="362"/>
        <v>#N/A</v>
      </c>
      <c r="AS647" s="2" t="e">
        <f t="shared" ca="1" si="363"/>
        <v>#N/A</v>
      </c>
      <c r="AT647" s="9" t="e">
        <f t="shared" ca="1" si="364"/>
        <v>#N/A</v>
      </c>
      <c r="AU647" s="9" t="e">
        <f t="shared" ca="1" si="365"/>
        <v>#N/A</v>
      </c>
      <c r="AV647" s="9"/>
      <c r="AW647" s="2" t="e">
        <f t="shared" ca="1" si="350"/>
        <v>#N/A</v>
      </c>
      <c r="AX647" s="2" t="e">
        <f t="shared" ca="1" si="351"/>
        <v>#N/A</v>
      </c>
      <c r="AY647" s="2" t="e">
        <f t="shared" ca="1" si="352"/>
        <v>#N/A</v>
      </c>
      <c r="AZ647" s="2" t="e">
        <f t="shared" ca="1" si="353"/>
        <v>#N/A</v>
      </c>
      <c r="BA647" s="2" t="e">
        <f t="shared" ca="1" si="354"/>
        <v>#N/A</v>
      </c>
      <c r="BB647" s="2" t="e">
        <f t="shared" ca="1" si="355"/>
        <v>#N/A</v>
      </c>
      <c r="BC647" s="9" t="e">
        <f t="shared" ca="1" si="356"/>
        <v>#N/A</v>
      </c>
      <c r="BD647" s="9" t="e">
        <f t="shared" ca="1" si="357"/>
        <v>#N/A</v>
      </c>
    </row>
    <row r="648" spans="1:56" ht="15" x14ac:dyDescent="0.25">
      <c r="A648" s="63"/>
      <c r="B648" s="63"/>
      <c r="C648" s="64"/>
      <c r="D648" s="64"/>
      <c r="E648" s="64"/>
      <c r="F648" s="64"/>
      <c r="G648" s="64"/>
      <c r="H648" s="64"/>
      <c r="I648" s="64"/>
      <c r="J648" s="64"/>
      <c r="K648" s="64"/>
      <c r="L648" s="64"/>
      <c r="M648" s="64"/>
      <c r="N648" s="16"/>
      <c r="O648" s="11">
        <f t="shared" ca="1" si="343"/>
        <v>-3.9378682616450625E-4</v>
      </c>
      <c r="P648" s="11">
        <f t="shared" ca="1" si="344"/>
        <v>-1.6358405771021967E-4</v>
      </c>
      <c r="Q648" s="11">
        <f t="shared" ca="1" si="345"/>
        <v>-1.614029402377854E-3</v>
      </c>
      <c r="R648" s="11">
        <f t="shared" ca="1" si="346"/>
        <v>-1.4853760121635622E-5</v>
      </c>
      <c r="S648" s="11">
        <f t="shared" ca="1" si="347"/>
        <v>-1.1458026838550334E-3</v>
      </c>
      <c r="T648" s="11">
        <f t="shared" ca="1" si="348"/>
        <v>-4.9053934342410677E-4</v>
      </c>
      <c r="U648" s="11">
        <f t="shared" ca="1" si="349"/>
        <v>-5.5074395654535931E-3</v>
      </c>
      <c r="V648" s="11"/>
      <c r="W648" s="11">
        <f t="shared" ca="1" si="366"/>
        <v>0</v>
      </c>
      <c r="X648" s="2">
        <f t="shared" ca="1" si="367"/>
        <v>-1.6358405771021967E-4</v>
      </c>
      <c r="Y648" s="2">
        <f t="shared" ca="1" si="368"/>
        <v>-1.614029402377854E-3</v>
      </c>
      <c r="Z648" s="11">
        <f t="shared" ca="1" si="369"/>
        <v>-1.4853760121635622E-5</v>
      </c>
      <c r="AA648" s="2">
        <f t="shared" ca="1" si="370"/>
        <v>-1.1458026838550334E-3</v>
      </c>
      <c r="AB648" s="11">
        <f t="shared" ca="1" si="371"/>
        <v>-4.9053934342410677E-4</v>
      </c>
      <c r="AC648" s="2">
        <f t="shared" ca="1" si="372"/>
        <v>-5.5074395654535931E-3</v>
      </c>
      <c r="AF648" s="11">
        <f t="shared" ca="1" si="373"/>
        <v>0</v>
      </c>
      <c r="AG648" s="2">
        <f t="shared" ca="1" si="374"/>
        <v>-1.6358405771021967E-4</v>
      </c>
      <c r="AH648" s="2">
        <f t="shared" ca="1" si="375"/>
        <v>-1.614029402377854E-3</v>
      </c>
      <c r="AI648" s="2">
        <f t="shared" ca="1" si="376"/>
        <v>-1.4853760121635622E-5</v>
      </c>
      <c r="AJ648" s="2">
        <f t="shared" ca="1" si="377"/>
        <v>-1.1458026838550334E-3</v>
      </c>
      <c r="AK648" s="2">
        <f t="shared" ca="1" si="378"/>
        <v>-4.9053934342410677E-4</v>
      </c>
      <c r="AL648" s="2">
        <f t="shared" ca="1" si="379"/>
        <v>-5.5074395654535931E-3</v>
      </c>
      <c r="AN648" s="2" t="e">
        <f t="shared" ca="1" si="358"/>
        <v>#N/A</v>
      </c>
      <c r="AO648" s="2" t="e">
        <f t="shared" ca="1" si="359"/>
        <v>#N/A</v>
      </c>
      <c r="AP648" s="2" t="e">
        <f t="shared" ca="1" si="360"/>
        <v>#N/A</v>
      </c>
      <c r="AQ648" s="2" t="e">
        <f t="shared" ca="1" si="361"/>
        <v>#N/A</v>
      </c>
      <c r="AR648" s="2" t="e">
        <f t="shared" ca="1" si="362"/>
        <v>#N/A</v>
      </c>
      <c r="AS648" s="2" t="e">
        <f t="shared" ca="1" si="363"/>
        <v>#N/A</v>
      </c>
      <c r="AT648" s="9" t="e">
        <f t="shared" ca="1" si="364"/>
        <v>#N/A</v>
      </c>
      <c r="AU648" s="9" t="e">
        <f t="shared" ca="1" si="365"/>
        <v>#N/A</v>
      </c>
      <c r="AV648" s="9"/>
      <c r="AW648" s="2" t="e">
        <f t="shared" ca="1" si="350"/>
        <v>#N/A</v>
      </c>
      <c r="AX648" s="2" t="e">
        <f t="shared" ca="1" si="351"/>
        <v>#N/A</v>
      </c>
      <c r="AY648" s="2" t="e">
        <f t="shared" ca="1" si="352"/>
        <v>#N/A</v>
      </c>
      <c r="AZ648" s="2" t="e">
        <f t="shared" ca="1" si="353"/>
        <v>#N/A</v>
      </c>
      <c r="BA648" s="2" t="e">
        <f t="shared" ca="1" si="354"/>
        <v>#N/A</v>
      </c>
      <c r="BB648" s="2" t="e">
        <f t="shared" ca="1" si="355"/>
        <v>#N/A</v>
      </c>
      <c r="BC648" s="9" t="e">
        <f t="shared" ca="1" si="356"/>
        <v>#N/A</v>
      </c>
      <c r="BD648" s="9" t="e">
        <f t="shared" ca="1" si="357"/>
        <v>#N/A</v>
      </c>
    </row>
    <row r="649" spans="1:56" ht="15" x14ac:dyDescent="0.25">
      <c r="A649" s="63"/>
      <c r="B649" s="63"/>
      <c r="C649" s="64"/>
      <c r="D649" s="64"/>
      <c r="E649" s="64"/>
      <c r="F649" s="64"/>
      <c r="G649" s="64"/>
      <c r="H649" s="64"/>
      <c r="I649" s="64"/>
      <c r="J649" s="64"/>
      <c r="K649" s="64"/>
      <c r="L649" s="64"/>
      <c r="M649" s="64"/>
      <c r="N649" s="16"/>
      <c r="O649" s="11">
        <f t="shared" ca="1" si="343"/>
        <v>-3.9378682616450625E-4</v>
      </c>
      <c r="P649" s="11">
        <f t="shared" ca="1" si="344"/>
        <v>-1.6358405771021967E-4</v>
      </c>
      <c r="Q649" s="11">
        <f t="shared" ca="1" si="345"/>
        <v>-1.614029402377854E-3</v>
      </c>
      <c r="R649" s="11">
        <f t="shared" ca="1" si="346"/>
        <v>-1.4853760121635622E-5</v>
      </c>
      <c r="S649" s="11">
        <f t="shared" ca="1" si="347"/>
        <v>-1.1458026838550334E-3</v>
      </c>
      <c r="T649" s="11">
        <f t="shared" ca="1" si="348"/>
        <v>-4.9053934342410677E-4</v>
      </c>
      <c r="U649" s="11">
        <f t="shared" ca="1" si="349"/>
        <v>-5.5074395654535931E-3</v>
      </c>
      <c r="V649" s="11"/>
      <c r="W649" s="11">
        <f t="shared" ca="1" si="366"/>
        <v>0</v>
      </c>
      <c r="X649" s="2">
        <f t="shared" ca="1" si="367"/>
        <v>-1.6358405771021967E-4</v>
      </c>
      <c r="Y649" s="2">
        <f t="shared" ca="1" si="368"/>
        <v>-1.614029402377854E-3</v>
      </c>
      <c r="Z649" s="11">
        <f t="shared" ca="1" si="369"/>
        <v>-1.4853760121635622E-5</v>
      </c>
      <c r="AA649" s="2">
        <f t="shared" ca="1" si="370"/>
        <v>-1.1458026838550334E-3</v>
      </c>
      <c r="AB649" s="11">
        <f t="shared" ca="1" si="371"/>
        <v>-4.9053934342410677E-4</v>
      </c>
      <c r="AC649" s="2">
        <f t="shared" ca="1" si="372"/>
        <v>-5.5074395654535931E-3</v>
      </c>
      <c r="AF649" s="11">
        <f t="shared" ca="1" si="373"/>
        <v>0</v>
      </c>
      <c r="AG649" s="2">
        <f t="shared" ca="1" si="374"/>
        <v>-1.6358405771021967E-4</v>
      </c>
      <c r="AH649" s="2">
        <f t="shared" ca="1" si="375"/>
        <v>-1.614029402377854E-3</v>
      </c>
      <c r="AI649" s="2">
        <f t="shared" ca="1" si="376"/>
        <v>-1.4853760121635622E-5</v>
      </c>
      <c r="AJ649" s="2">
        <f t="shared" ca="1" si="377"/>
        <v>-1.1458026838550334E-3</v>
      </c>
      <c r="AK649" s="2">
        <f t="shared" ca="1" si="378"/>
        <v>-4.9053934342410677E-4</v>
      </c>
      <c r="AL649" s="2">
        <f t="shared" ca="1" si="379"/>
        <v>-5.5074395654535931E-3</v>
      </c>
      <c r="AN649" s="2" t="e">
        <f t="shared" ca="1" si="358"/>
        <v>#N/A</v>
      </c>
      <c r="AO649" s="2" t="e">
        <f t="shared" ca="1" si="359"/>
        <v>#N/A</v>
      </c>
      <c r="AP649" s="2" t="e">
        <f t="shared" ca="1" si="360"/>
        <v>#N/A</v>
      </c>
      <c r="AQ649" s="2" t="e">
        <f t="shared" ca="1" si="361"/>
        <v>#N/A</v>
      </c>
      <c r="AR649" s="2" t="e">
        <f t="shared" ca="1" si="362"/>
        <v>#N/A</v>
      </c>
      <c r="AS649" s="2" t="e">
        <f t="shared" ca="1" si="363"/>
        <v>#N/A</v>
      </c>
      <c r="AT649" s="9" t="e">
        <f t="shared" ca="1" si="364"/>
        <v>#N/A</v>
      </c>
      <c r="AU649" s="9" t="e">
        <f t="shared" ca="1" si="365"/>
        <v>#N/A</v>
      </c>
      <c r="AV649" s="9"/>
      <c r="AW649" s="2" t="e">
        <f t="shared" ca="1" si="350"/>
        <v>#N/A</v>
      </c>
      <c r="AX649" s="2" t="e">
        <f t="shared" ca="1" si="351"/>
        <v>#N/A</v>
      </c>
      <c r="AY649" s="2" t="e">
        <f t="shared" ca="1" si="352"/>
        <v>#N/A</v>
      </c>
      <c r="AZ649" s="2" t="e">
        <f t="shared" ca="1" si="353"/>
        <v>#N/A</v>
      </c>
      <c r="BA649" s="2" t="e">
        <f t="shared" ca="1" si="354"/>
        <v>#N/A</v>
      </c>
      <c r="BB649" s="2" t="e">
        <f t="shared" ca="1" si="355"/>
        <v>#N/A</v>
      </c>
      <c r="BC649" s="9" t="e">
        <f t="shared" ca="1" si="356"/>
        <v>#N/A</v>
      </c>
      <c r="BD649" s="9" t="e">
        <f t="shared" ca="1" si="357"/>
        <v>#N/A</v>
      </c>
    </row>
    <row r="650" spans="1:56" ht="15" x14ac:dyDescent="0.25">
      <c r="A650" s="63"/>
      <c r="B650" s="63"/>
      <c r="C650" s="64"/>
      <c r="D650" s="64"/>
      <c r="E650" s="64"/>
      <c r="F650" s="64"/>
      <c r="G650" s="64"/>
      <c r="H650" s="64"/>
      <c r="I650" s="64"/>
      <c r="J650" s="64"/>
      <c r="K650" s="64"/>
      <c r="L650" s="64"/>
      <c r="M650" s="64"/>
      <c r="N650" s="16"/>
      <c r="O650" s="11">
        <f t="shared" ca="1" si="343"/>
        <v>-3.9378682616450625E-4</v>
      </c>
      <c r="P650" s="11">
        <f t="shared" ca="1" si="344"/>
        <v>-1.6358405771021967E-4</v>
      </c>
      <c r="Q650" s="11">
        <f t="shared" ca="1" si="345"/>
        <v>-1.614029402377854E-3</v>
      </c>
      <c r="R650" s="11">
        <f t="shared" ca="1" si="346"/>
        <v>-1.4853760121635622E-5</v>
      </c>
      <c r="S650" s="11">
        <f t="shared" ca="1" si="347"/>
        <v>-1.1458026838550334E-3</v>
      </c>
      <c r="T650" s="11">
        <f t="shared" ca="1" si="348"/>
        <v>-4.9053934342410677E-4</v>
      </c>
      <c r="U650" s="11">
        <f t="shared" ca="1" si="349"/>
        <v>-5.5074395654535931E-3</v>
      </c>
      <c r="V650" s="11"/>
      <c r="W650" s="11">
        <f t="shared" ca="1" si="366"/>
        <v>0</v>
      </c>
      <c r="X650" s="2">
        <f t="shared" ca="1" si="367"/>
        <v>-1.6358405771021967E-4</v>
      </c>
      <c r="Y650" s="2">
        <f t="shared" ca="1" si="368"/>
        <v>-1.614029402377854E-3</v>
      </c>
      <c r="Z650" s="11">
        <f t="shared" ca="1" si="369"/>
        <v>-1.4853760121635622E-5</v>
      </c>
      <c r="AA650" s="2">
        <f t="shared" ca="1" si="370"/>
        <v>-1.1458026838550334E-3</v>
      </c>
      <c r="AB650" s="11">
        <f t="shared" ca="1" si="371"/>
        <v>-4.9053934342410677E-4</v>
      </c>
      <c r="AC650" s="2">
        <f t="shared" ca="1" si="372"/>
        <v>-5.5074395654535931E-3</v>
      </c>
      <c r="AF650" s="11">
        <f t="shared" ca="1" si="373"/>
        <v>0</v>
      </c>
      <c r="AG650" s="2">
        <f t="shared" ca="1" si="374"/>
        <v>-1.6358405771021967E-4</v>
      </c>
      <c r="AH650" s="2">
        <f t="shared" ca="1" si="375"/>
        <v>-1.614029402377854E-3</v>
      </c>
      <c r="AI650" s="2">
        <f t="shared" ca="1" si="376"/>
        <v>-1.4853760121635622E-5</v>
      </c>
      <c r="AJ650" s="2">
        <f t="shared" ca="1" si="377"/>
        <v>-1.1458026838550334E-3</v>
      </c>
      <c r="AK650" s="2">
        <f t="shared" ca="1" si="378"/>
        <v>-4.9053934342410677E-4</v>
      </c>
      <c r="AL650" s="2">
        <f t="shared" ca="1" si="379"/>
        <v>-5.5074395654535931E-3</v>
      </c>
      <c r="AN650" s="2" t="e">
        <f t="shared" ca="1" si="358"/>
        <v>#N/A</v>
      </c>
      <c r="AO650" s="2" t="e">
        <f t="shared" ca="1" si="359"/>
        <v>#N/A</v>
      </c>
      <c r="AP650" s="2" t="e">
        <f t="shared" ca="1" si="360"/>
        <v>#N/A</v>
      </c>
      <c r="AQ650" s="2" t="e">
        <f t="shared" ca="1" si="361"/>
        <v>#N/A</v>
      </c>
      <c r="AR650" s="2" t="e">
        <f t="shared" ca="1" si="362"/>
        <v>#N/A</v>
      </c>
      <c r="AS650" s="2" t="e">
        <f t="shared" ca="1" si="363"/>
        <v>#N/A</v>
      </c>
      <c r="AT650" s="9" t="e">
        <f t="shared" ca="1" si="364"/>
        <v>#N/A</v>
      </c>
      <c r="AU650" s="9" t="e">
        <f t="shared" ca="1" si="365"/>
        <v>#N/A</v>
      </c>
      <c r="AV650" s="9"/>
      <c r="AW650" s="2" t="e">
        <f t="shared" ca="1" si="350"/>
        <v>#N/A</v>
      </c>
      <c r="AX650" s="2" t="e">
        <f t="shared" ca="1" si="351"/>
        <v>#N/A</v>
      </c>
      <c r="AY650" s="2" t="e">
        <f t="shared" ca="1" si="352"/>
        <v>#N/A</v>
      </c>
      <c r="AZ650" s="2" t="e">
        <f t="shared" ca="1" si="353"/>
        <v>#N/A</v>
      </c>
      <c r="BA650" s="2" t="e">
        <f t="shared" ca="1" si="354"/>
        <v>#N/A</v>
      </c>
      <c r="BB650" s="2" t="e">
        <f t="shared" ca="1" si="355"/>
        <v>#N/A</v>
      </c>
      <c r="BC650" s="9" t="e">
        <f t="shared" ca="1" si="356"/>
        <v>#N/A</v>
      </c>
      <c r="BD650" s="9" t="e">
        <f t="shared" ca="1" si="357"/>
        <v>#N/A</v>
      </c>
    </row>
    <row r="651" spans="1:56" ht="15" x14ac:dyDescent="0.25">
      <c r="A651" s="63"/>
      <c r="B651" s="63"/>
      <c r="C651" s="64"/>
      <c r="D651" s="64"/>
      <c r="E651" s="64"/>
      <c r="F651" s="64"/>
      <c r="G651" s="64"/>
      <c r="H651" s="64"/>
      <c r="I651" s="64"/>
      <c r="J651" s="64"/>
      <c r="K651" s="64"/>
      <c r="L651" s="64"/>
      <c r="M651" s="64"/>
      <c r="N651" s="16"/>
      <c r="O651" s="11">
        <f t="shared" ca="1" si="343"/>
        <v>-3.9378682616450625E-4</v>
      </c>
      <c r="P651" s="11">
        <f t="shared" ca="1" si="344"/>
        <v>-1.6358405771021967E-4</v>
      </c>
      <c r="Q651" s="11">
        <f t="shared" ca="1" si="345"/>
        <v>-1.614029402377854E-3</v>
      </c>
      <c r="R651" s="11">
        <f t="shared" ca="1" si="346"/>
        <v>-1.4853760121635622E-5</v>
      </c>
      <c r="S651" s="11">
        <f t="shared" ca="1" si="347"/>
        <v>-1.1458026838550334E-3</v>
      </c>
      <c r="T651" s="11">
        <f t="shared" ca="1" si="348"/>
        <v>-4.9053934342410677E-4</v>
      </c>
      <c r="U651" s="11">
        <f t="shared" ca="1" si="349"/>
        <v>-5.5074395654535931E-3</v>
      </c>
      <c r="V651" s="11"/>
      <c r="W651" s="11">
        <f t="shared" ca="1" si="366"/>
        <v>0</v>
      </c>
      <c r="X651" s="2">
        <f t="shared" ca="1" si="367"/>
        <v>-1.6358405771021967E-4</v>
      </c>
      <c r="Y651" s="2">
        <f t="shared" ca="1" si="368"/>
        <v>-1.614029402377854E-3</v>
      </c>
      <c r="Z651" s="11">
        <f t="shared" ca="1" si="369"/>
        <v>-1.4853760121635622E-5</v>
      </c>
      <c r="AA651" s="2">
        <f t="shared" ca="1" si="370"/>
        <v>-1.1458026838550334E-3</v>
      </c>
      <c r="AB651" s="11">
        <f t="shared" ca="1" si="371"/>
        <v>-4.9053934342410677E-4</v>
      </c>
      <c r="AC651" s="2">
        <f t="shared" ca="1" si="372"/>
        <v>-5.5074395654535931E-3</v>
      </c>
      <c r="AF651" s="11">
        <f t="shared" ca="1" si="373"/>
        <v>0</v>
      </c>
      <c r="AG651" s="2">
        <f t="shared" ca="1" si="374"/>
        <v>-1.6358405771021967E-4</v>
      </c>
      <c r="AH651" s="2">
        <f t="shared" ca="1" si="375"/>
        <v>-1.614029402377854E-3</v>
      </c>
      <c r="AI651" s="2">
        <f t="shared" ca="1" si="376"/>
        <v>-1.4853760121635622E-5</v>
      </c>
      <c r="AJ651" s="2">
        <f t="shared" ca="1" si="377"/>
        <v>-1.1458026838550334E-3</v>
      </c>
      <c r="AK651" s="2">
        <f t="shared" ca="1" si="378"/>
        <v>-4.9053934342410677E-4</v>
      </c>
      <c r="AL651" s="2">
        <f t="shared" ca="1" si="379"/>
        <v>-5.5074395654535931E-3</v>
      </c>
      <c r="AN651" s="2" t="e">
        <f t="shared" ca="1" si="358"/>
        <v>#N/A</v>
      </c>
      <c r="AO651" s="2" t="e">
        <f t="shared" ca="1" si="359"/>
        <v>#N/A</v>
      </c>
      <c r="AP651" s="2" t="e">
        <f t="shared" ca="1" si="360"/>
        <v>#N/A</v>
      </c>
      <c r="AQ651" s="2" t="e">
        <f t="shared" ca="1" si="361"/>
        <v>#N/A</v>
      </c>
      <c r="AR651" s="2" t="e">
        <f t="shared" ca="1" si="362"/>
        <v>#N/A</v>
      </c>
      <c r="AS651" s="2" t="e">
        <f t="shared" ca="1" si="363"/>
        <v>#N/A</v>
      </c>
      <c r="AT651" s="9" t="e">
        <f t="shared" ca="1" si="364"/>
        <v>#N/A</v>
      </c>
      <c r="AU651" s="9" t="e">
        <f t="shared" ca="1" si="365"/>
        <v>#N/A</v>
      </c>
      <c r="AV651" s="9"/>
      <c r="AW651" s="2" t="e">
        <f t="shared" ca="1" si="350"/>
        <v>#N/A</v>
      </c>
      <c r="AX651" s="2" t="e">
        <f t="shared" ca="1" si="351"/>
        <v>#N/A</v>
      </c>
      <c r="AY651" s="2" t="e">
        <f t="shared" ca="1" si="352"/>
        <v>#N/A</v>
      </c>
      <c r="AZ651" s="2" t="e">
        <f t="shared" ca="1" si="353"/>
        <v>#N/A</v>
      </c>
      <c r="BA651" s="2" t="e">
        <f t="shared" ca="1" si="354"/>
        <v>#N/A</v>
      </c>
      <c r="BB651" s="2" t="e">
        <f t="shared" ca="1" si="355"/>
        <v>#N/A</v>
      </c>
      <c r="BC651" s="9" t="e">
        <f t="shared" ca="1" si="356"/>
        <v>#N/A</v>
      </c>
      <c r="BD651" s="9" t="e">
        <f t="shared" ca="1" si="357"/>
        <v>#N/A</v>
      </c>
    </row>
    <row r="652" spans="1:56" ht="15" x14ac:dyDescent="0.25">
      <c r="A652" s="63"/>
      <c r="B652" s="63"/>
      <c r="C652" s="64"/>
      <c r="D652" s="64"/>
      <c r="E652" s="64"/>
      <c r="F652" s="64"/>
      <c r="G652" s="64"/>
      <c r="H652" s="64"/>
      <c r="I652" s="64"/>
      <c r="J652" s="64"/>
      <c r="K652" s="64"/>
      <c r="L652" s="64"/>
      <c r="M652" s="64"/>
      <c r="N652" s="16"/>
      <c r="O652" s="11">
        <f t="shared" ca="1" si="343"/>
        <v>-3.9378682616450625E-4</v>
      </c>
      <c r="P652" s="11">
        <f t="shared" ca="1" si="344"/>
        <v>-1.6358405771021967E-4</v>
      </c>
      <c r="Q652" s="11">
        <f t="shared" ca="1" si="345"/>
        <v>-1.614029402377854E-3</v>
      </c>
      <c r="R652" s="11">
        <f t="shared" ca="1" si="346"/>
        <v>-1.4853760121635622E-5</v>
      </c>
      <c r="S652" s="11">
        <f t="shared" ca="1" si="347"/>
        <v>-1.1458026838550334E-3</v>
      </c>
      <c r="T652" s="11">
        <f t="shared" ca="1" si="348"/>
        <v>-4.9053934342410677E-4</v>
      </c>
      <c r="U652" s="11">
        <f t="shared" ca="1" si="349"/>
        <v>-5.5074395654535931E-3</v>
      </c>
      <c r="V652" s="11"/>
      <c r="W652" s="11">
        <f t="shared" ca="1" si="366"/>
        <v>0</v>
      </c>
      <c r="X652" s="2">
        <f t="shared" ca="1" si="367"/>
        <v>-1.6358405771021967E-4</v>
      </c>
      <c r="Y652" s="2">
        <f t="shared" ca="1" si="368"/>
        <v>-1.614029402377854E-3</v>
      </c>
      <c r="Z652" s="11">
        <f t="shared" ca="1" si="369"/>
        <v>-1.4853760121635622E-5</v>
      </c>
      <c r="AA652" s="2">
        <f t="shared" ca="1" si="370"/>
        <v>-1.1458026838550334E-3</v>
      </c>
      <c r="AB652" s="11">
        <f t="shared" ca="1" si="371"/>
        <v>-4.9053934342410677E-4</v>
      </c>
      <c r="AC652" s="2">
        <f t="shared" ca="1" si="372"/>
        <v>-5.5074395654535931E-3</v>
      </c>
      <c r="AF652" s="11">
        <f t="shared" ca="1" si="373"/>
        <v>0</v>
      </c>
      <c r="AG652" s="2">
        <f t="shared" ca="1" si="374"/>
        <v>-1.6358405771021967E-4</v>
      </c>
      <c r="AH652" s="2">
        <f t="shared" ca="1" si="375"/>
        <v>-1.614029402377854E-3</v>
      </c>
      <c r="AI652" s="2">
        <f t="shared" ca="1" si="376"/>
        <v>-1.4853760121635622E-5</v>
      </c>
      <c r="AJ652" s="2">
        <f t="shared" ca="1" si="377"/>
        <v>-1.1458026838550334E-3</v>
      </c>
      <c r="AK652" s="2">
        <f t="shared" ca="1" si="378"/>
        <v>-4.9053934342410677E-4</v>
      </c>
      <c r="AL652" s="2">
        <f t="shared" ca="1" si="379"/>
        <v>-5.5074395654535931E-3</v>
      </c>
      <c r="AN652" s="2" t="e">
        <f t="shared" ca="1" si="358"/>
        <v>#N/A</v>
      </c>
      <c r="AO652" s="2" t="e">
        <f t="shared" ca="1" si="359"/>
        <v>#N/A</v>
      </c>
      <c r="AP652" s="2" t="e">
        <f t="shared" ca="1" si="360"/>
        <v>#N/A</v>
      </c>
      <c r="AQ652" s="2" t="e">
        <f t="shared" ca="1" si="361"/>
        <v>#N/A</v>
      </c>
      <c r="AR652" s="2" t="e">
        <f t="shared" ca="1" si="362"/>
        <v>#N/A</v>
      </c>
      <c r="AS652" s="2" t="e">
        <f t="shared" ca="1" si="363"/>
        <v>#N/A</v>
      </c>
      <c r="AT652" s="9" t="e">
        <f t="shared" ca="1" si="364"/>
        <v>#N/A</v>
      </c>
      <c r="AU652" s="9" t="e">
        <f t="shared" ca="1" si="365"/>
        <v>#N/A</v>
      </c>
      <c r="AV652" s="9"/>
      <c r="AW652" s="2" t="e">
        <f t="shared" ca="1" si="350"/>
        <v>#N/A</v>
      </c>
      <c r="AX652" s="2" t="e">
        <f t="shared" ca="1" si="351"/>
        <v>#N/A</v>
      </c>
      <c r="AY652" s="2" t="e">
        <f t="shared" ca="1" si="352"/>
        <v>#N/A</v>
      </c>
      <c r="AZ652" s="2" t="e">
        <f t="shared" ca="1" si="353"/>
        <v>#N/A</v>
      </c>
      <c r="BA652" s="2" t="e">
        <f t="shared" ca="1" si="354"/>
        <v>#N/A</v>
      </c>
      <c r="BB652" s="2" t="e">
        <f t="shared" ca="1" si="355"/>
        <v>#N/A</v>
      </c>
      <c r="BC652" s="9" t="e">
        <f t="shared" ca="1" si="356"/>
        <v>#N/A</v>
      </c>
      <c r="BD652" s="9" t="e">
        <f t="shared" ca="1" si="357"/>
        <v>#N/A</v>
      </c>
    </row>
    <row r="653" spans="1:56" ht="15" x14ac:dyDescent="0.25">
      <c r="A653" s="63"/>
      <c r="B653" s="63"/>
      <c r="C653" s="64"/>
      <c r="D653" s="64"/>
      <c r="E653" s="64"/>
      <c r="F653" s="64"/>
      <c r="G653" s="64"/>
      <c r="H653" s="64"/>
      <c r="I653" s="64"/>
      <c r="J653" s="64"/>
      <c r="K653" s="64"/>
      <c r="L653" s="64"/>
      <c r="M653" s="64"/>
      <c r="N653" s="16"/>
      <c r="O653" s="11">
        <f t="shared" ca="1" si="343"/>
        <v>-3.9378682616450625E-4</v>
      </c>
      <c r="P653" s="11">
        <f t="shared" ca="1" si="344"/>
        <v>-1.6358405771021967E-4</v>
      </c>
      <c r="Q653" s="11">
        <f t="shared" ca="1" si="345"/>
        <v>-1.614029402377854E-3</v>
      </c>
      <c r="R653" s="11">
        <f t="shared" ca="1" si="346"/>
        <v>-1.4853760121635622E-5</v>
      </c>
      <c r="S653" s="11">
        <f t="shared" ca="1" si="347"/>
        <v>-1.1458026838550334E-3</v>
      </c>
      <c r="T653" s="11">
        <f t="shared" ca="1" si="348"/>
        <v>-4.9053934342410677E-4</v>
      </c>
      <c r="U653" s="11">
        <f t="shared" ca="1" si="349"/>
        <v>-5.5074395654535931E-3</v>
      </c>
      <c r="V653" s="11"/>
      <c r="W653" s="11">
        <f t="shared" ca="1" si="366"/>
        <v>0</v>
      </c>
      <c r="X653" s="2">
        <f t="shared" ca="1" si="367"/>
        <v>-1.6358405771021967E-4</v>
      </c>
      <c r="Y653" s="2">
        <f t="shared" ca="1" si="368"/>
        <v>-1.614029402377854E-3</v>
      </c>
      <c r="Z653" s="11">
        <f t="shared" ca="1" si="369"/>
        <v>-1.4853760121635622E-5</v>
      </c>
      <c r="AA653" s="2">
        <f t="shared" ca="1" si="370"/>
        <v>-1.1458026838550334E-3</v>
      </c>
      <c r="AB653" s="11">
        <f t="shared" ca="1" si="371"/>
        <v>-4.9053934342410677E-4</v>
      </c>
      <c r="AC653" s="2">
        <f t="shared" ca="1" si="372"/>
        <v>-5.5074395654535931E-3</v>
      </c>
      <c r="AF653" s="11">
        <f t="shared" ca="1" si="373"/>
        <v>0</v>
      </c>
      <c r="AG653" s="2">
        <f t="shared" ca="1" si="374"/>
        <v>-1.6358405771021967E-4</v>
      </c>
      <c r="AH653" s="2">
        <f t="shared" ca="1" si="375"/>
        <v>-1.614029402377854E-3</v>
      </c>
      <c r="AI653" s="2">
        <f t="shared" ca="1" si="376"/>
        <v>-1.4853760121635622E-5</v>
      </c>
      <c r="AJ653" s="2">
        <f t="shared" ca="1" si="377"/>
        <v>-1.1458026838550334E-3</v>
      </c>
      <c r="AK653" s="2">
        <f t="shared" ca="1" si="378"/>
        <v>-4.9053934342410677E-4</v>
      </c>
      <c r="AL653" s="2">
        <f t="shared" ca="1" si="379"/>
        <v>-5.5074395654535931E-3</v>
      </c>
      <c r="AN653" s="2" t="e">
        <f t="shared" ca="1" si="358"/>
        <v>#N/A</v>
      </c>
      <c r="AO653" s="2" t="e">
        <f t="shared" ca="1" si="359"/>
        <v>#N/A</v>
      </c>
      <c r="AP653" s="2" t="e">
        <f t="shared" ca="1" si="360"/>
        <v>#N/A</v>
      </c>
      <c r="AQ653" s="2" t="e">
        <f t="shared" ca="1" si="361"/>
        <v>#N/A</v>
      </c>
      <c r="AR653" s="2" t="e">
        <f t="shared" ca="1" si="362"/>
        <v>#N/A</v>
      </c>
      <c r="AS653" s="2" t="e">
        <f t="shared" ca="1" si="363"/>
        <v>#N/A</v>
      </c>
      <c r="AT653" s="9" t="e">
        <f t="shared" ca="1" si="364"/>
        <v>#N/A</v>
      </c>
      <c r="AU653" s="9" t="e">
        <f t="shared" ca="1" si="365"/>
        <v>#N/A</v>
      </c>
      <c r="AV653" s="9"/>
      <c r="AW653" s="2" t="e">
        <f t="shared" ca="1" si="350"/>
        <v>#N/A</v>
      </c>
      <c r="AX653" s="2" t="e">
        <f t="shared" ca="1" si="351"/>
        <v>#N/A</v>
      </c>
      <c r="AY653" s="2" t="e">
        <f t="shared" ca="1" si="352"/>
        <v>#N/A</v>
      </c>
      <c r="AZ653" s="2" t="e">
        <f t="shared" ca="1" si="353"/>
        <v>#N/A</v>
      </c>
      <c r="BA653" s="2" t="e">
        <f t="shared" ca="1" si="354"/>
        <v>#N/A</v>
      </c>
      <c r="BB653" s="2" t="e">
        <f t="shared" ca="1" si="355"/>
        <v>#N/A</v>
      </c>
      <c r="BC653" s="9" t="e">
        <f t="shared" ca="1" si="356"/>
        <v>#N/A</v>
      </c>
      <c r="BD653" s="9" t="e">
        <f t="shared" ca="1" si="357"/>
        <v>#N/A</v>
      </c>
    </row>
    <row r="654" spans="1:56" ht="15" x14ac:dyDescent="0.25">
      <c r="A654" s="63"/>
      <c r="B654" s="63"/>
      <c r="C654" s="64"/>
      <c r="D654" s="64"/>
      <c r="E654" s="64"/>
      <c r="F654" s="64"/>
      <c r="G654" s="64"/>
      <c r="H654" s="64"/>
      <c r="I654" s="64"/>
      <c r="J654" s="64"/>
      <c r="K654" s="64"/>
      <c r="L654" s="64"/>
      <c r="M654" s="64"/>
      <c r="N654" s="16"/>
      <c r="O654" s="11">
        <f t="shared" ca="1" si="343"/>
        <v>-3.9378682616450625E-4</v>
      </c>
      <c r="P654" s="11">
        <f t="shared" ca="1" si="344"/>
        <v>-1.6358405771021967E-4</v>
      </c>
      <c r="Q654" s="11">
        <f t="shared" ca="1" si="345"/>
        <v>-1.614029402377854E-3</v>
      </c>
      <c r="R654" s="11">
        <f t="shared" ca="1" si="346"/>
        <v>-1.4853760121635622E-5</v>
      </c>
      <c r="S654" s="11">
        <f t="shared" ca="1" si="347"/>
        <v>-1.1458026838550334E-3</v>
      </c>
      <c r="T654" s="11">
        <f t="shared" ca="1" si="348"/>
        <v>-4.9053934342410677E-4</v>
      </c>
      <c r="U654" s="11">
        <f t="shared" ca="1" si="349"/>
        <v>-5.5074395654535931E-3</v>
      </c>
      <c r="V654" s="11"/>
      <c r="W654" s="11">
        <f t="shared" ca="1" si="366"/>
        <v>0</v>
      </c>
      <c r="X654" s="2">
        <f t="shared" ca="1" si="367"/>
        <v>-1.6358405771021967E-4</v>
      </c>
      <c r="Y654" s="2">
        <f t="shared" ca="1" si="368"/>
        <v>-1.614029402377854E-3</v>
      </c>
      <c r="Z654" s="11">
        <f t="shared" ca="1" si="369"/>
        <v>-1.4853760121635622E-5</v>
      </c>
      <c r="AA654" s="2">
        <f t="shared" ca="1" si="370"/>
        <v>-1.1458026838550334E-3</v>
      </c>
      <c r="AB654" s="11">
        <f t="shared" ca="1" si="371"/>
        <v>-4.9053934342410677E-4</v>
      </c>
      <c r="AC654" s="2">
        <f t="shared" ca="1" si="372"/>
        <v>-5.5074395654535931E-3</v>
      </c>
      <c r="AF654" s="11">
        <f t="shared" ca="1" si="373"/>
        <v>0</v>
      </c>
      <c r="AG654" s="2">
        <f t="shared" ca="1" si="374"/>
        <v>-1.6358405771021967E-4</v>
      </c>
      <c r="AH654" s="2">
        <f t="shared" ca="1" si="375"/>
        <v>-1.614029402377854E-3</v>
      </c>
      <c r="AI654" s="2">
        <f t="shared" ca="1" si="376"/>
        <v>-1.4853760121635622E-5</v>
      </c>
      <c r="AJ654" s="2">
        <f t="shared" ca="1" si="377"/>
        <v>-1.1458026838550334E-3</v>
      </c>
      <c r="AK654" s="2">
        <f t="shared" ca="1" si="378"/>
        <v>-4.9053934342410677E-4</v>
      </c>
      <c r="AL654" s="2">
        <f t="shared" ca="1" si="379"/>
        <v>-5.5074395654535931E-3</v>
      </c>
      <c r="AN654" s="2" t="e">
        <f t="shared" ca="1" si="358"/>
        <v>#N/A</v>
      </c>
      <c r="AO654" s="2" t="e">
        <f t="shared" ca="1" si="359"/>
        <v>#N/A</v>
      </c>
      <c r="AP654" s="2" t="e">
        <f t="shared" ca="1" si="360"/>
        <v>#N/A</v>
      </c>
      <c r="AQ654" s="2" t="e">
        <f t="shared" ca="1" si="361"/>
        <v>#N/A</v>
      </c>
      <c r="AR654" s="2" t="e">
        <f t="shared" ca="1" si="362"/>
        <v>#N/A</v>
      </c>
      <c r="AS654" s="2" t="e">
        <f t="shared" ca="1" si="363"/>
        <v>#N/A</v>
      </c>
      <c r="AT654" s="9" t="e">
        <f t="shared" ca="1" si="364"/>
        <v>#N/A</v>
      </c>
      <c r="AU654" s="9" t="e">
        <f t="shared" ca="1" si="365"/>
        <v>#N/A</v>
      </c>
      <c r="AV654" s="9"/>
      <c r="AW654" s="2" t="e">
        <f t="shared" ca="1" si="350"/>
        <v>#N/A</v>
      </c>
      <c r="AX654" s="2" t="e">
        <f t="shared" ca="1" si="351"/>
        <v>#N/A</v>
      </c>
      <c r="AY654" s="2" t="e">
        <f t="shared" ca="1" si="352"/>
        <v>#N/A</v>
      </c>
      <c r="AZ654" s="2" t="e">
        <f t="shared" ca="1" si="353"/>
        <v>#N/A</v>
      </c>
      <c r="BA654" s="2" t="e">
        <f t="shared" ca="1" si="354"/>
        <v>#N/A</v>
      </c>
      <c r="BB654" s="2" t="e">
        <f t="shared" ca="1" si="355"/>
        <v>#N/A</v>
      </c>
      <c r="BC654" s="9" t="e">
        <f t="shared" ca="1" si="356"/>
        <v>#N/A</v>
      </c>
      <c r="BD654" s="9" t="e">
        <f t="shared" ca="1" si="357"/>
        <v>#N/A</v>
      </c>
    </row>
    <row r="655" spans="1:56" ht="15" x14ac:dyDescent="0.25">
      <c r="A655" s="63"/>
      <c r="B655" s="63"/>
      <c r="C655" s="64"/>
      <c r="D655" s="64"/>
      <c r="E655" s="64"/>
      <c r="F655" s="64"/>
      <c r="G655" s="64"/>
      <c r="H655" s="64"/>
      <c r="I655" s="64"/>
      <c r="J655" s="64"/>
      <c r="K655" s="64"/>
      <c r="L655" s="64"/>
      <c r="M655" s="64"/>
      <c r="N655" s="16"/>
      <c r="O655" s="11">
        <f t="shared" ca="1" si="343"/>
        <v>-3.9378682616450625E-4</v>
      </c>
      <c r="P655" s="11">
        <f t="shared" ca="1" si="344"/>
        <v>-1.6358405771021967E-4</v>
      </c>
      <c r="Q655" s="11">
        <f t="shared" ca="1" si="345"/>
        <v>-1.614029402377854E-3</v>
      </c>
      <c r="R655" s="11">
        <f t="shared" ca="1" si="346"/>
        <v>-1.4853760121635622E-5</v>
      </c>
      <c r="S655" s="11">
        <f t="shared" ca="1" si="347"/>
        <v>-1.1458026838550334E-3</v>
      </c>
      <c r="T655" s="11">
        <f t="shared" ca="1" si="348"/>
        <v>-4.9053934342410677E-4</v>
      </c>
      <c r="U655" s="11">
        <f t="shared" ca="1" si="349"/>
        <v>-5.5074395654535931E-3</v>
      </c>
      <c r="V655" s="11"/>
      <c r="W655" s="11">
        <f t="shared" ca="1" si="366"/>
        <v>0</v>
      </c>
      <c r="X655" s="2">
        <f t="shared" ca="1" si="367"/>
        <v>-1.6358405771021967E-4</v>
      </c>
      <c r="Y655" s="2">
        <f t="shared" ca="1" si="368"/>
        <v>-1.614029402377854E-3</v>
      </c>
      <c r="Z655" s="11">
        <f t="shared" ca="1" si="369"/>
        <v>-1.4853760121635622E-5</v>
      </c>
      <c r="AA655" s="2">
        <f t="shared" ca="1" si="370"/>
        <v>-1.1458026838550334E-3</v>
      </c>
      <c r="AB655" s="11">
        <f t="shared" ca="1" si="371"/>
        <v>-4.9053934342410677E-4</v>
      </c>
      <c r="AC655" s="2">
        <f t="shared" ca="1" si="372"/>
        <v>-5.5074395654535931E-3</v>
      </c>
      <c r="AF655" s="11">
        <f t="shared" ca="1" si="373"/>
        <v>0</v>
      </c>
      <c r="AG655" s="2">
        <f t="shared" ca="1" si="374"/>
        <v>-1.6358405771021967E-4</v>
      </c>
      <c r="AH655" s="2">
        <f t="shared" ca="1" si="375"/>
        <v>-1.614029402377854E-3</v>
      </c>
      <c r="AI655" s="2">
        <f t="shared" ca="1" si="376"/>
        <v>-1.4853760121635622E-5</v>
      </c>
      <c r="AJ655" s="2">
        <f t="shared" ca="1" si="377"/>
        <v>-1.1458026838550334E-3</v>
      </c>
      <c r="AK655" s="2">
        <f t="shared" ca="1" si="378"/>
        <v>-4.9053934342410677E-4</v>
      </c>
      <c r="AL655" s="2">
        <f t="shared" ca="1" si="379"/>
        <v>-5.5074395654535931E-3</v>
      </c>
      <c r="AN655" s="2" t="e">
        <f t="shared" ca="1" si="358"/>
        <v>#N/A</v>
      </c>
      <c r="AO655" s="2" t="e">
        <f t="shared" ca="1" si="359"/>
        <v>#N/A</v>
      </c>
      <c r="AP655" s="2" t="e">
        <f t="shared" ca="1" si="360"/>
        <v>#N/A</v>
      </c>
      <c r="AQ655" s="2" t="e">
        <f t="shared" ca="1" si="361"/>
        <v>#N/A</v>
      </c>
      <c r="AR655" s="2" t="e">
        <f t="shared" ca="1" si="362"/>
        <v>#N/A</v>
      </c>
      <c r="AS655" s="2" t="e">
        <f t="shared" ca="1" si="363"/>
        <v>#N/A</v>
      </c>
      <c r="AT655" s="9" t="e">
        <f t="shared" ca="1" si="364"/>
        <v>#N/A</v>
      </c>
      <c r="AU655" s="9" t="e">
        <f t="shared" ca="1" si="365"/>
        <v>#N/A</v>
      </c>
      <c r="AV655" s="9"/>
      <c r="AW655" s="2" t="e">
        <f t="shared" ca="1" si="350"/>
        <v>#N/A</v>
      </c>
      <c r="AX655" s="2" t="e">
        <f t="shared" ca="1" si="351"/>
        <v>#N/A</v>
      </c>
      <c r="AY655" s="2" t="e">
        <f t="shared" ca="1" si="352"/>
        <v>#N/A</v>
      </c>
      <c r="AZ655" s="2" t="e">
        <f t="shared" ca="1" si="353"/>
        <v>#N/A</v>
      </c>
      <c r="BA655" s="2" t="e">
        <f t="shared" ca="1" si="354"/>
        <v>#N/A</v>
      </c>
      <c r="BB655" s="2" t="e">
        <f t="shared" ca="1" si="355"/>
        <v>#N/A</v>
      </c>
      <c r="BC655" s="9" t="e">
        <f t="shared" ca="1" si="356"/>
        <v>#N/A</v>
      </c>
      <c r="BD655" s="9" t="e">
        <f t="shared" ca="1" si="357"/>
        <v>#N/A</v>
      </c>
    </row>
    <row r="656" spans="1:56" ht="15" x14ac:dyDescent="0.25">
      <c r="A656" s="63"/>
      <c r="B656" s="63"/>
      <c r="C656" s="64"/>
      <c r="D656" s="64"/>
      <c r="E656" s="64"/>
      <c r="F656" s="64"/>
      <c r="G656" s="64"/>
      <c r="H656" s="64"/>
      <c r="I656" s="64"/>
      <c r="J656" s="64"/>
      <c r="K656" s="64"/>
      <c r="L656" s="64"/>
      <c r="M656" s="64"/>
      <c r="N656" s="16"/>
      <c r="O656" s="11">
        <f t="shared" ca="1" si="343"/>
        <v>-3.9378682616450625E-4</v>
      </c>
      <c r="P656" s="11">
        <f t="shared" ca="1" si="344"/>
        <v>-1.6358405771021967E-4</v>
      </c>
      <c r="Q656" s="11">
        <f t="shared" ca="1" si="345"/>
        <v>-1.614029402377854E-3</v>
      </c>
      <c r="R656" s="11">
        <f t="shared" ca="1" si="346"/>
        <v>-1.4853760121635622E-5</v>
      </c>
      <c r="S656" s="11">
        <f t="shared" ca="1" si="347"/>
        <v>-1.1458026838550334E-3</v>
      </c>
      <c r="T656" s="11">
        <f t="shared" ca="1" si="348"/>
        <v>-4.9053934342410677E-4</v>
      </c>
      <c r="U656" s="11">
        <f t="shared" ca="1" si="349"/>
        <v>-5.5074395654535931E-3</v>
      </c>
      <c r="V656" s="11"/>
      <c r="W656" s="11">
        <f t="shared" ca="1" si="366"/>
        <v>0</v>
      </c>
      <c r="X656" s="2">
        <f t="shared" ca="1" si="367"/>
        <v>-1.6358405771021967E-4</v>
      </c>
      <c r="Y656" s="2">
        <f t="shared" ca="1" si="368"/>
        <v>-1.614029402377854E-3</v>
      </c>
      <c r="Z656" s="11">
        <f t="shared" ca="1" si="369"/>
        <v>-1.4853760121635622E-5</v>
      </c>
      <c r="AA656" s="2">
        <f t="shared" ca="1" si="370"/>
        <v>-1.1458026838550334E-3</v>
      </c>
      <c r="AB656" s="11">
        <f t="shared" ca="1" si="371"/>
        <v>-4.9053934342410677E-4</v>
      </c>
      <c r="AC656" s="2">
        <f t="shared" ca="1" si="372"/>
        <v>-5.5074395654535931E-3</v>
      </c>
      <c r="AF656" s="11">
        <f t="shared" ca="1" si="373"/>
        <v>0</v>
      </c>
      <c r="AG656" s="2">
        <f t="shared" ca="1" si="374"/>
        <v>-1.6358405771021967E-4</v>
      </c>
      <c r="AH656" s="2">
        <f t="shared" ca="1" si="375"/>
        <v>-1.614029402377854E-3</v>
      </c>
      <c r="AI656" s="2">
        <f t="shared" ca="1" si="376"/>
        <v>-1.4853760121635622E-5</v>
      </c>
      <c r="AJ656" s="2">
        <f t="shared" ca="1" si="377"/>
        <v>-1.1458026838550334E-3</v>
      </c>
      <c r="AK656" s="2">
        <f t="shared" ca="1" si="378"/>
        <v>-4.9053934342410677E-4</v>
      </c>
      <c r="AL656" s="2">
        <f t="shared" ca="1" si="379"/>
        <v>-5.5074395654535931E-3</v>
      </c>
      <c r="AN656" s="2" t="e">
        <f t="shared" ca="1" si="358"/>
        <v>#N/A</v>
      </c>
      <c r="AO656" s="2" t="e">
        <f t="shared" ca="1" si="359"/>
        <v>#N/A</v>
      </c>
      <c r="AP656" s="2" t="e">
        <f t="shared" ca="1" si="360"/>
        <v>#N/A</v>
      </c>
      <c r="AQ656" s="2" t="e">
        <f t="shared" ca="1" si="361"/>
        <v>#N/A</v>
      </c>
      <c r="AR656" s="2" t="e">
        <f t="shared" ca="1" si="362"/>
        <v>#N/A</v>
      </c>
      <c r="AS656" s="2" t="e">
        <f t="shared" ca="1" si="363"/>
        <v>#N/A</v>
      </c>
      <c r="AT656" s="9" t="e">
        <f t="shared" ca="1" si="364"/>
        <v>#N/A</v>
      </c>
      <c r="AU656" s="9" t="e">
        <f t="shared" ca="1" si="365"/>
        <v>#N/A</v>
      </c>
      <c r="AV656" s="9"/>
      <c r="AW656" s="2" t="e">
        <f t="shared" ca="1" si="350"/>
        <v>#N/A</v>
      </c>
      <c r="AX656" s="2" t="e">
        <f t="shared" ca="1" si="351"/>
        <v>#N/A</v>
      </c>
      <c r="AY656" s="2" t="e">
        <f t="shared" ca="1" si="352"/>
        <v>#N/A</v>
      </c>
      <c r="AZ656" s="2" t="e">
        <f t="shared" ca="1" si="353"/>
        <v>#N/A</v>
      </c>
      <c r="BA656" s="2" t="e">
        <f t="shared" ca="1" si="354"/>
        <v>#N/A</v>
      </c>
      <c r="BB656" s="2" t="e">
        <f t="shared" ca="1" si="355"/>
        <v>#N/A</v>
      </c>
      <c r="BC656" s="9" t="e">
        <f t="shared" ca="1" si="356"/>
        <v>#N/A</v>
      </c>
      <c r="BD656" s="9" t="e">
        <f t="shared" ca="1" si="357"/>
        <v>#N/A</v>
      </c>
    </row>
    <row r="657" spans="1:56" ht="15" x14ac:dyDescent="0.25">
      <c r="A657" s="63"/>
      <c r="B657" s="63"/>
      <c r="C657" s="64"/>
      <c r="D657" s="64"/>
      <c r="E657" s="64"/>
      <c r="F657" s="64"/>
      <c r="G657" s="64"/>
      <c r="H657" s="64"/>
      <c r="I657" s="64"/>
      <c r="J657" s="64"/>
      <c r="K657" s="64"/>
      <c r="L657" s="64"/>
      <c r="M657" s="64"/>
      <c r="N657" s="16"/>
      <c r="O657" s="11">
        <f t="shared" ca="1" si="343"/>
        <v>-3.9378682616450625E-4</v>
      </c>
      <c r="P657" s="11">
        <f t="shared" ca="1" si="344"/>
        <v>-1.6358405771021967E-4</v>
      </c>
      <c r="Q657" s="11">
        <f t="shared" ca="1" si="345"/>
        <v>-1.614029402377854E-3</v>
      </c>
      <c r="R657" s="11">
        <f t="shared" ca="1" si="346"/>
        <v>-1.4853760121635622E-5</v>
      </c>
      <c r="S657" s="11">
        <f t="shared" ca="1" si="347"/>
        <v>-1.1458026838550334E-3</v>
      </c>
      <c r="T657" s="11">
        <f t="shared" ca="1" si="348"/>
        <v>-4.9053934342410677E-4</v>
      </c>
      <c r="U657" s="11">
        <f t="shared" ca="1" si="349"/>
        <v>-5.5074395654535931E-3</v>
      </c>
      <c r="V657" s="11"/>
      <c r="W657" s="11">
        <f t="shared" ca="1" si="366"/>
        <v>0</v>
      </c>
      <c r="X657" s="2">
        <f t="shared" ca="1" si="367"/>
        <v>-1.6358405771021967E-4</v>
      </c>
      <c r="Y657" s="2">
        <f t="shared" ca="1" si="368"/>
        <v>-1.614029402377854E-3</v>
      </c>
      <c r="Z657" s="11">
        <f t="shared" ca="1" si="369"/>
        <v>-1.4853760121635622E-5</v>
      </c>
      <c r="AA657" s="2">
        <f t="shared" ca="1" si="370"/>
        <v>-1.1458026838550334E-3</v>
      </c>
      <c r="AB657" s="11">
        <f t="shared" ca="1" si="371"/>
        <v>-4.9053934342410677E-4</v>
      </c>
      <c r="AC657" s="2">
        <f t="shared" ca="1" si="372"/>
        <v>-5.5074395654535931E-3</v>
      </c>
      <c r="AF657" s="11">
        <f t="shared" ca="1" si="373"/>
        <v>0</v>
      </c>
      <c r="AG657" s="2">
        <f t="shared" ca="1" si="374"/>
        <v>-1.6358405771021967E-4</v>
      </c>
      <c r="AH657" s="2">
        <f t="shared" ca="1" si="375"/>
        <v>-1.614029402377854E-3</v>
      </c>
      <c r="AI657" s="2">
        <f t="shared" ca="1" si="376"/>
        <v>-1.4853760121635622E-5</v>
      </c>
      <c r="AJ657" s="2">
        <f t="shared" ca="1" si="377"/>
        <v>-1.1458026838550334E-3</v>
      </c>
      <c r="AK657" s="2">
        <f t="shared" ca="1" si="378"/>
        <v>-4.9053934342410677E-4</v>
      </c>
      <c r="AL657" s="2">
        <f t="shared" ca="1" si="379"/>
        <v>-5.5074395654535931E-3</v>
      </c>
      <c r="AN657" s="2" t="e">
        <f t="shared" ca="1" si="358"/>
        <v>#N/A</v>
      </c>
      <c r="AO657" s="2" t="e">
        <f t="shared" ca="1" si="359"/>
        <v>#N/A</v>
      </c>
      <c r="AP657" s="2" t="e">
        <f t="shared" ca="1" si="360"/>
        <v>#N/A</v>
      </c>
      <c r="AQ657" s="2" t="e">
        <f t="shared" ca="1" si="361"/>
        <v>#N/A</v>
      </c>
      <c r="AR657" s="2" t="e">
        <f t="shared" ca="1" si="362"/>
        <v>#N/A</v>
      </c>
      <c r="AS657" s="2" t="e">
        <f t="shared" ca="1" si="363"/>
        <v>#N/A</v>
      </c>
      <c r="AT657" s="9" t="e">
        <f t="shared" ca="1" si="364"/>
        <v>#N/A</v>
      </c>
      <c r="AU657" s="9" t="e">
        <f t="shared" ca="1" si="365"/>
        <v>#N/A</v>
      </c>
      <c r="AV657" s="9"/>
      <c r="AW657" s="2" t="e">
        <f t="shared" ca="1" si="350"/>
        <v>#N/A</v>
      </c>
      <c r="AX657" s="2" t="e">
        <f t="shared" ca="1" si="351"/>
        <v>#N/A</v>
      </c>
      <c r="AY657" s="2" t="e">
        <f t="shared" ca="1" si="352"/>
        <v>#N/A</v>
      </c>
      <c r="AZ657" s="2" t="e">
        <f t="shared" ca="1" si="353"/>
        <v>#N/A</v>
      </c>
      <c r="BA657" s="2" t="e">
        <f t="shared" ca="1" si="354"/>
        <v>#N/A</v>
      </c>
      <c r="BB657" s="2" t="e">
        <f t="shared" ca="1" si="355"/>
        <v>#N/A</v>
      </c>
      <c r="BC657" s="9" t="e">
        <f t="shared" ca="1" si="356"/>
        <v>#N/A</v>
      </c>
      <c r="BD657" s="9" t="e">
        <f t="shared" ca="1" si="357"/>
        <v>#N/A</v>
      </c>
    </row>
    <row r="658" spans="1:56" ht="15" x14ac:dyDescent="0.25">
      <c r="A658" s="63"/>
      <c r="B658" s="63"/>
      <c r="C658" s="64"/>
      <c r="D658" s="64"/>
      <c r="E658" s="64"/>
      <c r="F658" s="64"/>
      <c r="G658" s="64"/>
      <c r="H658" s="64"/>
      <c r="I658" s="64"/>
      <c r="J658" s="64"/>
      <c r="K658" s="64"/>
      <c r="L658" s="64"/>
      <c r="M658" s="64"/>
      <c r="N658" s="16"/>
      <c r="O658" s="11">
        <f t="shared" ref="O658:O666" ca="1" si="380">C658-AVERAGE(OFFSET(C$67,$J$2,0,$J$3))</f>
        <v>-3.9378682616450625E-4</v>
      </c>
      <c r="P658" s="11">
        <f t="shared" ref="P658:P666" ca="1" si="381">D658-AVERAGE(OFFSET(D$67,$J$2,0,$J$3))</f>
        <v>-1.6358405771021967E-4</v>
      </c>
      <c r="Q658" s="11">
        <f t="shared" ref="Q658:Q666" ca="1" si="382">E658-AVERAGE(OFFSET(E$67,$J$2,0,$J$3))</f>
        <v>-1.614029402377854E-3</v>
      </c>
      <c r="R658" s="11">
        <f t="shared" ref="R658:R666" ca="1" si="383">F658-AVERAGE(OFFSET(F$67,$J$2,0,$J$3))</f>
        <v>-1.4853760121635622E-5</v>
      </c>
      <c r="S658" s="11">
        <f t="shared" ref="S658:S666" ca="1" si="384">G658-AVERAGE(OFFSET(G$67,$J$2,0,$J$3))</f>
        <v>-1.1458026838550334E-3</v>
      </c>
      <c r="T658" s="11">
        <f t="shared" ref="T658:T666" ca="1" si="385">H658-AVERAGE(OFFSET(H$67,$J$2,0,$J$3))</f>
        <v>-4.9053934342410677E-4</v>
      </c>
      <c r="U658" s="11">
        <f t="shared" ref="U658:U666" ca="1" si="386">I658-AVERAGE(OFFSET(I$67,$J$2,0,$J$3))</f>
        <v>-5.5074395654535931E-3</v>
      </c>
      <c r="V658" s="11"/>
      <c r="W658" s="11">
        <f t="shared" ca="1" si="366"/>
        <v>0</v>
      </c>
      <c r="X658" s="2">
        <f t="shared" ca="1" si="367"/>
        <v>-1.6358405771021967E-4</v>
      </c>
      <c r="Y658" s="2">
        <f t="shared" ca="1" si="368"/>
        <v>-1.614029402377854E-3</v>
      </c>
      <c r="Z658" s="11">
        <f t="shared" ca="1" si="369"/>
        <v>-1.4853760121635622E-5</v>
      </c>
      <c r="AA658" s="2">
        <f t="shared" ca="1" si="370"/>
        <v>-1.1458026838550334E-3</v>
      </c>
      <c r="AB658" s="11">
        <f t="shared" ca="1" si="371"/>
        <v>-4.9053934342410677E-4</v>
      </c>
      <c r="AC658" s="2">
        <f t="shared" ca="1" si="372"/>
        <v>-5.5074395654535931E-3</v>
      </c>
      <c r="AF658" s="11">
        <f t="shared" ca="1" si="373"/>
        <v>0</v>
      </c>
      <c r="AG658" s="2">
        <f t="shared" ca="1" si="374"/>
        <v>-1.6358405771021967E-4</v>
      </c>
      <c r="AH658" s="2">
        <f t="shared" ca="1" si="375"/>
        <v>-1.614029402377854E-3</v>
      </c>
      <c r="AI658" s="2">
        <f t="shared" ca="1" si="376"/>
        <v>-1.4853760121635622E-5</v>
      </c>
      <c r="AJ658" s="2">
        <f t="shared" ca="1" si="377"/>
        <v>-1.1458026838550334E-3</v>
      </c>
      <c r="AK658" s="2">
        <f t="shared" ca="1" si="378"/>
        <v>-4.9053934342410677E-4</v>
      </c>
      <c r="AL658" s="2">
        <f t="shared" ca="1" si="379"/>
        <v>-5.5074395654535931E-3</v>
      </c>
      <c r="AN658" s="2" t="e">
        <f t="shared" ca="1" si="358"/>
        <v>#N/A</v>
      </c>
      <c r="AO658" s="2" t="e">
        <f t="shared" ca="1" si="359"/>
        <v>#N/A</v>
      </c>
      <c r="AP658" s="2" t="e">
        <f t="shared" ca="1" si="360"/>
        <v>#N/A</v>
      </c>
      <c r="AQ658" s="2" t="e">
        <f t="shared" ca="1" si="361"/>
        <v>#N/A</v>
      </c>
      <c r="AR658" s="2" t="e">
        <f t="shared" ca="1" si="362"/>
        <v>#N/A</v>
      </c>
      <c r="AS658" s="2" t="e">
        <f t="shared" ca="1" si="363"/>
        <v>#N/A</v>
      </c>
      <c r="AT658" s="9" t="e">
        <f t="shared" ca="1" si="364"/>
        <v>#N/A</v>
      </c>
      <c r="AU658" s="9" t="e">
        <f t="shared" ca="1" si="365"/>
        <v>#N/A</v>
      </c>
      <c r="AV658" s="9"/>
      <c r="AW658" s="2" t="e">
        <f t="shared" ca="1" si="350"/>
        <v>#N/A</v>
      </c>
      <c r="AX658" s="2" t="e">
        <f t="shared" ca="1" si="351"/>
        <v>#N/A</v>
      </c>
      <c r="AY658" s="2" t="e">
        <f t="shared" ca="1" si="352"/>
        <v>#N/A</v>
      </c>
      <c r="AZ658" s="2" t="e">
        <f t="shared" ca="1" si="353"/>
        <v>#N/A</v>
      </c>
      <c r="BA658" s="2" t="e">
        <f t="shared" ca="1" si="354"/>
        <v>#N/A</v>
      </c>
      <c r="BB658" s="2" t="e">
        <f t="shared" ca="1" si="355"/>
        <v>#N/A</v>
      </c>
      <c r="BC658" s="9" t="e">
        <f t="shared" ca="1" si="356"/>
        <v>#N/A</v>
      </c>
      <c r="BD658" s="9" t="e">
        <f t="shared" ca="1" si="357"/>
        <v>#N/A</v>
      </c>
    </row>
    <row r="659" spans="1:56" ht="15" x14ac:dyDescent="0.25">
      <c r="A659" s="63"/>
      <c r="B659" s="63"/>
      <c r="C659" s="64"/>
      <c r="D659" s="64"/>
      <c r="E659" s="64"/>
      <c r="F659" s="64"/>
      <c r="G659" s="64"/>
      <c r="H659" s="64"/>
      <c r="I659" s="64"/>
      <c r="J659" s="64"/>
      <c r="K659" s="64"/>
      <c r="L659" s="64"/>
      <c r="M659" s="64"/>
      <c r="N659" s="16"/>
      <c r="O659" s="11">
        <f t="shared" ca="1" si="380"/>
        <v>-3.9378682616450625E-4</v>
      </c>
      <c r="P659" s="11">
        <f t="shared" ca="1" si="381"/>
        <v>-1.6358405771021967E-4</v>
      </c>
      <c r="Q659" s="11">
        <f t="shared" ca="1" si="382"/>
        <v>-1.614029402377854E-3</v>
      </c>
      <c r="R659" s="11">
        <f t="shared" ca="1" si="383"/>
        <v>-1.4853760121635622E-5</v>
      </c>
      <c r="S659" s="11">
        <f t="shared" ca="1" si="384"/>
        <v>-1.1458026838550334E-3</v>
      </c>
      <c r="T659" s="11">
        <f t="shared" ca="1" si="385"/>
        <v>-4.9053934342410677E-4</v>
      </c>
      <c r="U659" s="11">
        <f t="shared" ca="1" si="386"/>
        <v>-5.5074395654535931E-3</v>
      </c>
      <c r="V659" s="11"/>
      <c r="W659" s="11">
        <f t="shared" ca="1" si="366"/>
        <v>0</v>
      </c>
      <c r="X659" s="2">
        <f t="shared" ca="1" si="367"/>
        <v>-1.6358405771021967E-4</v>
      </c>
      <c r="Y659" s="2">
        <f t="shared" ca="1" si="368"/>
        <v>-1.614029402377854E-3</v>
      </c>
      <c r="Z659" s="11">
        <f t="shared" ca="1" si="369"/>
        <v>-1.4853760121635622E-5</v>
      </c>
      <c r="AA659" s="2">
        <f t="shared" ca="1" si="370"/>
        <v>-1.1458026838550334E-3</v>
      </c>
      <c r="AB659" s="11">
        <f t="shared" ca="1" si="371"/>
        <v>-4.9053934342410677E-4</v>
      </c>
      <c r="AC659" s="2">
        <f t="shared" ca="1" si="372"/>
        <v>-5.5074395654535931E-3</v>
      </c>
      <c r="AF659" s="11">
        <f t="shared" ca="1" si="373"/>
        <v>0</v>
      </c>
      <c r="AG659" s="2">
        <f t="shared" ca="1" si="374"/>
        <v>-1.6358405771021967E-4</v>
      </c>
      <c r="AH659" s="2">
        <f t="shared" ca="1" si="375"/>
        <v>-1.614029402377854E-3</v>
      </c>
      <c r="AI659" s="2">
        <f t="shared" ca="1" si="376"/>
        <v>-1.4853760121635622E-5</v>
      </c>
      <c r="AJ659" s="2">
        <f t="shared" ca="1" si="377"/>
        <v>-1.1458026838550334E-3</v>
      </c>
      <c r="AK659" s="2">
        <f t="shared" ca="1" si="378"/>
        <v>-4.9053934342410677E-4</v>
      </c>
      <c r="AL659" s="2">
        <f t="shared" ca="1" si="379"/>
        <v>-5.5074395654535931E-3</v>
      </c>
      <c r="AN659" s="2" t="e">
        <f t="shared" ca="1" si="358"/>
        <v>#N/A</v>
      </c>
      <c r="AO659" s="2" t="e">
        <f t="shared" ca="1" si="359"/>
        <v>#N/A</v>
      </c>
      <c r="AP659" s="2" t="e">
        <f t="shared" ca="1" si="360"/>
        <v>#N/A</v>
      </c>
      <c r="AQ659" s="2" t="e">
        <f t="shared" ca="1" si="361"/>
        <v>#N/A</v>
      </c>
      <c r="AR659" s="2" t="e">
        <f t="shared" ca="1" si="362"/>
        <v>#N/A</v>
      </c>
      <c r="AS659" s="2" t="e">
        <f t="shared" ca="1" si="363"/>
        <v>#N/A</v>
      </c>
      <c r="AT659" s="9" t="e">
        <f t="shared" ca="1" si="364"/>
        <v>#N/A</v>
      </c>
      <c r="AU659" s="9" t="e">
        <f t="shared" ca="1" si="365"/>
        <v>#N/A</v>
      </c>
      <c r="AV659" s="9"/>
      <c r="AW659" s="2" t="e">
        <f t="shared" ca="1" si="350"/>
        <v>#N/A</v>
      </c>
      <c r="AX659" s="2" t="e">
        <f t="shared" ca="1" si="351"/>
        <v>#N/A</v>
      </c>
      <c r="AY659" s="2" t="e">
        <f t="shared" ca="1" si="352"/>
        <v>#N/A</v>
      </c>
      <c r="AZ659" s="2" t="e">
        <f t="shared" ca="1" si="353"/>
        <v>#N/A</v>
      </c>
      <c r="BA659" s="2" t="e">
        <f t="shared" ca="1" si="354"/>
        <v>#N/A</v>
      </c>
      <c r="BB659" s="2" t="e">
        <f t="shared" ca="1" si="355"/>
        <v>#N/A</v>
      </c>
      <c r="BC659" s="9" t="e">
        <f t="shared" ca="1" si="356"/>
        <v>#N/A</v>
      </c>
      <c r="BD659" s="9" t="e">
        <f t="shared" ca="1" si="357"/>
        <v>#N/A</v>
      </c>
    </row>
    <row r="660" spans="1:56" ht="15" x14ac:dyDescent="0.25">
      <c r="A660" s="63"/>
      <c r="B660" s="63"/>
      <c r="C660" s="64"/>
      <c r="D660" s="64"/>
      <c r="E660" s="64"/>
      <c r="F660" s="64"/>
      <c r="G660" s="64"/>
      <c r="H660" s="64"/>
      <c r="I660" s="64"/>
      <c r="J660" s="64"/>
      <c r="K660" s="64"/>
      <c r="L660" s="64"/>
      <c r="M660" s="64"/>
      <c r="N660" s="16"/>
      <c r="O660" s="11">
        <f t="shared" ca="1" si="380"/>
        <v>-3.9378682616450625E-4</v>
      </c>
      <c r="P660" s="11">
        <f t="shared" ca="1" si="381"/>
        <v>-1.6358405771021967E-4</v>
      </c>
      <c r="Q660" s="11">
        <f t="shared" ca="1" si="382"/>
        <v>-1.614029402377854E-3</v>
      </c>
      <c r="R660" s="11">
        <f t="shared" ca="1" si="383"/>
        <v>-1.4853760121635622E-5</v>
      </c>
      <c r="S660" s="11">
        <f t="shared" ca="1" si="384"/>
        <v>-1.1458026838550334E-3</v>
      </c>
      <c r="T660" s="11">
        <f t="shared" ca="1" si="385"/>
        <v>-4.9053934342410677E-4</v>
      </c>
      <c r="U660" s="11">
        <f t="shared" ca="1" si="386"/>
        <v>-5.5074395654535931E-3</v>
      </c>
      <c r="V660" s="11"/>
      <c r="W660" s="11">
        <f t="shared" ca="1" si="366"/>
        <v>0</v>
      </c>
      <c r="X660" s="2">
        <f t="shared" ca="1" si="367"/>
        <v>-1.6358405771021967E-4</v>
      </c>
      <c r="Y660" s="2">
        <f t="shared" ca="1" si="368"/>
        <v>-1.614029402377854E-3</v>
      </c>
      <c r="Z660" s="11">
        <f t="shared" ca="1" si="369"/>
        <v>-1.4853760121635622E-5</v>
      </c>
      <c r="AA660" s="2">
        <f t="shared" ca="1" si="370"/>
        <v>-1.1458026838550334E-3</v>
      </c>
      <c r="AB660" s="11">
        <f t="shared" ca="1" si="371"/>
        <v>-4.9053934342410677E-4</v>
      </c>
      <c r="AC660" s="2">
        <f t="shared" ca="1" si="372"/>
        <v>-5.5074395654535931E-3</v>
      </c>
      <c r="AF660" s="11">
        <f t="shared" ca="1" si="373"/>
        <v>0</v>
      </c>
      <c r="AG660" s="2">
        <f t="shared" ca="1" si="374"/>
        <v>-1.6358405771021967E-4</v>
      </c>
      <c r="AH660" s="2">
        <f t="shared" ca="1" si="375"/>
        <v>-1.614029402377854E-3</v>
      </c>
      <c r="AI660" s="2">
        <f t="shared" ca="1" si="376"/>
        <v>-1.4853760121635622E-5</v>
      </c>
      <c r="AJ660" s="2">
        <f t="shared" ca="1" si="377"/>
        <v>-1.1458026838550334E-3</v>
      </c>
      <c r="AK660" s="2">
        <f t="shared" ca="1" si="378"/>
        <v>-4.9053934342410677E-4</v>
      </c>
      <c r="AL660" s="2">
        <f t="shared" ca="1" si="379"/>
        <v>-5.5074395654535931E-3</v>
      </c>
      <c r="AN660" s="2" t="e">
        <f t="shared" ca="1" si="358"/>
        <v>#N/A</v>
      </c>
      <c r="AO660" s="2" t="e">
        <f t="shared" ca="1" si="359"/>
        <v>#N/A</v>
      </c>
      <c r="AP660" s="2" t="e">
        <f t="shared" ca="1" si="360"/>
        <v>#N/A</v>
      </c>
      <c r="AQ660" s="2" t="e">
        <f t="shared" ca="1" si="361"/>
        <v>#N/A</v>
      </c>
      <c r="AR660" s="2" t="e">
        <f t="shared" ca="1" si="362"/>
        <v>#N/A</v>
      </c>
      <c r="AS660" s="2" t="e">
        <f t="shared" ca="1" si="363"/>
        <v>#N/A</v>
      </c>
      <c r="AT660" s="9" t="e">
        <f t="shared" ca="1" si="364"/>
        <v>#N/A</v>
      </c>
      <c r="AU660" s="9" t="e">
        <f t="shared" ca="1" si="365"/>
        <v>#N/A</v>
      </c>
      <c r="AV660" s="9"/>
      <c r="AW660" s="2" t="e">
        <f t="shared" ca="1" si="350"/>
        <v>#N/A</v>
      </c>
      <c r="AX660" s="2" t="e">
        <f t="shared" ca="1" si="351"/>
        <v>#N/A</v>
      </c>
      <c r="AY660" s="2" t="e">
        <f t="shared" ca="1" si="352"/>
        <v>#N/A</v>
      </c>
      <c r="AZ660" s="2" t="e">
        <f t="shared" ca="1" si="353"/>
        <v>#N/A</v>
      </c>
      <c r="BA660" s="2" t="e">
        <f t="shared" ca="1" si="354"/>
        <v>#N/A</v>
      </c>
      <c r="BB660" s="2" t="e">
        <f t="shared" ca="1" si="355"/>
        <v>#N/A</v>
      </c>
      <c r="BC660" s="9" t="e">
        <f t="shared" ca="1" si="356"/>
        <v>#N/A</v>
      </c>
      <c r="BD660" s="9" t="e">
        <f t="shared" ca="1" si="357"/>
        <v>#N/A</v>
      </c>
    </row>
    <row r="661" spans="1:56" ht="15" x14ac:dyDescent="0.25">
      <c r="A661" s="63"/>
      <c r="B661" s="63"/>
      <c r="C661" s="64"/>
      <c r="D661" s="64"/>
      <c r="E661" s="64"/>
      <c r="F661" s="64"/>
      <c r="G661" s="64"/>
      <c r="H661" s="64"/>
      <c r="I661" s="64"/>
      <c r="J661" s="64"/>
      <c r="K661" s="64"/>
      <c r="L661" s="64"/>
      <c r="M661" s="64"/>
      <c r="N661" s="16"/>
      <c r="O661" s="11">
        <f t="shared" ca="1" si="380"/>
        <v>-3.9378682616450625E-4</v>
      </c>
      <c r="P661" s="11">
        <f t="shared" ca="1" si="381"/>
        <v>-1.6358405771021967E-4</v>
      </c>
      <c r="Q661" s="11">
        <f t="shared" ca="1" si="382"/>
        <v>-1.614029402377854E-3</v>
      </c>
      <c r="R661" s="11">
        <f t="shared" ca="1" si="383"/>
        <v>-1.4853760121635622E-5</v>
      </c>
      <c r="S661" s="11">
        <f t="shared" ca="1" si="384"/>
        <v>-1.1458026838550334E-3</v>
      </c>
      <c r="T661" s="11">
        <f t="shared" ca="1" si="385"/>
        <v>-4.9053934342410677E-4</v>
      </c>
      <c r="U661" s="11">
        <f t="shared" ca="1" si="386"/>
        <v>-5.5074395654535931E-3</v>
      </c>
      <c r="V661" s="11"/>
      <c r="W661" s="11">
        <f t="shared" ca="1" si="366"/>
        <v>0</v>
      </c>
      <c r="X661" s="2">
        <f t="shared" ca="1" si="367"/>
        <v>-1.6358405771021967E-4</v>
      </c>
      <c r="Y661" s="2">
        <f t="shared" ca="1" si="368"/>
        <v>-1.614029402377854E-3</v>
      </c>
      <c r="Z661" s="11">
        <f t="shared" ca="1" si="369"/>
        <v>-1.4853760121635622E-5</v>
      </c>
      <c r="AA661" s="2">
        <f t="shared" ca="1" si="370"/>
        <v>-1.1458026838550334E-3</v>
      </c>
      <c r="AB661" s="11">
        <f t="shared" ca="1" si="371"/>
        <v>-4.9053934342410677E-4</v>
      </c>
      <c r="AC661" s="2">
        <f t="shared" ca="1" si="372"/>
        <v>-5.5074395654535931E-3</v>
      </c>
      <c r="AF661" s="11">
        <f t="shared" ca="1" si="373"/>
        <v>0</v>
      </c>
      <c r="AG661" s="2">
        <f t="shared" ca="1" si="374"/>
        <v>-1.6358405771021967E-4</v>
      </c>
      <c r="AH661" s="2">
        <f t="shared" ca="1" si="375"/>
        <v>-1.614029402377854E-3</v>
      </c>
      <c r="AI661" s="2">
        <f t="shared" ca="1" si="376"/>
        <v>-1.4853760121635622E-5</v>
      </c>
      <c r="AJ661" s="2">
        <f t="shared" ca="1" si="377"/>
        <v>-1.1458026838550334E-3</v>
      </c>
      <c r="AK661" s="2">
        <f t="shared" ca="1" si="378"/>
        <v>-4.9053934342410677E-4</v>
      </c>
      <c r="AL661" s="2">
        <f t="shared" ca="1" si="379"/>
        <v>-5.5074395654535931E-3</v>
      </c>
      <c r="AN661" s="2" t="e">
        <f t="shared" ca="1" si="358"/>
        <v>#N/A</v>
      </c>
      <c r="AO661" s="2" t="e">
        <f t="shared" ca="1" si="359"/>
        <v>#N/A</v>
      </c>
      <c r="AP661" s="2" t="e">
        <f t="shared" ca="1" si="360"/>
        <v>#N/A</v>
      </c>
      <c r="AQ661" s="2" t="e">
        <f t="shared" ca="1" si="361"/>
        <v>#N/A</v>
      </c>
      <c r="AR661" s="2" t="e">
        <f t="shared" ca="1" si="362"/>
        <v>#N/A</v>
      </c>
      <c r="AS661" s="2" t="e">
        <f t="shared" ca="1" si="363"/>
        <v>#N/A</v>
      </c>
      <c r="AT661" s="9" t="e">
        <f t="shared" ca="1" si="364"/>
        <v>#N/A</v>
      </c>
      <c r="AU661" s="9" t="e">
        <f t="shared" ca="1" si="365"/>
        <v>#N/A</v>
      </c>
      <c r="AV661" s="9"/>
      <c r="AW661" s="2" t="e">
        <f t="shared" ca="1" si="350"/>
        <v>#N/A</v>
      </c>
      <c r="AX661" s="2" t="e">
        <f t="shared" ca="1" si="351"/>
        <v>#N/A</v>
      </c>
      <c r="AY661" s="2" t="e">
        <f t="shared" ca="1" si="352"/>
        <v>#N/A</v>
      </c>
      <c r="AZ661" s="2" t="e">
        <f t="shared" ca="1" si="353"/>
        <v>#N/A</v>
      </c>
      <c r="BA661" s="2" t="e">
        <f t="shared" ca="1" si="354"/>
        <v>#N/A</v>
      </c>
      <c r="BB661" s="2" t="e">
        <f t="shared" ca="1" si="355"/>
        <v>#N/A</v>
      </c>
      <c r="BC661" s="9" t="e">
        <f t="shared" ca="1" si="356"/>
        <v>#N/A</v>
      </c>
      <c r="BD661" s="9" t="e">
        <f t="shared" ca="1" si="357"/>
        <v>#N/A</v>
      </c>
    </row>
    <row r="662" spans="1:56" ht="15" x14ac:dyDescent="0.25">
      <c r="A662" s="63"/>
      <c r="B662" s="63"/>
      <c r="C662" s="64"/>
      <c r="D662" s="64"/>
      <c r="E662" s="64"/>
      <c r="F662" s="64"/>
      <c r="G662" s="64"/>
      <c r="H662" s="64"/>
      <c r="I662" s="64"/>
      <c r="J662" s="64"/>
      <c r="K662" s="64"/>
      <c r="L662" s="64"/>
      <c r="M662" s="64"/>
      <c r="N662" s="16"/>
      <c r="O662" s="11">
        <f t="shared" ca="1" si="380"/>
        <v>-3.9378682616450625E-4</v>
      </c>
      <c r="P662" s="11">
        <f t="shared" ca="1" si="381"/>
        <v>-1.6358405771021967E-4</v>
      </c>
      <c r="Q662" s="11">
        <f t="shared" ca="1" si="382"/>
        <v>-1.614029402377854E-3</v>
      </c>
      <c r="R662" s="11">
        <f t="shared" ca="1" si="383"/>
        <v>-1.4853760121635622E-5</v>
      </c>
      <c r="S662" s="11">
        <f t="shared" ca="1" si="384"/>
        <v>-1.1458026838550334E-3</v>
      </c>
      <c r="T662" s="11">
        <f t="shared" ca="1" si="385"/>
        <v>-4.9053934342410677E-4</v>
      </c>
      <c r="U662" s="11">
        <f t="shared" ca="1" si="386"/>
        <v>-5.5074395654535931E-3</v>
      </c>
      <c r="V662" s="11"/>
      <c r="W662" s="11">
        <f t="shared" ca="1" si="366"/>
        <v>0</v>
      </c>
      <c r="X662" s="2">
        <f t="shared" ca="1" si="367"/>
        <v>-1.6358405771021967E-4</v>
      </c>
      <c r="Y662" s="2">
        <f t="shared" ca="1" si="368"/>
        <v>-1.614029402377854E-3</v>
      </c>
      <c r="Z662" s="11">
        <f t="shared" ca="1" si="369"/>
        <v>-1.4853760121635622E-5</v>
      </c>
      <c r="AA662" s="2">
        <f t="shared" ca="1" si="370"/>
        <v>-1.1458026838550334E-3</v>
      </c>
      <c r="AB662" s="11">
        <f t="shared" ca="1" si="371"/>
        <v>-4.9053934342410677E-4</v>
      </c>
      <c r="AC662" s="2">
        <f t="shared" ca="1" si="372"/>
        <v>-5.5074395654535931E-3</v>
      </c>
      <c r="AF662" s="11">
        <f t="shared" ca="1" si="373"/>
        <v>0</v>
      </c>
      <c r="AG662" s="2">
        <f t="shared" ca="1" si="374"/>
        <v>-1.6358405771021967E-4</v>
      </c>
      <c r="AH662" s="2">
        <f t="shared" ca="1" si="375"/>
        <v>-1.614029402377854E-3</v>
      </c>
      <c r="AI662" s="2">
        <f t="shared" ca="1" si="376"/>
        <v>-1.4853760121635622E-5</v>
      </c>
      <c r="AJ662" s="2">
        <f t="shared" ca="1" si="377"/>
        <v>-1.1458026838550334E-3</v>
      </c>
      <c r="AK662" s="2">
        <f t="shared" ca="1" si="378"/>
        <v>-4.9053934342410677E-4</v>
      </c>
      <c r="AL662" s="2">
        <f t="shared" ca="1" si="379"/>
        <v>-5.5074395654535931E-3</v>
      </c>
      <c r="AN662" s="2" t="e">
        <f t="shared" ca="1" si="358"/>
        <v>#N/A</v>
      </c>
      <c r="AO662" s="2" t="e">
        <f t="shared" ca="1" si="359"/>
        <v>#N/A</v>
      </c>
      <c r="AP662" s="2" t="e">
        <f t="shared" ca="1" si="360"/>
        <v>#N/A</v>
      </c>
      <c r="AQ662" s="2" t="e">
        <f t="shared" ca="1" si="361"/>
        <v>#N/A</v>
      </c>
      <c r="AR662" s="2" t="e">
        <f t="shared" ca="1" si="362"/>
        <v>#N/A</v>
      </c>
      <c r="AS662" s="2" t="e">
        <f t="shared" ca="1" si="363"/>
        <v>#N/A</v>
      </c>
      <c r="AT662" s="9" t="e">
        <f t="shared" ca="1" si="364"/>
        <v>#N/A</v>
      </c>
      <c r="AU662" s="9" t="e">
        <f t="shared" ca="1" si="365"/>
        <v>#N/A</v>
      </c>
      <c r="AV662" s="9"/>
      <c r="AW662" s="2" t="e">
        <f t="shared" ca="1" si="350"/>
        <v>#N/A</v>
      </c>
      <c r="AX662" s="2" t="e">
        <f t="shared" ca="1" si="351"/>
        <v>#N/A</v>
      </c>
      <c r="AY662" s="2" t="e">
        <f t="shared" ca="1" si="352"/>
        <v>#N/A</v>
      </c>
      <c r="AZ662" s="2" t="e">
        <f t="shared" ca="1" si="353"/>
        <v>#N/A</v>
      </c>
      <c r="BA662" s="2" t="e">
        <f t="shared" ca="1" si="354"/>
        <v>#N/A</v>
      </c>
      <c r="BB662" s="2" t="e">
        <f t="shared" ca="1" si="355"/>
        <v>#N/A</v>
      </c>
      <c r="BC662" s="9" t="e">
        <f t="shared" ca="1" si="356"/>
        <v>#N/A</v>
      </c>
      <c r="BD662" s="9" t="e">
        <f t="shared" ca="1" si="357"/>
        <v>#N/A</v>
      </c>
    </row>
    <row r="663" spans="1:56" ht="15" x14ac:dyDescent="0.25">
      <c r="A663" s="63"/>
      <c r="B663" s="63"/>
      <c r="C663" s="64"/>
      <c r="D663" s="64"/>
      <c r="E663" s="64"/>
      <c r="F663" s="64"/>
      <c r="G663" s="64"/>
      <c r="H663" s="64"/>
      <c r="I663" s="64"/>
      <c r="J663" s="64"/>
      <c r="K663" s="64"/>
      <c r="L663" s="64"/>
      <c r="M663" s="64"/>
      <c r="N663" s="16"/>
      <c r="O663" s="11">
        <f t="shared" ca="1" si="380"/>
        <v>-3.9378682616450625E-4</v>
      </c>
      <c r="P663" s="11">
        <f t="shared" ca="1" si="381"/>
        <v>-1.6358405771021967E-4</v>
      </c>
      <c r="Q663" s="11">
        <f t="shared" ca="1" si="382"/>
        <v>-1.614029402377854E-3</v>
      </c>
      <c r="R663" s="11">
        <f t="shared" ca="1" si="383"/>
        <v>-1.4853760121635622E-5</v>
      </c>
      <c r="S663" s="11">
        <f t="shared" ca="1" si="384"/>
        <v>-1.1458026838550334E-3</v>
      </c>
      <c r="T663" s="11">
        <f t="shared" ca="1" si="385"/>
        <v>-4.9053934342410677E-4</v>
      </c>
      <c r="U663" s="11">
        <f t="shared" ca="1" si="386"/>
        <v>-5.5074395654535931E-3</v>
      </c>
      <c r="V663" s="11"/>
      <c r="W663" s="11">
        <f t="shared" ca="1" si="366"/>
        <v>0</v>
      </c>
      <c r="X663" s="2">
        <f t="shared" ca="1" si="367"/>
        <v>-1.6358405771021967E-4</v>
      </c>
      <c r="Y663" s="2">
        <f t="shared" ca="1" si="368"/>
        <v>-1.614029402377854E-3</v>
      </c>
      <c r="Z663" s="11">
        <f t="shared" ca="1" si="369"/>
        <v>-1.4853760121635622E-5</v>
      </c>
      <c r="AA663" s="2">
        <f t="shared" ca="1" si="370"/>
        <v>-1.1458026838550334E-3</v>
      </c>
      <c r="AB663" s="11">
        <f t="shared" ca="1" si="371"/>
        <v>-4.9053934342410677E-4</v>
      </c>
      <c r="AC663" s="2">
        <f t="shared" ca="1" si="372"/>
        <v>-5.5074395654535931E-3</v>
      </c>
      <c r="AF663" s="11">
        <f t="shared" ca="1" si="373"/>
        <v>0</v>
      </c>
      <c r="AG663" s="2">
        <f t="shared" ca="1" si="374"/>
        <v>-1.6358405771021967E-4</v>
      </c>
      <c r="AH663" s="2">
        <f t="shared" ca="1" si="375"/>
        <v>-1.614029402377854E-3</v>
      </c>
      <c r="AI663" s="2">
        <f t="shared" ca="1" si="376"/>
        <v>-1.4853760121635622E-5</v>
      </c>
      <c r="AJ663" s="2">
        <f t="shared" ca="1" si="377"/>
        <v>-1.1458026838550334E-3</v>
      </c>
      <c r="AK663" s="2">
        <f t="shared" ca="1" si="378"/>
        <v>-4.9053934342410677E-4</v>
      </c>
      <c r="AL663" s="2">
        <f t="shared" ca="1" si="379"/>
        <v>-5.5074395654535931E-3</v>
      </c>
      <c r="AN663" s="2" t="e">
        <f t="shared" ca="1" si="358"/>
        <v>#N/A</v>
      </c>
      <c r="AO663" s="2" t="e">
        <f t="shared" ca="1" si="359"/>
        <v>#N/A</v>
      </c>
      <c r="AP663" s="2" t="e">
        <f t="shared" ca="1" si="360"/>
        <v>#N/A</v>
      </c>
      <c r="AQ663" s="2" t="e">
        <f t="shared" ca="1" si="361"/>
        <v>#N/A</v>
      </c>
      <c r="AR663" s="2" t="e">
        <f t="shared" ca="1" si="362"/>
        <v>#N/A</v>
      </c>
      <c r="AS663" s="2" t="e">
        <f t="shared" ca="1" si="363"/>
        <v>#N/A</v>
      </c>
      <c r="AT663" s="9" t="e">
        <f t="shared" ca="1" si="364"/>
        <v>#N/A</v>
      </c>
      <c r="AU663" s="9" t="e">
        <f t="shared" ca="1" si="365"/>
        <v>#N/A</v>
      </c>
      <c r="AV663" s="9"/>
      <c r="AW663" s="2" t="e">
        <f t="shared" ref="AW663:AW726" ca="1" si="387">IF(AND(AL663&gt;0, AJ663&gt;0), AL663/AJ663, #N/A)</f>
        <v>#N/A</v>
      </c>
      <c r="AX663" s="2" t="e">
        <f t="shared" ref="AX663:AX726" ca="1" si="388">$B$8*((AW663/$B$10)^$B$11)</f>
        <v>#N/A</v>
      </c>
      <c r="AY663" s="2" t="e">
        <f t="shared" ref="AY663:AY726" ca="1" si="389">AX663*AI663</f>
        <v>#N/A</v>
      </c>
      <c r="AZ663" s="2" t="e">
        <f t="shared" ref="AZ663:AZ726" ca="1" si="390">AK663-AY663</f>
        <v>#N/A</v>
      </c>
      <c r="BA663" s="2" t="e">
        <f t="shared" ref="BA663:BA726" ca="1" si="391">(AZ663/AJ663)/((AW663/$B$10)^$B$12)</f>
        <v>#N/A</v>
      </c>
      <c r="BB663" s="2" t="e">
        <f t="shared" ref="BB663:BB726" ca="1" si="392">(AH663/AJ663)/((AW663/$B$10)^$B$13)</f>
        <v>#N/A</v>
      </c>
      <c r="BC663" s="9" t="e">
        <f t="shared" ref="BC663:BC726" ca="1" si="393">IF(AND(BA663&lt;$P$3,BA663&gt;$P$4),BA663,"rejected")</f>
        <v>#N/A</v>
      </c>
      <c r="BD663" s="9" t="e">
        <f t="shared" ref="BD663:BD726" ca="1" si="394">IF(AND(BA663&lt;$P$3,BA663&gt;$P$4),BA663,#N/A)</f>
        <v>#N/A</v>
      </c>
    </row>
    <row r="664" spans="1:56" ht="15" x14ac:dyDescent="0.25">
      <c r="A664" s="63"/>
      <c r="B664" s="63"/>
      <c r="C664" s="64"/>
      <c r="D664" s="64"/>
      <c r="E664" s="64"/>
      <c r="F664" s="64"/>
      <c r="G664" s="64"/>
      <c r="H664" s="64"/>
      <c r="I664" s="64"/>
      <c r="J664" s="64"/>
      <c r="K664" s="64"/>
      <c r="L664" s="64"/>
      <c r="M664" s="64"/>
      <c r="N664" s="16"/>
      <c r="O664" s="11">
        <f t="shared" ca="1" si="380"/>
        <v>-3.9378682616450625E-4</v>
      </c>
      <c r="P664" s="11">
        <f t="shared" ca="1" si="381"/>
        <v>-1.6358405771021967E-4</v>
      </c>
      <c r="Q664" s="11">
        <f t="shared" ca="1" si="382"/>
        <v>-1.614029402377854E-3</v>
      </c>
      <c r="R664" s="11">
        <f t="shared" ca="1" si="383"/>
        <v>-1.4853760121635622E-5</v>
      </c>
      <c r="S664" s="11">
        <f t="shared" ca="1" si="384"/>
        <v>-1.1458026838550334E-3</v>
      </c>
      <c r="T664" s="11">
        <f t="shared" ca="1" si="385"/>
        <v>-4.9053934342410677E-4</v>
      </c>
      <c r="U664" s="11">
        <f t="shared" ca="1" si="386"/>
        <v>-5.5074395654535931E-3</v>
      </c>
      <c r="V664" s="11"/>
      <c r="W664" s="11">
        <f t="shared" ca="1" si="366"/>
        <v>0</v>
      </c>
      <c r="X664" s="2">
        <f t="shared" ca="1" si="367"/>
        <v>-1.6358405771021967E-4</v>
      </c>
      <c r="Y664" s="2">
        <f t="shared" ca="1" si="368"/>
        <v>-1.614029402377854E-3</v>
      </c>
      <c r="Z664" s="11">
        <f t="shared" ca="1" si="369"/>
        <v>-1.4853760121635622E-5</v>
      </c>
      <c r="AA664" s="2">
        <f t="shared" ca="1" si="370"/>
        <v>-1.1458026838550334E-3</v>
      </c>
      <c r="AB664" s="11">
        <f t="shared" ca="1" si="371"/>
        <v>-4.9053934342410677E-4</v>
      </c>
      <c r="AC664" s="2">
        <f t="shared" ca="1" si="372"/>
        <v>-5.5074395654535931E-3</v>
      </c>
      <c r="AF664" s="11">
        <f t="shared" ca="1" si="373"/>
        <v>0</v>
      </c>
      <c r="AG664" s="2">
        <f t="shared" ca="1" si="374"/>
        <v>-1.6358405771021967E-4</v>
      </c>
      <c r="AH664" s="2">
        <f t="shared" ca="1" si="375"/>
        <v>-1.614029402377854E-3</v>
      </c>
      <c r="AI664" s="2">
        <f t="shared" ca="1" si="376"/>
        <v>-1.4853760121635622E-5</v>
      </c>
      <c r="AJ664" s="2">
        <f t="shared" ca="1" si="377"/>
        <v>-1.1458026838550334E-3</v>
      </c>
      <c r="AK664" s="2">
        <f t="shared" ca="1" si="378"/>
        <v>-4.9053934342410677E-4</v>
      </c>
      <c r="AL664" s="2">
        <f t="shared" ca="1" si="379"/>
        <v>-5.5074395654535931E-3</v>
      </c>
      <c r="AN664" s="2" t="e">
        <f t="shared" ca="1" si="358"/>
        <v>#N/A</v>
      </c>
      <c r="AO664" s="2" t="e">
        <f t="shared" ca="1" si="359"/>
        <v>#N/A</v>
      </c>
      <c r="AP664" s="2" t="e">
        <f t="shared" ca="1" si="360"/>
        <v>#N/A</v>
      </c>
      <c r="AQ664" s="2" t="e">
        <f t="shared" ca="1" si="361"/>
        <v>#N/A</v>
      </c>
      <c r="AR664" s="2" t="e">
        <f t="shared" ca="1" si="362"/>
        <v>#N/A</v>
      </c>
      <c r="AS664" s="2" t="e">
        <f t="shared" ca="1" si="363"/>
        <v>#N/A</v>
      </c>
      <c r="AT664" s="9" t="e">
        <f t="shared" ca="1" si="364"/>
        <v>#N/A</v>
      </c>
      <c r="AU664" s="9" t="e">
        <f t="shared" ca="1" si="365"/>
        <v>#N/A</v>
      </c>
      <c r="AV664" s="9"/>
      <c r="AW664" s="2" t="e">
        <f t="shared" ca="1" si="387"/>
        <v>#N/A</v>
      </c>
      <c r="AX664" s="2" t="e">
        <f t="shared" ca="1" si="388"/>
        <v>#N/A</v>
      </c>
      <c r="AY664" s="2" t="e">
        <f t="shared" ca="1" si="389"/>
        <v>#N/A</v>
      </c>
      <c r="AZ664" s="2" t="e">
        <f t="shared" ca="1" si="390"/>
        <v>#N/A</v>
      </c>
      <c r="BA664" s="2" t="e">
        <f t="shared" ca="1" si="391"/>
        <v>#N/A</v>
      </c>
      <c r="BB664" s="2" t="e">
        <f t="shared" ca="1" si="392"/>
        <v>#N/A</v>
      </c>
      <c r="BC664" s="9" t="e">
        <f t="shared" ca="1" si="393"/>
        <v>#N/A</v>
      </c>
      <c r="BD664" s="9" t="e">
        <f t="shared" ca="1" si="394"/>
        <v>#N/A</v>
      </c>
    </row>
    <row r="665" spans="1:56" ht="15" x14ac:dyDescent="0.25">
      <c r="A665" s="63"/>
      <c r="B665" s="63"/>
      <c r="C665" s="64"/>
      <c r="D665" s="64"/>
      <c r="E665" s="64"/>
      <c r="F665" s="64"/>
      <c r="G665" s="64"/>
      <c r="H665" s="64"/>
      <c r="I665" s="64"/>
      <c r="J665" s="64"/>
      <c r="K665" s="64"/>
      <c r="L665" s="64"/>
      <c r="M665" s="64"/>
      <c r="N665" s="16"/>
      <c r="O665" s="11">
        <f t="shared" ca="1" si="380"/>
        <v>-3.9378682616450625E-4</v>
      </c>
      <c r="P665" s="11">
        <f t="shared" ca="1" si="381"/>
        <v>-1.6358405771021967E-4</v>
      </c>
      <c r="Q665" s="11">
        <f t="shared" ca="1" si="382"/>
        <v>-1.614029402377854E-3</v>
      </c>
      <c r="R665" s="11">
        <f t="shared" ca="1" si="383"/>
        <v>-1.4853760121635622E-5</v>
      </c>
      <c r="S665" s="11">
        <f t="shared" ca="1" si="384"/>
        <v>-1.1458026838550334E-3</v>
      </c>
      <c r="T665" s="11">
        <f t="shared" ca="1" si="385"/>
        <v>-4.9053934342410677E-4</v>
      </c>
      <c r="U665" s="11">
        <f t="shared" ca="1" si="386"/>
        <v>-5.5074395654535931E-3</v>
      </c>
      <c r="V665" s="11"/>
      <c r="W665" s="11">
        <f t="shared" ca="1" si="366"/>
        <v>0</v>
      </c>
      <c r="X665" s="2">
        <f t="shared" ca="1" si="367"/>
        <v>-1.6358405771021967E-4</v>
      </c>
      <c r="Y665" s="2">
        <f t="shared" ca="1" si="368"/>
        <v>-1.614029402377854E-3</v>
      </c>
      <c r="Z665" s="11">
        <f t="shared" ca="1" si="369"/>
        <v>-1.4853760121635622E-5</v>
      </c>
      <c r="AA665" s="2">
        <f t="shared" ca="1" si="370"/>
        <v>-1.1458026838550334E-3</v>
      </c>
      <c r="AB665" s="11">
        <f t="shared" ca="1" si="371"/>
        <v>-4.9053934342410677E-4</v>
      </c>
      <c r="AC665" s="2">
        <f t="shared" ca="1" si="372"/>
        <v>-5.5074395654535931E-3</v>
      </c>
      <c r="AF665" s="11">
        <f t="shared" ca="1" si="373"/>
        <v>0</v>
      </c>
      <c r="AG665" s="2">
        <f t="shared" ca="1" si="374"/>
        <v>-1.6358405771021967E-4</v>
      </c>
      <c r="AH665" s="2">
        <f t="shared" ca="1" si="375"/>
        <v>-1.614029402377854E-3</v>
      </c>
      <c r="AI665" s="2">
        <f t="shared" ca="1" si="376"/>
        <v>-1.4853760121635622E-5</v>
      </c>
      <c r="AJ665" s="2">
        <f t="shared" ca="1" si="377"/>
        <v>-1.1458026838550334E-3</v>
      </c>
      <c r="AK665" s="2">
        <f t="shared" ca="1" si="378"/>
        <v>-4.9053934342410677E-4</v>
      </c>
      <c r="AL665" s="2">
        <f t="shared" ca="1" si="379"/>
        <v>-5.5074395654535931E-3</v>
      </c>
      <c r="AN665" s="2" t="e">
        <f t="shared" ca="1" si="358"/>
        <v>#N/A</v>
      </c>
      <c r="AO665" s="2" t="e">
        <f t="shared" ca="1" si="359"/>
        <v>#N/A</v>
      </c>
      <c r="AP665" s="2" t="e">
        <f t="shared" ca="1" si="360"/>
        <v>#N/A</v>
      </c>
      <c r="AQ665" s="2" t="e">
        <f t="shared" ca="1" si="361"/>
        <v>#N/A</v>
      </c>
      <c r="AR665" s="2" t="e">
        <f t="shared" ca="1" si="362"/>
        <v>#N/A</v>
      </c>
      <c r="AS665" s="2" t="e">
        <f t="shared" ca="1" si="363"/>
        <v>#N/A</v>
      </c>
      <c r="AT665" s="9" t="e">
        <f t="shared" ca="1" si="364"/>
        <v>#N/A</v>
      </c>
      <c r="AU665" s="9" t="e">
        <f t="shared" ca="1" si="365"/>
        <v>#N/A</v>
      </c>
      <c r="AV665" s="9"/>
      <c r="AW665" s="2" t="e">
        <f t="shared" ca="1" si="387"/>
        <v>#N/A</v>
      </c>
      <c r="AX665" s="2" t="e">
        <f t="shared" ca="1" si="388"/>
        <v>#N/A</v>
      </c>
      <c r="AY665" s="2" t="e">
        <f t="shared" ca="1" si="389"/>
        <v>#N/A</v>
      </c>
      <c r="AZ665" s="2" t="e">
        <f t="shared" ca="1" si="390"/>
        <v>#N/A</v>
      </c>
      <c r="BA665" s="2" t="e">
        <f t="shared" ca="1" si="391"/>
        <v>#N/A</v>
      </c>
      <c r="BB665" s="2" t="e">
        <f t="shared" ca="1" si="392"/>
        <v>#N/A</v>
      </c>
      <c r="BC665" s="9" t="e">
        <f t="shared" ca="1" si="393"/>
        <v>#N/A</v>
      </c>
      <c r="BD665" s="9" t="e">
        <f t="shared" ca="1" si="394"/>
        <v>#N/A</v>
      </c>
    </row>
    <row r="666" spans="1:56" ht="15" x14ac:dyDescent="0.25">
      <c r="A666" s="63"/>
      <c r="B666" s="63"/>
      <c r="C666" s="64"/>
      <c r="D666" s="64"/>
      <c r="E666" s="64"/>
      <c r="F666" s="64"/>
      <c r="G666" s="64"/>
      <c r="H666" s="64"/>
      <c r="I666" s="64"/>
      <c r="J666" s="64"/>
      <c r="K666" s="64"/>
      <c r="L666" s="64"/>
      <c r="M666" s="64"/>
      <c r="N666" s="16"/>
      <c r="O666" s="11">
        <f t="shared" ca="1" si="380"/>
        <v>-3.9378682616450625E-4</v>
      </c>
      <c r="P666" s="11">
        <f t="shared" ca="1" si="381"/>
        <v>-1.6358405771021967E-4</v>
      </c>
      <c r="Q666" s="11">
        <f t="shared" ca="1" si="382"/>
        <v>-1.614029402377854E-3</v>
      </c>
      <c r="R666" s="11">
        <f t="shared" ca="1" si="383"/>
        <v>-1.4853760121635622E-5</v>
      </c>
      <c r="S666" s="11">
        <f t="shared" ca="1" si="384"/>
        <v>-1.1458026838550334E-3</v>
      </c>
      <c r="T666" s="11">
        <f t="shared" ca="1" si="385"/>
        <v>-4.9053934342410677E-4</v>
      </c>
      <c r="U666" s="11">
        <f t="shared" ca="1" si="386"/>
        <v>-5.5074395654535931E-3</v>
      </c>
      <c r="V666" s="11"/>
      <c r="W666" s="11">
        <f t="shared" ca="1" si="366"/>
        <v>0</v>
      </c>
      <c r="X666" s="2">
        <f t="shared" ca="1" si="367"/>
        <v>-1.6358405771021967E-4</v>
      </c>
      <c r="Y666" s="2">
        <f t="shared" ca="1" si="368"/>
        <v>-1.614029402377854E-3</v>
      </c>
      <c r="Z666" s="11">
        <f t="shared" ca="1" si="369"/>
        <v>-1.4853760121635622E-5</v>
      </c>
      <c r="AA666" s="2">
        <f t="shared" ca="1" si="370"/>
        <v>-1.1458026838550334E-3</v>
      </c>
      <c r="AB666" s="11">
        <f t="shared" ca="1" si="371"/>
        <v>-4.9053934342410677E-4</v>
      </c>
      <c r="AC666" s="2">
        <f t="shared" ca="1" si="372"/>
        <v>-5.5074395654535931E-3</v>
      </c>
      <c r="AF666" s="11">
        <f t="shared" ca="1" si="373"/>
        <v>0</v>
      </c>
      <c r="AG666" s="2">
        <f t="shared" ca="1" si="374"/>
        <v>-1.6358405771021967E-4</v>
      </c>
      <c r="AH666" s="2">
        <f t="shared" ca="1" si="375"/>
        <v>-1.614029402377854E-3</v>
      </c>
      <c r="AI666" s="2">
        <f t="shared" ca="1" si="376"/>
        <v>-1.4853760121635622E-5</v>
      </c>
      <c r="AJ666" s="2">
        <f t="shared" ca="1" si="377"/>
        <v>-1.1458026838550334E-3</v>
      </c>
      <c r="AK666" s="2">
        <f t="shared" ca="1" si="378"/>
        <v>-4.9053934342410677E-4</v>
      </c>
      <c r="AL666" s="2">
        <f t="shared" ca="1" si="379"/>
        <v>-5.5074395654535931E-3</v>
      </c>
      <c r="AN666" s="2" t="e">
        <f t="shared" ca="1" si="358"/>
        <v>#N/A</v>
      </c>
      <c r="AO666" s="2" t="e">
        <f t="shared" ca="1" si="359"/>
        <v>#N/A</v>
      </c>
      <c r="AP666" s="2" t="e">
        <f t="shared" ca="1" si="360"/>
        <v>#N/A</v>
      </c>
      <c r="AQ666" s="2" t="e">
        <f t="shared" ca="1" si="361"/>
        <v>#N/A</v>
      </c>
      <c r="AR666" s="2" t="e">
        <f t="shared" ca="1" si="362"/>
        <v>#N/A</v>
      </c>
      <c r="AS666" s="2" t="e">
        <f t="shared" ca="1" si="363"/>
        <v>#N/A</v>
      </c>
      <c r="AT666" s="9" t="e">
        <f t="shared" ca="1" si="364"/>
        <v>#N/A</v>
      </c>
      <c r="AU666" s="9" t="e">
        <f t="shared" ca="1" si="365"/>
        <v>#N/A</v>
      </c>
      <c r="AV666" s="9"/>
      <c r="AW666" s="2" t="e">
        <f t="shared" ca="1" si="387"/>
        <v>#N/A</v>
      </c>
      <c r="AX666" s="2" t="e">
        <f t="shared" ca="1" si="388"/>
        <v>#N/A</v>
      </c>
      <c r="AY666" s="2" t="e">
        <f t="shared" ca="1" si="389"/>
        <v>#N/A</v>
      </c>
      <c r="AZ666" s="2" t="e">
        <f t="shared" ca="1" si="390"/>
        <v>#N/A</v>
      </c>
      <c r="BA666" s="2" t="e">
        <f t="shared" ca="1" si="391"/>
        <v>#N/A</v>
      </c>
      <c r="BB666" s="2" t="e">
        <f t="shared" ca="1" si="392"/>
        <v>#N/A</v>
      </c>
      <c r="BC666" s="9" t="e">
        <f t="shared" ca="1" si="393"/>
        <v>#N/A</v>
      </c>
      <c r="BD666" s="9" t="e">
        <f t="shared" ca="1" si="394"/>
        <v>#N/A</v>
      </c>
    </row>
    <row r="667" spans="1:56" ht="15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 s="64"/>
      <c r="O667" s="64"/>
      <c r="P667" s="16"/>
      <c r="Q667" s="11"/>
      <c r="R667" s="11"/>
      <c r="S667" s="11"/>
      <c r="T667" s="11"/>
      <c r="U667" s="11"/>
      <c r="V667" s="11"/>
      <c r="W667" s="11">
        <f t="shared" si="366"/>
        <v>0</v>
      </c>
      <c r="X667" s="2">
        <f t="shared" si="367"/>
        <v>0</v>
      </c>
      <c r="Y667" s="2">
        <f t="shared" si="368"/>
        <v>0</v>
      </c>
      <c r="Z667" s="11">
        <f t="shared" si="369"/>
        <v>0</v>
      </c>
      <c r="AA667" s="2">
        <f t="shared" si="370"/>
        <v>0</v>
      </c>
      <c r="AB667" s="11">
        <f t="shared" si="371"/>
        <v>0</v>
      </c>
      <c r="AC667" s="2">
        <f t="shared" si="372"/>
        <v>0</v>
      </c>
      <c r="AF667" s="11">
        <f t="shared" si="373"/>
        <v>0</v>
      </c>
      <c r="AG667" s="2">
        <f t="shared" si="374"/>
        <v>0</v>
      </c>
      <c r="AH667" s="2">
        <f t="shared" si="375"/>
        <v>0</v>
      </c>
      <c r="AI667" s="2">
        <f t="shared" si="376"/>
        <v>0</v>
      </c>
      <c r="AJ667" s="2">
        <f t="shared" si="377"/>
        <v>0</v>
      </c>
      <c r="AK667" s="2">
        <f t="shared" si="378"/>
        <v>0</v>
      </c>
      <c r="AL667" s="2">
        <f t="shared" si="379"/>
        <v>0</v>
      </c>
      <c r="AN667" s="2" t="e">
        <f t="shared" ref="AN667:AN730" si="395">IF(AND(S667&gt;0,U667&gt;0),U667/S667, #N/A)</f>
        <v>#N/A</v>
      </c>
      <c r="AO667" s="2" t="e">
        <f t="shared" ref="AO667:AO730" si="396">$B$8*((AN667/$B$10)^$B$11)</f>
        <v>#N/A</v>
      </c>
      <c r="AP667" s="2" t="e">
        <f t="shared" ref="AP667:AP730" si="397">AO667*R667</f>
        <v>#N/A</v>
      </c>
      <c r="AQ667" s="2" t="e">
        <f t="shared" ref="AQ667:AQ730" si="398">T667-AP667</f>
        <v>#N/A</v>
      </c>
      <c r="AR667" s="2" t="e">
        <f t="shared" ref="AR667:AR730" si="399">(AQ667/S667)/((AN667/$B$10)^$B$12)</f>
        <v>#N/A</v>
      </c>
      <c r="AS667" s="2" t="e">
        <f t="shared" ref="AS667:AS730" si="400">(Q667/S667)/((AN667/$B$10)^$B$13)</f>
        <v>#DIV/0!</v>
      </c>
      <c r="AT667" s="9" t="e">
        <f t="shared" ref="AT667:AT730" ca="1" si="401">IF(AND(AR667&lt;$M$3,AR667&gt;$M$4),AR667,"rejected")</f>
        <v>#N/A</v>
      </c>
      <c r="AU667" s="9" t="e">
        <f t="shared" ref="AU667:AU730" ca="1" si="402">IF(AND(AR667&lt;$M$3,AR667&gt;$M$4),AR667,#N/A)</f>
        <v>#N/A</v>
      </c>
      <c r="AV667" s="9"/>
      <c r="AW667" s="2" t="e">
        <f t="shared" si="387"/>
        <v>#N/A</v>
      </c>
      <c r="AX667" s="2" t="e">
        <f t="shared" si="388"/>
        <v>#N/A</v>
      </c>
      <c r="AY667" s="2" t="e">
        <f t="shared" si="389"/>
        <v>#N/A</v>
      </c>
      <c r="AZ667" s="2" t="e">
        <f t="shared" si="390"/>
        <v>#N/A</v>
      </c>
      <c r="BA667" s="2" t="e">
        <f t="shared" si="391"/>
        <v>#N/A</v>
      </c>
      <c r="BB667" s="2" t="e">
        <f t="shared" si="392"/>
        <v>#DIV/0!</v>
      </c>
      <c r="BC667" s="9" t="e">
        <f t="shared" ca="1" si="393"/>
        <v>#N/A</v>
      </c>
      <c r="BD667" s="9" t="e">
        <f t="shared" ca="1" si="394"/>
        <v>#N/A</v>
      </c>
    </row>
    <row r="668" spans="1:56" ht="15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 s="64"/>
      <c r="O668" s="64"/>
      <c r="P668" s="16"/>
      <c r="Q668" s="11"/>
      <c r="R668" s="11"/>
      <c r="S668" s="11"/>
      <c r="T668" s="11"/>
      <c r="U668" s="11"/>
      <c r="V668" s="11"/>
      <c r="W668" s="11">
        <f t="shared" si="366"/>
        <v>0</v>
      </c>
      <c r="X668" s="2">
        <f t="shared" si="367"/>
        <v>0</v>
      </c>
      <c r="Y668" s="2">
        <f t="shared" si="368"/>
        <v>0</v>
      </c>
      <c r="Z668" s="11">
        <f t="shared" si="369"/>
        <v>0</v>
      </c>
      <c r="AA668" s="2">
        <f t="shared" si="370"/>
        <v>0</v>
      </c>
      <c r="AB668" s="11">
        <f t="shared" si="371"/>
        <v>0</v>
      </c>
      <c r="AC668" s="2">
        <f t="shared" si="372"/>
        <v>0</v>
      </c>
      <c r="AF668" s="11">
        <f t="shared" si="373"/>
        <v>0</v>
      </c>
      <c r="AG668" s="2">
        <f t="shared" si="374"/>
        <v>0</v>
      </c>
      <c r="AH668" s="2">
        <f t="shared" si="375"/>
        <v>0</v>
      </c>
      <c r="AI668" s="2">
        <f t="shared" si="376"/>
        <v>0</v>
      </c>
      <c r="AJ668" s="2">
        <f t="shared" si="377"/>
        <v>0</v>
      </c>
      <c r="AK668" s="2">
        <f t="shared" si="378"/>
        <v>0</v>
      </c>
      <c r="AL668" s="2">
        <f t="shared" si="379"/>
        <v>0</v>
      </c>
      <c r="AN668" s="2" t="e">
        <f t="shared" si="395"/>
        <v>#N/A</v>
      </c>
      <c r="AO668" s="2" t="e">
        <f t="shared" si="396"/>
        <v>#N/A</v>
      </c>
      <c r="AP668" s="2" t="e">
        <f t="shared" si="397"/>
        <v>#N/A</v>
      </c>
      <c r="AQ668" s="2" t="e">
        <f t="shared" si="398"/>
        <v>#N/A</v>
      </c>
      <c r="AR668" s="2" t="e">
        <f t="shared" si="399"/>
        <v>#N/A</v>
      </c>
      <c r="AS668" s="2" t="e">
        <f t="shared" si="400"/>
        <v>#DIV/0!</v>
      </c>
      <c r="AT668" s="9" t="e">
        <f t="shared" ca="1" si="401"/>
        <v>#N/A</v>
      </c>
      <c r="AU668" s="9" t="e">
        <f t="shared" ca="1" si="402"/>
        <v>#N/A</v>
      </c>
      <c r="AV668" s="9"/>
      <c r="AW668" s="2" t="e">
        <f t="shared" si="387"/>
        <v>#N/A</v>
      </c>
      <c r="AX668" s="2" t="e">
        <f t="shared" si="388"/>
        <v>#N/A</v>
      </c>
      <c r="AY668" s="2" t="e">
        <f t="shared" si="389"/>
        <v>#N/A</v>
      </c>
      <c r="AZ668" s="2" t="e">
        <f t="shared" si="390"/>
        <v>#N/A</v>
      </c>
      <c r="BA668" s="2" t="e">
        <f t="shared" si="391"/>
        <v>#N/A</v>
      </c>
      <c r="BB668" s="2" t="e">
        <f t="shared" si="392"/>
        <v>#DIV/0!</v>
      </c>
      <c r="BC668" s="9" t="e">
        <f t="shared" ca="1" si="393"/>
        <v>#N/A</v>
      </c>
      <c r="BD668" s="9" t="e">
        <f t="shared" ca="1" si="394"/>
        <v>#N/A</v>
      </c>
    </row>
    <row r="669" spans="1:56" ht="15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 s="64"/>
      <c r="O669" s="64"/>
      <c r="P669" s="16"/>
      <c r="Q669" s="11"/>
      <c r="R669" s="11"/>
      <c r="S669" s="11"/>
      <c r="T669" s="11"/>
      <c r="U669" s="11"/>
      <c r="V669" s="11"/>
      <c r="W669" s="11">
        <f t="shared" si="366"/>
        <v>0</v>
      </c>
      <c r="X669" s="2">
        <f t="shared" si="367"/>
        <v>0</v>
      </c>
      <c r="Y669" s="2">
        <f t="shared" si="368"/>
        <v>0</v>
      </c>
      <c r="Z669" s="11">
        <f t="shared" si="369"/>
        <v>0</v>
      </c>
      <c r="AA669" s="2">
        <f t="shared" si="370"/>
        <v>0</v>
      </c>
      <c r="AB669" s="11">
        <f t="shared" si="371"/>
        <v>0</v>
      </c>
      <c r="AC669" s="2">
        <f t="shared" si="372"/>
        <v>0</v>
      </c>
      <c r="AF669" s="11">
        <f t="shared" si="373"/>
        <v>0</v>
      </c>
      <c r="AG669" s="2">
        <f t="shared" si="374"/>
        <v>0</v>
      </c>
      <c r="AH669" s="2">
        <f t="shared" si="375"/>
        <v>0</v>
      </c>
      <c r="AI669" s="2">
        <f t="shared" si="376"/>
        <v>0</v>
      </c>
      <c r="AJ669" s="2">
        <f t="shared" si="377"/>
        <v>0</v>
      </c>
      <c r="AK669" s="2">
        <f t="shared" si="378"/>
        <v>0</v>
      </c>
      <c r="AL669" s="2">
        <f t="shared" si="379"/>
        <v>0</v>
      </c>
      <c r="AN669" s="2" t="e">
        <f t="shared" si="395"/>
        <v>#N/A</v>
      </c>
      <c r="AO669" s="2" t="e">
        <f t="shared" si="396"/>
        <v>#N/A</v>
      </c>
      <c r="AP669" s="2" t="e">
        <f t="shared" si="397"/>
        <v>#N/A</v>
      </c>
      <c r="AQ669" s="2" t="e">
        <f t="shared" si="398"/>
        <v>#N/A</v>
      </c>
      <c r="AR669" s="2" t="e">
        <f t="shared" si="399"/>
        <v>#N/A</v>
      </c>
      <c r="AS669" s="2" t="e">
        <f t="shared" si="400"/>
        <v>#DIV/0!</v>
      </c>
      <c r="AT669" s="9" t="e">
        <f t="shared" ca="1" si="401"/>
        <v>#N/A</v>
      </c>
      <c r="AU669" s="9" t="e">
        <f t="shared" ca="1" si="402"/>
        <v>#N/A</v>
      </c>
      <c r="AV669" s="9"/>
      <c r="AW669" s="2" t="e">
        <f t="shared" si="387"/>
        <v>#N/A</v>
      </c>
      <c r="AX669" s="2" t="e">
        <f t="shared" si="388"/>
        <v>#N/A</v>
      </c>
      <c r="AY669" s="2" t="e">
        <f t="shared" si="389"/>
        <v>#N/A</v>
      </c>
      <c r="AZ669" s="2" t="e">
        <f t="shared" si="390"/>
        <v>#N/A</v>
      </c>
      <c r="BA669" s="2" t="e">
        <f t="shared" si="391"/>
        <v>#N/A</v>
      </c>
      <c r="BB669" s="2" t="e">
        <f t="shared" si="392"/>
        <v>#DIV/0!</v>
      </c>
      <c r="BC669" s="9" t="e">
        <f t="shared" ca="1" si="393"/>
        <v>#N/A</v>
      </c>
      <c r="BD669" s="9" t="e">
        <f t="shared" ca="1" si="394"/>
        <v>#N/A</v>
      </c>
    </row>
    <row r="670" spans="1:56" ht="15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 s="64"/>
      <c r="O670" s="64"/>
      <c r="P670" s="16"/>
      <c r="Q670" s="11"/>
      <c r="R670" s="11"/>
      <c r="S670" s="11"/>
      <c r="T670" s="11"/>
      <c r="U670" s="11"/>
      <c r="V670" s="11"/>
      <c r="W670" s="11">
        <f t="shared" si="366"/>
        <v>0</v>
      </c>
      <c r="X670" s="2">
        <f t="shared" si="367"/>
        <v>0</v>
      </c>
      <c r="Y670" s="2">
        <f t="shared" si="368"/>
        <v>0</v>
      </c>
      <c r="Z670" s="11">
        <f t="shared" si="369"/>
        <v>0</v>
      </c>
      <c r="AA670" s="2">
        <f t="shared" si="370"/>
        <v>0</v>
      </c>
      <c r="AB670" s="11">
        <f t="shared" si="371"/>
        <v>0</v>
      </c>
      <c r="AC670" s="2">
        <f t="shared" si="372"/>
        <v>0</v>
      </c>
      <c r="AF670" s="11">
        <f t="shared" si="373"/>
        <v>0</v>
      </c>
      <c r="AG670" s="2">
        <f t="shared" si="374"/>
        <v>0</v>
      </c>
      <c r="AH670" s="2">
        <f t="shared" si="375"/>
        <v>0</v>
      </c>
      <c r="AI670" s="2">
        <f t="shared" si="376"/>
        <v>0</v>
      </c>
      <c r="AJ670" s="2">
        <f t="shared" si="377"/>
        <v>0</v>
      </c>
      <c r="AK670" s="2">
        <f t="shared" si="378"/>
        <v>0</v>
      </c>
      <c r="AL670" s="2">
        <f t="shared" si="379"/>
        <v>0</v>
      </c>
      <c r="AN670" s="2" t="e">
        <f t="shared" si="395"/>
        <v>#N/A</v>
      </c>
      <c r="AO670" s="2" t="e">
        <f t="shared" si="396"/>
        <v>#N/A</v>
      </c>
      <c r="AP670" s="2" t="e">
        <f t="shared" si="397"/>
        <v>#N/A</v>
      </c>
      <c r="AQ670" s="2" t="e">
        <f t="shared" si="398"/>
        <v>#N/A</v>
      </c>
      <c r="AR670" s="2" t="e">
        <f t="shared" si="399"/>
        <v>#N/A</v>
      </c>
      <c r="AS670" s="2" t="e">
        <f t="shared" si="400"/>
        <v>#DIV/0!</v>
      </c>
      <c r="AT670" s="9" t="e">
        <f t="shared" ca="1" si="401"/>
        <v>#N/A</v>
      </c>
      <c r="AU670" s="9" t="e">
        <f t="shared" ca="1" si="402"/>
        <v>#N/A</v>
      </c>
      <c r="AV670" s="9"/>
      <c r="AW670" s="2" t="e">
        <f t="shared" si="387"/>
        <v>#N/A</v>
      </c>
      <c r="AX670" s="2" t="e">
        <f t="shared" si="388"/>
        <v>#N/A</v>
      </c>
      <c r="AY670" s="2" t="e">
        <f t="shared" si="389"/>
        <v>#N/A</v>
      </c>
      <c r="AZ670" s="2" t="e">
        <f t="shared" si="390"/>
        <v>#N/A</v>
      </c>
      <c r="BA670" s="2" t="e">
        <f t="shared" si="391"/>
        <v>#N/A</v>
      </c>
      <c r="BB670" s="2" t="e">
        <f t="shared" si="392"/>
        <v>#DIV/0!</v>
      </c>
      <c r="BC670" s="9" t="e">
        <f t="shared" ca="1" si="393"/>
        <v>#N/A</v>
      </c>
      <c r="BD670" s="9" t="e">
        <f t="shared" ca="1" si="394"/>
        <v>#N/A</v>
      </c>
    </row>
    <row r="671" spans="1:56" ht="15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 s="64"/>
      <c r="O671" s="64"/>
      <c r="P671" s="16"/>
      <c r="Q671" s="11"/>
      <c r="R671" s="11"/>
      <c r="S671" s="11"/>
      <c r="T671" s="11"/>
      <c r="U671" s="11"/>
      <c r="V671" s="11"/>
      <c r="W671" s="11">
        <f t="shared" si="366"/>
        <v>0</v>
      </c>
      <c r="X671" s="2">
        <f t="shared" si="367"/>
        <v>0</v>
      </c>
      <c r="Y671" s="2">
        <f t="shared" si="368"/>
        <v>0</v>
      </c>
      <c r="Z671" s="11">
        <f t="shared" si="369"/>
        <v>0</v>
      </c>
      <c r="AA671" s="2">
        <f t="shared" si="370"/>
        <v>0</v>
      </c>
      <c r="AB671" s="11">
        <f t="shared" si="371"/>
        <v>0</v>
      </c>
      <c r="AC671" s="2">
        <f t="shared" si="372"/>
        <v>0</v>
      </c>
      <c r="AF671" s="11">
        <f t="shared" si="373"/>
        <v>0</v>
      </c>
      <c r="AG671" s="2">
        <f t="shared" si="374"/>
        <v>0</v>
      </c>
      <c r="AH671" s="2">
        <f t="shared" si="375"/>
        <v>0</v>
      </c>
      <c r="AI671" s="2">
        <f t="shared" si="376"/>
        <v>0</v>
      </c>
      <c r="AJ671" s="2">
        <f t="shared" si="377"/>
        <v>0</v>
      </c>
      <c r="AK671" s="2">
        <f t="shared" si="378"/>
        <v>0</v>
      </c>
      <c r="AL671" s="2">
        <f t="shared" si="379"/>
        <v>0</v>
      </c>
      <c r="AN671" s="2" t="e">
        <f t="shared" si="395"/>
        <v>#N/A</v>
      </c>
      <c r="AO671" s="2" t="e">
        <f t="shared" si="396"/>
        <v>#N/A</v>
      </c>
      <c r="AP671" s="2" t="e">
        <f t="shared" si="397"/>
        <v>#N/A</v>
      </c>
      <c r="AQ671" s="2" t="e">
        <f t="shared" si="398"/>
        <v>#N/A</v>
      </c>
      <c r="AR671" s="2" t="e">
        <f t="shared" si="399"/>
        <v>#N/A</v>
      </c>
      <c r="AS671" s="2" t="e">
        <f t="shared" si="400"/>
        <v>#DIV/0!</v>
      </c>
      <c r="AT671" s="9" t="e">
        <f t="shared" ca="1" si="401"/>
        <v>#N/A</v>
      </c>
      <c r="AU671" s="9" t="e">
        <f t="shared" ca="1" si="402"/>
        <v>#N/A</v>
      </c>
      <c r="AV671" s="9"/>
      <c r="AW671" s="2" t="e">
        <f t="shared" si="387"/>
        <v>#N/A</v>
      </c>
      <c r="AX671" s="2" t="e">
        <f t="shared" si="388"/>
        <v>#N/A</v>
      </c>
      <c r="AY671" s="2" t="e">
        <f t="shared" si="389"/>
        <v>#N/A</v>
      </c>
      <c r="AZ671" s="2" t="e">
        <f t="shared" si="390"/>
        <v>#N/A</v>
      </c>
      <c r="BA671" s="2" t="e">
        <f t="shared" si="391"/>
        <v>#N/A</v>
      </c>
      <c r="BB671" s="2" t="e">
        <f t="shared" si="392"/>
        <v>#DIV/0!</v>
      </c>
      <c r="BC671" s="9" t="e">
        <f t="shared" ca="1" si="393"/>
        <v>#N/A</v>
      </c>
      <c r="BD671" s="9" t="e">
        <f t="shared" ca="1" si="394"/>
        <v>#N/A</v>
      </c>
    </row>
    <row r="672" spans="1:56" ht="15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 s="64"/>
      <c r="O672" s="64"/>
      <c r="P672" s="16"/>
      <c r="Q672" s="11"/>
      <c r="R672" s="11"/>
      <c r="S672" s="11"/>
      <c r="T672" s="11"/>
      <c r="U672" s="11"/>
      <c r="V672" s="11"/>
      <c r="W672" s="11">
        <f t="shared" si="366"/>
        <v>0</v>
      </c>
      <c r="X672" s="2">
        <f t="shared" si="367"/>
        <v>0</v>
      </c>
      <c r="Y672" s="2">
        <f t="shared" si="368"/>
        <v>0</v>
      </c>
      <c r="Z672" s="11">
        <f t="shared" si="369"/>
        <v>0</v>
      </c>
      <c r="AA672" s="2">
        <f t="shared" si="370"/>
        <v>0</v>
      </c>
      <c r="AB672" s="11">
        <f t="shared" si="371"/>
        <v>0</v>
      </c>
      <c r="AC672" s="2">
        <f t="shared" si="372"/>
        <v>0</v>
      </c>
      <c r="AF672" s="11">
        <f t="shared" si="373"/>
        <v>0</v>
      </c>
      <c r="AG672" s="2">
        <f t="shared" si="374"/>
        <v>0</v>
      </c>
      <c r="AH672" s="2">
        <f t="shared" si="375"/>
        <v>0</v>
      </c>
      <c r="AI672" s="2">
        <f t="shared" si="376"/>
        <v>0</v>
      </c>
      <c r="AJ672" s="2">
        <f t="shared" si="377"/>
        <v>0</v>
      </c>
      <c r="AK672" s="2">
        <f t="shared" si="378"/>
        <v>0</v>
      </c>
      <c r="AL672" s="2">
        <f t="shared" si="379"/>
        <v>0</v>
      </c>
      <c r="AN672" s="2" t="e">
        <f t="shared" si="395"/>
        <v>#N/A</v>
      </c>
      <c r="AO672" s="2" t="e">
        <f t="shared" si="396"/>
        <v>#N/A</v>
      </c>
      <c r="AP672" s="2" t="e">
        <f t="shared" si="397"/>
        <v>#N/A</v>
      </c>
      <c r="AQ672" s="2" t="e">
        <f t="shared" si="398"/>
        <v>#N/A</v>
      </c>
      <c r="AR672" s="2" t="e">
        <f t="shared" si="399"/>
        <v>#N/A</v>
      </c>
      <c r="AS672" s="2" t="e">
        <f t="shared" si="400"/>
        <v>#DIV/0!</v>
      </c>
      <c r="AT672" s="9" t="e">
        <f t="shared" ca="1" si="401"/>
        <v>#N/A</v>
      </c>
      <c r="AU672" s="9" t="e">
        <f t="shared" ca="1" si="402"/>
        <v>#N/A</v>
      </c>
      <c r="AV672" s="9"/>
      <c r="AW672" s="2" t="e">
        <f t="shared" si="387"/>
        <v>#N/A</v>
      </c>
      <c r="AX672" s="2" t="e">
        <f t="shared" si="388"/>
        <v>#N/A</v>
      </c>
      <c r="AY672" s="2" t="e">
        <f t="shared" si="389"/>
        <v>#N/A</v>
      </c>
      <c r="AZ672" s="2" t="e">
        <f t="shared" si="390"/>
        <v>#N/A</v>
      </c>
      <c r="BA672" s="2" t="e">
        <f t="shared" si="391"/>
        <v>#N/A</v>
      </c>
      <c r="BB672" s="2" t="e">
        <f t="shared" si="392"/>
        <v>#DIV/0!</v>
      </c>
      <c r="BC672" s="9" t="e">
        <f t="shared" ca="1" si="393"/>
        <v>#N/A</v>
      </c>
      <c r="BD672" s="9" t="e">
        <f t="shared" ca="1" si="394"/>
        <v>#N/A</v>
      </c>
    </row>
    <row r="673" spans="1:56" ht="15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 s="64"/>
      <c r="O673" s="64"/>
      <c r="P673" s="16"/>
      <c r="Q673" s="11"/>
      <c r="R673" s="11"/>
      <c r="S673" s="11"/>
      <c r="T673" s="11"/>
      <c r="U673" s="11"/>
      <c r="V673" s="11"/>
      <c r="W673" s="11">
        <f t="shared" si="366"/>
        <v>0</v>
      </c>
      <c r="X673" s="2">
        <f t="shared" si="367"/>
        <v>0</v>
      </c>
      <c r="Y673" s="2">
        <f t="shared" si="368"/>
        <v>0</v>
      </c>
      <c r="Z673" s="11">
        <f t="shared" si="369"/>
        <v>0</v>
      </c>
      <c r="AA673" s="2">
        <f t="shared" si="370"/>
        <v>0</v>
      </c>
      <c r="AB673" s="11">
        <f t="shared" si="371"/>
        <v>0</v>
      </c>
      <c r="AC673" s="2">
        <f t="shared" si="372"/>
        <v>0</v>
      </c>
      <c r="AF673" s="11">
        <f t="shared" si="373"/>
        <v>0</v>
      </c>
      <c r="AG673" s="2">
        <f t="shared" si="374"/>
        <v>0</v>
      </c>
      <c r="AH673" s="2">
        <f t="shared" si="375"/>
        <v>0</v>
      </c>
      <c r="AI673" s="2">
        <f t="shared" si="376"/>
        <v>0</v>
      </c>
      <c r="AJ673" s="2">
        <f t="shared" si="377"/>
        <v>0</v>
      </c>
      <c r="AK673" s="2">
        <f t="shared" si="378"/>
        <v>0</v>
      </c>
      <c r="AL673" s="2">
        <f t="shared" si="379"/>
        <v>0</v>
      </c>
      <c r="AN673" s="2" t="e">
        <f t="shared" si="395"/>
        <v>#N/A</v>
      </c>
      <c r="AO673" s="2" t="e">
        <f t="shared" si="396"/>
        <v>#N/A</v>
      </c>
      <c r="AP673" s="2" t="e">
        <f t="shared" si="397"/>
        <v>#N/A</v>
      </c>
      <c r="AQ673" s="2" t="e">
        <f t="shared" si="398"/>
        <v>#N/A</v>
      </c>
      <c r="AR673" s="2" t="e">
        <f t="shared" si="399"/>
        <v>#N/A</v>
      </c>
      <c r="AS673" s="2" t="e">
        <f t="shared" si="400"/>
        <v>#DIV/0!</v>
      </c>
      <c r="AT673" s="9" t="e">
        <f t="shared" ca="1" si="401"/>
        <v>#N/A</v>
      </c>
      <c r="AU673" s="9" t="e">
        <f t="shared" ca="1" si="402"/>
        <v>#N/A</v>
      </c>
      <c r="AV673" s="9"/>
      <c r="AW673" s="2" t="e">
        <f t="shared" si="387"/>
        <v>#N/A</v>
      </c>
      <c r="AX673" s="2" t="e">
        <f t="shared" si="388"/>
        <v>#N/A</v>
      </c>
      <c r="AY673" s="2" t="e">
        <f t="shared" si="389"/>
        <v>#N/A</v>
      </c>
      <c r="AZ673" s="2" t="e">
        <f t="shared" si="390"/>
        <v>#N/A</v>
      </c>
      <c r="BA673" s="2" t="e">
        <f t="shared" si="391"/>
        <v>#N/A</v>
      </c>
      <c r="BB673" s="2" t="e">
        <f t="shared" si="392"/>
        <v>#DIV/0!</v>
      </c>
      <c r="BC673" s="9" t="e">
        <f t="shared" ca="1" si="393"/>
        <v>#N/A</v>
      </c>
      <c r="BD673" s="9" t="e">
        <f t="shared" ca="1" si="394"/>
        <v>#N/A</v>
      </c>
    </row>
    <row r="674" spans="1:56" ht="15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 s="64"/>
      <c r="O674" s="64"/>
      <c r="P674" s="16"/>
      <c r="Q674" s="11"/>
      <c r="R674" s="11"/>
      <c r="S674" s="11"/>
      <c r="T674" s="11"/>
      <c r="U674" s="11"/>
      <c r="V674" s="11"/>
      <c r="W674" s="11">
        <f t="shared" si="366"/>
        <v>0</v>
      </c>
      <c r="X674" s="2">
        <f t="shared" si="367"/>
        <v>0</v>
      </c>
      <c r="Y674" s="2">
        <f t="shared" si="368"/>
        <v>0</v>
      </c>
      <c r="Z674" s="11">
        <f t="shared" si="369"/>
        <v>0</v>
      </c>
      <c r="AA674" s="2">
        <f t="shared" si="370"/>
        <v>0</v>
      </c>
      <c r="AB674" s="11">
        <f t="shared" si="371"/>
        <v>0</v>
      </c>
      <c r="AC674" s="2">
        <f t="shared" si="372"/>
        <v>0</v>
      </c>
      <c r="AF674" s="11">
        <f t="shared" si="373"/>
        <v>0</v>
      </c>
      <c r="AG674" s="2">
        <f t="shared" si="374"/>
        <v>0</v>
      </c>
      <c r="AH674" s="2">
        <f t="shared" si="375"/>
        <v>0</v>
      </c>
      <c r="AI674" s="2">
        <f t="shared" si="376"/>
        <v>0</v>
      </c>
      <c r="AJ674" s="2">
        <f t="shared" si="377"/>
        <v>0</v>
      </c>
      <c r="AK674" s="2">
        <f t="shared" si="378"/>
        <v>0</v>
      </c>
      <c r="AL674" s="2">
        <f t="shared" si="379"/>
        <v>0</v>
      </c>
      <c r="AN674" s="2" t="e">
        <f t="shared" si="395"/>
        <v>#N/A</v>
      </c>
      <c r="AO674" s="2" t="e">
        <f t="shared" si="396"/>
        <v>#N/A</v>
      </c>
      <c r="AP674" s="2" t="e">
        <f t="shared" si="397"/>
        <v>#N/A</v>
      </c>
      <c r="AQ674" s="2" t="e">
        <f t="shared" si="398"/>
        <v>#N/A</v>
      </c>
      <c r="AR674" s="2" t="e">
        <f t="shared" si="399"/>
        <v>#N/A</v>
      </c>
      <c r="AS674" s="2" t="e">
        <f t="shared" si="400"/>
        <v>#DIV/0!</v>
      </c>
      <c r="AT674" s="9" t="e">
        <f t="shared" ca="1" si="401"/>
        <v>#N/A</v>
      </c>
      <c r="AU674" s="9" t="e">
        <f t="shared" ca="1" si="402"/>
        <v>#N/A</v>
      </c>
      <c r="AV674" s="9"/>
      <c r="AW674" s="2" t="e">
        <f t="shared" si="387"/>
        <v>#N/A</v>
      </c>
      <c r="AX674" s="2" t="e">
        <f t="shared" si="388"/>
        <v>#N/A</v>
      </c>
      <c r="AY674" s="2" t="e">
        <f t="shared" si="389"/>
        <v>#N/A</v>
      </c>
      <c r="AZ674" s="2" t="e">
        <f t="shared" si="390"/>
        <v>#N/A</v>
      </c>
      <c r="BA674" s="2" t="e">
        <f t="shared" si="391"/>
        <v>#N/A</v>
      </c>
      <c r="BB674" s="2" t="e">
        <f t="shared" si="392"/>
        <v>#DIV/0!</v>
      </c>
      <c r="BC674" s="9" t="e">
        <f t="shared" ca="1" si="393"/>
        <v>#N/A</v>
      </c>
      <c r="BD674" s="9" t="e">
        <f t="shared" ca="1" si="394"/>
        <v>#N/A</v>
      </c>
    </row>
    <row r="675" spans="1:56" ht="15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 s="64"/>
      <c r="O675" s="64"/>
      <c r="P675" s="16"/>
      <c r="Q675" s="11"/>
      <c r="R675" s="11"/>
      <c r="S675" s="11"/>
      <c r="T675" s="11"/>
      <c r="U675" s="11"/>
      <c r="V675" s="11"/>
      <c r="W675" s="11">
        <f t="shared" si="366"/>
        <v>0</v>
      </c>
      <c r="X675" s="2">
        <f t="shared" si="367"/>
        <v>0</v>
      </c>
      <c r="Y675" s="2">
        <f t="shared" si="368"/>
        <v>0</v>
      </c>
      <c r="Z675" s="11">
        <f t="shared" si="369"/>
        <v>0</v>
      </c>
      <c r="AA675" s="2">
        <f t="shared" si="370"/>
        <v>0</v>
      </c>
      <c r="AB675" s="11">
        <f t="shared" si="371"/>
        <v>0</v>
      </c>
      <c r="AC675" s="2">
        <f t="shared" si="372"/>
        <v>0</v>
      </c>
      <c r="AF675" s="11">
        <f t="shared" si="373"/>
        <v>0</v>
      </c>
      <c r="AG675" s="2">
        <f t="shared" si="374"/>
        <v>0</v>
      </c>
      <c r="AH675" s="2">
        <f t="shared" si="375"/>
        <v>0</v>
      </c>
      <c r="AI675" s="2">
        <f t="shared" si="376"/>
        <v>0</v>
      </c>
      <c r="AJ675" s="2">
        <f t="shared" si="377"/>
        <v>0</v>
      </c>
      <c r="AK675" s="2">
        <f t="shared" si="378"/>
        <v>0</v>
      </c>
      <c r="AL675" s="2">
        <f t="shared" si="379"/>
        <v>0</v>
      </c>
      <c r="AN675" s="2" t="e">
        <f t="shared" si="395"/>
        <v>#N/A</v>
      </c>
      <c r="AO675" s="2" t="e">
        <f t="shared" si="396"/>
        <v>#N/A</v>
      </c>
      <c r="AP675" s="2" t="e">
        <f t="shared" si="397"/>
        <v>#N/A</v>
      </c>
      <c r="AQ675" s="2" t="e">
        <f t="shared" si="398"/>
        <v>#N/A</v>
      </c>
      <c r="AR675" s="2" t="e">
        <f t="shared" si="399"/>
        <v>#N/A</v>
      </c>
      <c r="AS675" s="2" t="e">
        <f t="shared" si="400"/>
        <v>#DIV/0!</v>
      </c>
      <c r="AT675" s="9" t="e">
        <f t="shared" ca="1" si="401"/>
        <v>#N/A</v>
      </c>
      <c r="AU675" s="9" t="e">
        <f t="shared" ca="1" si="402"/>
        <v>#N/A</v>
      </c>
      <c r="AV675" s="9"/>
      <c r="AW675" s="2" t="e">
        <f t="shared" si="387"/>
        <v>#N/A</v>
      </c>
      <c r="AX675" s="2" t="e">
        <f t="shared" si="388"/>
        <v>#N/A</v>
      </c>
      <c r="AY675" s="2" t="e">
        <f t="shared" si="389"/>
        <v>#N/A</v>
      </c>
      <c r="AZ675" s="2" t="e">
        <f t="shared" si="390"/>
        <v>#N/A</v>
      </c>
      <c r="BA675" s="2" t="e">
        <f t="shared" si="391"/>
        <v>#N/A</v>
      </c>
      <c r="BB675" s="2" t="e">
        <f t="shared" si="392"/>
        <v>#DIV/0!</v>
      </c>
      <c r="BC675" s="9" t="e">
        <f t="shared" ca="1" si="393"/>
        <v>#N/A</v>
      </c>
      <c r="BD675" s="9" t="e">
        <f t="shared" ca="1" si="394"/>
        <v>#N/A</v>
      </c>
    </row>
    <row r="676" spans="1:56" ht="15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 s="64"/>
      <c r="O676" s="64"/>
      <c r="P676" s="16"/>
      <c r="Q676" s="11"/>
      <c r="R676" s="11"/>
      <c r="S676" s="11"/>
      <c r="T676" s="11"/>
      <c r="U676" s="11"/>
      <c r="V676" s="11"/>
      <c r="W676" s="11">
        <f t="shared" si="366"/>
        <v>0</v>
      </c>
      <c r="X676" s="2">
        <f t="shared" si="367"/>
        <v>0</v>
      </c>
      <c r="Y676" s="2">
        <f t="shared" si="368"/>
        <v>0</v>
      </c>
      <c r="Z676" s="11">
        <f t="shared" si="369"/>
        <v>0</v>
      </c>
      <c r="AA676" s="2">
        <f t="shared" si="370"/>
        <v>0</v>
      </c>
      <c r="AB676" s="11">
        <f t="shared" si="371"/>
        <v>0</v>
      </c>
      <c r="AC676" s="2">
        <f t="shared" si="372"/>
        <v>0</v>
      </c>
      <c r="AF676" s="11">
        <f t="shared" si="373"/>
        <v>0</v>
      </c>
      <c r="AG676" s="2">
        <f t="shared" si="374"/>
        <v>0</v>
      </c>
      <c r="AH676" s="2">
        <f t="shared" si="375"/>
        <v>0</v>
      </c>
      <c r="AI676" s="2">
        <f t="shared" si="376"/>
        <v>0</v>
      </c>
      <c r="AJ676" s="2">
        <f t="shared" si="377"/>
        <v>0</v>
      </c>
      <c r="AK676" s="2">
        <f t="shared" si="378"/>
        <v>0</v>
      </c>
      <c r="AL676" s="2">
        <f t="shared" si="379"/>
        <v>0</v>
      </c>
      <c r="AN676" s="2" t="e">
        <f t="shared" si="395"/>
        <v>#N/A</v>
      </c>
      <c r="AO676" s="2" t="e">
        <f t="shared" si="396"/>
        <v>#N/A</v>
      </c>
      <c r="AP676" s="2" t="e">
        <f t="shared" si="397"/>
        <v>#N/A</v>
      </c>
      <c r="AQ676" s="2" t="e">
        <f t="shared" si="398"/>
        <v>#N/A</v>
      </c>
      <c r="AR676" s="2" t="e">
        <f t="shared" si="399"/>
        <v>#N/A</v>
      </c>
      <c r="AS676" s="2" t="e">
        <f t="shared" si="400"/>
        <v>#DIV/0!</v>
      </c>
      <c r="AT676" s="9" t="e">
        <f t="shared" ca="1" si="401"/>
        <v>#N/A</v>
      </c>
      <c r="AU676" s="9" t="e">
        <f t="shared" ca="1" si="402"/>
        <v>#N/A</v>
      </c>
      <c r="AV676" s="9"/>
      <c r="AW676" s="2" t="e">
        <f t="shared" si="387"/>
        <v>#N/A</v>
      </c>
      <c r="AX676" s="2" t="e">
        <f t="shared" si="388"/>
        <v>#N/A</v>
      </c>
      <c r="AY676" s="2" t="e">
        <f t="shared" si="389"/>
        <v>#N/A</v>
      </c>
      <c r="AZ676" s="2" t="e">
        <f t="shared" si="390"/>
        <v>#N/A</v>
      </c>
      <c r="BA676" s="2" t="e">
        <f t="shared" si="391"/>
        <v>#N/A</v>
      </c>
      <c r="BB676" s="2" t="e">
        <f t="shared" si="392"/>
        <v>#DIV/0!</v>
      </c>
      <c r="BC676" s="9" t="e">
        <f t="shared" ca="1" si="393"/>
        <v>#N/A</v>
      </c>
      <c r="BD676" s="9" t="e">
        <f t="shared" ca="1" si="394"/>
        <v>#N/A</v>
      </c>
    </row>
    <row r="677" spans="1:56" ht="15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 s="64"/>
      <c r="O677" s="64"/>
      <c r="P677" s="16"/>
      <c r="Q677" s="11"/>
      <c r="R677" s="11"/>
      <c r="S677" s="11"/>
      <c r="T677" s="11"/>
      <c r="U677" s="11"/>
      <c r="V677" s="11"/>
      <c r="W677" s="11">
        <f t="shared" si="366"/>
        <v>0</v>
      </c>
      <c r="X677" s="2">
        <f t="shared" si="367"/>
        <v>0</v>
      </c>
      <c r="Y677" s="2">
        <f t="shared" si="368"/>
        <v>0</v>
      </c>
      <c r="Z677" s="11">
        <f t="shared" si="369"/>
        <v>0</v>
      </c>
      <c r="AA677" s="2">
        <f t="shared" si="370"/>
        <v>0</v>
      </c>
      <c r="AB677" s="11">
        <f t="shared" si="371"/>
        <v>0</v>
      </c>
      <c r="AC677" s="2">
        <f t="shared" si="372"/>
        <v>0</v>
      </c>
      <c r="AF677" s="11">
        <f t="shared" si="373"/>
        <v>0</v>
      </c>
      <c r="AG677" s="2">
        <f t="shared" si="374"/>
        <v>0</v>
      </c>
      <c r="AH677" s="2">
        <f t="shared" si="375"/>
        <v>0</v>
      </c>
      <c r="AI677" s="2">
        <f t="shared" si="376"/>
        <v>0</v>
      </c>
      <c r="AJ677" s="2">
        <f t="shared" si="377"/>
        <v>0</v>
      </c>
      <c r="AK677" s="2">
        <f t="shared" si="378"/>
        <v>0</v>
      </c>
      <c r="AL677" s="2">
        <f t="shared" si="379"/>
        <v>0</v>
      </c>
      <c r="AN677" s="2" t="e">
        <f t="shared" si="395"/>
        <v>#N/A</v>
      </c>
      <c r="AO677" s="2" t="e">
        <f t="shared" si="396"/>
        <v>#N/A</v>
      </c>
      <c r="AP677" s="2" t="e">
        <f t="shared" si="397"/>
        <v>#N/A</v>
      </c>
      <c r="AQ677" s="2" t="e">
        <f t="shared" si="398"/>
        <v>#N/A</v>
      </c>
      <c r="AR677" s="2" t="e">
        <f t="shared" si="399"/>
        <v>#N/A</v>
      </c>
      <c r="AS677" s="2" t="e">
        <f t="shared" si="400"/>
        <v>#DIV/0!</v>
      </c>
      <c r="AT677" s="9" t="e">
        <f t="shared" ca="1" si="401"/>
        <v>#N/A</v>
      </c>
      <c r="AU677" s="9" t="e">
        <f t="shared" ca="1" si="402"/>
        <v>#N/A</v>
      </c>
      <c r="AV677" s="9"/>
      <c r="AW677" s="2" t="e">
        <f t="shared" si="387"/>
        <v>#N/A</v>
      </c>
      <c r="AX677" s="2" t="e">
        <f t="shared" si="388"/>
        <v>#N/A</v>
      </c>
      <c r="AY677" s="2" t="e">
        <f t="shared" si="389"/>
        <v>#N/A</v>
      </c>
      <c r="AZ677" s="2" t="e">
        <f t="shared" si="390"/>
        <v>#N/A</v>
      </c>
      <c r="BA677" s="2" t="e">
        <f t="shared" si="391"/>
        <v>#N/A</v>
      </c>
      <c r="BB677" s="2" t="e">
        <f t="shared" si="392"/>
        <v>#DIV/0!</v>
      </c>
      <c r="BC677" s="9" t="e">
        <f t="shared" ca="1" si="393"/>
        <v>#N/A</v>
      </c>
      <c r="BD677" s="9" t="e">
        <f t="shared" ca="1" si="394"/>
        <v>#N/A</v>
      </c>
    </row>
    <row r="678" spans="1:56" ht="15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 s="64"/>
      <c r="O678" s="64"/>
      <c r="P678" s="16"/>
      <c r="Q678" s="11"/>
      <c r="R678" s="11"/>
      <c r="S678" s="11"/>
      <c r="T678" s="11"/>
      <c r="U678" s="11"/>
      <c r="V678" s="11"/>
      <c r="W678" s="11">
        <f t="shared" si="366"/>
        <v>0</v>
      </c>
      <c r="X678" s="2">
        <f t="shared" si="367"/>
        <v>0</v>
      </c>
      <c r="Y678" s="2">
        <f t="shared" si="368"/>
        <v>0</v>
      </c>
      <c r="Z678" s="11">
        <f t="shared" si="369"/>
        <v>0</v>
      </c>
      <c r="AA678" s="2">
        <f t="shared" si="370"/>
        <v>0</v>
      </c>
      <c r="AB678" s="11">
        <f t="shared" si="371"/>
        <v>0</v>
      </c>
      <c r="AC678" s="2">
        <f t="shared" si="372"/>
        <v>0</v>
      </c>
      <c r="AF678" s="11">
        <f t="shared" si="373"/>
        <v>0</v>
      </c>
      <c r="AG678" s="2">
        <f t="shared" si="374"/>
        <v>0</v>
      </c>
      <c r="AH678" s="2">
        <f t="shared" si="375"/>
        <v>0</v>
      </c>
      <c r="AI678" s="2">
        <f t="shared" si="376"/>
        <v>0</v>
      </c>
      <c r="AJ678" s="2">
        <f t="shared" si="377"/>
        <v>0</v>
      </c>
      <c r="AK678" s="2">
        <f t="shared" si="378"/>
        <v>0</v>
      </c>
      <c r="AL678" s="2">
        <f t="shared" si="379"/>
        <v>0</v>
      </c>
      <c r="AN678" s="2" t="e">
        <f t="shared" si="395"/>
        <v>#N/A</v>
      </c>
      <c r="AO678" s="2" t="e">
        <f t="shared" si="396"/>
        <v>#N/A</v>
      </c>
      <c r="AP678" s="2" t="e">
        <f t="shared" si="397"/>
        <v>#N/A</v>
      </c>
      <c r="AQ678" s="2" t="e">
        <f t="shared" si="398"/>
        <v>#N/A</v>
      </c>
      <c r="AR678" s="2" t="e">
        <f t="shared" si="399"/>
        <v>#N/A</v>
      </c>
      <c r="AS678" s="2" t="e">
        <f t="shared" si="400"/>
        <v>#DIV/0!</v>
      </c>
      <c r="AT678" s="9" t="e">
        <f t="shared" ca="1" si="401"/>
        <v>#N/A</v>
      </c>
      <c r="AU678" s="9" t="e">
        <f t="shared" ca="1" si="402"/>
        <v>#N/A</v>
      </c>
      <c r="AV678" s="9"/>
      <c r="AW678" s="2" t="e">
        <f t="shared" si="387"/>
        <v>#N/A</v>
      </c>
      <c r="AX678" s="2" t="e">
        <f t="shared" si="388"/>
        <v>#N/A</v>
      </c>
      <c r="AY678" s="2" t="e">
        <f t="shared" si="389"/>
        <v>#N/A</v>
      </c>
      <c r="AZ678" s="2" t="e">
        <f t="shared" si="390"/>
        <v>#N/A</v>
      </c>
      <c r="BA678" s="2" t="e">
        <f t="shared" si="391"/>
        <v>#N/A</v>
      </c>
      <c r="BB678" s="2" t="e">
        <f t="shared" si="392"/>
        <v>#DIV/0!</v>
      </c>
      <c r="BC678" s="9" t="e">
        <f t="shared" ca="1" si="393"/>
        <v>#N/A</v>
      </c>
      <c r="BD678" s="9" t="e">
        <f t="shared" ca="1" si="394"/>
        <v>#N/A</v>
      </c>
    </row>
    <row r="679" spans="1:56" ht="15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 s="64"/>
      <c r="O679" s="64"/>
      <c r="P679" s="16"/>
      <c r="Q679" s="11"/>
      <c r="R679" s="11"/>
      <c r="S679" s="11"/>
      <c r="T679" s="11"/>
      <c r="U679" s="11"/>
      <c r="V679" s="11"/>
      <c r="W679" s="11">
        <f t="shared" si="366"/>
        <v>0</v>
      </c>
      <c r="X679" s="2">
        <f t="shared" si="367"/>
        <v>0</v>
      </c>
      <c r="Y679" s="2">
        <f t="shared" si="368"/>
        <v>0</v>
      </c>
      <c r="Z679" s="11">
        <f t="shared" si="369"/>
        <v>0</v>
      </c>
      <c r="AA679" s="2">
        <f t="shared" si="370"/>
        <v>0</v>
      </c>
      <c r="AB679" s="11">
        <f t="shared" si="371"/>
        <v>0</v>
      </c>
      <c r="AC679" s="2">
        <f t="shared" si="372"/>
        <v>0</v>
      </c>
      <c r="AF679" s="11">
        <f t="shared" si="373"/>
        <v>0</v>
      </c>
      <c r="AG679" s="2">
        <f t="shared" si="374"/>
        <v>0</v>
      </c>
      <c r="AH679" s="2">
        <f t="shared" si="375"/>
        <v>0</v>
      </c>
      <c r="AI679" s="2">
        <f t="shared" si="376"/>
        <v>0</v>
      </c>
      <c r="AJ679" s="2">
        <f t="shared" si="377"/>
        <v>0</v>
      </c>
      <c r="AK679" s="2">
        <f t="shared" si="378"/>
        <v>0</v>
      </c>
      <c r="AL679" s="2">
        <f t="shared" si="379"/>
        <v>0</v>
      </c>
      <c r="AN679" s="2" t="e">
        <f t="shared" si="395"/>
        <v>#N/A</v>
      </c>
      <c r="AO679" s="2" t="e">
        <f t="shared" si="396"/>
        <v>#N/A</v>
      </c>
      <c r="AP679" s="2" t="e">
        <f t="shared" si="397"/>
        <v>#N/A</v>
      </c>
      <c r="AQ679" s="2" t="e">
        <f t="shared" si="398"/>
        <v>#N/A</v>
      </c>
      <c r="AR679" s="2" t="e">
        <f t="shared" si="399"/>
        <v>#N/A</v>
      </c>
      <c r="AS679" s="2" t="e">
        <f t="shared" si="400"/>
        <v>#DIV/0!</v>
      </c>
      <c r="AT679" s="9" t="e">
        <f t="shared" ca="1" si="401"/>
        <v>#N/A</v>
      </c>
      <c r="AU679" s="9" t="e">
        <f t="shared" ca="1" si="402"/>
        <v>#N/A</v>
      </c>
      <c r="AV679" s="9"/>
      <c r="AW679" s="2" t="e">
        <f t="shared" si="387"/>
        <v>#N/A</v>
      </c>
      <c r="AX679" s="2" t="e">
        <f t="shared" si="388"/>
        <v>#N/A</v>
      </c>
      <c r="AY679" s="2" t="e">
        <f t="shared" si="389"/>
        <v>#N/A</v>
      </c>
      <c r="AZ679" s="2" t="e">
        <f t="shared" si="390"/>
        <v>#N/A</v>
      </c>
      <c r="BA679" s="2" t="e">
        <f t="shared" si="391"/>
        <v>#N/A</v>
      </c>
      <c r="BB679" s="2" t="e">
        <f t="shared" si="392"/>
        <v>#DIV/0!</v>
      </c>
      <c r="BC679" s="9" t="e">
        <f t="shared" ca="1" si="393"/>
        <v>#N/A</v>
      </c>
      <c r="BD679" s="9" t="e">
        <f t="shared" ca="1" si="394"/>
        <v>#N/A</v>
      </c>
    </row>
    <row r="680" spans="1:56" ht="15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 s="64"/>
      <c r="O680" s="64"/>
      <c r="P680" s="16"/>
      <c r="Q680" s="11"/>
      <c r="R680" s="11"/>
      <c r="S680" s="11"/>
      <c r="T680" s="11"/>
      <c r="U680" s="11"/>
      <c r="V680" s="11"/>
      <c r="W680" s="11">
        <f t="shared" si="366"/>
        <v>0</v>
      </c>
      <c r="X680" s="2">
        <f t="shared" si="367"/>
        <v>0</v>
      </c>
      <c r="Y680" s="2">
        <f t="shared" si="368"/>
        <v>0</v>
      </c>
      <c r="Z680" s="11">
        <f t="shared" si="369"/>
        <v>0</v>
      </c>
      <c r="AA680" s="2">
        <f t="shared" si="370"/>
        <v>0</v>
      </c>
      <c r="AB680" s="11">
        <f t="shared" si="371"/>
        <v>0</v>
      </c>
      <c r="AC680" s="2">
        <f t="shared" si="372"/>
        <v>0</v>
      </c>
      <c r="AF680" s="11">
        <f t="shared" si="373"/>
        <v>0</v>
      </c>
      <c r="AG680" s="2">
        <f t="shared" si="374"/>
        <v>0</v>
      </c>
      <c r="AH680" s="2">
        <f t="shared" si="375"/>
        <v>0</v>
      </c>
      <c r="AI680" s="2">
        <f t="shared" si="376"/>
        <v>0</v>
      </c>
      <c r="AJ680" s="2">
        <f t="shared" si="377"/>
        <v>0</v>
      </c>
      <c r="AK680" s="2">
        <f t="shared" si="378"/>
        <v>0</v>
      </c>
      <c r="AL680" s="2">
        <f t="shared" si="379"/>
        <v>0</v>
      </c>
      <c r="AN680" s="2" t="e">
        <f t="shared" si="395"/>
        <v>#N/A</v>
      </c>
      <c r="AO680" s="2" t="e">
        <f t="shared" si="396"/>
        <v>#N/A</v>
      </c>
      <c r="AP680" s="2" t="e">
        <f t="shared" si="397"/>
        <v>#N/A</v>
      </c>
      <c r="AQ680" s="2" t="e">
        <f t="shared" si="398"/>
        <v>#N/A</v>
      </c>
      <c r="AR680" s="2" t="e">
        <f t="shared" si="399"/>
        <v>#N/A</v>
      </c>
      <c r="AS680" s="2" t="e">
        <f t="shared" si="400"/>
        <v>#DIV/0!</v>
      </c>
      <c r="AT680" s="9" t="e">
        <f t="shared" ca="1" si="401"/>
        <v>#N/A</v>
      </c>
      <c r="AU680" s="9" t="e">
        <f t="shared" ca="1" si="402"/>
        <v>#N/A</v>
      </c>
      <c r="AV680" s="9"/>
      <c r="AW680" s="2" t="e">
        <f t="shared" si="387"/>
        <v>#N/A</v>
      </c>
      <c r="AX680" s="2" t="e">
        <f t="shared" si="388"/>
        <v>#N/A</v>
      </c>
      <c r="AY680" s="2" t="e">
        <f t="shared" si="389"/>
        <v>#N/A</v>
      </c>
      <c r="AZ680" s="2" t="e">
        <f t="shared" si="390"/>
        <v>#N/A</v>
      </c>
      <c r="BA680" s="2" t="e">
        <f t="shared" si="391"/>
        <v>#N/A</v>
      </c>
      <c r="BB680" s="2" t="e">
        <f t="shared" si="392"/>
        <v>#DIV/0!</v>
      </c>
      <c r="BC680" s="9" t="e">
        <f t="shared" ca="1" si="393"/>
        <v>#N/A</v>
      </c>
      <c r="BD680" s="9" t="e">
        <f t="shared" ca="1" si="394"/>
        <v>#N/A</v>
      </c>
    </row>
    <row r="681" spans="1:56" ht="15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 s="64"/>
      <c r="O681" s="64"/>
      <c r="P681" s="16"/>
      <c r="Q681" s="11"/>
      <c r="R681" s="11"/>
      <c r="S681" s="11"/>
      <c r="T681" s="11"/>
      <c r="U681" s="11"/>
      <c r="V681" s="11"/>
      <c r="W681" s="11">
        <f t="shared" si="366"/>
        <v>0</v>
      </c>
      <c r="X681" s="2">
        <f t="shared" si="367"/>
        <v>0</v>
      </c>
      <c r="Y681" s="2">
        <f t="shared" si="368"/>
        <v>0</v>
      </c>
      <c r="Z681" s="11">
        <f t="shared" si="369"/>
        <v>0</v>
      </c>
      <c r="AA681" s="2">
        <f t="shared" si="370"/>
        <v>0</v>
      </c>
      <c r="AB681" s="11">
        <f t="shared" si="371"/>
        <v>0</v>
      </c>
      <c r="AC681" s="2">
        <f t="shared" si="372"/>
        <v>0</v>
      </c>
      <c r="AF681" s="11">
        <f t="shared" si="373"/>
        <v>0</v>
      </c>
      <c r="AG681" s="2">
        <f t="shared" si="374"/>
        <v>0</v>
      </c>
      <c r="AH681" s="2">
        <f t="shared" si="375"/>
        <v>0</v>
      </c>
      <c r="AI681" s="2">
        <f t="shared" si="376"/>
        <v>0</v>
      </c>
      <c r="AJ681" s="2">
        <f t="shared" si="377"/>
        <v>0</v>
      </c>
      <c r="AK681" s="2">
        <f t="shared" si="378"/>
        <v>0</v>
      </c>
      <c r="AL681" s="2">
        <f t="shared" si="379"/>
        <v>0</v>
      </c>
      <c r="AN681" s="2" t="e">
        <f t="shared" si="395"/>
        <v>#N/A</v>
      </c>
      <c r="AO681" s="2" t="e">
        <f t="shared" si="396"/>
        <v>#N/A</v>
      </c>
      <c r="AP681" s="2" t="e">
        <f t="shared" si="397"/>
        <v>#N/A</v>
      </c>
      <c r="AQ681" s="2" t="e">
        <f t="shared" si="398"/>
        <v>#N/A</v>
      </c>
      <c r="AR681" s="2" t="e">
        <f t="shared" si="399"/>
        <v>#N/A</v>
      </c>
      <c r="AS681" s="2" t="e">
        <f t="shared" si="400"/>
        <v>#DIV/0!</v>
      </c>
      <c r="AT681" s="9" t="e">
        <f t="shared" ca="1" si="401"/>
        <v>#N/A</v>
      </c>
      <c r="AU681" s="9" t="e">
        <f t="shared" ca="1" si="402"/>
        <v>#N/A</v>
      </c>
      <c r="AV681" s="9"/>
      <c r="AW681" s="2" t="e">
        <f t="shared" si="387"/>
        <v>#N/A</v>
      </c>
      <c r="AX681" s="2" t="e">
        <f t="shared" si="388"/>
        <v>#N/A</v>
      </c>
      <c r="AY681" s="2" t="e">
        <f t="shared" si="389"/>
        <v>#N/A</v>
      </c>
      <c r="AZ681" s="2" t="e">
        <f t="shared" si="390"/>
        <v>#N/A</v>
      </c>
      <c r="BA681" s="2" t="e">
        <f t="shared" si="391"/>
        <v>#N/A</v>
      </c>
      <c r="BB681" s="2" t="e">
        <f t="shared" si="392"/>
        <v>#DIV/0!</v>
      </c>
      <c r="BC681" s="9" t="e">
        <f t="shared" ca="1" si="393"/>
        <v>#N/A</v>
      </c>
      <c r="BD681" s="9" t="e">
        <f t="shared" ca="1" si="394"/>
        <v>#N/A</v>
      </c>
    </row>
    <row r="682" spans="1:56" ht="15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 s="64"/>
      <c r="O682" s="64"/>
      <c r="P682" s="16"/>
      <c r="Q682" s="11"/>
      <c r="R682" s="11"/>
      <c r="S682" s="11"/>
      <c r="T682" s="11"/>
      <c r="U682" s="11"/>
      <c r="V682" s="11"/>
      <c r="W682" s="11">
        <f t="shared" si="366"/>
        <v>0</v>
      </c>
      <c r="X682" s="2">
        <f t="shared" si="367"/>
        <v>0</v>
      </c>
      <c r="Y682" s="2">
        <f t="shared" si="368"/>
        <v>0</v>
      </c>
      <c r="Z682" s="11">
        <f t="shared" si="369"/>
        <v>0</v>
      </c>
      <c r="AA682" s="2">
        <f t="shared" si="370"/>
        <v>0</v>
      </c>
      <c r="AB682" s="11">
        <f t="shared" si="371"/>
        <v>0</v>
      </c>
      <c r="AC682" s="2">
        <f t="shared" si="372"/>
        <v>0</v>
      </c>
      <c r="AF682" s="11">
        <f t="shared" si="373"/>
        <v>0</v>
      </c>
      <c r="AG682" s="2">
        <f t="shared" si="374"/>
        <v>0</v>
      </c>
      <c r="AH682" s="2">
        <f t="shared" si="375"/>
        <v>0</v>
      </c>
      <c r="AI682" s="2">
        <f t="shared" si="376"/>
        <v>0</v>
      </c>
      <c r="AJ682" s="2">
        <f t="shared" si="377"/>
        <v>0</v>
      </c>
      <c r="AK682" s="2">
        <f t="shared" si="378"/>
        <v>0</v>
      </c>
      <c r="AL682" s="2">
        <f t="shared" si="379"/>
        <v>0</v>
      </c>
      <c r="AN682" s="2" t="e">
        <f t="shared" si="395"/>
        <v>#N/A</v>
      </c>
      <c r="AO682" s="2" t="e">
        <f t="shared" si="396"/>
        <v>#N/A</v>
      </c>
      <c r="AP682" s="2" t="e">
        <f t="shared" si="397"/>
        <v>#N/A</v>
      </c>
      <c r="AQ682" s="2" t="e">
        <f t="shared" si="398"/>
        <v>#N/A</v>
      </c>
      <c r="AR682" s="2" t="e">
        <f t="shared" si="399"/>
        <v>#N/A</v>
      </c>
      <c r="AS682" s="2" t="e">
        <f t="shared" si="400"/>
        <v>#DIV/0!</v>
      </c>
      <c r="AT682" s="9" t="e">
        <f t="shared" ca="1" si="401"/>
        <v>#N/A</v>
      </c>
      <c r="AU682" s="9" t="e">
        <f t="shared" ca="1" si="402"/>
        <v>#N/A</v>
      </c>
      <c r="AV682" s="9"/>
      <c r="AW682" s="2" t="e">
        <f t="shared" si="387"/>
        <v>#N/A</v>
      </c>
      <c r="AX682" s="2" t="e">
        <f t="shared" si="388"/>
        <v>#N/A</v>
      </c>
      <c r="AY682" s="2" t="e">
        <f t="shared" si="389"/>
        <v>#N/A</v>
      </c>
      <c r="AZ682" s="2" t="e">
        <f t="shared" si="390"/>
        <v>#N/A</v>
      </c>
      <c r="BA682" s="2" t="e">
        <f t="shared" si="391"/>
        <v>#N/A</v>
      </c>
      <c r="BB682" s="2" t="e">
        <f t="shared" si="392"/>
        <v>#DIV/0!</v>
      </c>
      <c r="BC682" s="9" t="e">
        <f t="shared" ca="1" si="393"/>
        <v>#N/A</v>
      </c>
      <c r="BD682" s="9" t="e">
        <f t="shared" ca="1" si="394"/>
        <v>#N/A</v>
      </c>
    </row>
    <row r="683" spans="1:56" ht="15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 s="64"/>
      <c r="O683" s="64"/>
      <c r="P683" s="16"/>
      <c r="Q683" s="11"/>
      <c r="R683" s="11"/>
      <c r="S683" s="11"/>
      <c r="T683" s="11"/>
      <c r="U683" s="11"/>
      <c r="V683" s="11"/>
      <c r="W683" s="11">
        <f t="shared" si="366"/>
        <v>0</v>
      </c>
      <c r="X683" s="2">
        <f t="shared" si="367"/>
        <v>0</v>
      </c>
      <c r="Y683" s="2">
        <f t="shared" si="368"/>
        <v>0</v>
      </c>
      <c r="Z683" s="11">
        <f t="shared" si="369"/>
        <v>0</v>
      </c>
      <c r="AA683" s="2">
        <f t="shared" si="370"/>
        <v>0</v>
      </c>
      <c r="AB683" s="11">
        <f t="shared" si="371"/>
        <v>0</v>
      </c>
      <c r="AC683" s="2">
        <f t="shared" si="372"/>
        <v>0</v>
      </c>
      <c r="AF683" s="11">
        <f t="shared" si="373"/>
        <v>0</v>
      </c>
      <c r="AG683" s="2">
        <f t="shared" si="374"/>
        <v>0</v>
      </c>
      <c r="AH683" s="2">
        <f t="shared" si="375"/>
        <v>0</v>
      </c>
      <c r="AI683" s="2">
        <f t="shared" si="376"/>
        <v>0</v>
      </c>
      <c r="AJ683" s="2">
        <f t="shared" si="377"/>
        <v>0</v>
      </c>
      <c r="AK683" s="2">
        <f t="shared" si="378"/>
        <v>0</v>
      </c>
      <c r="AL683" s="2">
        <f t="shared" si="379"/>
        <v>0</v>
      </c>
      <c r="AN683" s="2" t="e">
        <f t="shared" si="395"/>
        <v>#N/A</v>
      </c>
      <c r="AO683" s="2" t="e">
        <f t="shared" si="396"/>
        <v>#N/A</v>
      </c>
      <c r="AP683" s="2" t="e">
        <f t="shared" si="397"/>
        <v>#N/A</v>
      </c>
      <c r="AQ683" s="2" t="e">
        <f t="shared" si="398"/>
        <v>#N/A</v>
      </c>
      <c r="AR683" s="2" t="e">
        <f t="shared" si="399"/>
        <v>#N/A</v>
      </c>
      <c r="AS683" s="2" t="e">
        <f t="shared" si="400"/>
        <v>#DIV/0!</v>
      </c>
      <c r="AT683" s="9" t="e">
        <f t="shared" ca="1" si="401"/>
        <v>#N/A</v>
      </c>
      <c r="AU683" s="9" t="e">
        <f t="shared" ca="1" si="402"/>
        <v>#N/A</v>
      </c>
      <c r="AV683" s="9"/>
      <c r="AW683" s="2" t="e">
        <f t="shared" si="387"/>
        <v>#N/A</v>
      </c>
      <c r="AX683" s="2" t="e">
        <f t="shared" si="388"/>
        <v>#N/A</v>
      </c>
      <c r="AY683" s="2" t="e">
        <f t="shared" si="389"/>
        <v>#N/A</v>
      </c>
      <c r="AZ683" s="2" t="e">
        <f t="shared" si="390"/>
        <v>#N/A</v>
      </c>
      <c r="BA683" s="2" t="e">
        <f t="shared" si="391"/>
        <v>#N/A</v>
      </c>
      <c r="BB683" s="2" t="e">
        <f t="shared" si="392"/>
        <v>#DIV/0!</v>
      </c>
      <c r="BC683" s="9" t="e">
        <f t="shared" ca="1" si="393"/>
        <v>#N/A</v>
      </c>
      <c r="BD683" s="9" t="e">
        <f t="shared" ca="1" si="394"/>
        <v>#N/A</v>
      </c>
    </row>
    <row r="684" spans="1:56" ht="15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 s="64"/>
      <c r="O684" s="64"/>
      <c r="P684" s="16"/>
      <c r="Q684" s="11"/>
      <c r="R684" s="11"/>
      <c r="S684" s="11"/>
      <c r="T684" s="11"/>
      <c r="U684" s="11"/>
      <c r="V684" s="11"/>
      <c r="W684" s="11">
        <f t="shared" si="366"/>
        <v>0</v>
      </c>
      <c r="X684" s="2">
        <f t="shared" si="367"/>
        <v>0</v>
      </c>
      <c r="Y684" s="2">
        <f t="shared" si="368"/>
        <v>0</v>
      </c>
      <c r="Z684" s="11">
        <f t="shared" si="369"/>
        <v>0</v>
      </c>
      <c r="AA684" s="2">
        <f t="shared" si="370"/>
        <v>0</v>
      </c>
      <c r="AB684" s="11">
        <f t="shared" si="371"/>
        <v>0</v>
      </c>
      <c r="AC684" s="2">
        <f t="shared" si="372"/>
        <v>0</v>
      </c>
      <c r="AF684" s="11">
        <f t="shared" si="373"/>
        <v>0</v>
      </c>
      <c r="AG684" s="2">
        <f t="shared" si="374"/>
        <v>0</v>
      </c>
      <c r="AH684" s="2">
        <f t="shared" si="375"/>
        <v>0</v>
      </c>
      <c r="AI684" s="2">
        <f t="shared" si="376"/>
        <v>0</v>
      </c>
      <c r="AJ684" s="2">
        <f t="shared" si="377"/>
        <v>0</v>
      </c>
      <c r="AK684" s="2">
        <f t="shared" si="378"/>
        <v>0</v>
      </c>
      <c r="AL684" s="2">
        <f t="shared" si="379"/>
        <v>0</v>
      </c>
      <c r="AN684" s="2" t="e">
        <f t="shared" si="395"/>
        <v>#N/A</v>
      </c>
      <c r="AO684" s="2" t="e">
        <f t="shared" si="396"/>
        <v>#N/A</v>
      </c>
      <c r="AP684" s="2" t="e">
        <f t="shared" si="397"/>
        <v>#N/A</v>
      </c>
      <c r="AQ684" s="2" t="e">
        <f t="shared" si="398"/>
        <v>#N/A</v>
      </c>
      <c r="AR684" s="2" t="e">
        <f t="shared" si="399"/>
        <v>#N/A</v>
      </c>
      <c r="AS684" s="2" t="e">
        <f t="shared" si="400"/>
        <v>#DIV/0!</v>
      </c>
      <c r="AT684" s="9" t="e">
        <f t="shared" ca="1" si="401"/>
        <v>#N/A</v>
      </c>
      <c r="AU684" s="9" t="e">
        <f t="shared" ca="1" si="402"/>
        <v>#N/A</v>
      </c>
      <c r="AV684" s="9"/>
      <c r="AW684" s="2" t="e">
        <f t="shared" si="387"/>
        <v>#N/A</v>
      </c>
      <c r="AX684" s="2" t="e">
        <f t="shared" si="388"/>
        <v>#N/A</v>
      </c>
      <c r="AY684" s="2" t="e">
        <f t="shared" si="389"/>
        <v>#N/A</v>
      </c>
      <c r="AZ684" s="2" t="e">
        <f t="shared" si="390"/>
        <v>#N/A</v>
      </c>
      <c r="BA684" s="2" t="e">
        <f t="shared" si="391"/>
        <v>#N/A</v>
      </c>
      <c r="BB684" s="2" t="e">
        <f t="shared" si="392"/>
        <v>#DIV/0!</v>
      </c>
      <c r="BC684" s="9" t="e">
        <f t="shared" ca="1" si="393"/>
        <v>#N/A</v>
      </c>
      <c r="BD684" s="9" t="e">
        <f t="shared" ca="1" si="394"/>
        <v>#N/A</v>
      </c>
    </row>
    <row r="685" spans="1:56" ht="15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 s="64"/>
      <c r="O685" s="64"/>
      <c r="P685" s="16"/>
      <c r="Q685" s="11"/>
      <c r="R685" s="11"/>
      <c r="S685" s="11"/>
      <c r="T685" s="11"/>
      <c r="U685" s="11"/>
      <c r="V685" s="11"/>
      <c r="W685" s="11">
        <f t="shared" si="366"/>
        <v>0</v>
      </c>
      <c r="X685" s="2">
        <f t="shared" si="367"/>
        <v>0</v>
      </c>
      <c r="Y685" s="2">
        <f t="shared" si="368"/>
        <v>0</v>
      </c>
      <c r="Z685" s="11">
        <f t="shared" si="369"/>
        <v>0</v>
      </c>
      <c r="AA685" s="2">
        <f t="shared" si="370"/>
        <v>0</v>
      </c>
      <c r="AB685" s="11">
        <f t="shared" si="371"/>
        <v>0</v>
      </c>
      <c r="AC685" s="2">
        <f t="shared" si="372"/>
        <v>0</v>
      </c>
      <c r="AF685" s="11">
        <f t="shared" si="373"/>
        <v>0</v>
      </c>
      <c r="AG685" s="2">
        <f t="shared" si="374"/>
        <v>0</v>
      </c>
      <c r="AH685" s="2">
        <f t="shared" si="375"/>
        <v>0</v>
      </c>
      <c r="AI685" s="2">
        <f t="shared" si="376"/>
        <v>0</v>
      </c>
      <c r="AJ685" s="2">
        <f t="shared" si="377"/>
        <v>0</v>
      </c>
      <c r="AK685" s="2">
        <f t="shared" si="378"/>
        <v>0</v>
      </c>
      <c r="AL685" s="2">
        <f t="shared" si="379"/>
        <v>0</v>
      </c>
      <c r="AN685" s="2" t="e">
        <f t="shared" si="395"/>
        <v>#N/A</v>
      </c>
      <c r="AO685" s="2" t="e">
        <f t="shared" si="396"/>
        <v>#N/A</v>
      </c>
      <c r="AP685" s="2" t="e">
        <f t="shared" si="397"/>
        <v>#N/A</v>
      </c>
      <c r="AQ685" s="2" t="e">
        <f t="shared" si="398"/>
        <v>#N/A</v>
      </c>
      <c r="AR685" s="2" t="e">
        <f t="shared" si="399"/>
        <v>#N/A</v>
      </c>
      <c r="AS685" s="2" t="e">
        <f t="shared" si="400"/>
        <v>#DIV/0!</v>
      </c>
      <c r="AT685" s="9" t="e">
        <f t="shared" ca="1" si="401"/>
        <v>#N/A</v>
      </c>
      <c r="AU685" s="9" t="e">
        <f t="shared" ca="1" si="402"/>
        <v>#N/A</v>
      </c>
      <c r="AV685" s="9"/>
      <c r="AW685" s="2" t="e">
        <f t="shared" si="387"/>
        <v>#N/A</v>
      </c>
      <c r="AX685" s="2" t="e">
        <f t="shared" si="388"/>
        <v>#N/A</v>
      </c>
      <c r="AY685" s="2" t="e">
        <f t="shared" si="389"/>
        <v>#N/A</v>
      </c>
      <c r="AZ685" s="2" t="e">
        <f t="shared" si="390"/>
        <v>#N/A</v>
      </c>
      <c r="BA685" s="2" t="e">
        <f t="shared" si="391"/>
        <v>#N/A</v>
      </c>
      <c r="BB685" s="2" t="e">
        <f t="shared" si="392"/>
        <v>#DIV/0!</v>
      </c>
      <c r="BC685" s="9" t="e">
        <f t="shared" ca="1" si="393"/>
        <v>#N/A</v>
      </c>
      <c r="BD685" s="9" t="e">
        <f t="shared" ca="1" si="394"/>
        <v>#N/A</v>
      </c>
    </row>
    <row r="686" spans="1:56" ht="15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 s="64"/>
      <c r="O686" s="64"/>
      <c r="P686" s="16"/>
      <c r="Q686" s="11"/>
      <c r="R686" s="11"/>
      <c r="S686" s="11"/>
      <c r="T686" s="11"/>
      <c r="U686" s="11"/>
      <c r="V686" s="11"/>
      <c r="W686" s="11">
        <f t="shared" si="366"/>
        <v>0</v>
      </c>
      <c r="X686" s="2">
        <f t="shared" si="367"/>
        <v>0</v>
      </c>
      <c r="Y686" s="2">
        <f t="shared" si="368"/>
        <v>0</v>
      </c>
      <c r="Z686" s="11">
        <f t="shared" si="369"/>
        <v>0</v>
      </c>
      <c r="AA686" s="2">
        <f t="shared" si="370"/>
        <v>0</v>
      </c>
      <c r="AB686" s="11">
        <f t="shared" si="371"/>
        <v>0</v>
      </c>
      <c r="AC686" s="2">
        <f t="shared" si="372"/>
        <v>0</v>
      </c>
      <c r="AF686" s="11">
        <f t="shared" si="373"/>
        <v>0</v>
      </c>
      <c r="AG686" s="2">
        <f t="shared" si="374"/>
        <v>0</v>
      </c>
      <c r="AH686" s="2">
        <f t="shared" si="375"/>
        <v>0</v>
      </c>
      <c r="AI686" s="2">
        <f t="shared" si="376"/>
        <v>0</v>
      </c>
      <c r="AJ686" s="2">
        <f t="shared" si="377"/>
        <v>0</v>
      </c>
      <c r="AK686" s="2">
        <f t="shared" si="378"/>
        <v>0</v>
      </c>
      <c r="AL686" s="2">
        <f t="shared" si="379"/>
        <v>0</v>
      </c>
      <c r="AN686" s="2" t="e">
        <f t="shared" si="395"/>
        <v>#N/A</v>
      </c>
      <c r="AO686" s="2" t="e">
        <f t="shared" si="396"/>
        <v>#N/A</v>
      </c>
      <c r="AP686" s="2" t="e">
        <f t="shared" si="397"/>
        <v>#N/A</v>
      </c>
      <c r="AQ686" s="2" t="e">
        <f t="shared" si="398"/>
        <v>#N/A</v>
      </c>
      <c r="AR686" s="2" t="e">
        <f t="shared" si="399"/>
        <v>#N/A</v>
      </c>
      <c r="AS686" s="2" t="e">
        <f t="shared" si="400"/>
        <v>#DIV/0!</v>
      </c>
      <c r="AT686" s="9" t="e">
        <f t="shared" ca="1" si="401"/>
        <v>#N/A</v>
      </c>
      <c r="AU686" s="9" t="e">
        <f t="shared" ca="1" si="402"/>
        <v>#N/A</v>
      </c>
      <c r="AV686" s="9"/>
      <c r="AW686" s="2" t="e">
        <f t="shared" si="387"/>
        <v>#N/A</v>
      </c>
      <c r="AX686" s="2" t="e">
        <f t="shared" si="388"/>
        <v>#N/A</v>
      </c>
      <c r="AY686" s="2" t="e">
        <f t="shared" si="389"/>
        <v>#N/A</v>
      </c>
      <c r="AZ686" s="2" t="e">
        <f t="shared" si="390"/>
        <v>#N/A</v>
      </c>
      <c r="BA686" s="2" t="e">
        <f t="shared" si="391"/>
        <v>#N/A</v>
      </c>
      <c r="BB686" s="2" t="e">
        <f t="shared" si="392"/>
        <v>#DIV/0!</v>
      </c>
      <c r="BC686" s="9" t="e">
        <f t="shared" ca="1" si="393"/>
        <v>#N/A</v>
      </c>
      <c r="BD686" s="9" t="e">
        <f t="shared" ca="1" si="394"/>
        <v>#N/A</v>
      </c>
    </row>
    <row r="687" spans="1:56" ht="15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 s="64"/>
      <c r="O687" s="64"/>
      <c r="P687" s="16"/>
      <c r="Q687" s="11"/>
      <c r="R687" s="11"/>
      <c r="S687" s="11"/>
      <c r="T687" s="11"/>
      <c r="U687" s="11"/>
      <c r="V687" s="11"/>
      <c r="W687" s="11">
        <f t="shared" si="366"/>
        <v>0</v>
      </c>
      <c r="X687" s="2">
        <f t="shared" si="367"/>
        <v>0</v>
      </c>
      <c r="Y687" s="2">
        <f t="shared" si="368"/>
        <v>0</v>
      </c>
      <c r="Z687" s="11">
        <f t="shared" si="369"/>
        <v>0</v>
      </c>
      <c r="AA687" s="2">
        <f t="shared" si="370"/>
        <v>0</v>
      </c>
      <c r="AB687" s="11">
        <f t="shared" si="371"/>
        <v>0</v>
      </c>
      <c r="AC687" s="2">
        <f t="shared" si="372"/>
        <v>0</v>
      </c>
      <c r="AF687" s="11">
        <f t="shared" si="373"/>
        <v>0</v>
      </c>
      <c r="AG687" s="2">
        <f t="shared" si="374"/>
        <v>0</v>
      </c>
      <c r="AH687" s="2">
        <f t="shared" si="375"/>
        <v>0</v>
      </c>
      <c r="AI687" s="2">
        <f t="shared" si="376"/>
        <v>0</v>
      </c>
      <c r="AJ687" s="2">
        <f t="shared" si="377"/>
        <v>0</v>
      </c>
      <c r="AK687" s="2">
        <f t="shared" si="378"/>
        <v>0</v>
      </c>
      <c r="AL687" s="2">
        <f t="shared" si="379"/>
        <v>0</v>
      </c>
      <c r="AN687" s="2" t="e">
        <f t="shared" si="395"/>
        <v>#N/A</v>
      </c>
      <c r="AO687" s="2" t="e">
        <f t="shared" si="396"/>
        <v>#N/A</v>
      </c>
      <c r="AP687" s="2" t="e">
        <f t="shared" si="397"/>
        <v>#N/A</v>
      </c>
      <c r="AQ687" s="2" t="e">
        <f t="shared" si="398"/>
        <v>#N/A</v>
      </c>
      <c r="AR687" s="2" t="e">
        <f t="shared" si="399"/>
        <v>#N/A</v>
      </c>
      <c r="AS687" s="2" t="e">
        <f t="shared" si="400"/>
        <v>#DIV/0!</v>
      </c>
      <c r="AT687" s="9" t="e">
        <f t="shared" ca="1" si="401"/>
        <v>#N/A</v>
      </c>
      <c r="AU687" s="9" t="e">
        <f t="shared" ca="1" si="402"/>
        <v>#N/A</v>
      </c>
      <c r="AV687" s="9"/>
      <c r="AW687" s="2" t="e">
        <f t="shared" si="387"/>
        <v>#N/A</v>
      </c>
      <c r="AX687" s="2" t="e">
        <f t="shared" si="388"/>
        <v>#N/A</v>
      </c>
      <c r="AY687" s="2" t="e">
        <f t="shared" si="389"/>
        <v>#N/A</v>
      </c>
      <c r="AZ687" s="2" t="e">
        <f t="shared" si="390"/>
        <v>#N/A</v>
      </c>
      <c r="BA687" s="2" t="e">
        <f t="shared" si="391"/>
        <v>#N/A</v>
      </c>
      <c r="BB687" s="2" t="e">
        <f t="shared" si="392"/>
        <v>#DIV/0!</v>
      </c>
      <c r="BC687" s="9" t="e">
        <f t="shared" ca="1" si="393"/>
        <v>#N/A</v>
      </c>
      <c r="BD687" s="9" t="e">
        <f t="shared" ca="1" si="394"/>
        <v>#N/A</v>
      </c>
    </row>
    <row r="688" spans="1:56" ht="15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 s="64"/>
      <c r="O688" s="64"/>
      <c r="P688" s="16"/>
      <c r="Q688" s="11"/>
      <c r="R688" s="11"/>
      <c r="S688" s="11"/>
      <c r="T688" s="11"/>
      <c r="U688" s="11"/>
      <c r="V688" s="11"/>
      <c r="W688" s="11">
        <f t="shared" si="366"/>
        <v>0</v>
      </c>
      <c r="X688" s="2">
        <f t="shared" si="367"/>
        <v>0</v>
      </c>
      <c r="Y688" s="2">
        <f t="shared" si="368"/>
        <v>0</v>
      </c>
      <c r="Z688" s="11">
        <f t="shared" si="369"/>
        <v>0</v>
      </c>
      <c r="AA688" s="2">
        <f t="shared" si="370"/>
        <v>0</v>
      </c>
      <c r="AB688" s="11">
        <f t="shared" si="371"/>
        <v>0</v>
      </c>
      <c r="AC688" s="2">
        <f t="shared" si="372"/>
        <v>0</v>
      </c>
      <c r="AF688" s="11">
        <f t="shared" si="373"/>
        <v>0</v>
      </c>
      <c r="AG688" s="2">
        <f t="shared" si="374"/>
        <v>0</v>
      </c>
      <c r="AH688" s="2">
        <f t="shared" si="375"/>
        <v>0</v>
      </c>
      <c r="AI688" s="2">
        <f t="shared" si="376"/>
        <v>0</v>
      </c>
      <c r="AJ688" s="2">
        <f t="shared" si="377"/>
        <v>0</v>
      </c>
      <c r="AK688" s="2">
        <f t="shared" si="378"/>
        <v>0</v>
      </c>
      <c r="AL688" s="2">
        <f t="shared" si="379"/>
        <v>0</v>
      </c>
      <c r="AN688" s="2" t="e">
        <f t="shared" si="395"/>
        <v>#N/A</v>
      </c>
      <c r="AO688" s="2" t="e">
        <f t="shared" si="396"/>
        <v>#N/A</v>
      </c>
      <c r="AP688" s="2" t="e">
        <f t="shared" si="397"/>
        <v>#N/A</v>
      </c>
      <c r="AQ688" s="2" t="e">
        <f t="shared" si="398"/>
        <v>#N/A</v>
      </c>
      <c r="AR688" s="2" t="e">
        <f t="shared" si="399"/>
        <v>#N/A</v>
      </c>
      <c r="AS688" s="2" t="e">
        <f t="shared" si="400"/>
        <v>#DIV/0!</v>
      </c>
      <c r="AT688" s="9" t="e">
        <f t="shared" ca="1" si="401"/>
        <v>#N/A</v>
      </c>
      <c r="AU688" s="9" t="e">
        <f t="shared" ca="1" si="402"/>
        <v>#N/A</v>
      </c>
      <c r="AV688" s="9"/>
      <c r="AW688" s="2" t="e">
        <f t="shared" si="387"/>
        <v>#N/A</v>
      </c>
      <c r="AX688" s="2" t="e">
        <f t="shared" si="388"/>
        <v>#N/A</v>
      </c>
      <c r="AY688" s="2" t="e">
        <f t="shared" si="389"/>
        <v>#N/A</v>
      </c>
      <c r="AZ688" s="2" t="e">
        <f t="shared" si="390"/>
        <v>#N/A</v>
      </c>
      <c r="BA688" s="2" t="e">
        <f t="shared" si="391"/>
        <v>#N/A</v>
      </c>
      <c r="BB688" s="2" t="e">
        <f t="shared" si="392"/>
        <v>#DIV/0!</v>
      </c>
      <c r="BC688" s="9" t="e">
        <f t="shared" ca="1" si="393"/>
        <v>#N/A</v>
      </c>
      <c r="BD688" s="9" t="e">
        <f t="shared" ca="1" si="394"/>
        <v>#N/A</v>
      </c>
    </row>
    <row r="689" spans="1:56" ht="15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 s="64"/>
      <c r="O689" s="64"/>
      <c r="P689" s="16"/>
      <c r="Q689" s="11"/>
      <c r="R689" s="11"/>
      <c r="S689" s="11"/>
      <c r="T689" s="11"/>
      <c r="U689" s="11"/>
      <c r="V689" s="11"/>
      <c r="W689" s="11">
        <f t="shared" si="366"/>
        <v>0</v>
      </c>
      <c r="X689" s="2">
        <f t="shared" si="367"/>
        <v>0</v>
      </c>
      <c r="Y689" s="2">
        <f t="shared" si="368"/>
        <v>0</v>
      </c>
      <c r="Z689" s="11">
        <f t="shared" si="369"/>
        <v>0</v>
      </c>
      <c r="AA689" s="2">
        <f t="shared" si="370"/>
        <v>0</v>
      </c>
      <c r="AB689" s="11">
        <f t="shared" si="371"/>
        <v>0</v>
      </c>
      <c r="AC689" s="2">
        <f t="shared" si="372"/>
        <v>0</v>
      </c>
      <c r="AF689" s="11">
        <f t="shared" si="373"/>
        <v>0</v>
      </c>
      <c r="AG689" s="2">
        <f t="shared" si="374"/>
        <v>0</v>
      </c>
      <c r="AH689" s="2">
        <f t="shared" si="375"/>
        <v>0</v>
      </c>
      <c r="AI689" s="2">
        <f t="shared" si="376"/>
        <v>0</v>
      </c>
      <c r="AJ689" s="2">
        <f t="shared" si="377"/>
        <v>0</v>
      </c>
      <c r="AK689" s="2">
        <f t="shared" si="378"/>
        <v>0</v>
      </c>
      <c r="AL689" s="2">
        <f t="shared" si="379"/>
        <v>0</v>
      </c>
      <c r="AN689" s="2" t="e">
        <f t="shared" si="395"/>
        <v>#N/A</v>
      </c>
      <c r="AO689" s="2" t="e">
        <f t="shared" si="396"/>
        <v>#N/A</v>
      </c>
      <c r="AP689" s="2" t="e">
        <f t="shared" si="397"/>
        <v>#N/A</v>
      </c>
      <c r="AQ689" s="2" t="e">
        <f t="shared" si="398"/>
        <v>#N/A</v>
      </c>
      <c r="AR689" s="2" t="e">
        <f t="shared" si="399"/>
        <v>#N/A</v>
      </c>
      <c r="AS689" s="2" t="e">
        <f t="shared" si="400"/>
        <v>#DIV/0!</v>
      </c>
      <c r="AT689" s="9" t="e">
        <f t="shared" ca="1" si="401"/>
        <v>#N/A</v>
      </c>
      <c r="AU689" s="9" t="e">
        <f t="shared" ca="1" si="402"/>
        <v>#N/A</v>
      </c>
      <c r="AV689" s="9"/>
      <c r="AW689" s="2" t="e">
        <f t="shared" si="387"/>
        <v>#N/A</v>
      </c>
      <c r="AX689" s="2" t="e">
        <f t="shared" si="388"/>
        <v>#N/A</v>
      </c>
      <c r="AY689" s="2" t="e">
        <f t="shared" si="389"/>
        <v>#N/A</v>
      </c>
      <c r="AZ689" s="2" t="e">
        <f t="shared" si="390"/>
        <v>#N/A</v>
      </c>
      <c r="BA689" s="2" t="e">
        <f t="shared" si="391"/>
        <v>#N/A</v>
      </c>
      <c r="BB689" s="2" t="e">
        <f t="shared" si="392"/>
        <v>#DIV/0!</v>
      </c>
      <c r="BC689" s="9" t="e">
        <f t="shared" ca="1" si="393"/>
        <v>#N/A</v>
      </c>
      <c r="BD689" s="9" t="e">
        <f t="shared" ca="1" si="394"/>
        <v>#N/A</v>
      </c>
    </row>
    <row r="690" spans="1:56" ht="15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 s="64"/>
      <c r="O690" s="64"/>
      <c r="P690" s="16"/>
      <c r="Q690" s="11"/>
      <c r="R690" s="11"/>
      <c r="S690" s="11"/>
      <c r="T690" s="11"/>
      <c r="U690" s="11"/>
      <c r="V690" s="11"/>
      <c r="W690" s="11">
        <f t="shared" si="366"/>
        <v>0</v>
      </c>
      <c r="X690" s="2">
        <f t="shared" si="367"/>
        <v>0</v>
      </c>
      <c r="Y690" s="2">
        <f t="shared" si="368"/>
        <v>0</v>
      </c>
      <c r="Z690" s="11">
        <f t="shared" si="369"/>
        <v>0</v>
      </c>
      <c r="AA690" s="2">
        <f t="shared" si="370"/>
        <v>0</v>
      </c>
      <c r="AB690" s="11">
        <f t="shared" si="371"/>
        <v>0</v>
      </c>
      <c r="AC690" s="2">
        <f t="shared" si="372"/>
        <v>0</v>
      </c>
      <c r="AF690" s="11">
        <f t="shared" si="373"/>
        <v>0</v>
      </c>
      <c r="AG690" s="2">
        <f t="shared" si="374"/>
        <v>0</v>
      </c>
      <c r="AH690" s="2">
        <f t="shared" si="375"/>
        <v>0</v>
      </c>
      <c r="AI690" s="2">
        <f t="shared" si="376"/>
        <v>0</v>
      </c>
      <c r="AJ690" s="2">
        <f t="shared" si="377"/>
        <v>0</v>
      </c>
      <c r="AK690" s="2">
        <f t="shared" si="378"/>
        <v>0</v>
      </c>
      <c r="AL690" s="2">
        <f t="shared" si="379"/>
        <v>0</v>
      </c>
      <c r="AN690" s="2" t="e">
        <f t="shared" si="395"/>
        <v>#N/A</v>
      </c>
      <c r="AO690" s="2" t="e">
        <f t="shared" si="396"/>
        <v>#N/A</v>
      </c>
      <c r="AP690" s="2" t="e">
        <f t="shared" si="397"/>
        <v>#N/A</v>
      </c>
      <c r="AQ690" s="2" t="e">
        <f t="shared" si="398"/>
        <v>#N/A</v>
      </c>
      <c r="AR690" s="2" t="e">
        <f t="shared" si="399"/>
        <v>#N/A</v>
      </c>
      <c r="AS690" s="2" t="e">
        <f t="shared" si="400"/>
        <v>#DIV/0!</v>
      </c>
      <c r="AT690" s="9" t="e">
        <f t="shared" ca="1" si="401"/>
        <v>#N/A</v>
      </c>
      <c r="AU690" s="9" t="e">
        <f t="shared" ca="1" si="402"/>
        <v>#N/A</v>
      </c>
      <c r="AV690" s="9"/>
      <c r="AW690" s="2" t="e">
        <f t="shared" si="387"/>
        <v>#N/A</v>
      </c>
      <c r="AX690" s="2" t="e">
        <f t="shared" si="388"/>
        <v>#N/A</v>
      </c>
      <c r="AY690" s="2" t="e">
        <f t="shared" si="389"/>
        <v>#N/A</v>
      </c>
      <c r="AZ690" s="2" t="e">
        <f t="shared" si="390"/>
        <v>#N/A</v>
      </c>
      <c r="BA690" s="2" t="e">
        <f t="shared" si="391"/>
        <v>#N/A</v>
      </c>
      <c r="BB690" s="2" t="e">
        <f t="shared" si="392"/>
        <v>#DIV/0!</v>
      </c>
      <c r="BC690" s="9" t="e">
        <f t="shared" ca="1" si="393"/>
        <v>#N/A</v>
      </c>
      <c r="BD690" s="9" t="e">
        <f t="shared" ca="1" si="394"/>
        <v>#N/A</v>
      </c>
    </row>
    <row r="691" spans="1:56" ht="15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 s="64"/>
      <c r="O691" s="64"/>
      <c r="P691" s="16"/>
      <c r="Q691" s="11"/>
      <c r="R691" s="11"/>
      <c r="S691" s="11"/>
      <c r="T691" s="11"/>
      <c r="U691" s="11"/>
      <c r="V691" s="11"/>
      <c r="W691" s="11">
        <f t="shared" si="366"/>
        <v>0</v>
      </c>
      <c r="X691" s="2">
        <f t="shared" si="367"/>
        <v>0</v>
      </c>
      <c r="Y691" s="2">
        <f t="shared" si="368"/>
        <v>0</v>
      </c>
      <c r="Z691" s="11">
        <f t="shared" si="369"/>
        <v>0</v>
      </c>
      <c r="AA691" s="2">
        <f t="shared" si="370"/>
        <v>0</v>
      </c>
      <c r="AB691" s="11">
        <f t="shared" si="371"/>
        <v>0</v>
      </c>
      <c r="AC691" s="2">
        <f t="shared" si="372"/>
        <v>0</v>
      </c>
      <c r="AF691" s="11">
        <f t="shared" si="373"/>
        <v>0</v>
      </c>
      <c r="AG691" s="2">
        <f t="shared" si="374"/>
        <v>0</v>
      </c>
      <c r="AH691" s="2">
        <f t="shared" si="375"/>
        <v>0</v>
      </c>
      <c r="AI691" s="2">
        <f t="shared" si="376"/>
        <v>0</v>
      </c>
      <c r="AJ691" s="2">
        <f t="shared" si="377"/>
        <v>0</v>
      </c>
      <c r="AK691" s="2">
        <f t="shared" si="378"/>
        <v>0</v>
      </c>
      <c r="AL691" s="2">
        <f t="shared" si="379"/>
        <v>0</v>
      </c>
      <c r="AN691" s="2" t="e">
        <f t="shared" si="395"/>
        <v>#N/A</v>
      </c>
      <c r="AO691" s="2" t="e">
        <f t="shared" si="396"/>
        <v>#N/A</v>
      </c>
      <c r="AP691" s="2" t="e">
        <f t="shared" si="397"/>
        <v>#N/A</v>
      </c>
      <c r="AQ691" s="2" t="e">
        <f t="shared" si="398"/>
        <v>#N/A</v>
      </c>
      <c r="AR691" s="2" t="e">
        <f t="shared" si="399"/>
        <v>#N/A</v>
      </c>
      <c r="AS691" s="2" t="e">
        <f t="shared" si="400"/>
        <v>#DIV/0!</v>
      </c>
      <c r="AT691" s="9" t="e">
        <f t="shared" ca="1" si="401"/>
        <v>#N/A</v>
      </c>
      <c r="AU691" s="9" t="e">
        <f t="shared" ca="1" si="402"/>
        <v>#N/A</v>
      </c>
      <c r="AV691" s="9"/>
      <c r="AW691" s="2" t="e">
        <f t="shared" si="387"/>
        <v>#N/A</v>
      </c>
      <c r="AX691" s="2" t="e">
        <f t="shared" si="388"/>
        <v>#N/A</v>
      </c>
      <c r="AY691" s="2" t="e">
        <f t="shared" si="389"/>
        <v>#N/A</v>
      </c>
      <c r="AZ691" s="2" t="e">
        <f t="shared" si="390"/>
        <v>#N/A</v>
      </c>
      <c r="BA691" s="2" t="e">
        <f t="shared" si="391"/>
        <v>#N/A</v>
      </c>
      <c r="BB691" s="2" t="e">
        <f t="shared" si="392"/>
        <v>#DIV/0!</v>
      </c>
      <c r="BC691" s="9" t="e">
        <f t="shared" ca="1" si="393"/>
        <v>#N/A</v>
      </c>
      <c r="BD691" s="9" t="e">
        <f t="shared" ca="1" si="394"/>
        <v>#N/A</v>
      </c>
    </row>
    <row r="692" spans="1:56" ht="15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 s="64"/>
      <c r="O692" s="64"/>
      <c r="P692" s="16"/>
      <c r="Q692" s="11"/>
      <c r="R692" s="11"/>
      <c r="S692" s="11"/>
      <c r="T692" s="11"/>
      <c r="U692" s="11"/>
      <c r="V692" s="11"/>
      <c r="W692" s="11">
        <f t="shared" si="366"/>
        <v>0</v>
      </c>
      <c r="X692" s="2">
        <f t="shared" si="367"/>
        <v>0</v>
      </c>
      <c r="Y692" s="2">
        <f t="shared" si="368"/>
        <v>0</v>
      </c>
      <c r="Z692" s="11">
        <f t="shared" si="369"/>
        <v>0</v>
      </c>
      <c r="AA692" s="2">
        <f t="shared" si="370"/>
        <v>0</v>
      </c>
      <c r="AB692" s="11">
        <f t="shared" si="371"/>
        <v>0</v>
      </c>
      <c r="AC692" s="2">
        <f t="shared" si="372"/>
        <v>0</v>
      </c>
      <c r="AF692" s="11">
        <f t="shared" si="373"/>
        <v>0</v>
      </c>
      <c r="AG692" s="2">
        <f t="shared" si="374"/>
        <v>0</v>
      </c>
      <c r="AH692" s="2">
        <f t="shared" si="375"/>
        <v>0</v>
      </c>
      <c r="AI692" s="2">
        <f t="shared" si="376"/>
        <v>0</v>
      </c>
      <c r="AJ692" s="2">
        <f t="shared" si="377"/>
        <v>0</v>
      </c>
      <c r="AK692" s="2">
        <f t="shared" si="378"/>
        <v>0</v>
      </c>
      <c r="AL692" s="2">
        <f t="shared" si="379"/>
        <v>0</v>
      </c>
      <c r="AN692" s="2" t="e">
        <f t="shared" si="395"/>
        <v>#N/A</v>
      </c>
      <c r="AO692" s="2" t="e">
        <f t="shared" si="396"/>
        <v>#N/A</v>
      </c>
      <c r="AP692" s="2" t="e">
        <f t="shared" si="397"/>
        <v>#N/A</v>
      </c>
      <c r="AQ692" s="2" t="e">
        <f t="shared" si="398"/>
        <v>#N/A</v>
      </c>
      <c r="AR692" s="2" t="e">
        <f t="shared" si="399"/>
        <v>#N/A</v>
      </c>
      <c r="AS692" s="2" t="e">
        <f t="shared" si="400"/>
        <v>#DIV/0!</v>
      </c>
      <c r="AT692" s="9" t="e">
        <f t="shared" ca="1" si="401"/>
        <v>#N/A</v>
      </c>
      <c r="AU692" s="9" t="e">
        <f t="shared" ca="1" si="402"/>
        <v>#N/A</v>
      </c>
      <c r="AV692" s="9"/>
      <c r="AW692" s="2" t="e">
        <f t="shared" si="387"/>
        <v>#N/A</v>
      </c>
      <c r="AX692" s="2" t="e">
        <f t="shared" si="388"/>
        <v>#N/A</v>
      </c>
      <c r="AY692" s="2" t="e">
        <f t="shared" si="389"/>
        <v>#N/A</v>
      </c>
      <c r="AZ692" s="2" t="e">
        <f t="shared" si="390"/>
        <v>#N/A</v>
      </c>
      <c r="BA692" s="2" t="e">
        <f t="shared" si="391"/>
        <v>#N/A</v>
      </c>
      <c r="BB692" s="2" t="e">
        <f t="shared" si="392"/>
        <v>#DIV/0!</v>
      </c>
      <c r="BC692" s="9" t="e">
        <f t="shared" ca="1" si="393"/>
        <v>#N/A</v>
      </c>
      <c r="BD692" s="9" t="e">
        <f t="shared" ca="1" si="394"/>
        <v>#N/A</v>
      </c>
    </row>
    <row r="693" spans="1:56" ht="15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 s="64"/>
      <c r="O693" s="64"/>
      <c r="P693" s="16"/>
      <c r="Q693" s="11"/>
      <c r="R693" s="11"/>
      <c r="S693" s="11"/>
      <c r="T693" s="11"/>
      <c r="U693" s="11"/>
      <c r="V693" s="11"/>
      <c r="W693" s="11">
        <f t="shared" si="366"/>
        <v>0</v>
      </c>
      <c r="X693" s="2">
        <f t="shared" si="367"/>
        <v>0</v>
      </c>
      <c r="Y693" s="2">
        <f t="shared" si="368"/>
        <v>0</v>
      </c>
      <c r="Z693" s="11">
        <f t="shared" si="369"/>
        <v>0</v>
      </c>
      <c r="AA693" s="2">
        <f t="shared" si="370"/>
        <v>0</v>
      </c>
      <c r="AB693" s="11">
        <f t="shared" si="371"/>
        <v>0</v>
      </c>
      <c r="AC693" s="2">
        <f t="shared" si="372"/>
        <v>0</v>
      </c>
      <c r="AF693" s="11">
        <f t="shared" si="373"/>
        <v>0</v>
      </c>
      <c r="AG693" s="2">
        <f t="shared" si="374"/>
        <v>0</v>
      </c>
      <c r="AH693" s="2">
        <f t="shared" si="375"/>
        <v>0</v>
      </c>
      <c r="AI693" s="2">
        <f t="shared" si="376"/>
        <v>0</v>
      </c>
      <c r="AJ693" s="2">
        <f t="shared" si="377"/>
        <v>0</v>
      </c>
      <c r="AK693" s="2">
        <f t="shared" si="378"/>
        <v>0</v>
      </c>
      <c r="AL693" s="2">
        <f t="shared" si="379"/>
        <v>0</v>
      </c>
      <c r="AN693" s="2" t="e">
        <f t="shared" si="395"/>
        <v>#N/A</v>
      </c>
      <c r="AO693" s="2" t="e">
        <f t="shared" si="396"/>
        <v>#N/A</v>
      </c>
      <c r="AP693" s="2" t="e">
        <f t="shared" si="397"/>
        <v>#N/A</v>
      </c>
      <c r="AQ693" s="2" t="e">
        <f t="shared" si="398"/>
        <v>#N/A</v>
      </c>
      <c r="AR693" s="2" t="e">
        <f t="shared" si="399"/>
        <v>#N/A</v>
      </c>
      <c r="AS693" s="2" t="e">
        <f t="shared" si="400"/>
        <v>#DIV/0!</v>
      </c>
      <c r="AT693" s="9" t="e">
        <f t="shared" ca="1" si="401"/>
        <v>#N/A</v>
      </c>
      <c r="AU693" s="9" t="e">
        <f t="shared" ca="1" si="402"/>
        <v>#N/A</v>
      </c>
      <c r="AV693" s="9"/>
      <c r="AW693" s="2" t="e">
        <f t="shared" si="387"/>
        <v>#N/A</v>
      </c>
      <c r="AX693" s="2" t="e">
        <f t="shared" si="388"/>
        <v>#N/A</v>
      </c>
      <c r="AY693" s="2" t="e">
        <f t="shared" si="389"/>
        <v>#N/A</v>
      </c>
      <c r="AZ693" s="2" t="e">
        <f t="shared" si="390"/>
        <v>#N/A</v>
      </c>
      <c r="BA693" s="2" t="e">
        <f t="shared" si="391"/>
        <v>#N/A</v>
      </c>
      <c r="BB693" s="2" t="e">
        <f t="shared" si="392"/>
        <v>#DIV/0!</v>
      </c>
      <c r="BC693" s="9" t="e">
        <f t="shared" ca="1" si="393"/>
        <v>#N/A</v>
      </c>
      <c r="BD693" s="9" t="e">
        <f t="shared" ca="1" si="394"/>
        <v>#N/A</v>
      </c>
    </row>
    <row r="694" spans="1:56" ht="15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 s="64"/>
      <c r="O694" s="64"/>
      <c r="P694" s="16"/>
      <c r="Q694" s="11"/>
      <c r="R694" s="11"/>
      <c r="S694" s="11"/>
      <c r="T694" s="11"/>
      <c r="U694" s="11"/>
      <c r="V694" s="11"/>
      <c r="W694" s="11">
        <f t="shared" si="366"/>
        <v>0</v>
      </c>
      <c r="X694" s="2">
        <f t="shared" si="367"/>
        <v>0</v>
      </c>
      <c r="Y694" s="2">
        <f t="shared" si="368"/>
        <v>0</v>
      </c>
      <c r="Z694" s="11">
        <f t="shared" si="369"/>
        <v>0</v>
      </c>
      <c r="AA694" s="2">
        <f t="shared" si="370"/>
        <v>0</v>
      </c>
      <c r="AB694" s="11">
        <f t="shared" si="371"/>
        <v>0</v>
      </c>
      <c r="AC694" s="2">
        <f t="shared" si="372"/>
        <v>0</v>
      </c>
      <c r="AF694" s="11">
        <f t="shared" si="373"/>
        <v>0</v>
      </c>
      <c r="AG694" s="2">
        <f t="shared" si="374"/>
        <v>0</v>
      </c>
      <c r="AH694" s="2">
        <f t="shared" si="375"/>
        <v>0</v>
      </c>
      <c r="AI694" s="2">
        <f t="shared" si="376"/>
        <v>0</v>
      </c>
      <c r="AJ694" s="2">
        <f t="shared" si="377"/>
        <v>0</v>
      </c>
      <c r="AK694" s="2">
        <f t="shared" si="378"/>
        <v>0</v>
      </c>
      <c r="AL694" s="2">
        <f t="shared" si="379"/>
        <v>0</v>
      </c>
      <c r="AN694" s="2" t="e">
        <f t="shared" si="395"/>
        <v>#N/A</v>
      </c>
      <c r="AO694" s="2" t="e">
        <f t="shared" si="396"/>
        <v>#N/A</v>
      </c>
      <c r="AP694" s="2" t="e">
        <f t="shared" si="397"/>
        <v>#N/A</v>
      </c>
      <c r="AQ694" s="2" t="e">
        <f t="shared" si="398"/>
        <v>#N/A</v>
      </c>
      <c r="AR694" s="2" t="e">
        <f t="shared" si="399"/>
        <v>#N/A</v>
      </c>
      <c r="AS694" s="2" t="e">
        <f t="shared" si="400"/>
        <v>#DIV/0!</v>
      </c>
      <c r="AT694" s="9" t="e">
        <f t="shared" ca="1" si="401"/>
        <v>#N/A</v>
      </c>
      <c r="AU694" s="9" t="e">
        <f t="shared" ca="1" si="402"/>
        <v>#N/A</v>
      </c>
      <c r="AV694" s="9"/>
      <c r="AW694" s="2" t="e">
        <f t="shared" si="387"/>
        <v>#N/A</v>
      </c>
      <c r="AX694" s="2" t="e">
        <f t="shared" si="388"/>
        <v>#N/A</v>
      </c>
      <c r="AY694" s="2" t="e">
        <f t="shared" si="389"/>
        <v>#N/A</v>
      </c>
      <c r="AZ694" s="2" t="e">
        <f t="shared" si="390"/>
        <v>#N/A</v>
      </c>
      <c r="BA694" s="2" t="e">
        <f t="shared" si="391"/>
        <v>#N/A</v>
      </c>
      <c r="BB694" s="2" t="e">
        <f t="shared" si="392"/>
        <v>#DIV/0!</v>
      </c>
      <c r="BC694" s="9" t="e">
        <f t="shared" ca="1" si="393"/>
        <v>#N/A</v>
      </c>
      <c r="BD694" s="9" t="e">
        <f t="shared" ca="1" si="394"/>
        <v>#N/A</v>
      </c>
    </row>
    <row r="695" spans="1:56" ht="15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 s="64"/>
      <c r="O695" s="64"/>
      <c r="P695" s="16"/>
      <c r="Q695" s="11"/>
      <c r="R695" s="11"/>
      <c r="S695" s="11"/>
      <c r="T695" s="11"/>
      <c r="U695" s="11"/>
      <c r="V695" s="11"/>
      <c r="W695" s="11">
        <f t="shared" si="366"/>
        <v>0</v>
      </c>
      <c r="X695" s="2">
        <f t="shared" si="367"/>
        <v>0</v>
      </c>
      <c r="Y695" s="2">
        <f t="shared" si="368"/>
        <v>0</v>
      </c>
      <c r="Z695" s="11">
        <f t="shared" si="369"/>
        <v>0</v>
      </c>
      <c r="AA695" s="2">
        <f t="shared" si="370"/>
        <v>0</v>
      </c>
      <c r="AB695" s="11">
        <f t="shared" si="371"/>
        <v>0</v>
      </c>
      <c r="AC695" s="2">
        <f t="shared" si="372"/>
        <v>0</v>
      </c>
      <c r="AF695" s="11">
        <f t="shared" si="373"/>
        <v>0</v>
      </c>
      <c r="AG695" s="2">
        <f t="shared" si="374"/>
        <v>0</v>
      </c>
      <c r="AH695" s="2">
        <f t="shared" si="375"/>
        <v>0</v>
      </c>
      <c r="AI695" s="2">
        <f t="shared" si="376"/>
        <v>0</v>
      </c>
      <c r="AJ695" s="2">
        <f t="shared" si="377"/>
        <v>0</v>
      </c>
      <c r="AK695" s="2">
        <f t="shared" si="378"/>
        <v>0</v>
      </c>
      <c r="AL695" s="2">
        <f t="shared" si="379"/>
        <v>0</v>
      </c>
      <c r="AN695" s="2" t="e">
        <f t="shared" si="395"/>
        <v>#N/A</v>
      </c>
      <c r="AO695" s="2" t="e">
        <f t="shared" si="396"/>
        <v>#N/A</v>
      </c>
      <c r="AP695" s="2" t="e">
        <f t="shared" si="397"/>
        <v>#N/A</v>
      </c>
      <c r="AQ695" s="2" t="e">
        <f t="shared" si="398"/>
        <v>#N/A</v>
      </c>
      <c r="AR695" s="2" t="e">
        <f t="shared" si="399"/>
        <v>#N/A</v>
      </c>
      <c r="AS695" s="2" t="e">
        <f t="shared" si="400"/>
        <v>#DIV/0!</v>
      </c>
      <c r="AT695" s="9" t="e">
        <f t="shared" ca="1" si="401"/>
        <v>#N/A</v>
      </c>
      <c r="AU695" s="9" t="e">
        <f t="shared" ca="1" si="402"/>
        <v>#N/A</v>
      </c>
      <c r="AV695" s="9"/>
      <c r="AW695" s="2" t="e">
        <f t="shared" si="387"/>
        <v>#N/A</v>
      </c>
      <c r="AX695" s="2" t="e">
        <f t="shared" si="388"/>
        <v>#N/A</v>
      </c>
      <c r="AY695" s="2" t="e">
        <f t="shared" si="389"/>
        <v>#N/A</v>
      </c>
      <c r="AZ695" s="2" t="e">
        <f t="shared" si="390"/>
        <v>#N/A</v>
      </c>
      <c r="BA695" s="2" t="e">
        <f t="shared" si="391"/>
        <v>#N/A</v>
      </c>
      <c r="BB695" s="2" t="e">
        <f t="shared" si="392"/>
        <v>#DIV/0!</v>
      </c>
      <c r="BC695" s="9" t="e">
        <f t="shared" ca="1" si="393"/>
        <v>#N/A</v>
      </c>
      <c r="BD695" s="9" t="e">
        <f t="shared" ca="1" si="394"/>
        <v>#N/A</v>
      </c>
    </row>
    <row r="696" spans="1:56" ht="15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 s="64"/>
      <c r="O696" s="64"/>
      <c r="P696" s="16"/>
      <c r="Q696" s="11"/>
      <c r="R696" s="11"/>
      <c r="S696" s="11"/>
      <c r="T696" s="11"/>
      <c r="U696" s="11"/>
      <c r="V696" s="11"/>
      <c r="W696" s="11">
        <f t="shared" si="366"/>
        <v>0</v>
      </c>
      <c r="X696" s="2">
        <f t="shared" si="367"/>
        <v>0</v>
      </c>
      <c r="Y696" s="2">
        <f t="shared" si="368"/>
        <v>0</v>
      </c>
      <c r="Z696" s="11">
        <f t="shared" si="369"/>
        <v>0</v>
      </c>
      <c r="AA696" s="2">
        <f t="shared" si="370"/>
        <v>0</v>
      </c>
      <c r="AB696" s="11">
        <f t="shared" si="371"/>
        <v>0</v>
      </c>
      <c r="AC696" s="2">
        <f t="shared" si="372"/>
        <v>0</v>
      </c>
      <c r="AF696" s="11">
        <f t="shared" si="373"/>
        <v>0</v>
      </c>
      <c r="AG696" s="2">
        <f t="shared" si="374"/>
        <v>0</v>
      </c>
      <c r="AH696" s="2">
        <f t="shared" si="375"/>
        <v>0</v>
      </c>
      <c r="AI696" s="2">
        <f t="shared" si="376"/>
        <v>0</v>
      </c>
      <c r="AJ696" s="2">
        <f t="shared" si="377"/>
        <v>0</v>
      </c>
      <c r="AK696" s="2">
        <f t="shared" si="378"/>
        <v>0</v>
      </c>
      <c r="AL696" s="2">
        <f t="shared" si="379"/>
        <v>0</v>
      </c>
      <c r="AN696" s="2" t="e">
        <f t="shared" si="395"/>
        <v>#N/A</v>
      </c>
      <c r="AO696" s="2" t="e">
        <f t="shared" si="396"/>
        <v>#N/A</v>
      </c>
      <c r="AP696" s="2" t="e">
        <f t="shared" si="397"/>
        <v>#N/A</v>
      </c>
      <c r="AQ696" s="2" t="e">
        <f t="shared" si="398"/>
        <v>#N/A</v>
      </c>
      <c r="AR696" s="2" t="e">
        <f t="shared" si="399"/>
        <v>#N/A</v>
      </c>
      <c r="AS696" s="2" t="e">
        <f t="shared" si="400"/>
        <v>#DIV/0!</v>
      </c>
      <c r="AT696" s="9" t="e">
        <f t="shared" ca="1" si="401"/>
        <v>#N/A</v>
      </c>
      <c r="AU696" s="9" t="e">
        <f t="shared" ca="1" si="402"/>
        <v>#N/A</v>
      </c>
      <c r="AV696" s="9"/>
      <c r="AW696" s="2" t="e">
        <f t="shared" si="387"/>
        <v>#N/A</v>
      </c>
      <c r="AX696" s="2" t="e">
        <f t="shared" si="388"/>
        <v>#N/A</v>
      </c>
      <c r="AY696" s="2" t="e">
        <f t="shared" si="389"/>
        <v>#N/A</v>
      </c>
      <c r="AZ696" s="2" t="e">
        <f t="shared" si="390"/>
        <v>#N/A</v>
      </c>
      <c r="BA696" s="2" t="e">
        <f t="shared" si="391"/>
        <v>#N/A</v>
      </c>
      <c r="BB696" s="2" t="e">
        <f t="shared" si="392"/>
        <v>#DIV/0!</v>
      </c>
      <c r="BC696" s="9" t="e">
        <f t="shared" ca="1" si="393"/>
        <v>#N/A</v>
      </c>
      <c r="BD696" s="9" t="e">
        <f t="shared" ca="1" si="394"/>
        <v>#N/A</v>
      </c>
    </row>
    <row r="697" spans="1:56" ht="15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 s="64"/>
      <c r="O697" s="64"/>
      <c r="P697" s="16"/>
      <c r="Q697" s="11"/>
      <c r="R697" s="11"/>
      <c r="S697" s="11"/>
      <c r="T697" s="11"/>
      <c r="U697" s="11"/>
      <c r="V697" s="11"/>
      <c r="W697" s="11">
        <f t="shared" si="366"/>
        <v>0</v>
      </c>
      <c r="X697" s="2">
        <f t="shared" si="367"/>
        <v>0</v>
      </c>
      <c r="Y697" s="2">
        <f t="shared" si="368"/>
        <v>0</v>
      </c>
      <c r="Z697" s="11">
        <f t="shared" si="369"/>
        <v>0</v>
      </c>
      <c r="AA697" s="2">
        <f t="shared" si="370"/>
        <v>0</v>
      </c>
      <c r="AB697" s="11">
        <f t="shared" si="371"/>
        <v>0</v>
      </c>
      <c r="AC697" s="2">
        <f t="shared" si="372"/>
        <v>0</v>
      </c>
      <c r="AF697" s="11">
        <f t="shared" si="373"/>
        <v>0</v>
      </c>
      <c r="AG697" s="2">
        <f t="shared" si="374"/>
        <v>0</v>
      </c>
      <c r="AH697" s="2">
        <f t="shared" si="375"/>
        <v>0</v>
      </c>
      <c r="AI697" s="2">
        <f t="shared" si="376"/>
        <v>0</v>
      </c>
      <c r="AJ697" s="2">
        <f t="shared" si="377"/>
        <v>0</v>
      </c>
      <c r="AK697" s="2">
        <f t="shared" si="378"/>
        <v>0</v>
      </c>
      <c r="AL697" s="2">
        <f t="shared" si="379"/>
        <v>0</v>
      </c>
      <c r="AN697" s="2" t="e">
        <f t="shared" si="395"/>
        <v>#N/A</v>
      </c>
      <c r="AO697" s="2" t="e">
        <f t="shared" si="396"/>
        <v>#N/A</v>
      </c>
      <c r="AP697" s="2" t="e">
        <f t="shared" si="397"/>
        <v>#N/A</v>
      </c>
      <c r="AQ697" s="2" t="e">
        <f t="shared" si="398"/>
        <v>#N/A</v>
      </c>
      <c r="AR697" s="2" t="e">
        <f t="shared" si="399"/>
        <v>#N/A</v>
      </c>
      <c r="AS697" s="2" t="e">
        <f t="shared" si="400"/>
        <v>#DIV/0!</v>
      </c>
      <c r="AT697" s="9" t="e">
        <f t="shared" ca="1" si="401"/>
        <v>#N/A</v>
      </c>
      <c r="AU697" s="9" t="e">
        <f t="shared" ca="1" si="402"/>
        <v>#N/A</v>
      </c>
      <c r="AV697" s="9"/>
      <c r="AW697" s="2" t="e">
        <f t="shared" si="387"/>
        <v>#N/A</v>
      </c>
      <c r="AX697" s="2" t="e">
        <f t="shared" si="388"/>
        <v>#N/A</v>
      </c>
      <c r="AY697" s="2" t="e">
        <f t="shared" si="389"/>
        <v>#N/A</v>
      </c>
      <c r="AZ697" s="2" t="e">
        <f t="shared" si="390"/>
        <v>#N/A</v>
      </c>
      <c r="BA697" s="2" t="e">
        <f t="shared" si="391"/>
        <v>#N/A</v>
      </c>
      <c r="BB697" s="2" t="e">
        <f t="shared" si="392"/>
        <v>#DIV/0!</v>
      </c>
      <c r="BC697" s="9" t="e">
        <f t="shared" ca="1" si="393"/>
        <v>#N/A</v>
      </c>
      <c r="BD697" s="9" t="e">
        <f t="shared" ca="1" si="394"/>
        <v>#N/A</v>
      </c>
    </row>
    <row r="698" spans="1:56" ht="15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 s="64"/>
      <c r="O698" s="64"/>
      <c r="P698" s="16"/>
      <c r="Q698" s="11"/>
      <c r="R698" s="11"/>
      <c r="S698" s="11"/>
      <c r="T698" s="11"/>
      <c r="U698" s="11"/>
      <c r="V698" s="11"/>
      <c r="W698" s="11">
        <f t="shared" si="366"/>
        <v>0</v>
      </c>
      <c r="X698" s="2">
        <f t="shared" si="367"/>
        <v>0</v>
      </c>
      <c r="Y698" s="2">
        <f t="shared" si="368"/>
        <v>0</v>
      </c>
      <c r="Z698" s="11">
        <f t="shared" si="369"/>
        <v>0</v>
      </c>
      <c r="AA698" s="2">
        <f t="shared" si="370"/>
        <v>0</v>
      </c>
      <c r="AB698" s="11">
        <f t="shared" si="371"/>
        <v>0</v>
      </c>
      <c r="AC698" s="2">
        <f t="shared" si="372"/>
        <v>0</v>
      </c>
      <c r="AF698" s="11">
        <f t="shared" si="373"/>
        <v>0</v>
      </c>
      <c r="AG698" s="2">
        <f t="shared" si="374"/>
        <v>0</v>
      </c>
      <c r="AH698" s="2">
        <f t="shared" si="375"/>
        <v>0</v>
      </c>
      <c r="AI698" s="2">
        <f t="shared" si="376"/>
        <v>0</v>
      </c>
      <c r="AJ698" s="2">
        <f t="shared" si="377"/>
        <v>0</v>
      </c>
      <c r="AK698" s="2">
        <f t="shared" si="378"/>
        <v>0</v>
      </c>
      <c r="AL698" s="2">
        <f t="shared" si="379"/>
        <v>0</v>
      </c>
      <c r="AN698" s="2" t="e">
        <f t="shared" si="395"/>
        <v>#N/A</v>
      </c>
      <c r="AO698" s="2" t="e">
        <f t="shared" si="396"/>
        <v>#N/A</v>
      </c>
      <c r="AP698" s="2" t="e">
        <f t="shared" si="397"/>
        <v>#N/A</v>
      </c>
      <c r="AQ698" s="2" t="e">
        <f t="shared" si="398"/>
        <v>#N/A</v>
      </c>
      <c r="AR698" s="2" t="e">
        <f t="shared" si="399"/>
        <v>#N/A</v>
      </c>
      <c r="AS698" s="2" t="e">
        <f t="shared" si="400"/>
        <v>#DIV/0!</v>
      </c>
      <c r="AT698" s="9" t="e">
        <f t="shared" ca="1" si="401"/>
        <v>#N/A</v>
      </c>
      <c r="AU698" s="9" t="e">
        <f t="shared" ca="1" si="402"/>
        <v>#N/A</v>
      </c>
      <c r="AV698" s="9"/>
      <c r="AW698" s="2" t="e">
        <f t="shared" si="387"/>
        <v>#N/A</v>
      </c>
      <c r="AX698" s="2" t="e">
        <f t="shared" si="388"/>
        <v>#N/A</v>
      </c>
      <c r="AY698" s="2" t="e">
        <f t="shared" si="389"/>
        <v>#N/A</v>
      </c>
      <c r="AZ698" s="2" t="e">
        <f t="shared" si="390"/>
        <v>#N/A</v>
      </c>
      <c r="BA698" s="2" t="e">
        <f t="shared" si="391"/>
        <v>#N/A</v>
      </c>
      <c r="BB698" s="2" t="e">
        <f t="shared" si="392"/>
        <v>#DIV/0!</v>
      </c>
      <c r="BC698" s="9" t="e">
        <f t="shared" ca="1" si="393"/>
        <v>#N/A</v>
      </c>
      <c r="BD698" s="9" t="e">
        <f t="shared" ca="1" si="394"/>
        <v>#N/A</v>
      </c>
    </row>
    <row r="699" spans="1:56" ht="15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 s="64"/>
      <c r="O699" s="64"/>
      <c r="P699" s="16"/>
      <c r="Q699" s="11"/>
      <c r="R699" s="11"/>
      <c r="S699" s="11"/>
      <c r="T699" s="11"/>
      <c r="U699" s="11"/>
      <c r="V699" s="11"/>
      <c r="W699" s="11">
        <f t="shared" si="366"/>
        <v>0</v>
      </c>
      <c r="X699" s="2">
        <f t="shared" si="367"/>
        <v>0</v>
      </c>
      <c r="Y699" s="2">
        <f t="shared" si="368"/>
        <v>0</v>
      </c>
      <c r="Z699" s="11">
        <f t="shared" si="369"/>
        <v>0</v>
      </c>
      <c r="AA699" s="2">
        <f t="shared" si="370"/>
        <v>0</v>
      </c>
      <c r="AB699" s="11">
        <f t="shared" si="371"/>
        <v>0</v>
      </c>
      <c r="AC699" s="2">
        <f t="shared" si="372"/>
        <v>0</v>
      </c>
      <c r="AF699" s="11">
        <f t="shared" si="373"/>
        <v>0</v>
      </c>
      <c r="AG699" s="2">
        <f t="shared" si="374"/>
        <v>0</v>
      </c>
      <c r="AH699" s="2">
        <f t="shared" si="375"/>
        <v>0</v>
      </c>
      <c r="AI699" s="2">
        <f t="shared" si="376"/>
        <v>0</v>
      </c>
      <c r="AJ699" s="2">
        <f t="shared" si="377"/>
        <v>0</v>
      </c>
      <c r="AK699" s="2">
        <f t="shared" si="378"/>
        <v>0</v>
      </c>
      <c r="AL699" s="2">
        <f t="shared" si="379"/>
        <v>0</v>
      </c>
      <c r="AN699" s="2" t="e">
        <f t="shared" si="395"/>
        <v>#N/A</v>
      </c>
      <c r="AO699" s="2" t="e">
        <f t="shared" si="396"/>
        <v>#N/A</v>
      </c>
      <c r="AP699" s="2" t="e">
        <f t="shared" si="397"/>
        <v>#N/A</v>
      </c>
      <c r="AQ699" s="2" t="e">
        <f t="shared" si="398"/>
        <v>#N/A</v>
      </c>
      <c r="AR699" s="2" t="e">
        <f t="shared" si="399"/>
        <v>#N/A</v>
      </c>
      <c r="AS699" s="2" t="e">
        <f t="shared" si="400"/>
        <v>#DIV/0!</v>
      </c>
      <c r="AT699" s="9" t="e">
        <f t="shared" ca="1" si="401"/>
        <v>#N/A</v>
      </c>
      <c r="AU699" s="9" t="e">
        <f t="shared" ca="1" si="402"/>
        <v>#N/A</v>
      </c>
      <c r="AV699" s="9"/>
      <c r="AW699" s="2" t="e">
        <f t="shared" si="387"/>
        <v>#N/A</v>
      </c>
      <c r="AX699" s="2" t="e">
        <f t="shared" si="388"/>
        <v>#N/A</v>
      </c>
      <c r="AY699" s="2" t="e">
        <f t="shared" si="389"/>
        <v>#N/A</v>
      </c>
      <c r="AZ699" s="2" t="e">
        <f t="shared" si="390"/>
        <v>#N/A</v>
      </c>
      <c r="BA699" s="2" t="e">
        <f t="shared" si="391"/>
        <v>#N/A</v>
      </c>
      <c r="BB699" s="2" t="e">
        <f t="shared" si="392"/>
        <v>#DIV/0!</v>
      </c>
      <c r="BC699" s="9" t="e">
        <f t="shared" ca="1" si="393"/>
        <v>#N/A</v>
      </c>
      <c r="BD699" s="9" t="e">
        <f t="shared" ca="1" si="394"/>
        <v>#N/A</v>
      </c>
    </row>
    <row r="700" spans="1:56" ht="15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 s="64"/>
      <c r="O700" s="64"/>
      <c r="P700" s="16"/>
      <c r="Q700" s="11"/>
      <c r="R700" s="11"/>
      <c r="S700" s="11"/>
      <c r="T700" s="11"/>
      <c r="U700" s="11"/>
      <c r="V700" s="11"/>
      <c r="W700" s="11">
        <f t="shared" si="366"/>
        <v>0</v>
      </c>
      <c r="X700" s="2">
        <f t="shared" si="367"/>
        <v>0</v>
      </c>
      <c r="Y700" s="2">
        <f t="shared" si="368"/>
        <v>0</v>
      </c>
      <c r="Z700" s="11">
        <f t="shared" si="369"/>
        <v>0</v>
      </c>
      <c r="AA700" s="2">
        <f t="shared" si="370"/>
        <v>0</v>
      </c>
      <c r="AB700" s="11">
        <f t="shared" si="371"/>
        <v>0</v>
      </c>
      <c r="AC700" s="2">
        <f t="shared" si="372"/>
        <v>0</v>
      </c>
      <c r="AF700" s="11">
        <f t="shared" si="373"/>
        <v>0</v>
      </c>
      <c r="AG700" s="2">
        <f t="shared" si="374"/>
        <v>0</v>
      </c>
      <c r="AH700" s="2">
        <f t="shared" si="375"/>
        <v>0</v>
      </c>
      <c r="AI700" s="2">
        <f t="shared" si="376"/>
        <v>0</v>
      </c>
      <c r="AJ700" s="2">
        <f t="shared" si="377"/>
        <v>0</v>
      </c>
      <c r="AK700" s="2">
        <f t="shared" si="378"/>
        <v>0</v>
      </c>
      <c r="AL700" s="2">
        <f t="shared" si="379"/>
        <v>0</v>
      </c>
      <c r="AN700" s="2" t="e">
        <f t="shared" si="395"/>
        <v>#N/A</v>
      </c>
      <c r="AO700" s="2" t="e">
        <f t="shared" si="396"/>
        <v>#N/A</v>
      </c>
      <c r="AP700" s="2" t="e">
        <f t="shared" si="397"/>
        <v>#N/A</v>
      </c>
      <c r="AQ700" s="2" t="e">
        <f t="shared" si="398"/>
        <v>#N/A</v>
      </c>
      <c r="AR700" s="2" t="e">
        <f t="shared" si="399"/>
        <v>#N/A</v>
      </c>
      <c r="AS700" s="2" t="e">
        <f t="shared" si="400"/>
        <v>#DIV/0!</v>
      </c>
      <c r="AT700" s="9" t="e">
        <f t="shared" ca="1" si="401"/>
        <v>#N/A</v>
      </c>
      <c r="AU700" s="9" t="e">
        <f t="shared" ca="1" si="402"/>
        <v>#N/A</v>
      </c>
      <c r="AV700" s="9"/>
      <c r="AW700" s="2" t="e">
        <f t="shared" si="387"/>
        <v>#N/A</v>
      </c>
      <c r="AX700" s="2" t="e">
        <f t="shared" si="388"/>
        <v>#N/A</v>
      </c>
      <c r="AY700" s="2" t="e">
        <f t="shared" si="389"/>
        <v>#N/A</v>
      </c>
      <c r="AZ700" s="2" t="e">
        <f t="shared" si="390"/>
        <v>#N/A</v>
      </c>
      <c r="BA700" s="2" t="e">
        <f t="shared" si="391"/>
        <v>#N/A</v>
      </c>
      <c r="BB700" s="2" t="e">
        <f t="shared" si="392"/>
        <v>#DIV/0!</v>
      </c>
      <c r="BC700" s="9" t="e">
        <f t="shared" ca="1" si="393"/>
        <v>#N/A</v>
      </c>
      <c r="BD700" s="9" t="e">
        <f t="shared" ca="1" si="394"/>
        <v>#N/A</v>
      </c>
    </row>
    <row r="701" spans="1:56" ht="15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 s="64"/>
      <c r="O701" s="64"/>
      <c r="P701" s="16"/>
      <c r="Q701" s="11"/>
      <c r="R701" s="11"/>
      <c r="S701" s="11"/>
      <c r="T701" s="11"/>
      <c r="U701" s="11"/>
      <c r="V701" s="11"/>
      <c r="W701" s="11">
        <f t="shared" si="366"/>
        <v>0</v>
      </c>
      <c r="X701" s="2">
        <f t="shared" si="367"/>
        <v>0</v>
      </c>
      <c r="Y701" s="2">
        <f t="shared" si="368"/>
        <v>0</v>
      </c>
      <c r="Z701" s="11">
        <f t="shared" si="369"/>
        <v>0</v>
      </c>
      <c r="AA701" s="2">
        <f t="shared" si="370"/>
        <v>0</v>
      </c>
      <c r="AB701" s="11">
        <f t="shared" si="371"/>
        <v>0</v>
      </c>
      <c r="AC701" s="2">
        <f t="shared" si="372"/>
        <v>0</v>
      </c>
      <c r="AF701" s="11">
        <f t="shared" si="373"/>
        <v>0</v>
      </c>
      <c r="AG701" s="2">
        <f t="shared" si="374"/>
        <v>0</v>
      </c>
      <c r="AH701" s="2">
        <f t="shared" si="375"/>
        <v>0</v>
      </c>
      <c r="AI701" s="2">
        <f t="shared" si="376"/>
        <v>0</v>
      </c>
      <c r="AJ701" s="2">
        <f t="shared" si="377"/>
        <v>0</v>
      </c>
      <c r="AK701" s="2">
        <f t="shared" si="378"/>
        <v>0</v>
      </c>
      <c r="AL701" s="2">
        <f t="shared" si="379"/>
        <v>0</v>
      </c>
      <c r="AN701" s="2" t="e">
        <f t="shared" si="395"/>
        <v>#N/A</v>
      </c>
      <c r="AO701" s="2" t="e">
        <f t="shared" si="396"/>
        <v>#N/A</v>
      </c>
      <c r="AP701" s="2" t="e">
        <f t="shared" si="397"/>
        <v>#N/A</v>
      </c>
      <c r="AQ701" s="2" t="e">
        <f t="shared" si="398"/>
        <v>#N/A</v>
      </c>
      <c r="AR701" s="2" t="e">
        <f t="shared" si="399"/>
        <v>#N/A</v>
      </c>
      <c r="AS701" s="2" t="e">
        <f t="shared" si="400"/>
        <v>#DIV/0!</v>
      </c>
      <c r="AT701" s="9" t="e">
        <f t="shared" ca="1" si="401"/>
        <v>#N/A</v>
      </c>
      <c r="AU701" s="9" t="e">
        <f t="shared" ca="1" si="402"/>
        <v>#N/A</v>
      </c>
      <c r="AV701" s="9"/>
      <c r="AW701" s="2" t="e">
        <f t="shared" si="387"/>
        <v>#N/A</v>
      </c>
      <c r="AX701" s="2" t="e">
        <f t="shared" si="388"/>
        <v>#N/A</v>
      </c>
      <c r="AY701" s="2" t="e">
        <f t="shared" si="389"/>
        <v>#N/A</v>
      </c>
      <c r="AZ701" s="2" t="e">
        <f t="shared" si="390"/>
        <v>#N/A</v>
      </c>
      <c r="BA701" s="2" t="e">
        <f t="shared" si="391"/>
        <v>#N/A</v>
      </c>
      <c r="BB701" s="2" t="e">
        <f t="shared" si="392"/>
        <v>#DIV/0!</v>
      </c>
      <c r="BC701" s="9" t="e">
        <f t="shared" ca="1" si="393"/>
        <v>#N/A</v>
      </c>
      <c r="BD701" s="9" t="e">
        <f t="shared" ca="1" si="394"/>
        <v>#N/A</v>
      </c>
    </row>
    <row r="702" spans="1:56" ht="15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 s="64"/>
      <c r="O702" s="64"/>
      <c r="P702" s="16"/>
      <c r="Q702" s="11"/>
      <c r="R702" s="11"/>
      <c r="S702" s="11"/>
      <c r="T702" s="11"/>
      <c r="U702" s="11"/>
      <c r="V702" s="11"/>
      <c r="W702" s="11">
        <f t="shared" si="366"/>
        <v>0</v>
      </c>
      <c r="X702" s="2">
        <f t="shared" si="367"/>
        <v>0</v>
      </c>
      <c r="Y702" s="2">
        <f t="shared" si="368"/>
        <v>0</v>
      </c>
      <c r="Z702" s="11">
        <f t="shared" si="369"/>
        <v>0</v>
      </c>
      <c r="AA702" s="2">
        <f t="shared" si="370"/>
        <v>0</v>
      </c>
      <c r="AB702" s="11">
        <f t="shared" si="371"/>
        <v>0</v>
      </c>
      <c r="AC702" s="2">
        <f t="shared" si="372"/>
        <v>0</v>
      </c>
      <c r="AF702" s="11">
        <f t="shared" si="373"/>
        <v>0</v>
      </c>
      <c r="AG702" s="2">
        <f t="shared" si="374"/>
        <v>0</v>
      </c>
      <c r="AH702" s="2">
        <f t="shared" si="375"/>
        <v>0</v>
      </c>
      <c r="AI702" s="2">
        <f t="shared" si="376"/>
        <v>0</v>
      </c>
      <c r="AJ702" s="2">
        <f t="shared" si="377"/>
        <v>0</v>
      </c>
      <c r="AK702" s="2">
        <f t="shared" si="378"/>
        <v>0</v>
      </c>
      <c r="AL702" s="2">
        <f t="shared" si="379"/>
        <v>0</v>
      </c>
      <c r="AN702" s="2" t="e">
        <f t="shared" si="395"/>
        <v>#N/A</v>
      </c>
      <c r="AO702" s="2" t="e">
        <f t="shared" si="396"/>
        <v>#N/A</v>
      </c>
      <c r="AP702" s="2" t="e">
        <f t="shared" si="397"/>
        <v>#N/A</v>
      </c>
      <c r="AQ702" s="2" t="e">
        <f t="shared" si="398"/>
        <v>#N/A</v>
      </c>
      <c r="AR702" s="2" t="e">
        <f t="shared" si="399"/>
        <v>#N/A</v>
      </c>
      <c r="AS702" s="2" t="e">
        <f t="shared" si="400"/>
        <v>#DIV/0!</v>
      </c>
      <c r="AT702" s="9" t="e">
        <f t="shared" ca="1" si="401"/>
        <v>#N/A</v>
      </c>
      <c r="AU702" s="9" t="e">
        <f t="shared" ca="1" si="402"/>
        <v>#N/A</v>
      </c>
      <c r="AV702" s="9"/>
      <c r="AW702" s="2" t="e">
        <f t="shared" si="387"/>
        <v>#N/A</v>
      </c>
      <c r="AX702" s="2" t="e">
        <f t="shared" si="388"/>
        <v>#N/A</v>
      </c>
      <c r="AY702" s="2" t="e">
        <f t="shared" si="389"/>
        <v>#N/A</v>
      </c>
      <c r="AZ702" s="2" t="e">
        <f t="shared" si="390"/>
        <v>#N/A</v>
      </c>
      <c r="BA702" s="2" t="e">
        <f t="shared" si="391"/>
        <v>#N/A</v>
      </c>
      <c r="BB702" s="2" t="e">
        <f t="shared" si="392"/>
        <v>#DIV/0!</v>
      </c>
      <c r="BC702" s="9" t="e">
        <f t="shared" ca="1" si="393"/>
        <v>#N/A</v>
      </c>
      <c r="BD702" s="9" t="e">
        <f t="shared" ca="1" si="394"/>
        <v>#N/A</v>
      </c>
    </row>
    <row r="703" spans="1:56" ht="15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 s="64"/>
      <c r="O703" s="64"/>
      <c r="P703" s="16"/>
      <c r="Q703" s="11"/>
      <c r="R703" s="11"/>
      <c r="S703" s="11"/>
      <c r="T703" s="11"/>
      <c r="U703" s="11"/>
      <c r="V703" s="11"/>
      <c r="W703" s="11">
        <f t="shared" si="366"/>
        <v>0</v>
      </c>
      <c r="X703" s="2">
        <f t="shared" si="367"/>
        <v>0</v>
      </c>
      <c r="Y703" s="2">
        <f t="shared" si="368"/>
        <v>0</v>
      </c>
      <c r="Z703" s="11">
        <f t="shared" si="369"/>
        <v>0</v>
      </c>
      <c r="AA703" s="2">
        <f t="shared" si="370"/>
        <v>0</v>
      </c>
      <c r="AB703" s="11">
        <f t="shared" si="371"/>
        <v>0</v>
      </c>
      <c r="AC703" s="2">
        <f t="shared" si="372"/>
        <v>0</v>
      </c>
      <c r="AF703" s="11">
        <f t="shared" si="373"/>
        <v>0</v>
      </c>
      <c r="AG703" s="2">
        <f t="shared" si="374"/>
        <v>0</v>
      </c>
      <c r="AH703" s="2">
        <f t="shared" si="375"/>
        <v>0</v>
      </c>
      <c r="AI703" s="2">
        <f t="shared" si="376"/>
        <v>0</v>
      </c>
      <c r="AJ703" s="2">
        <f t="shared" si="377"/>
        <v>0</v>
      </c>
      <c r="AK703" s="2">
        <f t="shared" si="378"/>
        <v>0</v>
      </c>
      <c r="AL703" s="2">
        <f t="shared" si="379"/>
        <v>0</v>
      </c>
      <c r="AN703" s="2" t="e">
        <f t="shared" si="395"/>
        <v>#N/A</v>
      </c>
      <c r="AO703" s="2" t="e">
        <f t="shared" si="396"/>
        <v>#N/A</v>
      </c>
      <c r="AP703" s="2" t="e">
        <f t="shared" si="397"/>
        <v>#N/A</v>
      </c>
      <c r="AQ703" s="2" t="e">
        <f t="shared" si="398"/>
        <v>#N/A</v>
      </c>
      <c r="AR703" s="2" t="e">
        <f t="shared" si="399"/>
        <v>#N/A</v>
      </c>
      <c r="AS703" s="2" t="e">
        <f t="shared" si="400"/>
        <v>#DIV/0!</v>
      </c>
      <c r="AT703" s="9" t="e">
        <f t="shared" ca="1" si="401"/>
        <v>#N/A</v>
      </c>
      <c r="AU703" s="9" t="e">
        <f t="shared" ca="1" si="402"/>
        <v>#N/A</v>
      </c>
      <c r="AV703" s="9"/>
      <c r="AW703" s="2" t="e">
        <f t="shared" si="387"/>
        <v>#N/A</v>
      </c>
      <c r="AX703" s="2" t="e">
        <f t="shared" si="388"/>
        <v>#N/A</v>
      </c>
      <c r="AY703" s="2" t="e">
        <f t="shared" si="389"/>
        <v>#N/A</v>
      </c>
      <c r="AZ703" s="2" t="e">
        <f t="shared" si="390"/>
        <v>#N/A</v>
      </c>
      <c r="BA703" s="2" t="e">
        <f t="shared" si="391"/>
        <v>#N/A</v>
      </c>
      <c r="BB703" s="2" t="e">
        <f t="shared" si="392"/>
        <v>#DIV/0!</v>
      </c>
      <c r="BC703" s="9" t="e">
        <f t="shared" ca="1" si="393"/>
        <v>#N/A</v>
      </c>
      <c r="BD703" s="9" t="e">
        <f t="shared" ca="1" si="394"/>
        <v>#N/A</v>
      </c>
    </row>
    <row r="704" spans="1:56" ht="15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 s="64"/>
      <c r="O704" s="64"/>
      <c r="P704" s="16"/>
      <c r="Q704" s="11"/>
      <c r="R704" s="11"/>
      <c r="S704" s="11"/>
      <c r="T704" s="11"/>
      <c r="U704" s="11"/>
      <c r="V704" s="11"/>
      <c r="W704" s="11">
        <f t="shared" si="366"/>
        <v>0</v>
      </c>
      <c r="X704" s="2">
        <f t="shared" si="367"/>
        <v>0</v>
      </c>
      <c r="Y704" s="2">
        <f t="shared" si="368"/>
        <v>0</v>
      </c>
      <c r="Z704" s="11">
        <f t="shared" si="369"/>
        <v>0</v>
      </c>
      <c r="AA704" s="2">
        <f t="shared" si="370"/>
        <v>0</v>
      </c>
      <c r="AB704" s="11">
        <f t="shared" si="371"/>
        <v>0</v>
      </c>
      <c r="AC704" s="2">
        <f t="shared" si="372"/>
        <v>0</v>
      </c>
      <c r="AF704" s="11">
        <f t="shared" si="373"/>
        <v>0</v>
      </c>
      <c r="AG704" s="2">
        <f t="shared" si="374"/>
        <v>0</v>
      </c>
      <c r="AH704" s="2">
        <f t="shared" si="375"/>
        <v>0</v>
      </c>
      <c r="AI704" s="2">
        <f t="shared" si="376"/>
        <v>0</v>
      </c>
      <c r="AJ704" s="2">
        <f t="shared" si="377"/>
        <v>0</v>
      </c>
      <c r="AK704" s="2">
        <f t="shared" si="378"/>
        <v>0</v>
      </c>
      <c r="AL704" s="2">
        <f t="shared" si="379"/>
        <v>0</v>
      </c>
      <c r="AN704" s="2" t="e">
        <f t="shared" si="395"/>
        <v>#N/A</v>
      </c>
      <c r="AO704" s="2" t="e">
        <f t="shared" si="396"/>
        <v>#N/A</v>
      </c>
      <c r="AP704" s="2" t="e">
        <f t="shared" si="397"/>
        <v>#N/A</v>
      </c>
      <c r="AQ704" s="2" t="e">
        <f t="shared" si="398"/>
        <v>#N/A</v>
      </c>
      <c r="AR704" s="2" t="e">
        <f t="shared" si="399"/>
        <v>#N/A</v>
      </c>
      <c r="AS704" s="2" t="e">
        <f t="shared" si="400"/>
        <v>#DIV/0!</v>
      </c>
      <c r="AT704" s="9" t="e">
        <f t="shared" ca="1" si="401"/>
        <v>#N/A</v>
      </c>
      <c r="AU704" s="9" t="e">
        <f t="shared" ca="1" si="402"/>
        <v>#N/A</v>
      </c>
      <c r="AV704" s="9"/>
      <c r="AW704" s="2" t="e">
        <f t="shared" si="387"/>
        <v>#N/A</v>
      </c>
      <c r="AX704" s="2" t="e">
        <f t="shared" si="388"/>
        <v>#N/A</v>
      </c>
      <c r="AY704" s="2" t="e">
        <f t="shared" si="389"/>
        <v>#N/A</v>
      </c>
      <c r="AZ704" s="2" t="e">
        <f t="shared" si="390"/>
        <v>#N/A</v>
      </c>
      <c r="BA704" s="2" t="e">
        <f t="shared" si="391"/>
        <v>#N/A</v>
      </c>
      <c r="BB704" s="2" t="e">
        <f t="shared" si="392"/>
        <v>#DIV/0!</v>
      </c>
      <c r="BC704" s="9" t="e">
        <f t="shared" ca="1" si="393"/>
        <v>#N/A</v>
      </c>
      <c r="BD704" s="9" t="e">
        <f t="shared" ca="1" si="394"/>
        <v>#N/A</v>
      </c>
    </row>
    <row r="705" spans="1:56" ht="15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 s="64"/>
      <c r="O705" s="64"/>
      <c r="P705" s="16"/>
      <c r="Q705" s="11"/>
      <c r="R705" s="11"/>
      <c r="S705" s="11"/>
      <c r="T705" s="11"/>
      <c r="U705" s="11"/>
      <c r="V705" s="11"/>
      <c r="W705" s="11">
        <f t="shared" si="366"/>
        <v>0</v>
      </c>
      <c r="X705" s="2">
        <f t="shared" si="367"/>
        <v>0</v>
      </c>
      <c r="Y705" s="2">
        <f t="shared" si="368"/>
        <v>0</v>
      </c>
      <c r="Z705" s="11">
        <f t="shared" si="369"/>
        <v>0</v>
      </c>
      <c r="AA705" s="2">
        <f t="shared" si="370"/>
        <v>0</v>
      </c>
      <c r="AB705" s="11">
        <f t="shared" si="371"/>
        <v>0</v>
      </c>
      <c r="AC705" s="2">
        <f t="shared" si="372"/>
        <v>0</v>
      </c>
      <c r="AF705" s="11">
        <f t="shared" si="373"/>
        <v>0</v>
      </c>
      <c r="AG705" s="2">
        <f t="shared" si="374"/>
        <v>0</v>
      </c>
      <c r="AH705" s="2">
        <f t="shared" si="375"/>
        <v>0</v>
      </c>
      <c r="AI705" s="2">
        <f t="shared" si="376"/>
        <v>0</v>
      </c>
      <c r="AJ705" s="2">
        <f t="shared" si="377"/>
        <v>0</v>
      </c>
      <c r="AK705" s="2">
        <f t="shared" si="378"/>
        <v>0</v>
      </c>
      <c r="AL705" s="2">
        <f t="shared" si="379"/>
        <v>0</v>
      </c>
      <c r="AN705" s="2" t="e">
        <f t="shared" si="395"/>
        <v>#N/A</v>
      </c>
      <c r="AO705" s="2" t="e">
        <f t="shared" si="396"/>
        <v>#N/A</v>
      </c>
      <c r="AP705" s="2" t="e">
        <f t="shared" si="397"/>
        <v>#N/A</v>
      </c>
      <c r="AQ705" s="2" t="e">
        <f t="shared" si="398"/>
        <v>#N/A</v>
      </c>
      <c r="AR705" s="2" t="e">
        <f t="shared" si="399"/>
        <v>#N/A</v>
      </c>
      <c r="AS705" s="2" t="e">
        <f t="shared" si="400"/>
        <v>#DIV/0!</v>
      </c>
      <c r="AT705" s="9" t="e">
        <f t="shared" ca="1" si="401"/>
        <v>#N/A</v>
      </c>
      <c r="AU705" s="9" t="e">
        <f t="shared" ca="1" si="402"/>
        <v>#N/A</v>
      </c>
      <c r="AV705" s="9"/>
      <c r="AW705" s="2" t="e">
        <f t="shared" si="387"/>
        <v>#N/A</v>
      </c>
      <c r="AX705" s="2" t="e">
        <f t="shared" si="388"/>
        <v>#N/A</v>
      </c>
      <c r="AY705" s="2" t="e">
        <f t="shared" si="389"/>
        <v>#N/A</v>
      </c>
      <c r="AZ705" s="2" t="e">
        <f t="shared" si="390"/>
        <v>#N/A</v>
      </c>
      <c r="BA705" s="2" t="e">
        <f t="shared" si="391"/>
        <v>#N/A</v>
      </c>
      <c r="BB705" s="2" t="e">
        <f t="shared" si="392"/>
        <v>#DIV/0!</v>
      </c>
      <c r="BC705" s="9" t="e">
        <f t="shared" ca="1" si="393"/>
        <v>#N/A</v>
      </c>
      <c r="BD705" s="9" t="e">
        <f t="shared" ca="1" si="394"/>
        <v>#N/A</v>
      </c>
    </row>
    <row r="706" spans="1:56" ht="15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 s="64"/>
      <c r="O706" s="64"/>
      <c r="P706" s="16"/>
      <c r="Q706" s="11"/>
      <c r="R706" s="11"/>
      <c r="S706" s="11"/>
      <c r="T706" s="11"/>
      <c r="U706" s="11"/>
      <c r="V706" s="11"/>
      <c r="W706" s="11">
        <f t="shared" si="366"/>
        <v>0</v>
      </c>
      <c r="X706" s="2">
        <f t="shared" si="367"/>
        <v>0</v>
      </c>
      <c r="Y706" s="2">
        <f t="shared" si="368"/>
        <v>0</v>
      </c>
      <c r="Z706" s="11">
        <f t="shared" si="369"/>
        <v>0</v>
      </c>
      <c r="AA706" s="2">
        <f t="shared" si="370"/>
        <v>0</v>
      </c>
      <c r="AB706" s="11">
        <f t="shared" si="371"/>
        <v>0</v>
      </c>
      <c r="AC706" s="2">
        <f t="shared" si="372"/>
        <v>0</v>
      </c>
      <c r="AF706" s="11">
        <f t="shared" si="373"/>
        <v>0</v>
      </c>
      <c r="AG706" s="2">
        <f t="shared" si="374"/>
        <v>0</v>
      </c>
      <c r="AH706" s="2">
        <f t="shared" si="375"/>
        <v>0</v>
      </c>
      <c r="AI706" s="2">
        <f t="shared" si="376"/>
        <v>0</v>
      </c>
      <c r="AJ706" s="2">
        <f t="shared" si="377"/>
        <v>0</v>
      </c>
      <c r="AK706" s="2">
        <f t="shared" si="378"/>
        <v>0</v>
      </c>
      <c r="AL706" s="2">
        <f t="shared" si="379"/>
        <v>0</v>
      </c>
      <c r="AN706" s="2" t="e">
        <f t="shared" si="395"/>
        <v>#N/A</v>
      </c>
      <c r="AO706" s="2" t="e">
        <f t="shared" si="396"/>
        <v>#N/A</v>
      </c>
      <c r="AP706" s="2" t="e">
        <f t="shared" si="397"/>
        <v>#N/A</v>
      </c>
      <c r="AQ706" s="2" t="e">
        <f t="shared" si="398"/>
        <v>#N/A</v>
      </c>
      <c r="AR706" s="2" t="e">
        <f t="shared" si="399"/>
        <v>#N/A</v>
      </c>
      <c r="AS706" s="2" t="e">
        <f t="shared" si="400"/>
        <v>#DIV/0!</v>
      </c>
      <c r="AT706" s="9" t="e">
        <f t="shared" ca="1" si="401"/>
        <v>#N/A</v>
      </c>
      <c r="AU706" s="9" t="e">
        <f t="shared" ca="1" si="402"/>
        <v>#N/A</v>
      </c>
      <c r="AV706" s="9"/>
      <c r="AW706" s="2" t="e">
        <f t="shared" si="387"/>
        <v>#N/A</v>
      </c>
      <c r="AX706" s="2" t="e">
        <f t="shared" si="388"/>
        <v>#N/A</v>
      </c>
      <c r="AY706" s="2" t="e">
        <f t="shared" si="389"/>
        <v>#N/A</v>
      </c>
      <c r="AZ706" s="2" t="e">
        <f t="shared" si="390"/>
        <v>#N/A</v>
      </c>
      <c r="BA706" s="2" t="e">
        <f t="shared" si="391"/>
        <v>#N/A</v>
      </c>
      <c r="BB706" s="2" t="e">
        <f t="shared" si="392"/>
        <v>#DIV/0!</v>
      </c>
      <c r="BC706" s="9" t="e">
        <f t="shared" ca="1" si="393"/>
        <v>#N/A</v>
      </c>
      <c r="BD706" s="9" t="e">
        <f t="shared" ca="1" si="394"/>
        <v>#N/A</v>
      </c>
    </row>
    <row r="707" spans="1:56" ht="15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 s="64"/>
      <c r="O707" s="64"/>
      <c r="P707" s="16"/>
      <c r="Q707" s="11"/>
      <c r="R707" s="11"/>
      <c r="S707" s="11"/>
      <c r="T707" s="11"/>
      <c r="U707" s="11"/>
      <c r="V707" s="11"/>
      <c r="W707" s="11">
        <f t="shared" si="366"/>
        <v>0</v>
      </c>
      <c r="X707" s="2">
        <f t="shared" si="367"/>
        <v>0</v>
      </c>
      <c r="Y707" s="2">
        <f t="shared" si="368"/>
        <v>0</v>
      </c>
      <c r="Z707" s="11">
        <f t="shared" si="369"/>
        <v>0</v>
      </c>
      <c r="AA707" s="2">
        <f t="shared" si="370"/>
        <v>0</v>
      </c>
      <c r="AB707" s="11">
        <f t="shared" si="371"/>
        <v>0</v>
      </c>
      <c r="AC707" s="2">
        <f t="shared" si="372"/>
        <v>0</v>
      </c>
      <c r="AF707" s="11">
        <f t="shared" si="373"/>
        <v>0</v>
      </c>
      <c r="AG707" s="2">
        <f t="shared" si="374"/>
        <v>0</v>
      </c>
      <c r="AH707" s="2">
        <f t="shared" si="375"/>
        <v>0</v>
      </c>
      <c r="AI707" s="2">
        <f t="shared" si="376"/>
        <v>0</v>
      </c>
      <c r="AJ707" s="2">
        <f t="shared" si="377"/>
        <v>0</v>
      </c>
      <c r="AK707" s="2">
        <f t="shared" si="378"/>
        <v>0</v>
      </c>
      <c r="AL707" s="2">
        <f t="shared" si="379"/>
        <v>0</v>
      </c>
      <c r="AN707" s="2" t="e">
        <f t="shared" si="395"/>
        <v>#N/A</v>
      </c>
      <c r="AO707" s="2" t="e">
        <f t="shared" si="396"/>
        <v>#N/A</v>
      </c>
      <c r="AP707" s="2" t="e">
        <f t="shared" si="397"/>
        <v>#N/A</v>
      </c>
      <c r="AQ707" s="2" t="e">
        <f t="shared" si="398"/>
        <v>#N/A</v>
      </c>
      <c r="AR707" s="2" t="e">
        <f t="shared" si="399"/>
        <v>#N/A</v>
      </c>
      <c r="AS707" s="2" t="e">
        <f t="shared" si="400"/>
        <v>#DIV/0!</v>
      </c>
      <c r="AT707" s="9" t="e">
        <f t="shared" ca="1" si="401"/>
        <v>#N/A</v>
      </c>
      <c r="AU707" s="9" t="e">
        <f t="shared" ca="1" si="402"/>
        <v>#N/A</v>
      </c>
      <c r="AV707" s="9"/>
      <c r="AW707" s="2" t="e">
        <f t="shared" si="387"/>
        <v>#N/A</v>
      </c>
      <c r="AX707" s="2" t="e">
        <f t="shared" si="388"/>
        <v>#N/A</v>
      </c>
      <c r="AY707" s="2" t="e">
        <f t="shared" si="389"/>
        <v>#N/A</v>
      </c>
      <c r="AZ707" s="2" t="e">
        <f t="shared" si="390"/>
        <v>#N/A</v>
      </c>
      <c r="BA707" s="2" t="e">
        <f t="shared" si="391"/>
        <v>#N/A</v>
      </c>
      <c r="BB707" s="2" t="e">
        <f t="shared" si="392"/>
        <v>#DIV/0!</v>
      </c>
      <c r="BC707" s="9" t="e">
        <f t="shared" ca="1" si="393"/>
        <v>#N/A</v>
      </c>
      <c r="BD707" s="9" t="e">
        <f t="shared" ca="1" si="394"/>
        <v>#N/A</v>
      </c>
    </row>
    <row r="708" spans="1:56" ht="15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 s="64"/>
      <c r="O708" s="64"/>
      <c r="P708" s="16"/>
      <c r="Q708" s="11"/>
      <c r="R708" s="11"/>
      <c r="S708" s="11"/>
      <c r="T708" s="11"/>
      <c r="U708" s="11"/>
      <c r="V708" s="11"/>
      <c r="W708" s="11">
        <f t="shared" ref="W708:W771" si="403">O708-O708</f>
        <v>0</v>
      </c>
      <c r="X708" s="2">
        <f t="shared" ref="X708:X771" si="404">IF(O708&gt;0,P708-(O708*$X$63/$W$63), P708)</f>
        <v>0</v>
      </c>
      <c r="Y708" s="2">
        <f t="shared" ref="Y708:Y771" si="405">IF(O708&gt;0,Q708-(O708*$Y$63/$W$63),Q708)</f>
        <v>0</v>
      </c>
      <c r="Z708" s="11">
        <f t="shared" ref="Z708:Z771" si="406">R708</f>
        <v>0</v>
      </c>
      <c r="AA708" s="2">
        <f t="shared" ref="AA708:AA771" si="407">IF(O708&gt;0,S708-(O708*$AA$63/$W$63),S708)</f>
        <v>0</v>
      </c>
      <c r="AB708" s="11">
        <f t="shared" ref="AB708:AB771" si="408">T708</f>
        <v>0</v>
      </c>
      <c r="AC708" s="2">
        <f t="shared" ref="AC708:AC771" si="409">IF(O708&gt;0,U708-(O708*$AC$63/$W$63),U708)</f>
        <v>0</v>
      </c>
      <c r="AF708" s="11">
        <f t="shared" ref="AF708:AF771" si="410">W708</f>
        <v>0</v>
      </c>
      <c r="AG708" s="2">
        <f t="shared" ref="AG708:AG771" si="411">IF(O708&gt;0, X708-(O708*$AG$63/$AF$63), X708)</f>
        <v>0</v>
      </c>
      <c r="AH708" s="2">
        <f t="shared" ref="AH708:AH771" si="412">IF(O708&gt;0, Y708-(O708*$AH$63/$AF$63), Y708)</f>
        <v>0</v>
      </c>
      <c r="AI708" s="2">
        <f t="shared" ref="AI708:AI771" si="413">IF(O708&gt;0, Z708-(O708*$AI$63/$AF$63), Z708)</f>
        <v>0</v>
      </c>
      <c r="AJ708" s="2">
        <f t="shared" ref="AJ708:AJ771" si="414">IF(O708&gt;0, AA708-(O708*$AJ$63/$AF$63), AA708)</f>
        <v>0</v>
      </c>
      <c r="AK708" s="2">
        <f t="shared" ref="AK708:AK771" si="415">IF(P708&gt;0, AB708-(P708*$AK$63/$AG$63), AB708)</f>
        <v>0</v>
      </c>
      <c r="AL708" s="2">
        <f t="shared" ref="AL708:AL771" si="416">IF(O708&gt;0, AC708-(O708*$AL$63/$AF$63), AC708)</f>
        <v>0</v>
      </c>
      <c r="AN708" s="2" t="e">
        <f t="shared" si="395"/>
        <v>#N/A</v>
      </c>
      <c r="AO708" s="2" t="e">
        <f t="shared" si="396"/>
        <v>#N/A</v>
      </c>
      <c r="AP708" s="2" t="e">
        <f t="shared" si="397"/>
        <v>#N/A</v>
      </c>
      <c r="AQ708" s="2" t="e">
        <f t="shared" si="398"/>
        <v>#N/A</v>
      </c>
      <c r="AR708" s="2" t="e">
        <f t="shared" si="399"/>
        <v>#N/A</v>
      </c>
      <c r="AS708" s="2" t="e">
        <f t="shared" si="400"/>
        <v>#DIV/0!</v>
      </c>
      <c r="AT708" s="9" t="e">
        <f t="shared" ca="1" si="401"/>
        <v>#N/A</v>
      </c>
      <c r="AU708" s="9" t="e">
        <f t="shared" ca="1" si="402"/>
        <v>#N/A</v>
      </c>
      <c r="AV708" s="9"/>
      <c r="AW708" s="2" t="e">
        <f t="shared" si="387"/>
        <v>#N/A</v>
      </c>
      <c r="AX708" s="2" t="e">
        <f t="shared" si="388"/>
        <v>#N/A</v>
      </c>
      <c r="AY708" s="2" t="e">
        <f t="shared" si="389"/>
        <v>#N/A</v>
      </c>
      <c r="AZ708" s="2" t="e">
        <f t="shared" si="390"/>
        <v>#N/A</v>
      </c>
      <c r="BA708" s="2" t="e">
        <f t="shared" si="391"/>
        <v>#N/A</v>
      </c>
      <c r="BB708" s="2" t="e">
        <f t="shared" si="392"/>
        <v>#DIV/0!</v>
      </c>
      <c r="BC708" s="9" t="e">
        <f t="shared" ca="1" si="393"/>
        <v>#N/A</v>
      </c>
      <c r="BD708" s="9" t="e">
        <f t="shared" ca="1" si="394"/>
        <v>#N/A</v>
      </c>
    </row>
    <row r="709" spans="1:56" ht="15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 s="64"/>
      <c r="O709" s="64"/>
      <c r="P709" s="16"/>
      <c r="Q709" s="11"/>
      <c r="R709" s="11"/>
      <c r="S709" s="11"/>
      <c r="T709" s="11"/>
      <c r="U709" s="11"/>
      <c r="V709" s="11"/>
      <c r="W709" s="11">
        <f t="shared" si="403"/>
        <v>0</v>
      </c>
      <c r="X709" s="2">
        <f t="shared" si="404"/>
        <v>0</v>
      </c>
      <c r="Y709" s="2">
        <f t="shared" si="405"/>
        <v>0</v>
      </c>
      <c r="Z709" s="11">
        <f t="shared" si="406"/>
        <v>0</v>
      </c>
      <c r="AA709" s="2">
        <f t="shared" si="407"/>
        <v>0</v>
      </c>
      <c r="AB709" s="11">
        <f t="shared" si="408"/>
        <v>0</v>
      </c>
      <c r="AC709" s="2">
        <f t="shared" si="409"/>
        <v>0</v>
      </c>
      <c r="AF709" s="11">
        <f t="shared" si="410"/>
        <v>0</v>
      </c>
      <c r="AG709" s="2">
        <f t="shared" si="411"/>
        <v>0</v>
      </c>
      <c r="AH709" s="2">
        <f t="shared" si="412"/>
        <v>0</v>
      </c>
      <c r="AI709" s="2">
        <f t="shared" si="413"/>
        <v>0</v>
      </c>
      <c r="AJ709" s="2">
        <f t="shared" si="414"/>
        <v>0</v>
      </c>
      <c r="AK709" s="2">
        <f t="shared" si="415"/>
        <v>0</v>
      </c>
      <c r="AL709" s="2">
        <f t="shared" si="416"/>
        <v>0</v>
      </c>
      <c r="AN709" s="2" t="e">
        <f t="shared" si="395"/>
        <v>#N/A</v>
      </c>
      <c r="AO709" s="2" t="e">
        <f t="shared" si="396"/>
        <v>#N/A</v>
      </c>
      <c r="AP709" s="2" t="e">
        <f t="shared" si="397"/>
        <v>#N/A</v>
      </c>
      <c r="AQ709" s="2" t="e">
        <f t="shared" si="398"/>
        <v>#N/A</v>
      </c>
      <c r="AR709" s="2" t="e">
        <f t="shared" si="399"/>
        <v>#N/A</v>
      </c>
      <c r="AS709" s="2" t="e">
        <f t="shared" si="400"/>
        <v>#DIV/0!</v>
      </c>
      <c r="AT709" s="9" t="e">
        <f t="shared" ca="1" si="401"/>
        <v>#N/A</v>
      </c>
      <c r="AU709" s="9" t="e">
        <f t="shared" ca="1" si="402"/>
        <v>#N/A</v>
      </c>
      <c r="AV709" s="9"/>
      <c r="AW709" s="2" t="e">
        <f t="shared" si="387"/>
        <v>#N/A</v>
      </c>
      <c r="AX709" s="2" t="e">
        <f t="shared" si="388"/>
        <v>#N/A</v>
      </c>
      <c r="AY709" s="2" t="e">
        <f t="shared" si="389"/>
        <v>#N/A</v>
      </c>
      <c r="AZ709" s="2" t="e">
        <f t="shared" si="390"/>
        <v>#N/A</v>
      </c>
      <c r="BA709" s="2" t="e">
        <f t="shared" si="391"/>
        <v>#N/A</v>
      </c>
      <c r="BB709" s="2" t="e">
        <f t="shared" si="392"/>
        <v>#DIV/0!</v>
      </c>
      <c r="BC709" s="9" t="e">
        <f t="shared" ca="1" si="393"/>
        <v>#N/A</v>
      </c>
      <c r="BD709" s="9" t="e">
        <f t="shared" ca="1" si="394"/>
        <v>#N/A</v>
      </c>
    </row>
    <row r="710" spans="1:56" ht="15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 s="64"/>
      <c r="O710" s="64"/>
      <c r="P710" s="16"/>
      <c r="Q710" s="11"/>
      <c r="R710" s="11"/>
      <c r="S710" s="11"/>
      <c r="T710" s="11"/>
      <c r="U710" s="11"/>
      <c r="V710" s="11"/>
      <c r="W710" s="11">
        <f t="shared" si="403"/>
        <v>0</v>
      </c>
      <c r="X710" s="2">
        <f t="shared" si="404"/>
        <v>0</v>
      </c>
      <c r="Y710" s="2">
        <f t="shared" si="405"/>
        <v>0</v>
      </c>
      <c r="Z710" s="11">
        <f t="shared" si="406"/>
        <v>0</v>
      </c>
      <c r="AA710" s="2">
        <f t="shared" si="407"/>
        <v>0</v>
      </c>
      <c r="AB710" s="11">
        <f t="shared" si="408"/>
        <v>0</v>
      </c>
      <c r="AC710" s="2">
        <f t="shared" si="409"/>
        <v>0</v>
      </c>
      <c r="AF710" s="11">
        <f t="shared" si="410"/>
        <v>0</v>
      </c>
      <c r="AG710" s="2">
        <f t="shared" si="411"/>
        <v>0</v>
      </c>
      <c r="AH710" s="2">
        <f t="shared" si="412"/>
        <v>0</v>
      </c>
      <c r="AI710" s="2">
        <f t="shared" si="413"/>
        <v>0</v>
      </c>
      <c r="AJ710" s="2">
        <f t="shared" si="414"/>
        <v>0</v>
      </c>
      <c r="AK710" s="2">
        <f t="shared" si="415"/>
        <v>0</v>
      </c>
      <c r="AL710" s="2">
        <f t="shared" si="416"/>
        <v>0</v>
      </c>
      <c r="AN710" s="2" t="e">
        <f t="shared" si="395"/>
        <v>#N/A</v>
      </c>
      <c r="AO710" s="2" t="e">
        <f t="shared" si="396"/>
        <v>#N/A</v>
      </c>
      <c r="AP710" s="2" t="e">
        <f t="shared" si="397"/>
        <v>#N/A</v>
      </c>
      <c r="AQ710" s="2" t="e">
        <f t="shared" si="398"/>
        <v>#N/A</v>
      </c>
      <c r="AR710" s="2" t="e">
        <f t="shared" si="399"/>
        <v>#N/A</v>
      </c>
      <c r="AS710" s="2" t="e">
        <f t="shared" si="400"/>
        <v>#DIV/0!</v>
      </c>
      <c r="AT710" s="9" t="e">
        <f t="shared" ca="1" si="401"/>
        <v>#N/A</v>
      </c>
      <c r="AU710" s="9" t="e">
        <f t="shared" ca="1" si="402"/>
        <v>#N/A</v>
      </c>
      <c r="AV710" s="9"/>
      <c r="AW710" s="2" t="e">
        <f t="shared" si="387"/>
        <v>#N/A</v>
      </c>
      <c r="AX710" s="2" t="e">
        <f t="shared" si="388"/>
        <v>#N/A</v>
      </c>
      <c r="AY710" s="2" t="e">
        <f t="shared" si="389"/>
        <v>#N/A</v>
      </c>
      <c r="AZ710" s="2" t="e">
        <f t="shared" si="390"/>
        <v>#N/A</v>
      </c>
      <c r="BA710" s="2" t="e">
        <f t="shared" si="391"/>
        <v>#N/A</v>
      </c>
      <c r="BB710" s="2" t="e">
        <f t="shared" si="392"/>
        <v>#DIV/0!</v>
      </c>
      <c r="BC710" s="9" t="e">
        <f t="shared" ca="1" si="393"/>
        <v>#N/A</v>
      </c>
      <c r="BD710" s="9" t="e">
        <f t="shared" ca="1" si="394"/>
        <v>#N/A</v>
      </c>
    </row>
    <row r="711" spans="1:56" ht="15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 s="64"/>
      <c r="O711" s="64"/>
      <c r="P711" s="16"/>
      <c r="Q711" s="11"/>
      <c r="R711" s="11"/>
      <c r="S711" s="11"/>
      <c r="T711" s="11"/>
      <c r="U711" s="11"/>
      <c r="V711" s="11"/>
      <c r="W711" s="11">
        <f t="shared" si="403"/>
        <v>0</v>
      </c>
      <c r="X711" s="2">
        <f t="shared" si="404"/>
        <v>0</v>
      </c>
      <c r="Y711" s="2">
        <f t="shared" si="405"/>
        <v>0</v>
      </c>
      <c r="Z711" s="11">
        <f t="shared" si="406"/>
        <v>0</v>
      </c>
      <c r="AA711" s="2">
        <f t="shared" si="407"/>
        <v>0</v>
      </c>
      <c r="AB711" s="11">
        <f t="shared" si="408"/>
        <v>0</v>
      </c>
      <c r="AC711" s="2">
        <f t="shared" si="409"/>
        <v>0</v>
      </c>
      <c r="AF711" s="11">
        <f t="shared" si="410"/>
        <v>0</v>
      </c>
      <c r="AG711" s="2">
        <f t="shared" si="411"/>
        <v>0</v>
      </c>
      <c r="AH711" s="2">
        <f t="shared" si="412"/>
        <v>0</v>
      </c>
      <c r="AI711" s="2">
        <f t="shared" si="413"/>
        <v>0</v>
      </c>
      <c r="AJ711" s="2">
        <f t="shared" si="414"/>
        <v>0</v>
      </c>
      <c r="AK711" s="2">
        <f t="shared" si="415"/>
        <v>0</v>
      </c>
      <c r="AL711" s="2">
        <f t="shared" si="416"/>
        <v>0</v>
      </c>
      <c r="AN711" s="2" t="e">
        <f t="shared" si="395"/>
        <v>#N/A</v>
      </c>
      <c r="AO711" s="2" t="e">
        <f t="shared" si="396"/>
        <v>#N/A</v>
      </c>
      <c r="AP711" s="2" t="e">
        <f t="shared" si="397"/>
        <v>#N/A</v>
      </c>
      <c r="AQ711" s="2" t="e">
        <f t="shared" si="398"/>
        <v>#N/A</v>
      </c>
      <c r="AR711" s="2" t="e">
        <f t="shared" si="399"/>
        <v>#N/A</v>
      </c>
      <c r="AS711" s="2" t="e">
        <f t="shared" si="400"/>
        <v>#DIV/0!</v>
      </c>
      <c r="AT711" s="9" t="e">
        <f t="shared" ca="1" si="401"/>
        <v>#N/A</v>
      </c>
      <c r="AU711" s="9" t="e">
        <f t="shared" ca="1" si="402"/>
        <v>#N/A</v>
      </c>
      <c r="AV711" s="9"/>
      <c r="AW711" s="2" t="e">
        <f t="shared" si="387"/>
        <v>#N/A</v>
      </c>
      <c r="AX711" s="2" t="e">
        <f t="shared" si="388"/>
        <v>#N/A</v>
      </c>
      <c r="AY711" s="2" t="e">
        <f t="shared" si="389"/>
        <v>#N/A</v>
      </c>
      <c r="AZ711" s="2" t="e">
        <f t="shared" si="390"/>
        <v>#N/A</v>
      </c>
      <c r="BA711" s="2" t="e">
        <f t="shared" si="391"/>
        <v>#N/A</v>
      </c>
      <c r="BB711" s="2" t="e">
        <f t="shared" si="392"/>
        <v>#DIV/0!</v>
      </c>
      <c r="BC711" s="9" t="e">
        <f t="shared" ca="1" si="393"/>
        <v>#N/A</v>
      </c>
      <c r="BD711" s="9" t="e">
        <f t="shared" ca="1" si="394"/>
        <v>#N/A</v>
      </c>
    </row>
    <row r="712" spans="1:56" ht="15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 s="64"/>
      <c r="O712" s="64"/>
      <c r="P712" s="16"/>
      <c r="Q712" s="11"/>
      <c r="R712" s="11"/>
      <c r="S712" s="11"/>
      <c r="T712" s="11"/>
      <c r="U712" s="11"/>
      <c r="V712" s="11"/>
      <c r="W712" s="11">
        <f t="shared" si="403"/>
        <v>0</v>
      </c>
      <c r="X712" s="2">
        <f t="shared" si="404"/>
        <v>0</v>
      </c>
      <c r="Y712" s="2">
        <f t="shared" si="405"/>
        <v>0</v>
      </c>
      <c r="Z712" s="11">
        <f t="shared" si="406"/>
        <v>0</v>
      </c>
      <c r="AA712" s="2">
        <f t="shared" si="407"/>
        <v>0</v>
      </c>
      <c r="AB712" s="11">
        <f t="shared" si="408"/>
        <v>0</v>
      </c>
      <c r="AC712" s="2">
        <f t="shared" si="409"/>
        <v>0</v>
      </c>
      <c r="AF712" s="11">
        <f t="shared" si="410"/>
        <v>0</v>
      </c>
      <c r="AG712" s="2">
        <f t="shared" si="411"/>
        <v>0</v>
      </c>
      <c r="AH712" s="2">
        <f t="shared" si="412"/>
        <v>0</v>
      </c>
      <c r="AI712" s="2">
        <f t="shared" si="413"/>
        <v>0</v>
      </c>
      <c r="AJ712" s="2">
        <f t="shared" si="414"/>
        <v>0</v>
      </c>
      <c r="AK712" s="2">
        <f t="shared" si="415"/>
        <v>0</v>
      </c>
      <c r="AL712" s="2">
        <f t="shared" si="416"/>
        <v>0</v>
      </c>
      <c r="AN712" s="2" t="e">
        <f t="shared" si="395"/>
        <v>#N/A</v>
      </c>
      <c r="AO712" s="2" t="e">
        <f t="shared" si="396"/>
        <v>#N/A</v>
      </c>
      <c r="AP712" s="2" t="e">
        <f t="shared" si="397"/>
        <v>#N/A</v>
      </c>
      <c r="AQ712" s="2" t="e">
        <f t="shared" si="398"/>
        <v>#N/A</v>
      </c>
      <c r="AR712" s="2" t="e">
        <f t="shared" si="399"/>
        <v>#N/A</v>
      </c>
      <c r="AS712" s="2" t="e">
        <f t="shared" si="400"/>
        <v>#DIV/0!</v>
      </c>
      <c r="AT712" s="9" t="e">
        <f t="shared" ca="1" si="401"/>
        <v>#N/A</v>
      </c>
      <c r="AU712" s="9" t="e">
        <f t="shared" ca="1" si="402"/>
        <v>#N/A</v>
      </c>
      <c r="AV712" s="9"/>
      <c r="AW712" s="2" t="e">
        <f t="shared" si="387"/>
        <v>#N/A</v>
      </c>
      <c r="AX712" s="2" t="e">
        <f t="shared" si="388"/>
        <v>#N/A</v>
      </c>
      <c r="AY712" s="2" t="e">
        <f t="shared" si="389"/>
        <v>#N/A</v>
      </c>
      <c r="AZ712" s="2" t="e">
        <f t="shared" si="390"/>
        <v>#N/A</v>
      </c>
      <c r="BA712" s="2" t="e">
        <f t="shared" si="391"/>
        <v>#N/A</v>
      </c>
      <c r="BB712" s="2" t="e">
        <f t="shared" si="392"/>
        <v>#DIV/0!</v>
      </c>
      <c r="BC712" s="9" t="e">
        <f t="shared" ca="1" si="393"/>
        <v>#N/A</v>
      </c>
      <c r="BD712" s="9" t="e">
        <f t="shared" ca="1" si="394"/>
        <v>#N/A</v>
      </c>
    </row>
    <row r="713" spans="1:56" ht="15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 s="64"/>
      <c r="O713" s="64"/>
      <c r="P713" s="16"/>
      <c r="Q713" s="11"/>
      <c r="R713" s="11"/>
      <c r="S713" s="11"/>
      <c r="T713" s="11"/>
      <c r="U713" s="11"/>
      <c r="V713" s="11"/>
      <c r="W713" s="11">
        <f t="shared" si="403"/>
        <v>0</v>
      </c>
      <c r="X713" s="2">
        <f t="shared" si="404"/>
        <v>0</v>
      </c>
      <c r="Y713" s="2">
        <f t="shared" si="405"/>
        <v>0</v>
      </c>
      <c r="Z713" s="11">
        <f t="shared" si="406"/>
        <v>0</v>
      </c>
      <c r="AA713" s="2">
        <f t="shared" si="407"/>
        <v>0</v>
      </c>
      <c r="AB713" s="11">
        <f t="shared" si="408"/>
        <v>0</v>
      </c>
      <c r="AC713" s="2">
        <f t="shared" si="409"/>
        <v>0</v>
      </c>
      <c r="AF713" s="11">
        <f t="shared" si="410"/>
        <v>0</v>
      </c>
      <c r="AG713" s="2">
        <f t="shared" si="411"/>
        <v>0</v>
      </c>
      <c r="AH713" s="2">
        <f t="shared" si="412"/>
        <v>0</v>
      </c>
      <c r="AI713" s="2">
        <f t="shared" si="413"/>
        <v>0</v>
      </c>
      <c r="AJ713" s="2">
        <f t="shared" si="414"/>
        <v>0</v>
      </c>
      <c r="AK713" s="2">
        <f t="shared" si="415"/>
        <v>0</v>
      </c>
      <c r="AL713" s="2">
        <f t="shared" si="416"/>
        <v>0</v>
      </c>
      <c r="AN713" s="2" t="e">
        <f t="shared" si="395"/>
        <v>#N/A</v>
      </c>
      <c r="AO713" s="2" t="e">
        <f t="shared" si="396"/>
        <v>#N/A</v>
      </c>
      <c r="AP713" s="2" t="e">
        <f t="shared" si="397"/>
        <v>#N/A</v>
      </c>
      <c r="AQ713" s="2" t="e">
        <f t="shared" si="398"/>
        <v>#N/A</v>
      </c>
      <c r="AR713" s="2" t="e">
        <f t="shared" si="399"/>
        <v>#N/A</v>
      </c>
      <c r="AS713" s="2" t="e">
        <f t="shared" si="400"/>
        <v>#DIV/0!</v>
      </c>
      <c r="AT713" s="9" t="e">
        <f t="shared" ca="1" si="401"/>
        <v>#N/A</v>
      </c>
      <c r="AU713" s="9" t="e">
        <f t="shared" ca="1" si="402"/>
        <v>#N/A</v>
      </c>
      <c r="AV713" s="9"/>
      <c r="AW713" s="2" t="e">
        <f t="shared" si="387"/>
        <v>#N/A</v>
      </c>
      <c r="AX713" s="2" t="e">
        <f t="shared" si="388"/>
        <v>#N/A</v>
      </c>
      <c r="AY713" s="2" t="e">
        <f t="shared" si="389"/>
        <v>#N/A</v>
      </c>
      <c r="AZ713" s="2" t="e">
        <f t="shared" si="390"/>
        <v>#N/A</v>
      </c>
      <c r="BA713" s="2" t="e">
        <f t="shared" si="391"/>
        <v>#N/A</v>
      </c>
      <c r="BB713" s="2" t="e">
        <f t="shared" si="392"/>
        <v>#DIV/0!</v>
      </c>
      <c r="BC713" s="9" t="e">
        <f t="shared" ca="1" si="393"/>
        <v>#N/A</v>
      </c>
      <c r="BD713" s="9" t="e">
        <f t="shared" ca="1" si="394"/>
        <v>#N/A</v>
      </c>
    </row>
    <row r="714" spans="1:56" ht="15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 s="64"/>
      <c r="O714" s="64"/>
      <c r="P714" s="16"/>
      <c r="Q714" s="11"/>
      <c r="R714" s="11"/>
      <c r="S714" s="11"/>
      <c r="T714" s="11"/>
      <c r="U714" s="11"/>
      <c r="V714" s="11"/>
      <c r="W714" s="11">
        <f t="shared" si="403"/>
        <v>0</v>
      </c>
      <c r="X714" s="2">
        <f t="shared" si="404"/>
        <v>0</v>
      </c>
      <c r="Y714" s="2">
        <f t="shared" si="405"/>
        <v>0</v>
      </c>
      <c r="Z714" s="11">
        <f t="shared" si="406"/>
        <v>0</v>
      </c>
      <c r="AA714" s="2">
        <f t="shared" si="407"/>
        <v>0</v>
      </c>
      <c r="AB714" s="11">
        <f t="shared" si="408"/>
        <v>0</v>
      </c>
      <c r="AC714" s="2">
        <f t="shared" si="409"/>
        <v>0</v>
      </c>
      <c r="AF714" s="11">
        <f t="shared" si="410"/>
        <v>0</v>
      </c>
      <c r="AG714" s="2">
        <f t="shared" si="411"/>
        <v>0</v>
      </c>
      <c r="AH714" s="2">
        <f t="shared" si="412"/>
        <v>0</v>
      </c>
      <c r="AI714" s="2">
        <f t="shared" si="413"/>
        <v>0</v>
      </c>
      <c r="AJ714" s="2">
        <f t="shared" si="414"/>
        <v>0</v>
      </c>
      <c r="AK714" s="2">
        <f t="shared" si="415"/>
        <v>0</v>
      </c>
      <c r="AL714" s="2">
        <f t="shared" si="416"/>
        <v>0</v>
      </c>
      <c r="AN714" s="2" t="e">
        <f t="shared" si="395"/>
        <v>#N/A</v>
      </c>
      <c r="AO714" s="2" t="e">
        <f t="shared" si="396"/>
        <v>#N/A</v>
      </c>
      <c r="AP714" s="2" t="e">
        <f t="shared" si="397"/>
        <v>#N/A</v>
      </c>
      <c r="AQ714" s="2" t="e">
        <f t="shared" si="398"/>
        <v>#N/A</v>
      </c>
      <c r="AR714" s="2" t="e">
        <f t="shared" si="399"/>
        <v>#N/A</v>
      </c>
      <c r="AS714" s="2" t="e">
        <f t="shared" si="400"/>
        <v>#DIV/0!</v>
      </c>
      <c r="AT714" s="9" t="e">
        <f t="shared" ca="1" si="401"/>
        <v>#N/A</v>
      </c>
      <c r="AU714" s="9" t="e">
        <f t="shared" ca="1" si="402"/>
        <v>#N/A</v>
      </c>
      <c r="AV714" s="9"/>
      <c r="AW714" s="2" t="e">
        <f t="shared" si="387"/>
        <v>#N/A</v>
      </c>
      <c r="AX714" s="2" t="e">
        <f t="shared" si="388"/>
        <v>#N/A</v>
      </c>
      <c r="AY714" s="2" t="e">
        <f t="shared" si="389"/>
        <v>#N/A</v>
      </c>
      <c r="AZ714" s="2" t="e">
        <f t="shared" si="390"/>
        <v>#N/A</v>
      </c>
      <c r="BA714" s="2" t="e">
        <f t="shared" si="391"/>
        <v>#N/A</v>
      </c>
      <c r="BB714" s="2" t="e">
        <f t="shared" si="392"/>
        <v>#DIV/0!</v>
      </c>
      <c r="BC714" s="9" t="e">
        <f t="shared" ca="1" si="393"/>
        <v>#N/A</v>
      </c>
      <c r="BD714" s="9" t="e">
        <f t="shared" ca="1" si="394"/>
        <v>#N/A</v>
      </c>
    </row>
    <row r="715" spans="1:56" ht="15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 s="64"/>
      <c r="O715" s="64"/>
      <c r="P715" s="16"/>
      <c r="Q715" s="11"/>
      <c r="R715" s="11"/>
      <c r="S715" s="11"/>
      <c r="T715" s="11"/>
      <c r="U715" s="11"/>
      <c r="V715" s="11"/>
      <c r="W715" s="11">
        <f t="shared" si="403"/>
        <v>0</v>
      </c>
      <c r="X715" s="2">
        <f t="shared" si="404"/>
        <v>0</v>
      </c>
      <c r="Y715" s="2">
        <f t="shared" si="405"/>
        <v>0</v>
      </c>
      <c r="Z715" s="11">
        <f t="shared" si="406"/>
        <v>0</v>
      </c>
      <c r="AA715" s="2">
        <f t="shared" si="407"/>
        <v>0</v>
      </c>
      <c r="AB715" s="11">
        <f t="shared" si="408"/>
        <v>0</v>
      </c>
      <c r="AC715" s="2">
        <f t="shared" si="409"/>
        <v>0</v>
      </c>
      <c r="AF715" s="11">
        <f t="shared" si="410"/>
        <v>0</v>
      </c>
      <c r="AG715" s="2">
        <f t="shared" si="411"/>
        <v>0</v>
      </c>
      <c r="AH715" s="2">
        <f t="shared" si="412"/>
        <v>0</v>
      </c>
      <c r="AI715" s="2">
        <f t="shared" si="413"/>
        <v>0</v>
      </c>
      <c r="AJ715" s="2">
        <f t="shared" si="414"/>
        <v>0</v>
      </c>
      <c r="AK715" s="2">
        <f t="shared" si="415"/>
        <v>0</v>
      </c>
      <c r="AL715" s="2">
        <f t="shared" si="416"/>
        <v>0</v>
      </c>
      <c r="AN715" s="2" t="e">
        <f t="shared" si="395"/>
        <v>#N/A</v>
      </c>
      <c r="AO715" s="2" t="e">
        <f t="shared" si="396"/>
        <v>#N/A</v>
      </c>
      <c r="AP715" s="2" t="e">
        <f t="shared" si="397"/>
        <v>#N/A</v>
      </c>
      <c r="AQ715" s="2" t="e">
        <f t="shared" si="398"/>
        <v>#N/A</v>
      </c>
      <c r="AR715" s="2" t="e">
        <f t="shared" si="399"/>
        <v>#N/A</v>
      </c>
      <c r="AS715" s="2" t="e">
        <f t="shared" si="400"/>
        <v>#DIV/0!</v>
      </c>
      <c r="AT715" s="9" t="e">
        <f t="shared" ca="1" si="401"/>
        <v>#N/A</v>
      </c>
      <c r="AU715" s="9" t="e">
        <f t="shared" ca="1" si="402"/>
        <v>#N/A</v>
      </c>
      <c r="AV715" s="9"/>
      <c r="AW715" s="2" t="e">
        <f t="shared" si="387"/>
        <v>#N/A</v>
      </c>
      <c r="AX715" s="2" t="e">
        <f t="shared" si="388"/>
        <v>#N/A</v>
      </c>
      <c r="AY715" s="2" t="e">
        <f t="shared" si="389"/>
        <v>#N/A</v>
      </c>
      <c r="AZ715" s="2" t="e">
        <f t="shared" si="390"/>
        <v>#N/A</v>
      </c>
      <c r="BA715" s="2" t="e">
        <f t="shared" si="391"/>
        <v>#N/A</v>
      </c>
      <c r="BB715" s="2" t="e">
        <f t="shared" si="392"/>
        <v>#DIV/0!</v>
      </c>
      <c r="BC715" s="9" t="e">
        <f t="shared" ca="1" si="393"/>
        <v>#N/A</v>
      </c>
      <c r="BD715" s="9" t="e">
        <f t="shared" ca="1" si="394"/>
        <v>#N/A</v>
      </c>
    </row>
    <row r="716" spans="1:56" ht="15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 s="64"/>
      <c r="O716" s="64"/>
      <c r="P716" s="16"/>
      <c r="Q716" s="11"/>
      <c r="R716" s="11"/>
      <c r="S716" s="11"/>
      <c r="T716" s="11"/>
      <c r="U716" s="11"/>
      <c r="V716" s="11"/>
      <c r="W716" s="11">
        <f t="shared" si="403"/>
        <v>0</v>
      </c>
      <c r="X716" s="2">
        <f t="shared" si="404"/>
        <v>0</v>
      </c>
      <c r="Y716" s="2">
        <f t="shared" si="405"/>
        <v>0</v>
      </c>
      <c r="Z716" s="11">
        <f t="shared" si="406"/>
        <v>0</v>
      </c>
      <c r="AA716" s="2">
        <f t="shared" si="407"/>
        <v>0</v>
      </c>
      <c r="AB716" s="11">
        <f t="shared" si="408"/>
        <v>0</v>
      </c>
      <c r="AC716" s="2">
        <f t="shared" si="409"/>
        <v>0</v>
      </c>
      <c r="AF716" s="11">
        <f t="shared" si="410"/>
        <v>0</v>
      </c>
      <c r="AG716" s="2">
        <f t="shared" si="411"/>
        <v>0</v>
      </c>
      <c r="AH716" s="2">
        <f t="shared" si="412"/>
        <v>0</v>
      </c>
      <c r="AI716" s="2">
        <f t="shared" si="413"/>
        <v>0</v>
      </c>
      <c r="AJ716" s="2">
        <f t="shared" si="414"/>
        <v>0</v>
      </c>
      <c r="AK716" s="2">
        <f t="shared" si="415"/>
        <v>0</v>
      </c>
      <c r="AL716" s="2">
        <f t="shared" si="416"/>
        <v>0</v>
      </c>
      <c r="AN716" s="2" t="e">
        <f t="shared" si="395"/>
        <v>#N/A</v>
      </c>
      <c r="AO716" s="2" t="e">
        <f t="shared" si="396"/>
        <v>#N/A</v>
      </c>
      <c r="AP716" s="2" t="e">
        <f t="shared" si="397"/>
        <v>#N/A</v>
      </c>
      <c r="AQ716" s="2" t="e">
        <f t="shared" si="398"/>
        <v>#N/A</v>
      </c>
      <c r="AR716" s="2" t="e">
        <f t="shared" si="399"/>
        <v>#N/A</v>
      </c>
      <c r="AS716" s="2" t="e">
        <f t="shared" si="400"/>
        <v>#DIV/0!</v>
      </c>
      <c r="AT716" s="9" t="e">
        <f t="shared" ca="1" si="401"/>
        <v>#N/A</v>
      </c>
      <c r="AU716" s="9" t="e">
        <f t="shared" ca="1" si="402"/>
        <v>#N/A</v>
      </c>
      <c r="AV716" s="9"/>
      <c r="AW716" s="2" t="e">
        <f t="shared" si="387"/>
        <v>#N/A</v>
      </c>
      <c r="AX716" s="2" t="e">
        <f t="shared" si="388"/>
        <v>#N/A</v>
      </c>
      <c r="AY716" s="2" t="e">
        <f t="shared" si="389"/>
        <v>#N/A</v>
      </c>
      <c r="AZ716" s="2" t="e">
        <f t="shared" si="390"/>
        <v>#N/A</v>
      </c>
      <c r="BA716" s="2" t="e">
        <f t="shared" si="391"/>
        <v>#N/A</v>
      </c>
      <c r="BB716" s="2" t="e">
        <f t="shared" si="392"/>
        <v>#DIV/0!</v>
      </c>
      <c r="BC716" s="9" t="e">
        <f t="shared" ca="1" si="393"/>
        <v>#N/A</v>
      </c>
      <c r="BD716" s="9" t="e">
        <f t="shared" ca="1" si="394"/>
        <v>#N/A</v>
      </c>
    </row>
    <row r="717" spans="1:56" ht="15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 s="64"/>
      <c r="O717" s="64"/>
      <c r="P717" s="16"/>
      <c r="Q717" s="11"/>
      <c r="R717" s="11"/>
      <c r="S717" s="11"/>
      <c r="T717" s="11"/>
      <c r="U717" s="11"/>
      <c r="V717" s="11"/>
      <c r="W717" s="11">
        <f t="shared" si="403"/>
        <v>0</v>
      </c>
      <c r="X717" s="2">
        <f t="shared" si="404"/>
        <v>0</v>
      </c>
      <c r="Y717" s="2">
        <f t="shared" si="405"/>
        <v>0</v>
      </c>
      <c r="Z717" s="11">
        <f t="shared" si="406"/>
        <v>0</v>
      </c>
      <c r="AA717" s="2">
        <f t="shared" si="407"/>
        <v>0</v>
      </c>
      <c r="AB717" s="11">
        <f t="shared" si="408"/>
        <v>0</v>
      </c>
      <c r="AC717" s="2">
        <f t="shared" si="409"/>
        <v>0</v>
      </c>
      <c r="AF717" s="11">
        <f t="shared" si="410"/>
        <v>0</v>
      </c>
      <c r="AG717" s="2">
        <f t="shared" si="411"/>
        <v>0</v>
      </c>
      <c r="AH717" s="2">
        <f t="shared" si="412"/>
        <v>0</v>
      </c>
      <c r="AI717" s="2">
        <f t="shared" si="413"/>
        <v>0</v>
      </c>
      <c r="AJ717" s="2">
        <f t="shared" si="414"/>
        <v>0</v>
      </c>
      <c r="AK717" s="2">
        <f t="shared" si="415"/>
        <v>0</v>
      </c>
      <c r="AL717" s="2">
        <f t="shared" si="416"/>
        <v>0</v>
      </c>
      <c r="AN717" s="2" t="e">
        <f t="shared" si="395"/>
        <v>#N/A</v>
      </c>
      <c r="AO717" s="2" t="e">
        <f t="shared" si="396"/>
        <v>#N/A</v>
      </c>
      <c r="AP717" s="2" t="e">
        <f t="shared" si="397"/>
        <v>#N/A</v>
      </c>
      <c r="AQ717" s="2" t="e">
        <f t="shared" si="398"/>
        <v>#N/A</v>
      </c>
      <c r="AR717" s="2" t="e">
        <f t="shared" si="399"/>
        <v>#N/A</v>
      </c>
      <c r="AS717" s="2" t="e">
        <f t="shared" si="400"/>
        <v>#DIV/0!</v>
      </c>
      <c r="AT717" s="9" t="e">
        <f t="shared" ca="1" si="401"/>
        <v>#N/A</v>
      </c>
      <c r="AU717" s="9" t="e">
        <f t="shared" ca="1" si="402"/>
        <v>#N/A</v>
      </c>
      <c r="AV717" s="9"/>
      <c r="AW717" s="2" t="e">
        <f t="shared" si="387"/>
        <v>#N/A</v>
      </c>
      <c r="AX717" s="2" t="e">
        <f t="shared" si="388"/>
        <v>#N/A</v>
      </c>
      <c r="AY717" s="2" t="e">
        <f t="shared" si="389"/>
        <v>#N/A</v>
      </c>
      <c r="AZ717" s="2" t="e">
        <f t="shared" si="390"/>
        <v>#N/A</v>
      </c>
      <c r="BA717" s="2" t="e">
        <f t="shared" si="391"/>
        <v>#N/A</v>
      </c>
      <c r="BB717" s="2" t="e">
        <f t="shared" si="392"/>
        <v>#DIV/0!</v>
      </c>
      <c r="BC717" s="9" t="e">
        <f t="shared" ca="1" si="393"/>
        <v>#N/A</v>
      </c>
      <c r="BD717" s="9" t="e">
        <f t="shared" ca="1" si="394"/>
        <v>#N/A</v>
      </c>
    </row>
    <row r="718" spans="1:56" ht="15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 s="64"/>
      <c r="O718" s="64"/>
      <c r="P718" s="16"/>
      <c r="Q718" s="11"/>
      <c r="R718" s="11"/>
      <c r="S718" s="11"/>
      <c r="T718" s="11"/>
      <c r="U718" s="11"/>
      <c r="V718" s="11"/>
      <c r="W718" s="11">
        <f t="shared" si="403"/>
        <v>0</v>
      </c>
      <c r="X718" s="2">
        <f t="shared" si="404"/>
        <v>0</v>
      </c>
      <c r="Y718" s="2">
        <f t="shared" si="405"/>
        <v>0</v>
      </c>
      <c r="Z718" s="11">
        <f t="shared" si="406"/>
        <v>0</v>
      </c>
      <c r="AA718" s="2">
        <f t="shared" si="407"/>
        <v>0</v>
      </c>
      <c r="AB718" s="11">
        <f t="shared" si="408"/>
        <v>0</v>
      </c>
      <c r="AC718" s="2">
        <f t="shared" si="409"/>
        <v>0</v>
      </c>
      <c r="AF718" s="11">
        <f t="shared" si="410"/>
        <v>0</v>
      </c>
      <c r="AG718" s="2">
        <f t="shared" si="411"/>
        <v>0</v>
      </c>
      <c r="AH718" s="2">
        <f t="shared" si="412"/>
        <v>0</v>
      </c>
      <c r="AI718" s="2">
        <f t="shared" si="413"/>
        <v>0</v>
      </c>
      <c r="AJ718" s="2">
        <f t="shared" si="414"/>
        <v>0</v>
      </c>
      <c r="AK718" s="2">
        <f t="shared" si="415"/>
        <v>0</v>
      </c>
      <c r="AL718" s="2">
        <f t="shared" si="416"/>
        <v>0</v>
      </c>
      <c r="AN718" s="2" t="e">
        <f t="shared" si="395"/>
        <v>#N/A</v>
      </c>
      <c r="AO718" s="2" t="e">
        <f t="shared" si="396"/>
        <v>#N/A</v>
      </c>
      <c r="AP718" s="2" t="e">
        <f t="shared" si="397"/>
        <v>#N/A</v>
      </c>
      <c r="AQ718" s="2" t="e">
        <f t="shared" si="398"/>
        <v>#N/A</v>
      </c>
      <c r="AR718" s="2" t="e">
        <f t="shared" si="399"/>
        <v>#N/A</v>
      </c>
      <c r="AS718" s="2" t="e">
        <f t="shared" si="400"/>
        <v>#DIV/0!</v>
      </c>
      <c r="AT718" s="9" t="e">
        <f t="shared" ca="1" si="401"/>
        <v>#N/A</v>
      </c>
      <c r="AU718" s="9" t="e">
        <f t="shared" ca="1" si="402"/>
        <v>#N/A</v>
      </c>
      <c r="AV718" s="9"/>
      <c r="AW718" s="2" t="e">
        <f t="shared" si="387"/>
        <v>#N/A</v>
      </c>
      <c r="AX718" s="2" t="e">
        <f t="shared" si="388"/>
        <v>#N/A</v>
      </c>
      <c r="AY718" s="2" t="e">
        <f t="shared" si="389"/>
        <v>#N/A</v>
      </c>
      <c r="AZ718" s="2" t="e">
        <f t="shared" si="390"/>
        <v>#N/A</v>
      </c>
      <c r="BA718" s="2" t="e">
        <f t="shared" si="391"/>
        <v>#N/A</v>
      </c>
      <c r="BB718" s="2" t="e">
        <f t="shared" si="392"/>
        <v>#DIV/0!</v>
      </c>
      <c r="BC718" s="9" t="e">
        <f t="shared" ca="1" si="393"/>
        <v>#N/A</v>
      </c>
      <c r="BD718" s="9" t="e">
        <f t="shared" ca="1" si="394"/>
        <v>#N/A</v>
      </c>
    </row>
    <row r="719" spans="1:56" ht="15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 s="64"/>
      <c r="O719" s="64"/>
      <c r="P719" s="16"/>
      <c r="Q719" s="11"/>
      <c r="R719" s="11"/>
      <c r="S719" s="11"/>
      <c r="T719" s="11"/>
      <c r="U719" s="11"/>
      <c r="V719" s="11"/>
      <c r="W719" s="11">
        <f t="shared" si="403"/>
        <v>0</v>
      </c>
      <c r="X719" s="2">
        <f t="shared" si="404"/>
        <v>0</v>
      </c>
      <c r="Y719" s="2">
        <f t="shared" si="405"/>
        <v>0</v>
      </c>
      <c r="Z719" s="11">
        <f t="shared" si="406"/>
        <v>0</v>
      </c>
      <c r="AA719" s="2">
        <f t="shared" si="407"/>
        <v>0</v>
      </c>
      <c r="AB719" s="11">
        <f t="shared" si="408"/>
        <v>0</v>
      </c>
      <c r="AC719" s="2">
        <f t="shared" si="409"/>
        <v>0</v>
      </c>
      <c r="AF719" s="11">
        <f t="shared" si="410"/>
        <v>0</v>
      </c>
      <c r="AG719" s="2">
        <f t="shared" si="411"/>
        <v>0</v>
      </c>
      <c r="AH719" s="2">
        <f t="shared" si="412"/>
        <v>0</v>
      </c>
      <c r="AI719" s="2">
        <f t="shared" si="413"/>
        <v>0</v>
      </c>
      <c r="AJ719" s="2">
        <f t="shared" si="414"/>
        <v>0</v>
      </c>
      <c r="AK719" s="2">
        <f t="shared" si="415"/>
        <v>0</v>
      </c>
      <c r="AL719" s="2">
        <f t="shared" si="416"/>
        <v>0</v>
      </c>
      <c r="AN719" s="2" t="e">
        <f t="shared" si="395"/>
        <v>#N/A</v>
      </c>
      <c r="AO719" s="2" t="e">
        <f t="shared" si="396"/>
        <v>#N/A</v>
      </c>
      <c r="AP719" s="2" t="e">
        <f t="shared" si="397"/>
        <v>#N/A</v>
      </c>
      <c r="AQ719" s="2" t="e">
        <f t="shared" si="398"/>
        <v>#N/A</v>
      </c>
      <c r="AR719" s="2" t="e">
        <f t="shared" si="399"/>
        <v>#N/A</v>
      </c>
      <c r="AS719" s="2" t="e">
        <f t="shared" si="400"/>
        <v>#DIV/0!</v>
      </c>
      <c r="AT719" s="9" t="e">
        <f t="shared" ca="1" si="401"/>
        <v>#N/A</v>
      </c>
      <c r="AU719" s="9" t="e">
        <f t="shared" ca="1" si="402"/>
        <v>#N/A</v>
      </c>
      <c r="AV719" s="9"/>
      <c r="AW719" s="2" t="e">
        <f t="shared" si="387"/>
        <v>#N/A</v>
      </c>
      <c r="AX719" s="2" t="e">
        <f t="shared" si="388"/>
        <v>#N/A</v>
      </c>
      <c r="AY719" s="2" t="e">
        <f t="shared" si="389"/>
        <v>#N/A</v>
      </c>
      <c r="AZ719" s="2" t="e">
        <f t="shared" si="390"/>
        <v>#N/A</v>
      </c>
      <c r="BA719" s="2" t="e">
        <f t="shared" si="391"/>
        <v>#N/A</v>
      </c>
      <c r="BB719" s="2" t="e">
        <f t="shared" si="392"/>
        <v>#DIV/0!</v>
      </c>
      <c r="BC719" s="9" t="e">
        <f t="shared" ca="1" si="393"/>
        <v>#N/A</v>
      </c>
      <c r="BD719" s="9" t="e">
        <f t="shared" ca="1" si="394"/>
        <v>#N/A</v>
      </c>
    </row>
    <row r="720" spans="1:56" ht="15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 s="64"/>
      <c r="O720" s="64"/>
      <c r="P720" s="16"/>
      <c r="Q720" s="11"/>
      <c r="R720" s="11"/>
      <c r="S720" s="11"/>
      <c r="T720" s="11"/>
      <c r="U720" s="11"/>
      <c r="V720" s="11"/>
      <c r="W720" s="11">
        <f t="shared" si="403"/>
        <v>0</v>
      </c>
      <c r="X720" s="2">
        <f t="shared" si="404"/>
        <v>0</v>
      </c>
      <c r="Y720" s="2">
        <f t="shared" si="405"/>
        <v>0</v>
      </c>
      <c r="Z720" s="11">
        <f t="shared" si="406"/>
        <v>0</v>
      </c>
      <c r="AA720" s="2">
        <f t="shared" si="407"/>
        <v>0</v>
      </c>
      <c r="AB720" s="11">
        <f t="shared" si="408"/>
        <v>0</v>
      </c>
      <c r="AC720" s="2">
        <f t="shared" si="409"/>
        <v>0</v>
      </c>
      <c r="AF720" s="11">
        <f t="shared" si="410"/>
        <v>0</v>
      </c>
      <c r="AG720" s="2">
        <f t="shared" si="411"/>
        <v>0</v>
      </c>
      <c r="AH720" s="2">
        <f t="shared" si="412"/>
        <v>0</v>
      </c>
      <c r="AI720" s="2">
        <f t="shared" si="413"/>
        <v>0</v>
      </c>
      <c r="AJ720" s="2">
        <f t="shared" si="414"/>
        <v>0</v>
      </c>
      <c r="AK720" s="2">
        <f t="shared" si="415"/>
        <v>0</v>
      </c>
      <c r="AL720" s="2">
        <f t="shared" si="416"/>
        <v>0</v>
      </c>
      <c r="AN720" s="2" t="e">
        <f t="shared" si="395"/>
        <v>#N/A</v>
      </c>
      <c r="AO720" s="2" t="e">
        <f t="shared" si="396"/>
        <v>#N/A</v>
      </c>
      <c r="AP720" s="2" t="e">
        <f t="shared" si="397"/>
        <v>#N/A</v>
      </c>
      <c r="AQ720" s="2" t="e">
        <f t="shared" si="398"/>
        <v>#N/A</v>
      </c>
      <c r="AR720" s="2" t="e">
        <f t="shared" si="399"/>
        <v>#N/A</v>
      </c>
      <c r="AS720" s="2" t="e">
        <f t="shared" si="400"/>
        <v>#DIV/0!</v>
      </c>
      <c r="AT720" s="9" t="e">
        <f t="shared" ca="1" si="401"/>
        <v>#N/A</v>
      </c>
      <c r="AU720" s="9" t="e">
        <f t="shared" ca="1" si="402"/>
        <v>#N/A</v>
      </c>
      <c r="AV720" s="9"/>
      <c r="AW720" s="2" t="e">
        <f t="shared" si="387"/>
        <v>#N/A</v>
      </c>
      <c r="AX720" s="2" t="e">
        <f t="shared" si="388"/>
        <v>#N/A</v>
      </c>
      <c r="AY720" s="2" t="e">
        <f t="shared" si="389"/>
        <v>#N/A</v>
      </c>
      <c r="AZ720" s="2" t="e">
        <f t="shared" si="390"/>
        <v>#N/A</v>
      </c>
      <c r="BA720" s="2" t="e">
        <f t="shared" si="391"/>
        <v>#N/A</v>
      </c>
      <c r="BB720" s="2" t="e">
        <f t="shared" si="392"/>
        <v>#DIV/0!</v>
      </c>
      <c r="BC720" s="9" t="e">
        <f t="shared" ca="1" si="393"/>
        <v>#N/A</v>
      </c>
      <c r="BD720" s="9" t="e">
        <f t="shared" ca="1" si="394"/>
        <v>#N/A</v>
      </c>
    </row>
    <row r="721" spans="1:56" ht="15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 s="64"/>
      <c r="O721" s="64"/>
      <c r="P721" s="16"/>
      <c r="Q721" s="11"/>
      <c r="R721" s="11"/>
      <c r="S721" s="11"/>
      <c r="T721" s="11"/>
      <c r="U721" s="11"/>
      <c r="V721" s="11"/>
      <c r="W721" s="11">
        <f t="shared" si="403"/>
        <v>0</v>
      </c>
      <c r="X721" s="2">
        <f t="shared" si="404"/>
        <v>0</v>
      </c>
      <c r="Y721" s="2">
        <f t="shared" si="405"/>
        <v>0</v>
      </c>
      <c r="Z721" s="11">
        <f t="shared" si="406"/>
        <v>0</v>
      </c>
      <c r="AA721" s="2">
        <f t="shared" si="407"/>
        <v>0</v>
      </c>
      <c r="AB721" s="11">
        <f t="shared" si="408"/>
        <v>0</v>
      </c>
      <c r="AC721" s="2">
        <f t="shared" si="409"/>
        <v>0</v>
      </c>
      <c r="AF721" s="11">
        <f t="shared" si="410"/>
        <v>0</v>
      </c>
      <c r="AG721" s="2">
        <f t="shared" si="411"/>
        <v>0</v>
      </c>
      <c r="AH721" s="2">
        <f t="shared" si="412"/>
        <v>0</v>
      </c>
      <c r="AI721" s="2">
        <f t="shared" si="413"/>
        <v>0</v>
      </c>
      <c r="AJ721" s="2">
        <f t="shared" si="414"/>
        <v>0</v>
      </c>
      <c r="AK721" s="2">
        <f t="shared" si="415"/>
        <v>0</v>
      </c>
      <c r="AL721" s="2">
        <f t="shared" si="416"/>
        <v>0</v>
      </c>
      <c r="AN721" s="2" t="e">
        <f t="shared" si="395"/>
        <v>#N/A</v>
      </c>
      <c r="AO721" s="2" t="e">
        <f t="shared" si="396"/>
        <v>#N/A</v>
      </c>
      <c r="AP721" s="2" t="e">
        <f t="shared" si="397"/>
        <v>#N/A</v>
      </c>
      <c r="AQ721" s="2" t="e">
        <f t="shared" si="398"/>
        <v>#N/A</v>
      </c>
      <c r="AR721" s="2" t="e">
        <f t="shared" si="399"/>
        <v>#N/A</v>
      </c>
      <c r="AS721" s="2" t="e">
        <f t="shared" si="400"/>
        <v>#DIV/0!</v>
      </c>
      <c r="AT721" s="9" t="e">
        <f t="shared" ca="1" si="401"/>
        <v>#N/A</v>
      </c>
      <c r="AU721" s="9" t="e">
        <f t="shared" ca="1" si="402"/>
        <v>#N/A</v>
      </c>
      <c r="AV721" s="9"/>
      <c r="AW721" s="2" t="e">
        <f t="shared" si="387"/>
        <v>#N/A</v>
      </c>
      <c r="AX721" s="2" t="e">
        <f t="shared" si="388"/>
        <v>#N/A</v>
      </c>
      <c r="AY721" s="2" t="e">
        <f t="shared" si="389"/>
        <v>#N/A</v>
      </c>
      <c r="AZ721" s="2" t="e">
        <f t="shared" si="390"/>
        <v>#N/A</v>
      </c>
      <c r="BA721" s="2" t="e">
        <f t="shared" si="391"/>
        <v>#N/A</v>
      </c>
      <c r="BB721" s="2" t="e">
        <f t="shared" si="392"/>
        <v>#DIV/0!</v>
      </c>
      <c r="BC721" s="9" t="e">
        <f t="shared" ca="1" si="393"/>
        <v>#N/A</v>
      </c>
      <c r="BD721" s="9" t="e">
        <f t="shared" ca="1" si="394"/>
        <v>#N/A</v>
      </c>
    </row>
    <row r="722" spans="1:56" ht="15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 s="64"/>
      <c r="O722" s="64"/>
      <c r="P722" s="16"/>
      <c r="Q722" s="11"/>
      <c r="R722" s="11"/>
      <c r="S722" s="11"/>
      <c r="T722" s="11"/>
      <c r="U722" s="11"/>
      <c r="V722" s="11"/>
      <c r="W722" s="11">
        <f t="shared" si="403"/>
        <v>0</v>
      </c>
      <c r="X722" s="2">
        <f t="shared" si="404"/>
        <v>0</v>
      </c>
      <c r="Y722" s="2">
        <f t="shared" si="405"/>
        <v>0</v>
      </c>
      <c r="Z722" s="11">
        <f t="shared" si="406"/>
        <v>0</v>
      </c>
      <c r="AA722" s="2">
        <f t="shared" si="407"/>
        <v>0</v>
      </c>
      <c r="AB722" s="11">
        <f t="shared" si="408"/>
        <v>0</v>
      </c>
      <c r="AC722" s="2">
        <f t="shared" si="409"/>
        <v>0</v>
      </c>
      <c r="AF722" s="11">
        <f t="shared" si="410"/>
        <v>0</v>
      </c>
      <c r="AG722" s="2">
        <f t="shared" si="411"/>
        <v>0</v>
      </c>
      <c r="AH722" s="2">
        <f t="shared" si="412"/>
        <v>0</v>
      </c>
      <c r="AI722" s="2">
        <f t="shared" si="413"/>
        <v>0</v>
      </c>
      <c r="AJ722" s="2">
        <f t="shared" si="414"/>
        <v>0</v>
      </c>
      <c r="AK722" s="2">
        <f t="shared" si="415"/>
        <v>0</v>
      </c>
      <c r="AL722" s="2">
        <f t="shared" si="416"/>
        <v>0</v>
      </c>
      <c r="AN722" s="2" t="e">
        <f t="shared" si="395"/>
        <v>#N/A</v>
      </c>
      <c r="AO722" s="2" t="e">
        <f t="shared" si="396"/>
        <v>#N/A</v>
      </c>
      <c r="AP722" s="2" t="e">
        <f t="shared" si="397"/>
        <v>#N/A</v>
      </c>
      <c r="AQ722" s="2" t="e">
        <f t="shared" si="398"/>
        <v>#N/A</v>
      </c>
      <c r="AR722" s="2" t="e">
        <f t="shared" si="399"/>
        <v>#N/A</v>
      </c>
      <c r="AS722" s="2" t="e">
        <f t="shared" si="400"/>
        <v>#DIV/0!</v>
      </c>
      <c r="AT722" s="9" t="e">
        <f t="shared" ca="1" si="401"/>
        <v>#N/A</v>
      </c>
      <c r="AU722" s="9" t="e">
        <f t="shared" ca="1" si="402"/>
        <v>#N/A</v>
      </c>
      <c r="AV722" s="9"/>
      <c r="AW722" s="2" t="e">
        <f t="shared" si="387"/>
        <v>#N/A</v>
      </c>
      <c r="AX722" s="2" t="e">
        <f t="shared" si="388"/>
        <v>#N/A</v>
      </c>
      <c r="AY722" s="2" t="e">
        <f t="shared" si="389"/>
        <v>#N/A</v>
      </c>
      <c r="AZ722" s="2" t="e">
        <f t="shared" si="390"/>
        <v>#N/A</v>
      </c>
      <c r="BA722" s="2" t="e">
        <f t="shared" si="391"/>
        <v>#N/A</v>
      </c>
      <c r="BB722" s="2" t="e">
        <f t="shared" si="392"/>
        <v>#DIV/0!</v>
      </c>
      <c r="BC722" s="9" t="e">
        <f t="shared" ca="1" si="393"/>
        <v>#N/A</v>
      </c>
      <c r="BD722" s="9" t="e">
        <f t="shared" ca="1" si="394"/>
        <v>#N/A</v>
      </c>
    </row>
    <row r="723" spans="1:56" ht="15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 s="64"/>
      <c r="O723" s="64"/>
      <c r="P723" s="16"/>
      <c r="Q723" s="11"/>
      <c r="R723" s="11"/>
      <c r="S723" s="11"/>
      <c r="T723" s="11"/>
      <c r="U723" s="11"/>
      <c r="V723" s="11"/>
      <c r="W723" s="11">
        <f t="shared" si="403"/>
        <v>0</v>
      </c>
      <c r="X723" s="2">
        <f t="shared" si="404"/>
        <v>0</v>
      </c>
      <c r="Y723" s="2">
        <f t="shared" si="405"/>
        <v>0</v>
      </c>
      <c r="Z723" s="11">
        <f t="shared" si="406"/>
        <v>0</v>
      </c>
      <c r="AA723" s="2">
        <f t="shared" si="407"/>
        <v>0</v>
      </c>
      <c r="AB723" s="11">
        <f t="shared" si="408"/>
        <v>0</v>
      </c>
      <c r="AC723" s="2">
        <f t="shared" si="409"/>
        <v>0</v>
      </c>
      <c r="AF723" s="11">
        <f t="shared" si="410"/>
        <v>0</v>
      </c>
      <c r="AG723" s="2">
        <f t="shared" si="411"/>
        <v>0</v>
      </c>
      <c r="AH723" s="2">
        <f t="shared" si="412"/>
        <v>0</v>
      </c>
      <c r="AI723" s="2">
        <f t="shared" si="413"/>
        <v>0</v>
      </c>
      <c r="AJ723" s="2">
        <f t="shared" si="414"/>
        <v>0</v>
      </c>
      <c r="AK723" s="2">
        <f t="shared" si="415"/>
        <v>0</v>
      </c>
      <c r="AL723" s="2">
        <f t="shared" si="416"/>
        <v>0</v>
      </c>
      <c r="AN723" s="2" t="e">
        <f t="shared" si="395"/>
        <v>#N/A</v>
      </c>
      <c r="AO723" s="2" t="e">
        <f t="shared" si="396"/>
        <v>#N/A</v>
      </c>
      <c r="AP723" s="2" t="e">
        <f t="shared" si="397"/>
        <v>#N/A</v>
      </c>
      <c r="AQ723" s="2" t="e">
        <f t="shared" si="398"/>
        <v>#N/A</v>
      </c>
      <c r="AR723" s="2" t="e">
        <f t="shared" si="399"/>
        <v>#N/A</v>
      </c>
      <c r="AS723" s="2" t="e">
        <f t="shared" si="400"/>
        <v>#DIV/0!</v>
      </c>
      <c r="AT723" s="9" t="e">
        <f t="shared" ca="1" si="401"/>
        <v>#N/A</v>
      </c>
      <c r="AU723" s="9" t="e">
        <f t="shared" ca="1" si="402"/>
        <v>#N/A</v>
      </c>
      <c r="AV723" s="9"/>
      <c r="AW723" s="2" t="e">
        <f t="shared" si="387"/>
        <v>#N/A</v>
      </c>
      <c r="AX723" s="2" t="e">
        <f t="shared" si="388"/>
        <v>#N/A</v>
      </c>
      <c r="AY723" s="2" t="e">
        <f t="shared" si="389"/>
        <v>#N/A</v>
      </c>
      <c r="AZ723" s="2" t="e">
        <f t="shared" si="390"/>
        <v>#N/A</v>
      </c>
      <c r="BA723" s="2" t="e">
        <f t="shared" si="391"/>
        <v>#N/A</v>
      </c>
      <c r="BB723" s="2" t="e">
        <f t="shared" si="392"/>
        <v>#DIV/0!</v>
      </c>
      <c r="BC723" s="9" t="e">
        <f t="shared" ca="1" si="393"/>
        <v>#N/A</v>
      </c>
      <c r="BD723" s="9" t="e">
        <f t="shared" ca="1" si="394"/>
        <v>#N/A</v>
      </c>
    </row>
    <row r="724" spans="1:56" ht="15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 s="64"/>
      <c r="O724" s="64"/>
      <c r="P724" s="16"/>
      <c r="Q724" s="11"/>
      <c r="R724" s="11"/>
      <c r="S724" s="11"/>
      <c r="T724" s="11"/>
      <c r="U724" s="11"/>
      <c r="V724" s="11"/>
      <c r="W724" s="11">
        <f t="shared" si="403"/>
        <v>0</v>
      </c>
      <c r="X724" s="2">
        <f t="shared" si="404"/>
        <v>0</v>
      </c>
      <c r="Y724" s="2">
        <f t="shared" si="405"/>
        <v>0</v>
      </c>
      <c r="Z724" s="11">
        <f t="shared" si="406"/>
        <v>0</v>
      </c>
      <c r="AA724" s="2">
        <f t="shared" si="407"/>
        <v>0</v>
      </c>
      <c r="AB724" s="11">
        <f t="shared" si="408"/>
        <v>0</v>
      </c>
      <c r="AC724" s="2">
        <f t="shared" si="409"/>
        <v>0</v>
      </c>
      <c r="AF724" s="11">
        <f t="shared" si="410"/>
        <v>0</v>
      </c>
      <c r="AG724" s="2">
        <f t="shared" si="411"/>
        <v>0</v>
      </c>
      <c r="AH724" s="2">
        <f t="shared" si="412"/>
        <v>0</v>
      </c>
      <c r="AI724" s="2">
        <f t="shared" si="413"/>
        <v>0</v>
      </c>
      <c r="AJ724" s="2">
        <f t="shared" si="414"/>
        <v>0</v>
      </c>
      <c r="AK724" s="2">
        <f t="shared" si="415"/>
        <v>0</v>
      </c>
      <c r="AL724" s="2">
        <f t="shared" si="416"/>
        <v>0</v>
      </c>
      <c r="AN724" s="2" t="e">
        <f t="shared" si="395"/>
        <v>#N/A</v>
      </c>
      <c r="AO724" s="2" t="e">
        <f t="shared" si="396"/>
        <v>#N/A</v>
      </c>
      <c r="AP724" s="2" t="e">
        <f t="shared" si="397"/>
        <v>#N/A</v>
      </c>
      <c r="AQ724" s="2" t="e">
        <f t="shared" si="398"/>
        <v>#N/A</v>
      </c>
      <c r="AR724" s="2" t="e">
        <f t="shared" si="399"/>
        <v>#N/A</v>
      </c>
      <c r="AS724" s="2" t="e">
        <f t="shared" si="400"/>
        <v>#DIV/0!</v>
      </c>
      <c r="AT724" s="9" t="e">
        <f t="shared" ca="1" si="401"/>
        <v>#N/A</v>
      </c>
      <c r="AU724" s="9" t="e">
        <f t="shared" ca="1" si="402"/>
        <v>#N/A</v>
      </c>
      <c r="AV724" s="9"/>
      <c r="AW724" s="2" t="e">
        <f t="shared" si="387"/>
        <v>#N/A</v>
      </c>
      <c r="AX724" s="2" t="e">
        <f t="shared" si="388"/>
        <v>#N/A</v>
      </c>
      <c r="AY724" s="2" t="e">
        <f t="shared" si="389"/>
        <v>#N/A</v>
      </c>
      <c r="AZ724" s="2" t="e">
        <f t="shared" si="390"/>
        <v>#N/A</v>
      </c>
      <c r="BA724" s="2" t="e">
        <f t="shared" si="391"/>
        <v>#N/A</v>
      </c>
      <c r="BB724" s="2" t="e">
        <f t="shared" si="392"/>
        <v>#DIV/0!</v>
      </c>
      <c r="BC724" s="9" t="e">
        <f t="shared" ca="1" si="393"/>
        <v>#N/A</v>
      </c>
      <c r="BD724" s="9" t="e">
        <f t="shared" ca="1" si="394"/>
        <v>#N/A</v>
      </c>
    </row>
    <row r="725" spans="1:56" ht="15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 s="64"/>
      <c r="O725" s="64"/>
      <c r="P725" s="16"/>
      <c r="Q725" s="11"/>
      <c r="R725" s="11"/>
      <c r="S725" s="11"/>
      <c r="T725" s="11"/>
      <c r="U725" s="11"/>
      <c r="V725" s="11"/>
      <c r="W725" s="11">
        <f t="shared" si="403"/>
        <v>0</v>
      </c>
      <c r="X725" s="2">
        <f t="shared" si="404"/>
        <v>0</v>
      </c>
      <c r="Y725" s="2">
        <f t="shared" si="405"/>
        <v>0</v>
      </c>
      <c r="Z725" s="11">
        <f t="shared" si="406"/>
        <v>0</v>
      </c>
      <c r="AA725" s="2">
        <f t="shared" si="407"/>
        <v>0</v>
      </c>
      <c r="AB725" s="11">
        <f t="shared" si="408"/>
        <v>0</v>
      </c>
      <c r="AC725" s="2">
        <f t="shared" si="409"/>
        <v>0</v>
      </c>
      <c r="AF725" s="11">
        <f t="shared" si="410"/>
        <v>0</v>
      </c>
      <c r="AG725" s="2">
        <f t="shared" si="411"/>
        <v>0</v>
      </c>
      <c r="AH725" s="2">
        <f t="shared" si="412"/>
        <v>0</v>
      </c>
      <c r="AI725" s="2">
        <f t="shared" si="413"/>
        <v>0</v>
      </c>
      <c r="AJ725" s="2">
        <f t="shared" si="414"/>
        <v>0</v>
      </c>
      <c r="AK725" s="2">
        <f t="shared" si="415"/>
        <v>0</v>
      </c>
      <c r="AL725" s="2">
        <f t="shared" si="416"/>
        <v>0</v>
      </c>
      <c r="AN725" s="2" t="e">
        <f t="shared" si="395"/>
        <v>#N/A</v>
      </c>
      <c r="AO725" s="2" t="e">
        <f t="shared" si="396"/>
        <v>#N/A</v>
      </c>
      <c r="AP725" s="2" t="e">
        <f t="shared" si="397"/>
        <v>#N/A</v>
      </c>
      <c r="AQ725" s="2" t="e">
        <f t="shared" si="398"/>
        <v>#N/A</v>
      </c>
      <c r="AR725" s="2" t="e">
        <f t="shared" si="399"/>
        <v>#N/A</v>
      </c>
      <c r="AS725" s="2" t="e">
        <f t="shared" si="400"/>
        <v>#DIV/0!</v>
      </c>
      <c r="AT725" s="9" t="e">
        <f t="shared" ca="1" si="401"/>
        <v>#N/A</v>
      </c>
      <c r="AU725" s="9" t="e">
        <f t="shared" ca="1" si="402"/>
        <v>#N/A</v>
      </c>
      <c r="AV725" s="9"/>
      <c r="AW725" s="2" t="e">
        <f t="shared" si="387"/>
        <v>#N/A</v>
      </c>
      <c r="AX725" s="2" t="e">
        <f t="shared" si="388"/>
        <v>#N/A</v>
      </c>
      <c r="AY725" s="2" t="e">
        <f t="shared" si="389"/>
        <v>#N/A</v>
      </c>
      <c r="AZ725" s="2" t="e">
        <f t="shared" si="390"/>
        <v>#N/A</v>
      </c>
      <c r="BA725" s="2" t="e">
        <f t="shared" si="391"/>
        <v>#N/A</v>
      </c>
      <c r="BB725" s="2" t="e">
        <f t="shared" si="392"/>
        <v>#DIV/0!</v>
      </c>
      <c r="BC725" s="9" t="e">
        <f t="shared" ca="1" si="393"/>
        <v>#N/A</v>
      </c>
      <c r="BD725" s="9" t="e">
        <f t="shared" ca="1" si="394"/>
        <v>#N/A</v>
      </c>
    </row>
    <row r="726" spans="1:56" ht="15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 s="64"/>
      <c r="O726" s="64"/>
      <c r="P726" s="16"/>
      <c r="Q726" s="11"/>
      <c r="R726" s="11"/>
      <c r="S726" s="11"/>
      <c r="T726" s="11"/>
      <c r="U726" s="11"/>
      <c r="V726" s="11"/>
      <c r="W726" s="11">
        <f t="shared" si="403"/>
        <v>0</v>
      </c>
      <c r="X726" s="2">
        <f t="shared" si="404"/>
        <v>0</v>
      </c>
      <c r="Y726" s="2">
        <f t="shared" si="405"/>
        <v>0</v>
      </c>
      <c r="Z726" s="11">
        <f t="shared" si="406"/>
        <v>0</v>
      </c>
      <c r="AA726" s="2">
        <f t="shared" si="407"/>
        <v>0</v>
      </c>
      <c r="AB726" s="11">
        <f t="shared" si="408"/>
        <v>0</v>
      </c>
      <c r="AC726" s="2">
        <f t="shared" si="409"/>
        <v>0</v>
      </c>
      <c r="AF726" s="11">
        <f t="shared" si="410"/>
        <v>0</v>
      </c>
      <c r="AG726" s="2">
        <f t="shared" si="411"/>
        <v>0</v>
      </c>
      <c r="AH726" s="2">
        <f t="shared" si="412"/>
        <v>0</v>
      </c>
      <c r="AI726" s="2">
        <f t="shared" si="413"/>
        <v>0</v>
      </c>
      <c r="AJ726" s="2">
        <f t="shared" si="414"/>
        <v>0</v>
      </c>
      <c r="AK726" s="2">
        <f t="shared" si="415"/>
        <v>0</v>
      </c>
      <c r="AL726" s="2">
        <f t="shared" si="416"/>
        <v>0</v>
      </c>
      <c r="AN726" s="2" t="e">
        <f t="shared" si="395"/>
        <v>#N/A</v>
      </c>
      <c r="AO726" s="2" t="e">
        <f t="shared" si="396"/>
        <v>#N/A</v>
      </c>
      <c r="AP726" s="2" t="e">
        <f t="shared" si="397"/>
        <v>#N/A</v>
      </c>
      <c r="AQ726" s="2" t="e">
        <f t="shared" si="398"/>
        <v>#N/A</v>
      </c>
      <c r="AR726" s="2" t="e">
        <f t="shared" si="399"/>
        <v>#N/A</v>
      </c>
      <c r="AS726" s="2" t="e">
        <f t="shared" si="400"/>
        <v>#DIV/0!</v>
      </c>
      <c r="AT726" s="9" t="e">
        <f t="shared" ca="1" si="401"/>
        <v>#N/A</v>
      </c>
      <c r="AU726" s="9" t="e">
        <f t="shared" ca="1" si="402"/>
        <v>#N/A</v>
      </c>
      <c r="AV726" s="9"/>
      <c r="AW726" s="2" t="e">
        <f t="shared" si="387"/>
        <v>#N/A</v>
      </c>
      <c r="AX726" s="2" t="e">
        <f t="shared" si="388"/>
        <v>#N/A</v>
      </c>
      <c r="AY726" s="2" t="e">
        <f t="shared" si="389"/>
        <v>#N/A</v>
      </c>
      <c r="AZ726" s="2" t="e">
        <f t="shared" si="390"/>
        <v>#N/A</v>
      </c>
      <c r="BA726" s="2" t="e">
        <f t="shared" si="391"/>
        <v>#N/A</v>
      </c>
      <c r="BB726" s="2" t="e">
        <f t="shared" si="392"/>
        <v>#DIV/0!</v>
      </c>
      <c r="BC726" s="9" t="e">
        <f t="shared" ca="1" si="393"/>
        <v>#N/A</v>
      </c>
      <c r="BD726" s="9" t="e">
        <f t="shared" ca="1" si="394"/>
        <v>#N/A</v>
      </c>
    </row>
    <row r="727" spans="1:56" ht="15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 s="64"/>
      <c r="O727" s="64"/>
      <c r="P727" s="16"/>
      <c r="Q727" s="11"/>
      <c r="R727" s="11"/>
      <c r="S727" s="11"/>
      <c r="T727" s="11"/>
      <c r="U727" s="11"/>
      <c r="V727" s="11"/>
      <c r="W727" s="11">
        <f t="shared" si="403"/>
        <v>0</v>
      </c>
      <c r="X727" s="2">
        <f t="shared" si="404"/>
        <v>0</v>
      </c>
      <c r="Y727" s="2">
        <f t="shared" si="405"/>
        <v>0</v>
      </c>
      <c r="Z727" s="11">
        <f t="shared" si="406"/>
        <v>0</v>
      </c>
      <c r="AA727" s="2">
        <f t="shared" si="407"/>
        <v>0</v>
      </c>
      <c r="AB727" s="11">
        <f t="shared" si="408"/>
        <v>0</v>
      </c>
      <c r="AC727" s="2">
        <f t="shared" si="409"/>
        <v>0</v>
      </c>
      <c r="AF727" s="11">
        <f t="shared" si="410"/>
        <v>0</v>
      </c>
      <c r="AG727" s="2">
        <f t="shared" si="411"/>
        <v>0</v>
      </c>
      <c r="AH727" s="2">
        <f t="shared" si="412"/>
        <v>0</v>
      </c>
      <c r="AI727" s="2">
        <f t="shared" si="413"/>
        <v>0</v>
      </c>
      <c r="AJ727" s="2">
        <f t="shared" si="414"/>
        <v>0</v>
      </c>
      <c r="AK727" s="2">
        <f t="shared" si="415"/>
        <v>0</v>
      </c>
      <c r="AL727" s="2">
        <f t="shared" si="416"/>
        <v>0</v>
      </c>
      <c r="AN727" s="2" t="e">
        <f t="shared" si="395"/>
        <v>#N/A</v>
      </c>
      <c r="AO727" s="2" t="e">
        <f t="shared" si="396"/>
        <v>#N/A</v>
      </c>
      <c r="AP727" s="2" t="e">
        <f t="shared" si="397"/>
        <v>#N/A</v>
      </c>
      <c r="AQ727" s="2" t="e">
        <f t="shared" si="398"/>
        <v>#N/A</v>
      </c>
      <c r="AR727" s="2" t="e">
        <f t="shared" si="399"/>
        <v>#N/A</v>
      </c>
      <c r="AS727" s="2" t="e">
        <f t="shared" si="400"/>
        <v>#DIV/0!</v>
      </c>
      <c r="AT727" s="9" t="e">
        <f t="shared" ca="1" si="401"/>
        <v>#N/A</v>
      </c>
      <c r="AU727" s="9" t="e">
        <f t="shared" ca="1" si="402"/>
        <v>#N/A</v>
      </c>
      <c r="AV727" s="9"/>
      <c r="AW727" s="2" t="e">
        <f t="shared" ref="AW727:AW790" si="417">IF(AND(AL727&gt;0, AJ727&gt;0), AL727/AJ727, #N/A)</f>
        <v>#N/A</v>
      </c>
      <c r="AX727" s="2" t="e">
        <f t="shared" ref="AX727:AX790" si="418">$B$8*((AW727/$B$10)^$B$11)</f>
        <v>#N/A</v>
      </c>
      <c r="AY727" s="2" t="e">
        <f t="shared" ref="AY727:AY790" si="419">AX727*AI727</f>
        <v>#N/A</v>
      </c>
      <c r="AZ727" s="2" t="e">
        <f t="shared" ref="AZ727:AZ790" si="420">AK727-AY727</f>
        <v>#N/A</v>
      </c>
      <c r="BA727" s="2" t="e">
        <f t="shared" ref="BA727:BA790" si="421">(AZ727/AJ727)/((AW727/$B$10)^$B$12)</f>
        <v>#N/A</v>
      </c>
      <c r="BB727" s="2" t="e">
        <f t="shared" ref="BB727:BB790" si="422">(AH727/AJ727)/((AW727/$B$10)^$B$13)</f>
        <v>#DIV/0!</v>
      </c>
      <c r="BC727" s="9" t="e">
        <f t="shared" ref="BC727:BC790" ca="1" si="423">IF(AND(BA727&lt;$P$3,BA727&gt;$P$4),BA727,"rejected")</f>
        <v>#N/A</v>
      </c>
      <c r="BD727" s="9" t="e">
        <f t="shared" ref="BD727:BD790" ca="1" si="424">IF(AND(BA727&lt;$P$3,BA727&gt;$P$4),BA727,#N/A)</f>
        <v>#N/A</v>
      </c>
    </row>
    <row r="728" spans="1:56" ht="15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 s="64"/>
      <c r="O728" s="64"/>
      <c r="P728" s="16"/>
      <c r="Q728" s="11"/>
      <c r="R728" s="11"/>
      <c r="S728" s="11"/>
      <c r="T728" s="11"/>
      <c r="U728" s="11"/>
      <c r="V728" s="11"/>
      <c r="W728" s="11">
        <f t="shared" si="403"/>
        <v>0</v>
      </c>
      <c r="X728" s="2">
        <f t="shared" si="404"/>
        <v>0</v>
      </c>
      <c r="Y728" s="2">
        <f t="shared" si="405"/>
        <v>0</v>
      </c>
      <c r="Z728" s="11">
        <f t="shared" si="406"/>
        <v>0</v>
      </c>
      <c r="AA728" s="2">
        <f t="shared" si="407"/>
        <v>0</v>
      </c>
      <c r="AB728" s="11">
        <f t="shared" si="408"/>
        <v>0</v>
      </c>
      <c r="AC728" s="2">
        <f t="shared" si="409"/>
        <v>0</v>
      </c>
      <c r="AF728" s="11">
        <f t="shared" si="410"/>
        <v>0</v>
      </c>
      <c r="AG728" s="2">
        <f t="shared" si="411"/>
        <v>0</v>
      </c>
      <c r="AH728" s="2">
        <f t="shared" si="412"/>
        <v>0</v>
      </c>
      <c r="AI728" s="2">
        <f t="shared" si="413"/>
        <v>0</v>
      </c>
      <c r="AJ728" s="2">
        <f t="shared" si="414"/>
        <v>0</v>
      </c>
      <c r="AK728" s="2">
        <f t="shared" si="415"/>
        <v>0</v>
      </c>
      <c r="AL728" s="2">
        <f t="shared" si="416"/>
        <v>0</v>
      </c>
      <c r="AN728" s="2" t="e">
        <f t="shared" si="395"/>
        <v>#N/A</v>
      </c>
      <c r="AO728" s="2" t="e">
        <f t="shared" si="396"/>
        <v>#N/A</v>
      </c>
      <c r="AP728" s="2" t="e">
        <f t="shared" si="397"/>
        <v>#N/A</v>
      </c>
      <c r="AQ728" s="2" t="e">
        <f t="shared" si="398"/>
        <v>#N/A</v>
      </c>
      <c r="AR728" s="2" t="e">
        <f t="shared" si="399"/>
        <v>#N/A</v>
      </c>
      <c r="AS728" s="2" t="e">
        <f t="shared" si="400"/>
        <v>#DIV/0!</v>
      </c>
      <c r="AT728" s="9" t="e">
        <f t="shared" ca="1" si="401"/>
        <v>#N/A</v>
      </c>
      <c r="AU728" s="9" t="e">
        <f t="shared" ca="1" si="402"/>
        <v>#N/A</v>
      </c>
      <c r="AV728" s="9"/>
      <c r="AW728" s="2" t="e">
        <f t="shared" si="417"/>
        <v>#N/A</v>
      </c>
      <c r="AX728" s="2" t="e">
        <f t="shared" si="418"/>
        <v>#N/A</v>
      </c>
      <c r="AY728" s="2" t="e">
        <f t="shared" si="419"/>
        <v>#N/A</v>
      </c>
      <c r="AZ728" s="2" t="e">
        <f t="shared" si="420"/>
        <v>#N/A</v>
      </c>
      <c r="BA728" s="2" t="e">
        <f t="shared" si="421"/>
        <v>#N/A</v>
      </c>
      <c r="BB728" s="2" t="e">
        <f t="shared" si="422"/>
        <v>#DIV/0!</v>
      </c>
      <c r="BC728" s="9" t="e">
        <f t="shared" ca="1" si="423"/>
        <v>#N/A</v>
      </c>
      <c r="BD728" s="9" t="e">
        <f t="shared" ca="1" si="424"/>
        <v>#N/A</v>
      </c>
    </row>
    <row r="729" spans="1:56" ht="15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 s="64"/>
      <c r="O729" s="64"/>
      <c r="P729" s="16"/>
      <c r="Q729" s="11"/>
      <c r="R729" s="11"/>
      <c r="S729" s="11"/>
      <c r="T729" s="11"/>
      <c r="U729" s="11"/>
      <c r="V729" s="11"/>
      <c r="W729" s="11">
        <f t="shared" si="403"/>
        <v>0</v>
      </c>
      <c r="X729" s="2">
        <f t="shared" si="404"/>
        <v>0</v>
      </c>
      <c r="Y729" s="2">
        <f t="shared" si="405"/>
        <v>0</v>
      </c>
      <c r="Z729" s="11">
        <f t="shared" si="406"/>
        <v>0</v>
      </c>
      <c r="AA729" s="2">
        <f t="shared" si="407"/>
        <v>0</v>
      </c>
      <c r="AB729" s="11">
        <f t="shared" si="408"/>
        <v>0</v>
      </c>
      <c r="AC729" s="2">
        <f t="shared" si="409"/>
        <v>0</v>
      </c>
      <c r="AF729" s="11">
        <f t="shared" si="410"/>
        <v>0</v>
      </c>
      <c r="AG729" s="2">
        <f t="shared" si="411"/>
        <v>0</v>
      </c>
      <c r="AH729" s="2">
        <f t="shared" si="412"/>
        <v>0</v>
      </c>
      <c r="AI729" s="2">
        <f t="shared" si="413"/>
        <v>0</v>
      </c>
      <c r="AJ729" s="2">
        <f t="shared" si="414"/>
        <v>0</v>
      </c>
      <c r="AK729" s="2">
        <f t="shared" si="415"/>
        <v>0</v>
      </c>
      <c r="AL729" s="2">
        <f t="shared" si="416"/>
        <v>0</v>
      </c>
      <c r="AN729" s="2" t="e">
        <f t="shared" si="395"/>
        <v>#N/A</v>
      </c>
      <c r="AO729" s="2" t="e">
        <f t="shared" si="396"/>
        <v>#N/A</v>
      </c>
      <c r="AP729" s="2" t="e">
        <f t="shared" si="397"/>
        <v>#N/A</v>
      </c>
      <c r="AQ729" s="2" t="e">
        <f t="shared" si="398"/>
        <v>#N/A</v>
      </c>
      <c r="AR729" s="2" t="e">
        <f t="shared" si="399"/>
        <v>#N/A</v>
      </c>
      <c r="AS729" s="2" t="e">
        <f t="shared" si="400"/>
        <v>#DIV/0!</v>
      </c>
      <c r="AT729" s="9" t="e">
        <f t="shared" ca="1" si="401"/>
        <v>#N/A</v>
      </c>
      <c r="AU729" s="9" t="e">
        <f t="shared" ca="1" si="402"/>
        <v>#N/A</v>
      </c>
      <c r="AV729" s="9"/>
      <c r="AW729" s="2" t="e">
        <f t="shared" si="417"/>
        <v>#N/A</v>
      </c>
      <c r="AX729" s="2" t="e">
        <f t="shared" si="418"/>
        <v>#N/A</v>
      </c>
      <c r="AY729" s="2" t="e">
        <f t="shared" si="419"/>
        <v>#N/A</v>
      </c>
      <c r="AZ729" s="2" t="e">
        <f t="shared" si="420"/>
        <v>#N/A</v>
      </c>
      <c r="BA729" s="2" t="e">
        <f t="shared" si="421"/>
        <v>#N/A</v>
      </c>
      <c r="BB729" s="2" t="e">
        <f t="shared" si="422"/>
        <v>#DIV/0!</v>
      </c>
      <c r="BC729" s="9" t="e">
        <f t="shared" ca="1" si="423"/>
        <v>#N/A</v>
      </c>
      <c r="BD729" s="9" t="e">
        <f t="shared" ca="1" si="424"/>
        <v>#N/A</v>
      </c>
    </row>
    <row r="730" spans="1:56" ht="15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 s="64"/>
      <c r="O730" s="64"/>
      <c r="P730" s="16"/>
      <c r="Q730" s="11"/>
      <c r="R730" s="11"/>
      <c r="S730" s="11"/>
      <c r="T730" s="11"/>
      <c r="U730" s="11"/>
      <c r="V730" s="11"/>
      <c r="W730" s="11">
        <f t="shared" si="403"/>
        <v>0</v>
      </c>
      <c r="X730" s="2">
        <f t="shared" si="404"/>
        <v>0</v>
      </c>
      <c r="Y730" s="2">
        <f t="shared" si="405"/>
        <v>0</v>
      </c>
      <c r="Z730" s="11">
        <f t="shared" si="406"/>
        <v>0</v>
      </c>
      <c r="AA730" s="2">
        <f t="shared" si="407"/>
        <v>0</v>
      </c>
      <c r="AB730" s="11">
        <f t="shared" si="408"/>
        <v>0</v>
      </c>
      <c r="AC730" s="2">
        <f t="shared" si="409"/>
        <v>0</v>
      </c>
      <c r="AF730" s="11">
        <f t="shared" si="410"/>
        <v>0</v>
      </c>
      <c r="AG730" s="2">
        <f t="shared" si="411"/>
        <v>0</v>
      </c>
      <c r="AH730" s="2">
        <f t="shared" si="412"/>
        <v>0</v>
      </c>
      <c r="AI730" s="2">
        <f t="shared" si="413"/>
        <v>0</v>
      </c>
      <c r="AJ730" s="2">
        <f t="shared" si="414"/>
        <v>0</v>
      </c>
      <c r="AK730" s="2">
        <f t="shared" si="415"/>
        <v>0</v>
      </c>
      <c r="AL730" s="2">
        <f t="shared" si="416"/>
        <v>0</v>
      </c>
      <c r="AN730" s="2" t="e">
        <f t="shared" si="395"/>
        <v>#N/A</v>
      </c>
      <c r="AO730" s="2" t="e">
        <f t="shared" si="396"/>
        <v>#N/A</v>
      </c>
      <c r="AP730" s="2" t="e">
        <f t="shared" si="397"/>
        <v>#N/A</v>
      </c>
      <c r="AQ730" s="2" t="e">
        <f t="shared" si="398"/>
        <v>#N/A</v>
      </c>
      <c r="AR730" s="2" t="e">
        <f t="shared" si="399"/>
        <v>#N/A</v>
      </c>
      <c r="AS730" s="2" t="e">
        <f t="shared" si="400"/>
        <v>#DIV/0!</v>
      </c>
      <c r="AT730" s="9" t="e">
        <f t="shared" ca="1" si="401"/>
        <v>#N/A</v>
      </c>
      <c r="AU730" s="9" t="e">
        <f t="shared" ca="1" si="402"/>
        <v>#N/A</v>
      </c>
      <c r="AV730" s="9"/>
      <c r="AW730" s="2" t="e">
        <f t="shared" si="417"/>
        <v>#N/A</v>
      </c>
      <c r="AX730" s="2" t="e">
        <f t="shared" si="418"/>
        <v>#N/A</v>
      </c>
      <c r="AY730" s="2" t="e">
        <f t="shared" si="419"/>
        <v>#N/A</v>
      </c>
      <c r="AZ730" s="2" t="e">
        <f t="shared" si="420"/>
        <v>#N/A</v>
      </c>
      <c r="BA730" s="2" t="e">
        <f t="shared" si="421"/>
        <v>#N/A</v>
      </c>
      <c r="BB730" s="2" t="e">
        <f t="shared" si="422"/>
        <v>#DIV/0!</v>
      </c>
      <c r="BC730" s="9" t="e">
        <f t="shared" ca="1" si="423"/>
        <v>#N/A</v>
      </c>
      <c r="BD730" s="9" t="e">
        <f t="shared" ca="1" si="424"/>
        <v>#N/A</v>
      </c>
    </row>
    <row r="731" spans="1:56" ht="15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 s="64"/>
      <c r="O731" s="64"/>
      <c r="P731" s="16"/>
      <c r="Q731" s="11"/>
      <c r="R731" s="11"/>
      <c r="S731" s="11"/>
      <c r="T731" s="11"/>
      <c r="U731" s="11"/>
      <c r="V731" s="11"/>
      <c r="W731" s="11">
        <f t="shared" si="403"/>
        <v>0</v>
      </c>
      <c r="X731" s="2">
        <f t="shared" si="404"/>
        <v>0</v>
      </c>
      <c r="Y731" s="2">
        <f t="shared" si="405"/>
        <v>0</v>
      </c>
      <c r="Z731" s="11">
        <f t="shared" si="406"/>
        <v>0</v>
      </c>
      <c r="AA731" s="2">
        <f t="shared" si="407"/>
        <v>0</v>
      </c>
      <c r="AB731" s="11">
        <f t="shared" si="408"/>
        <v>0</v>
      </c>
      <c r="AC731" s="2">
        <f t="shared" si="409"/>
        <v>0</v>
      </c>
      <c r="AF731" s="11">
        <f t="shared" si="410"/>
        <v>0</v>
      </c>
      <c r="AG731" s="2">
        <f t="shared" si="411"/>
        <v>0</v>
      </c>
      <c r="AH731" s="2">
        <f t="shared" si="412"/>
        <v>0</v>
      </c>
      <c r="AI731" s="2">
        <f t="shared" si="413"/>
        <v>0</v>
      </c>
      <c r="AJ731" s="2">
        <f t="shared" si="414"/>
        <v>0</v>
      </c>
      <c r="AK731" s="2">
        <f t="shared" si="415"/>
        <v>0</v>
      </c>
      <c r="AL731" s="2">
        <f t="shared" si="416"/>
        <v>0</v>
      </c>
      <c r="AN731" s="2" t="e">
        <f t="shared" ref="AN731:AN794" si="425">IF(AND(S731&gt;0,U731&gt;0),U731/S731, #N/A)</f>
        <v>#N/A</v>
      </c>
      <c r="AO731" s="2" t="e">
        <f t="shared" ref="AO731:AO794" si="426">$B$8*((AN731/$B$10)^$B$11)</f>
        <v>#N/A</v>
      </c>
      <c r="AP731" s="2" t="e">
        <f t="shared" ref="AP731:AP794" si="427">AO731*R731</f>
        <v>#N/A</v>
      </c>
      <c r="AQ731" s="2" t="e">
        <f t="shared" ref="AQ731:AQ794" si="428">T731-AP731</f>
        <v>#N/A</v>
      </c>
      <c r="AR731" s="2" t="e">
        <f t="shared" ref="AR731:AR794" si="429">(AQ731/S731)/((AN731/$B$10)^$B$12)</f>
        <v>#N/A</v>
      </c>
      <c r="AS731" s="2" t="e">
        <f t="shared" ref="AS731:AS794" si="430">(Q731/S731)/((AN731/$B$10)^$B$13)</f>
        <v>#DIV/0!</v>
      </c>
      <c r="AT731" s="9" t="e">
        <f t="shared" ref="AT731:AT794" ca="1" si="431">IF(AND(AR731&lt;$M$3,AR731&gt;$M$4),AR731,"rejected")</f>
        <v>#N/A</v>
      </c>
      <c r="AU731" s="9" t="e">
        <f t="shared" ref="AU731:AU794" ca="1" si="432">IF(AND(AR731&lt;$M$3,AR731&gt;$M$4),AR731,#N/A)</f>
        <v>#N/A</v>
      </c>
      <c r="AV731" s="9"/>
      <c r="AW731" s="2" t="e">
        <f t="shared" si="417"/>
        <v>#N/A</v>
      </c>
      <c r="AX731" s="2" t="e">
        <f t="shared" si="418"/>
        <v>#N/A</v>
      </c>
      <c r="AY731" s="2" t="e">
        <f t="shared" si="419"/>
        <v>#N/A</v>
      </c>
      <c r="AZ731" s="2" t="e">
        <f t="shared" si="420"/>
        <v>#N/A</v>
      </c>
      <c r="BA731" s="2" t="e">
        <f t="shared" si="421"/>
        <v>#N/A</v>
      </c>
      <c r="BB731" s="2" t="e">
        <f t="shared" si="422"/>
        <v>#DIV/0!</v>
      </c>
      <c r="BC731" s="9" t="e">
        <f t="shared" ca="1" si="423"/>
        <v>#N/A</v>
      </c>
      <c r="BD731" s="9" t="e">
        <f t="shared" ca="1" si="424"/>
        <v>#N/A</v>
      </c>
    </row>
    <row r="732" spans="1:56" ht="15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 s="64"/>
      <c r="O732" s="64"/>
      <c r="P732" s="16"/>
      <c r="Q732" s="11"/>
      <c r="R732" s="11"/>
      <c r="S732" s="11"/>
      <c r="T732" s="11"/>
      <c r="U732" s="11"/>
      <c r="V732" s="11"/>
      <c r="W732" s="11">
        <f t="shared" si="403"/>
        <v>0</v>
      </c>
      <c r="X732" s="2">
        <f t="shared" si="404"/>
        <v>0</v>
      </c>
      <c r="Y732" s="2">
        <f t="shared" si="405"/>
        <v>0</v>
      </c>
      <c r="Z732" s="11">
        <f t="shared" si="406"/>
        <v>0</v>
      </c>
      <c r="AA732" s="2">
        <f t="shared" si="407"/>
        <v>0</v>
      </c>
      <c r="AB732" s="11">
        <f t="shared" si="408"/>
        <v>0</v>
      </c>
      <c r="AC732" s="2">
        <f t="shared" si="409"/>
        <v>0</v>
      </c>
      <c r="AF732" s="11">
        <f t="shared" si="410"/>
        <v>0</v>
      </c>
      <c r="AG732" s="2">
        <f t="shared" si="411"/>
        <v>0</v>
      </c>
      <c r="AH732" s="2">
        <f t="shared" si="412"/>
        <v>0</v>
      </c>
      <c r="AI732" s="2">
        <f t="shared" si="413"/>
        <v>0</v>
      </c>
      <c r="AJ732" s="2">
        <f t="shared" si="414"/>
        <v>0</v>
      </c>
      <c r="AK732" s="2">
        <f t="shared" si="415"/>
        <v>0</v>
      </c>
      <c r="AL732" s="2">
        <f t="shared" si="416"/>
        <v>0</v>
      </c>
      <c r="AN732" s="2" t="e">
        <f t="shared" si="425"/>
        <v>#N/A</v>
      </c>
      <c r="AO732" s="2" t="e">
        <f t="shared" si="426"/>
        <v>#N/A</v>
      </c>
      <c r="AP732" s="2" t="e">
        <f t="shared" si="427"/>
        <v>#N/A</v>
      </c>
      <c r="AQ732" s="2" t="e">
        <f t="shared" si="428"/>
        <v>#N/A</v>
      </c>
      <c r="AR732" s="2" t="e">
        <f t="shared" si="429"/>
        <v>#N/A</v>
      </c>
      <c r="AS732" s="2" t="e">
        <f t="shared" si="430"/>
        <v>#DIV/0!</v>
      </c>
      <c r="AT732" s="9" t="e">
        <f t="shared" ca="1" si="431"/>
        <v>#N/A</v>
      </c>
      <c r="AU732" s="9" t="e">
        <f t="shared" ca="1" si="432"/>
        <v>#N/A</v>
      </c>
      <c r="AV732" s="9"/>
      <c r="AW732" s="2" t="e">
        <f t="shared" si="417"/>
        <v>#N/A</v>
      </c>
      <c r="AX732" s="2" t="e">
        <f t="shared" si="418"/>
        <v>#N/A</v>
      </c>
      <c r="AY732" s="2" t="e">
        <f t="shared" si="419"/>
        <v>#N/A</v>
      </c>
      <c r="AZ732" s="2" t="e">
        <f t="shared" si="420"/>
        <v>#N/A</v>
      </c>
      <c r="BA732" s="2" t="e">
        <f t="shared" si="421"/>
        <v>#N/A</v>
      </c>
      <c r="BB732" s="2" t="e">
        <f t="shared" si="422"/>
        <v>#DIV/0!</v>
      </c>
      <c r="BC732" s="9" t="e">
        <f t="shared" ca="1" si="423"/>
        <v>#N/A</v>
      </c>
      <c r="BD732" s="9" t="e">
        <f t="shared" ca="1" si="424"/>
        <v>#N/A</v>
      </c>
    </row>
    <row r="733" spans="1:56" ht="15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 s="64"/>
      <c r="O733" s="64"/>
      <c r="P733" s="16"/>
      <c r="Q733" s="11"/>
      <c r="R733" s="11"/>
      <c r="S733" s="11"/>
      <c r="T733" s="11"/>
      <c r="U733" s="11"/>
      <c r="V733" s="11"/>
      <c r="W733" s="11">
        <f t="shared" si="403"/>
        <v>0</v>
      </c>
      <c r="X733" s="2">
        <f t="shared" si="404"/>
        <v>0</v>
      </c>
      <c r="Y733" s="2">
        <f t="shared" si="405"/>
        <v>0</v>
      </c>
      <c r="Z733" s="11">
        <f t="shared" si="406"/>
        <v>0</v>
      </c>
      <c r="AA733" s="2">
        <f t="shared" si="407"/>
        <v>0</v>
      </c>
      <c r="AB733" s="11">
        <f t="shared" si="408"/>
        <v>0</v>
      </c>
      <c r="AC733" s="2">
        <f t="shared" si="409"/>
        <v>0</v>
      </c>
      <c r="AF733" s="11">
        <f t="shared" si="410"/>
        <v>0</v>
      </c>
      <c r="AG733" s="2">
        <f t="shared" si="411"/>
        <v>0</v>
      </c>
      <c r="AH733" s="2">
        <f t="shared" si="412"/>
        <v>0</v>
      </c>
      <c r="AI733" s="2">
        <f t="shared" si="413"/>
        <v>0</v>
      </c>
      <c r="AJ733" s="2">
        <f t="shared" si="414"/>
        <v>0</v>
      </c>
      <c r="AK733" s="2">
        <f t="shared" si="415"/>
        <v>0</v>
      </c>
      <c r="AL733" s="2">
        <f t="shared" si="416"/>
        <v>0</v>
      </c>
      <c r="AN733" s="2" t="e">
        <f t="shared" si="425"/>
        <v>#N/A</v>
      </c>
      <c r="AO733" s="2" t="e">
        <f t="shared" si="426"/>
        <v>#N/A</v>
      </c>
      <c r="AP733" s="2" t="e">
        <f t="shared" si="427"/>
        <v>#N/A</v>
      </c>
      <c r="AQ733" s="2" t="e">
        <f t="shared" si="428"/>
        <v>#N/A</v>
      </c>
      <c r="AR733" s="2" t="e">
        <f t="shared" si="429"/>
        <v>#N/A</v>
      </c>
      <c r="AS733" s="2" t="e">
        <f t="shared" si="430"/>
        <v>#DIV/0!</v>
      </c>
      <c r="AT733" s="9" t="e">
        <f t="shared" ca="1" si="431"/>
        <v>#N/A</v>
      </c>
      <c r="AU733" s="9" t="e">
        <f t="shared" ca="1" si="432"/>
        <v>#N/A</v>
      </c>
      <c r="AV733" s="9"/>
      <c r="AW733" s="2" t="e">
        <f t="shared" si="417"/>
        <v>#N/A</v>
      </c>
      <c r="AX733" s="2" t="e">
        <f t="shared" si="418"/>
        <v>#N/A</v>
      </c>
      <c r="AY733" s="2" t="e">
        <f t="shared" si="419"/>
        <v>#N/A</v>
      </c>
      <c r="AZ733" s="2" t="e">
        <f t="shared" si="420"/>
        <v>#N/A</v>
      </c>
      <c r="BA733" s="2" t="e">
        <f t="shared" si="421"/>
        <v>#N/A</v>
      </c>
      <c r="BB733" s="2" t="e">
        <f t="shared" si="422"/>
        <v>#DIV/0!</v>
      </c>
      <c r="BC733" s="9" t="e">
        <f t="shared" ca="1" si="423"/>
        <v>#N/A</v>
      </c>
      <c r="BD733" s="9" t="e">
        <f t="shared" ca="1" si="424"/>
        <v>#N/A</v>
      </c>
    </row>
    <row r="734" spans="1:56" ht="15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 s="64"/>
      <c r="O734" s="64"/>
      <c r="P734" s="16"/>
      <c r="Q734" s="11"/>
      <c r="R734" s="11"/>
      <c r="S734" s="11"/>
      <c r="T734" s="11"/>
      <c r="U734" s="11"/>
      <c r="V734" s="11"/>
      <c r="W734" s="11">
        <f t="shared" si="403"/>
        <v>0</v>
      </c>
      <c r="X734" s="2">
        <f t="shared" si="404"/>
        <v>0</v>
      </c>
      <c r="Y734" s="2">
        <f t="shared" si="405"/>
        <v>0</v>
      </c>
      <c r="Z734" s="11">
        <f t="shared" si="406"/>
        <v>0</v>
      </c>
      <c r="AA734" s="2">
        <f t="shared" si="407"/>
        <v>0</v>
      </c>
      <c r="AB734" s="11">
        <f t="shared" si="408"/>
        <v>0</v>
      </c>
      <c r="AC734" s="2">
        <f t="shared" si="409"/>
        <v>0</v>
      </c>
      <c r="AF734" s="11">
        <f t="shared" si="410"/>
        <v>0</v>
      </c>
      <c r="AG734" s="2">
        <f t="shared" si="411"/>
        <v>0</v>
      </c>
      <c r="AH734" s="2">
        <f t="shared" si="412"/>
        <v>0</v>
      </c>
      <c r="AI734" s="2">
        <f t="shared" si="413"/>
        <v>0</v>
      </c>
      <c r="AJ734" s="2">
        <f t="shared" si="414"/>
        <v>0</v>
      </c>
      <c r="AK734" s="2">
        <f t="shared" si="415"/>
        <v>0</v>
      </c>
      <c r="AL734" s="2">
        <f t="shared" si="416"/>
        <v>0</v>
      </c>
      <c r="AN734" s="2" t="e">
        <f t="shared" si="425"/>
        <v>#N/A</v>
      </c>
      <c r="AO734" s="2" t="e">
        <f t="shared" si="426"/>
        <v>#N/A</v>
      </c>
      <c r="AP734" s="2" t="e">
        <f t="shared" si="427"/>
        <v>#N/A</v>
      </c>
      <c r="AQ734" s="2" t="e">
        <f t="shared" si="428"/>
        <v>#N/A</v>
      </c>
      <c r="AR734" s="2" t="e">
        <f t="shared" si="429"/>
        <v>#N/A</v>
      </c>
      <c r="AS734" s="2" t="e">
        <f t="shared" si="430"/>
        <v>#DIV/0!</v>
      </c>
      <c r="AT734" s="9" t="e">
        <f t="shared" ca="1" si="431"/>
        <v>#N/A</v>
      </c>
      <c r="AU734" s="9" t="e">
        <f t="shared" ca="1" si="432"/>
        <v>#N/A</v>
      </c>
      <c r="AV734" s="9"/>
      <c r="AW734" s="2" t="e">
        <f t="shared" si="417"/>
        <v>#N/A</v>
      </c>
      <c r="AX734" s="2" t="e">
        <f t="shared" si="418"/>
        <v>#N/A</v>
      </c>
      <c r="AY734" s="2" t="e">
        <f t="shared" si="419"/>
        <v>#N/A</v>
      </c>
      <c r="AZ734" s="2" t="e">
        <f t="shared" si="420"/>
        <v>#N/A</v>
      </c>
      <c r="BA734" s="2" t="e">
        <f t="shared" si="421"/>
        <v>#N/A</v>
      </c>
      <c r="BB734" s="2" t="e">
        <f t="shared" si="422"/>
        <v>#DIV/0!</v>
      </c>
      <c r="BC734" s="9" t="e">
        <f t="shared" ca="1" si="423"/>
        <v>#N/A</v>
      </c>
      <c r="BD734" s="9" t="e">
        <f t="shared" ca="1" si="424"/>
        <v>#N/A</v>
      </c>
    </row>
    <row r="735" spans="1:56" ht="15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 s="64"/>
      <c r="O735" s="64"/>
      <c r="P735" s="16"/>
      <c r="Q735" s="11"/>
      <c r="R735" s="11"/>
      <c r="S735" s="11"/>
      <c r="T735" s="11"/>
      <c r="U735" s="11"/>
      <c r="V735" s="11"/>
      <c r="W735" s="11">
        <f t="shared" si="403"/>
        <v>0</v>
      </c>
      <c r="X735" s="2">
        <f t="shared" si="404"/>
        <v>0</v>
      </c>
      <c r="Y735" s="2">
        <f t="shared" si="405"/>
        <v>0</v>
      </c>
      <c r="Z735" s="11">
        <f t="shared" si="406"/>
        <v>0</v>
      </c>
      <c r="AA735" s="2">
        <f t="shared" si="407"/>
        <v>0</v>
      </c>
      <c r="AB735" s="11">
        <f t="shared" si="408"/>
        <v>0</v>
      </c>
      <c r="AC735" s="2">
        <f t="shared" si="409"/>
        <v>0</v>
      </c>
      <c r="AF735" s="11">
        <f t="shared" si="410"/>
        <v>0</v>
      </c>
      <c r="AG735" s="2">
        <f t="shared" si="411"/>
        <v>0</v>
      </c>
      <c r="AH735" s="2">
        <f t="shared" si="412"/>
        <v>0</v>
      </c>
      <c r="AI735" s="2">
        <f t="shared" si="413"/>
        <v>0</v>
      </c>
      <c r="AJ735" s="2">
        <f t="shared" si="414"/>
        <v>0</v>
      </c>
      <c r="AK735" s="2">
        <f t="shared" si="415"/>
        <v>0</v>
      </c>
      <c r="AL735" s="2">
        <f t="shared" si="416"/>
        <v>0</v>
      </c>
      <c r="AN735" s="2" t="e">
        <f t="shared" si="425"/>
        <v>#N/A</v>
      </c>
      <c r="AO735" s="2" t="e">
        <f t="shared" si="426"/>
        <v>#N/A</v>
      </c>
      <c r="AP735" s="2" t="e">
        <f t="shared" si="427"/>
        <v>#N/A</v>
      </c>
      <c r="AQ735" s="2" t="e">
        <f t="shared" si="428"/>
        <v>#N/A</v>
      </c>
      <c r="AR735" s="2" t="e">
        <f t="shared" si="429"/>
        <v>#N/A</v>
      </c>
      <c r="AS735" s="2" t="e">
        <f t="shared" si="430"/>
        <v>#DIV/0!</v>
      </c>
      <c r="AT735" s="9" t="e">
        <f t="shared" ca="1" si="431"/>
        <v>#N/A</v>
      </c>
      <c r="AU735" s="9" t="e">
        <f t="shared" ca="1" si="432"/>
        <v>#N/A</v>
      </c>
      <c r="AV735" s="9"/>
      <c r="AW735" s="2" t="e">
        <f t="shared" si="417"/>
        <v>#N/A</v>
      </c>
      <c r="AX735" s="2" t="e">
        <f t="shared" si="418"/>
        <v>#N/A</v>
      </c>
      <c r="AY735" s="2" t="e">
        <f t="shared" si="419"/>
        <v>#N/A</v>
      </c>
      <c r="AZ735" s="2" t="e">
        <f t="shared" si="420"/>
        <v>#N/A</v>
      </c>
      <c r="BA735" s="2" t="e">
        <f t="shared" si="421"/>
        <v>#N/A</v>
      </c>
      <c r="BB735" s="2" t="e">
        <f t="shared" si="422"/>
        <v>#DIV/0!</v>
      </c>
      <c r="BC735" s="9" t="e">
        <f t="shared" ca="1" si="423"/>
        <v>#N/A</v>
      </c>
      <c r="BD735" s="9" t="e">
        <f t="shared" ca="1" si="424"/>
        <v>#N/A</v>
      </c>
    </row>
    <row r="736" spans="1:56" ht="15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 s="64"/>
      <c r="O736" s="64"/>
      <c r="P736" s="16"/>
      <c r="Q736" s="11"/>
      <c r="R736" s="11"/>
      <c r="S736" s="11"/>
      <c r="T736" s="11"/>
      <c r="U736" s="11"/>
      <c r="V736" s="11"/>
      <c r="W736" s="11">
        <f t="shared" si="403"/>
        <v>0</v>
      </c>
      <c r="X736" s="2">
        <f t="shared" si="404"/>
        <v>0</v>
      </c>
      <c r="Y736" s="2">
        <f t="shared" si="405"/>
        <v>0</v>
      </c>
      <c r="Z736" s="11">
        <f t="shared" si="406"/>
        <v>0</v>
      </c>
      <c r="AA736" s="2">
        <f t="shared" si="407"/>
        <v>0</v>
      </c>
      <c r="AB736" s="11">
        <f t="shared" si="408"/>
        <v>0</v>
      </c>
      <c r="AC736" s="2">
        <f t="shared" si="409"/>
        <v>0</v>
      </c>
      <c r="AF736" s="11">
        <f t="shared" si="410"/>
        <v>0</v>
      </c>
      <c r="AG736" s="2">
        <f t="shared" si="411"/>
        <v>0</v>
      </c>
      <c r="AH736" s="2">
        <f t="shared" si="412"/>
        <v>0</v>
      </c>
      <c r="AI736" s="2">
        <f t="shared" si="413"/>
        <v>0</v>
      </c>
      <c r="AJ736" s="2">
        <f t="shared" si="414"/>
        <v>0</v>
      </c>
      <c r="AK736" s="2">
        <f t="shared" si="415"/>
        <v>0</v>
      </c>
      <c r="AL736" s="2">
        <f t="shared" si="416"/>
        <v>0</v>
      </c>
      <c r="AN736" s="2" t="e">
        <f t="shared" si="425"/>
        <v>#N/A</v>
      </c>
      <c r="AO736" s="2" t="e">
        <f t="shared" si="426"/>
        <v>#N/A</v>
      </c>
      <c r="AP736" s="2" t="e">
        <f t="shared" si="427"/>
        <v>#N/A</v>
      </c>
      <c r="AQ736" s="2" t="e">
        <f t="shared" si="428"/>
        <v>#N/A</v>
      </c>
      <c r="AR736" s="2" t="e">
        <f t="shared" si="429"/>
        <v>#N/A</v>
      </c>
      <c r="AS736" s="2" t="e">
        <f t="shared" si="430"/>
        <v>#DIV/0!</v>
      </c>
      <c r="AT736" s="9" t="e">
        <f t="shared" ca="1" si="431"/>
        <v>#N/A</v>
      </c>
      <c r="AU736" s="9" t="e">
        <f t="shared" ca="1" si="432"/>
        <v>#N/A</v>
      </c>
      <c r="AV736" s="9"/>
      <c r="AW736" s="2" t="e">
        <f t="shared" si="417"/>
        <v>#N/A</v>
      </c>
      <c r="AX736" s="2" t="e">
        <f t="shared" si="418"/>
        <v>#N/A</v>
      </c>
      <c r="AY736" s="2" t="e">
        <f t="shared" si="419"/>
        <v>#N/A</v>
      </c>
      <c r="AZ736" s="2" t="e">
        <f t="shared" si="420"/>
        <v>#N/A</v>
      </c>
      <c r="BA736" s="2" t="e">
        <f t="shared" si="421"/>
        <v>#N/A</v>
      </c>
      <c r="BB736" s="2" t="e">
        <f t="shared" si="422"/>
        <v>#DIV/0!</v>
      </c>
      <c r="BC736" s="9" t="e">
        <f t="shared" ca="1" si="423"/>
        <v>#N/A</v>
      </c>
      <c r="BD736" s="9" t="e">
        <f t="shared" ca="1" si="424"/>
        <v>#N/A</v>
      </c>
    </row>
    <row r="737" spans="1:56" ht="15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 s="64"/>
      <c r="O737" s="64"/>
      <c r="P737" s="16"/>
      <c r="Q737" s="11"/>
      <c r="R737" s="11"/>
      <c r="S737" s="11"/>
      <c r="T737" s="11"/>
      <c r="U737" s="11"/>
      <c r="V737" s="11"/>
      <c r="W737" s="11">
        <f t="shared" si="403"/>
        <v>0</v>
      </c>
      <c r="X737" s="2">
        <f t="shared" si="404"/>
        <v>0</v>
      </c>
      <c r="Y737" s="2">
        <f t="shared" si="405"/>
        <v>0</v>
      </c>
      <c r="Z737" s="11">
        <f t="shared" si="406"/>
        <v>0</v>
      </c>
      <c r="AA737" s="2">
        <f t="shared" si="407"/>
        <v>0</v>
      </c>
      <c r="AB737" s="11">
        <f t="shared" si="408"/>
        <v>0</v>
      </c>
      <c r="AC737" s="2">
        <f t="shared" si="409"/>
        <v>0</v>
      </c>
      <c r="AF737" s="11">
        <f t="shared" si="410"/>
        <v>0</v>
      </c>
      <c r="AG737" s="2">
        <f t="shared" si="411"/>
        <v>0</v>
      </c>
      <c r="AH737" s="2">
        <f t="shared" si="412"/>
        <v>0</v>
      </c>
      <c r="AI737" s="2">
        <f t="shared" si="413"/>
        <v>0</v>
      </c>
      <c r="AJ737" s="2">
        <f t="shared" si="414"/>
        <v>0</v>
      </c>
      <c r="AK737" s="2">
        <f t="shared" si="415"/>
        <v>0</v>
      </c>
      <c r="AL737" s="2">
        <f t="shared" si="416"/>
        <v>0</v>
      </c>
      <c r="AN737" s="2" t="e">
        <f t="shared" si="425"/>
        <v>#N/A</v>
      </c>
      <c r="AO737" s="2" t="e">
        <f t="shared" si="426"/>
        <v>#N/A</v>
      </c>
      <c r="AP737" s="2" t="e">
        <f t="shared" si="427"/>
        <v>#N/A</v>
      </c>
      <c r="AQ737" s="2" t="e">
        <f t="shared" si="428"/>
        <v>#N/A</v>
      </c>
      <c r="AR737" s="2" t="e">
        <f t="shared" si="429"/>
        <v>#N/A</v>
      </c>
      <c r="AS737" s="2" t="e">
        <f t="shared" si="430"/>
        <v>#DIV/0!</v>
      </c>
      <c r="AT737" s="9" t="e">
        <f t="shared" ca="1" si="431"/>
        <v>#N/A</v>
      </c>
      <c r="AU737" s="9" t="e">
        <f t="shared" ca="1" si="432"/>
        <v>#N/A</v>
      </c>
      <c r="AV737" s="9"/>
      <c r="AW737" s="2" t="e">
        <f t="shared" si="417"/>
        <v>#N/A</v>
      </c>
      <c r="AX737" s="2" t="e">
        <f t="shared" si="418"/>
        <v>#N/A</v>
      </c>
      <c r="AY737" s="2" t="e">
        <f t="shared" si="419"/>
        <v>#N/A</v>
      </c>
      <c r="AZ737" s="2" t="e">
        <f t="shared" si="420"/>
        <v>#N/A</v>
      </c>
      <c r="BA737" s="2" t="e">
        <f t="shared" si="421"/>
        <v>#N/A</v>
      </c>
      <c r="BB737" s="2" t="e">
        <f t="shared" si="422"/>
        <v>#DIV/0!</v>
      </c>
      <c r="BC737" s="9" t="e">
        <f t="shared" ca="1" si="423"/>
        <v>#N/A</v>
      </c>
      <c r="BD737" s="9" t="e">
        <f t="shared" ca="1" si="424"/>
        <v>#N/A</v>
      </c>
    </row>
    <row r="738" spans="1:56" ht="15" x14ac:dyDescent="0.25">
      <c r="A738"/>
      <c r="B738"/>
      <c r="C738"/>
      <c r="D738"/>
      <c r="E738"/>
      <c r="F738"/>
      <c r="G738"/>
      <c r="H738"/>
      <c r="I738"/>
      <c r="J738"/>
      <c r="K738"/>
      <c r="L738" s="64"/>
      <c r="M738" s="64"/>
      <c r="N738" s="16"/>
      <c r="O738" s="11"/>
      <c r="P738" s="11"/>
      <c r="Q738" s="11"/>
      <c r="R738" s="11"/>
      <c r="S738" s="11"/>
      <c r="T738" s="11"/>
      <c r="U738" s="11">
        <f t="shared" ref="U738:U801" si="433">M738</f>
        <v>0</v>
      </c>
      <c r="V738" s="2">
        <f t="shared" ref="V738:V801" si="434">IF(M738&gt;0,N738-(M738*$X$63/$W$63), N738)</f>
        <v>0</v>
      </c>
      <c r="W738" s="11">
        <f t="shared" si="403"/>
        <v>0</v>
      </c>
      <c r="X738" s="2">
        <f t="shared" si="404"/>
        <v>0</v>
      </c>
      <c r="Y738" s="2">
        <f t="shared" si="405"/>
        <v>0</v>
      </c>
      <c r="Z738" s="11">
        <f t="shared" si="406"/>
        <v>0</v>
      </c>
      <c r="AA738" s="2">
        <f t="shared" si="407"/>
        <v>0</v>
      </c>
      <c r="AB738" s="11">
        <f t="shared" si="408"/>
        <v>0</v>
      </c>
      <c r="AC738" s="2">
        <f t="shared" si="409"/>
        <v>0</v>
      </c>
      <c r="AF738" s="11">
        <f t="shared" si="410"/>
        <v>0</v>
      </c>
      <c r="AG738" s="2">
        <f t="shared" si="411"/>
        <v>0</v>
      </c>
      <c r="AH738" s="2">
        <f t="shared" si="412"/>
        <v>0</v>
      </c>
      <c r="AI738" s="2">
        <f t="shared" si="413"/>
        <v>0</v>
      </c>
      <c r="AJ738" s="2">
        <f t="shared" si="414"/>
        <v>0</v>
      </c>
      <c r="AK738" s="2">
        <f t="shared" si="415"/>
        <v>0</v>
      </c>
      <c r="AL738" s="2">
        <f t="shared" si="416"/>
        <v>0</v>
      </c>
      <c r="AM738" s="11"/>
      <c r="AN738" s="2" t="e">
        <f t="shared" si="425"/>
        <v>#N/A</v>
      </c>
      <c r="AO738" s="2" t="e">
        <f t="shared" si="426"/>
        <v>#N/A</v>
      </c>
      <c r="AP738" s="2" t="e">
        <f t="shared" si="427"/>
        <v>#N/A</v>
      </c>
      <c r="AQ738" s="2" t="e">
        <f t="shared" si="428"/>
        <v>#N/A</v>
      </c>
      <c r="AR738" s="2" t="e">
        <f t="shared" si="429"/>
        <v>#N/A</v>
      </c>
      <c r="AS738" s="2" t="e">
        <f t="shared" si="430"/>
        <v>#DIV/0!</v>
      </c>
      <c r="AT738" s="9" t="e">
        <f t="shared" ca="1" si="431"/>
        <v>#N/A</v>
      </c>
      <c r="AU738" s="9" t="e">
        <f t="shared" ca="1" si="432"/>
        <v>#N/A</v>
      </c>
      <c r="AW738" s="2" t="e">
        <f t="shared" si="417"/>
        <v>#N/A</v>
      </c>
      <c r="AX738" s="2" t="e">
        <f t="shared" si="418"/>
        <v>#N/A</v>
      </c>
      <c r="AY738" s="2" t="e">
        <f t="shared" si="419"/>
        <v>#N/A</v>
      </c>
      <c r="AZ738" s="2" t="e">
        <f t="shared" si="420"/>
        <v>#N/A</v>
      </c>
      <c r="BA738" s="2" t="e">
        <f t="shared" si="421"/>
        <v>#N/A</v>
      </c>
      <c r="BB738" s="2" t="e">
        <f t="shared" si="422"/>
        <v>#DIV/0!</v>
      </c>
      <c r="BC738" s="9" t="e">
        <f t="shared" ca="1" si="423"/>
        <v>#N/A</v>
      </c>
      <c r="BD738" s="9" t="e">
        <f t="shared" ca="1" si="424"/>
        <v>#N/A</v>
      </c>
    </row>
    <row r="739" spans="1:56" ht="15" x14ac:dyDescent="0.25">
      <c r="A739"/>
      <c r="B739"/>
      <c r="C739"/>
      <c r="D739"/>
      <c r="E739"/>
      <c r="F739"/>
      <c r="G739"/>
      <c r="H739"/>
      <c r="I739"/>
      <c r="J739"/>
      <c r="K739"/>
      <c r="L739" s="64"/>
      <c r="M739" s="64"/>
      <c r="N739" s="16"/>
      <c r="O739" s="11"/>
      <c r="P739" s="11"/>
      <c r="Q739" s="11"/>
      <c r="R739" s="11"/>
      <c r="S739" s="11"/>
      <c r="T739" s="11"/>
      <c r="U739" s="11">
        <f t="shared" si="433"/>
        <v>0</v>
      </c>
      <c r="V739" s="2">
        <f t="shared" si="434"/>
        <v>0</v>
      </c>
      <c r="W739" s="11">
        <f t="shared" si="403"/>
        <v>0</v>
      </c>
      <c r="X739" s="2">
        <f t="shared" si="404"/>
        <v>0</v>
      </c>
      <c r="Y739" s="2">
        <f t="shared" si="405"/>
        <v>0</v>
      </c>
      <c r="Z739" s="11">
        <f t="shared" si="406"/>
        <v>0</v>
      </c>
      <c r="AA739" s="2">
        <f t="shared" si="407"/>
        <v>0</v>
      </c>
      <c r="AB739" s="11">
        <f t="shared" si="408"/>
        <v>0</v>
      </c>
      <c r="AC739" s="2">
        <f t="shared" si="409"/>
        <v>0</v>
      </c>
      <c r="AF739" s="11">
        <f t="shared" si="410"/>
        <v>0</v>
      </c>
      <c r="AG739" s="2">
        <f t="shared" si="411"/>
        <v>0</v>
      </c>
      <c r="AH739" s="2">
        <f t="shared" si="412"/>
        <v>0</v>
      </c>
      <c r="AI739" s="2">
        <f t="shared" si="413"/>
        <v>0</v>
      </c>
      <c r="AJ739" s="2">
        <f t="shared" si="414"/>
        <v>0</v>
      </c>
      <c r="AK739" s="2">
        <f t="shared" si="415"/>
        <v>0</v>
      </c>
      <c r="AL739" s="2">
        <f t="shared" si="416"/>
        <v>0</v>
      </c>
      <c r="AM739" s="11"/>
      <c r="AN739" s="2" t="e">
        <f t="shared" si="425"/>
        <v>#N/A</v>
      </c>
      <c r="AO739" s="2" t="e">
        <f t="shared" si="426"/>
        <v>#N/A</v>
      </c>
      <c r="AP739" s="2" t="e">
        <f t="shared" si="427"/>
        <v>#N/A</v>
      </c>
      <c r="AQ739" s="2" t="e">
        <f t="shared" si="428"/>
        <v>#N/A</v>
      </c>
      <c r="AR739" s="2" t="e">
        <f t="shared" si="429"/>
        <v>#N/A</v>
      </c>
      <c r="AS739" s="2" t="e">
        <f t="shared" si="430"/>
        <v>#DIV/0!</v>
      </c>
      <c r="AT739" s="9" t="e">
        <f t="shared" ca="1" si="431"/>
        <v>#N/A</v>
      </c>
      <c r="AU739" s="9" t="e">
        <f t="shared" ca="1" si="432"/>
        <v>#N/A</v>
      </c>
      <c r="AW739" s="2" t="e">
        <f t="shared" si="417"/>
        <v>#N/A</v>
      </c>
      <c r="AX739" s="2" t="e">
        <f t="shared" si="418"/>
        <v>#N/A</v>
      </c>
      <c r="AY739" s="2" t="e">
        <f t="shared" si="419"/>
        <v>#N/A</v>
      </c>
      <c r="AZ739" s="2" t="e">
        <f t="shared" si="420"/>
        <v>#N/A</v>
      </c>
      <c r="BA739" s="2" t="e">
        <f t="shared" si="421"/>
        <v>#N/A</v>
      </c>
      <c r="BB739" s="2" t="e">
        <f t="shared" si="422"/>
        <v>#DIV/0!</v>
      </c>
      <c r="BC739" s="9" t="e">
        <f t="shared" ca="1" si="423"/>
        <v>#N/A</v>
      </c>
      <c r="BD739" s="9" t="e">
        <f t="shared" ca="1" si="424"/>
        <v>#N/A</v>
      </c>
    </row>
    <row r="740" spans="1:56" ht="15" x14ac:dyDescent="0.25">
      <c r="A740"/>
      <c r="B740"/>
      <c r="C740"/>
      <c r="D740"/>
      <c r="E740"/>
      <c r="F740"/>
      <c r="G740"/>
      <c r="H740"/>
      <c r="I740"/>
      <c r="J740"/>
      <c r="K740"/>
      <c r="L740" s="64"/>
      <c r="M740" s="64"/>
      <c r="N740" s="16"/>
      <c r="O740" s="11"/>
      <c r="P740" s="11"/>
      <c r="Q740" s="11"/>
      <c r="R740" s="11"/>
      <c r="S740" s="11"/>
      <c r="T740" s="11"/>
      <c r="U740" s="11">
        <f t="shared" si="433"/>
        <v>0</v>
      </c>
      <c r="V740" s="2">
        <f t="shared" si="434"/>
        <v>0</v>
      </c>
      <c r="W740" s="11">
        <f t="shared" si="403"/>
        <v>0</v>
      </c>
      <c r="X740" s="2">
        <f t="shared" si="404"/>
        <v>0</v>
      </c>
      <c r="Y740" s="2">
        <f t="shared" si="405"/>
        <v>0</v>
      </c>
      <c r="Z740" s="11">
        <f t="shared" si="406"/>
        <v>0</v>
      </c>
      <c r="AA740" s="2">
        <f t="shared" si="407"/>
        <v>0</v>
      </c>
      <c r="AB740" s="11">
        <f t="shared" si="408"/>
        <v>0</v>
      </c>
      <c r="AC740" s="2">
        <f t="shared" si="409"/>
        <v>0</v>
      </c>
      <c r="AF740" s="11">
        <f t="shared" si="410"/>
        <v>0</v>
      </c>
      <c r="AG740" s="2">
        <f t="shared" si="411"/>
        <v>0</v>
      </c>
      <c r="AH740" s="2">
        <f t="shared" si="412"/>
        <v>0</v>
      </c>
      <c r="AI740" s="2">
        <f t="shared" si="413"/>
        <v>0</v>
      </c>
      <c r="AJ740" s="2">
        <f t="shared" si="414"/>
        <v>0</v>
      </c>
      <c r="AK740" s="2">
        <f t="shared" si="415"/>
        <v>0</v>
      </c>
      <c r="AL740" s="2">
        <f t="shared" si="416"/>
        <v>0</v>
      </c>
      <c r="AM740" s="11"/>
      <c r="AN740" s="2" t="e">
        <f t="shared" si="425"/>
        <v>#N/A</v>
      </c>
      <c r="AO740" s="2" t="e">
        <f t="shared" si="426"/>
        <v>#N/A</v>
      </c>
      <c r="AP740" s="2" t="e">
        <f t="shared" si="427"/>
        <v>#N/A</v>
      </c>
      <c r="AQ740" s="2" t="e">
        <f t="shared" si="428"/>
        <v>#N/A</v>
      </c>
      <c r="AR740" s="2" t="e">
        <f t="shared" si="429"/>
        <v>#N/A</v>
      </c>
      <c r="AS740" s="2" t="e">
        <f t="shared" si="430"/>
        <v>#DIV/0!</v>
      </c>
      <c r="AT740" s="9" t="e">
        <f t="shared" ca="1" si="431"/>
        <v>#N/A</v>
      </c>
      <c r="AU740" s="9" t="e">
        <f t="shared" ca="1" si="432"/>
        <v>#N/A</v>
      </c>
      <c r="AW740" s="2" t="e">
        <f t="shared" si="417"/>
        <v>#N/A</v>
      </c>
      <c r="AX740" s="2" t="e">
        <f t="shared" si="418"/>
        <v>#N/A</v>
      </c>
      <c r="AY740" s="2" t="e">
        <f t="shared" si="419"/>
        <v>#N/A</v>
      </c>
      <c r="AZ740" s="2" t="e">
        <f t="shared" si="420"/>
        <v>#N/A</v>
      </c>
      <c r="BA740" s="2" t="e">
        <f t="shared" si="421"/>
        <v>#N/A</v>
      </c>
      <c r="BB740" s="2" t="e">
        <f t="shared" si="422"/>
        <v>#DIV/0!</v>
      </c>
      <c r="BC740" s="9" t="e">
        <f t="shared" ca="1" si="423"/>
        <v>#N/A</v>
      </c>
      <c r="BD740" s="9" t="e">
        <f t="shared" ca="1" si="424"/>
        <v>#N/A</v>
      </c>
    </row>
    <row r="741" spans="1:56" ht="15" x14ac:dyDescent="0.25">
      <c r="A741"/>
      <c r="B741"/>
      <c r="C741"/>
      <c r="D741"/>
      <c r="E741"/>
      <c r="F741"/>
      <c r="G741"/>
      <c r="H741"/>
      <c r="I741"/>
      <c r="J741"/>
      <c r="K741"/>
      <c r="L741" s="64"/>
      <c r="M741" s="64"/>
      <c r="N741" s="16"/>
      <c r="O741" s="11"/>
      <c r="P741" s="11"/>
      <c r="Q741" s="11"/>
      <c r="R741" s="11"/>
      <c r="S741" s="11"/>
      <c r="T741" s="11"/>
      <c r="U741" s="11">
        <f t="shared" si="433"/>
        <v>0</v>
      </c>
      <c r="V741" s="2">
        <f t="shared" si="434"/>
        <v>0</v>
      </c>
      <c r="W741" s="11">
        <f t="shared" si="403"/>
        <v>0</v>
      </c>
      <c r="X741" s="2">
        <f t="shared" si="404"/>
        <v>0</v>
      </c>
      <c r="Y741" s="2">
        <f t="shared" si="405"/>
        <v>0</v>
      </c>
      <c r="Z741" s="11">
        <f t="shared" si="406"/>
        <v>0</v>
      </c>
      <c r="AA741" s="2">
        <f t="shared" si="407"/>
        <v>0</v>
      </c>
      <c r="AB741" s="11">
        <f t="shared" si="408"/>
        <v>0</v>
      </c>
      <c r="AC741" s="2">
        <f t="shared" si="409"/>
        <v>0</v>
      </c>
      <c r="AF741" s="11">
        <f t="shared" si="410"/>
        <v>0</v>
      </c>
      <c r="AG741" s="2">
        <f t="shared" si="411"/>
        <v>0</v>
      </c>
      <c r="AH741" s="2">
        <f t="shared" si="412"/>
        <v>0</v>
      </c>
      <c r="AI741" s="2">
        <f t="shared" si="413"/>
        <v>0</v>
      </c>
      <c r="AJ741" s="2">
        <f t="shared" si="414"/>
        <v>0</v>
      </c>
      <c r="AK741" s="2">
        <f t="shared" si="415"/>
        <v>0</v>
      </c>
      <c r="AL741" s="2">
        <f t="shared" si="416"/>
        <v>0</v>
      </c>
      <c r="AM741" s="11"/>
      <c r="AN741" s="2" t="e">
        <f t="shared" si="425"/>
        <v>#N/A</v>
      </c>
      <c r="AO741" s="2" t="e">
        <f t="shared" si="426"/>
        <v>#N/A</v>
      </c>
      <c r="AP741" s="2" t="e">
        <f t="shared" si="427"/>
        <v>#N/A</v>
      </c>
      <c r="AQ741" s="2" t="e">
        <f t="shared" si="428"/>
        <v>#N/A</v>
      </c>
      <c r="AR741" s="2" t="e">
        <f t="shared" si="429"/>
        <v>#N/A</v>
      </c>
      <c r="AS741" s="2" t="e">
        <f t="shared" si="430"/>
        <v>#DIV/0!</v>
      </c>
      <c r="AT741" s="9" t="e">
        <f t="shared" ca="1" si="431"/>
        <v>#N/A</v>
      </c>
      <c r="AU741" s="9" t="e">
        <f t="shared" ca="1" si="432"/>
        <v>#N/A</v>
      </c>
      <c r="AW741" s="2" t="e">
        <f t="shared" si="417"/>
        <v>#N/A</v>
      </c>
      <c r="AX741" s="2" t="e">
        <f t="shared" si="418"/>
        <v>#N/A</v>
      </c>
      <c r="AY741" s="2" t="e">
        <f t="shared" si="419"/>
        <v>#N/A</v>
      </c>
      <c r="AZ741" s="2" t="e">
        <f t="shared" si="420"/>
        <v>#N/A</v>
      </c>
      <c r="BA741" s="2" t="e">
        <f t="shared" si="421"/>
        <v>#N/A</v>
      </c>
      <c r="BB741" s="2" t="e">
        <f t="shared" si="422"/>
        <v>#DIV/0!</v>
      </c>
      <c r="BC741" s="9" t="e">
        <f t="shared" ca="1" si="423"/>
        <v>#N/A</v>
      </c>
      <c r="BD741" s="9" t="e">
        <f t="shared" ca="1" si="424"/>
        <v>#N/A</v>
      </c>
    </row>
    <row r="742" spans="1:56" ht="15" x14ac:dyDescent="0.25">
      <c r="A742"/>
      <c r="B742"/>
      <c r="C742"/>
      <c r="D742"/>
      <c r="E742"/>
      <c r="F742"/>
      <c r="G742"/>
      <c r="H742"/>
      <c r="I742"/>
      <c r="J742"/>
      <c r="K742"/>
      <c r="L742" s="64"/>
      <c r="M742" s="64"/>
      <c r="N742" s="16"/>
      <c r="O742" s="11"/>
      <c r="P742" s="11"/>
      <c r="Q742" s="11"/>
      <c r="R742" s="11"/>
      <c r="S742" s="11"/>
      <c r="T742" s="11"/>
      <c r="U742" s="11">
        <f t="shared" si="433"/>
        <v>0</v>
      </c>
      <c r="V742" s="2">
        <f t="shared" si="434"/>
        <v>0</v>
      </c>
      <c r="W742" s="11">
        <f t="shared" si="403"/>
        <v>0</v>
      </c>
      <c r="X742" s="2">
        <f t="shared" si="404"/>
        <v>0</v>
      </c>
      <c r="Y742" s="2">
        <f t="shared" si="405"/>
        <v>0</v>
      </c>
      <c r="Z742" s="11">
        <f t="shared" si="406"/>
        <v>0</v>
      </c>
      <c r="AA742" s="2">
        <f t="shared" si="407"/>
        <v>0</v>
      </c>
      <c r="AB742" s="11">
        <f t="shared" si="408"/>
        <v>0</v>
      </c>
      <c r="AC742" s="2">
        <f t="shared" si="409"/>
        <v>0</v>
      </c>
      <c r="AF742" s="11">
        <f t="shared" si="410"/>
        <v>0</v>
      </c>
      <c r="AG742" s="2">
        <f t="shared" si="411"/>
        <v>0</v>
      </c>
      <c r="AH742" s="2">
        <f t="shared" si="412"/>
        <v>0</v>
      </c>
      <c r="AI742" s="2">
        <f t="shared" si="413"/>
        <v>0</v>
      </c>
      <c r="AJ742" s="2">
        <f t="shared" si="414"/>
        <v>0</v>
      </c>
      <c r="AK742" s="2">
        <f t="shared" si="415"/>
        <v>0</v>
      </c>
      <c r="AL742" s="2">
        <f t="shared" si="416"/>
        <v>0</v>
      </c>
      <c r="AM742" s="11"/>
      <c r="AN742" s="2" t="e">
        <f t="shared" si="425"/>
        <v>#N/A</v>
      </c>
      <c r="AO742" s="2" t="e">
        <f t="shared" si="426"/>
        <v>#N/A</v>
      </c>
      <c r="AP742" s="2" t="e">
        <f t="shared" si="427"/>
        <v>#N/A</v>
      </c>
      <c r="AQ742" s="2" t="e">
        <f t="shared" si="428"/>
        <v>#N/A</v>
      </c>
      <c r="AR742" s="2" t="e">
        <f t="shared" si="429"/>
        <v>#N/A</v>
      </c>
      <c r="AS742" s="2" t="e">
        <f t="shared" si="430"/>
        <v>#DIV/0!</v>
      </c>
      <c r="AT742" s="9" t="e">
        <f t="shared" ca="1" si="431"/>
        <v>#N/A</v>
      </c>
      <c r="AU742" s="9" t="e">
        <f t="shared" ca="1" si="432"/>
        <v>#N/A</v>
      </c>
      <c r="AW742" s="2" t="e">
        <f t="shared" si="417"/>
        <v>#N/A</v>
      </c>
      <c r="AX742" s="2" t="e">
        <f t="shared" si="418"/>
        <v>#N/A</v>
      </c>
      <c r="AY742" s="2" t="e">
        <f t="shared" si="419"/>
        <v>#N/A</v>
      </c>
      <c r="AZ742" s="2" t="e">
        <f t="shared" si="420"/>
        <v>#N/A</v>
      </c>
      <c r="BA742" s="2" t="e">
        <f t="shared" si="421"/>
        <v>#N/A</v>
      </c>
      <c r="BB742" s="2" t="e">
        <f t="shared" si="422"/>
        <v>#DIV/0!</v>
      </c>
      <c r="BC742" s="9" t="e">
        <f t="shared" ca="1" si="423"/>
        <v>#N/A</v>
      </c>
      <c r="BD742" s="9" t="e">
        <f t="shared" ca="1" si="424"/>
        <v>#N/A</v>
      </c>
    </row>
    <row r="743" spans="1:56" ht="15" x14ac:dyDescent="0.25">
      <c r="A743"/>
      <c r="B743"/>
      <c r="C743"/>
      <c r="D743"/>
      <c r="E743"/>
      <c r="F743"/>
      <c r="G743"/>
      <c r="H743"/>
      <c r="I743"/>
      <c r="J743"/>
      <c r="K743"/>
      <c r="L743" s="64"/>
      <c r="M743" s="64"/>
      <c r="N743" s="16"/>
      <c r="O743" s="11"/>
      <c r="P743" s="11"/>
      <c r="Q743" s="11"/>
      <c r="R743" s="11"/>
      <c r="S743" s="11"/>
      <c r="T743" s="11"/>
      <c r="U743" s="11">
        <f t="shared" si="433"/>
        <v>0</v>
      </c>
      <c r="V743" s="2">
        <f t="shared" si="434"/>
        <v>0</v>
      </c>
      <c r="W743" s="11">
        <f t="shared" si="403"/>
        <v>0</v>
      </c>
      <c r="X743" s="2">
        <f t="shared" si="404"/>
        <v>0</v>
      </c>
      <c r="Y743" s="2">
        <f t="shared" si="405"/>
        <v>0</v>
      </c>
      <c r="Z743" s="11">
        <f t="shared" si="406"/>
        <v>0</v>
      </c>
      <c r="AA743" s="2">
        <f t="shared" si="407"/>
        <v>0</v>
      </c>
      <c r="AB743" s="11">
        <f t="shared" si="408"/>
        <v>0</v>
      </c>
      <c r="AC743" s="2">
        <f t="shared" si="409"/>
        <v>0</v>
      </c>
      <c r="AF743" s="11">
        <f t="shared" si="410"/>
        <v>0</v>
      </c>
      <c r="AG743" s="2">
        <f t="shared" si="411"/>
        <v>0</v>
      </c>
      <c r="AH743" s="2">
        <f t="shared" si="412"/>
        <v>0</v>
      </c>
      <c r="AI743" s="2">
        <f t="shared" si="413"/>
        <v>0</v>
      </c>
      <c r="AJ743" s="2">
        <f t="shared" si="414"/>
        <v>0</v>
      </c>
      <c r="AK743" s="2">
        <f t="shared" si="415"/>
        <v>0</v>
      </c>
      <c r="AL743" s="2">
        <f t="shared" si="416"/>
        <v>0</v>
      </c>
      <c r="AM743" s="11"/>
      <c r="AN743" s="2" t="e">
        <f t="shared" si="425"/>
        <v>#N/A</v>
      </c>
      <c r="AO743" s="2" t="e">
        <f t="shared" si="426"/>
        <v>#N/A</v>
      </c>
      <c r="AP743" s="2" t="e">
        <f t="shared" si="427"/>
        <v>#N/A</v>
      </c>
      <c r="AQ743" s="2" t="e">
        <f t="shared" si="428"/>
        <v>#N/A</v>
      </c>
      <c r="AR743" s="2" t="e">
        <f t="shared" si="429"/>
        <v>#N/A</v>
      </c>
      <c r="AS743" s="2" t="e">
        <f t="shared" si="430"/>
        <v>#DIV/0!</v>
      </c>
      <c r="AT743" s="9" t="e">
        <f t="shared" ca="1" si="431"/>
        <v>#N/A</v>
      </c>
      <c r="AU743" s="9" t="e">
        <f t="shared" ca="1" si="432"/>
        <v>#N/A</v>
      </c>
      <c r="AW743" s="2" t="e">
        <f t="shared" si="417"/>
        <v>#N/A</v>
      </c>
      <c r="AX743" s="2" t="e">
        <f t="shared" si="418"/>
        <v>#N/A</v>
      </c>
      <c r="AY743" s="2" t="e">
        <f t="shared" si="419"/>
        <v>#N/A</v>
      </c>
      <c r="AZ743" s="2" t="e">
        <f t="shared" si="420"/>
        <v>#N/A</v>
      </c>
      <c r="BA743" s="2" t="e">
        <f t="shared" si="421"/>
        <v>#N/A</v>
      </c>
      <c r="BB743" s="2" t="e">
        <f t="shared" si="422"/>
        <v>#DIV/0!</v>
      </c>
      <c r="BC743" s="9" t="e">
        <f t="shared" ca="1" si="423"/>
        <v>#N/A</v>
      </c>
      <c r="BD743" s="9" t="e">
        <f t="shared" ca="1" si="424"/>
        <v>#N/A</v>
      </c>
    </row>
    <row r="744" spans="1:56" ht="15" x14ac:dyDescent="0.25">
      <c r="A744"/>
      <c r="B744"/>
      <c r="C744"/>
      <c r="D744"/>
      <c r="E744"/>
      <c r="F744"/>
      <c r="G744"/>
      <c r="H744"/>
      <c r="I744"/>
      <c r="J744"/>
      <c r="K744"/>
      <c r="L744" s="64"/>
      <c r="M744" s="64"/>
      <c r="N744" s="16"/>
      <c r="O744" s="11"/>
      <c r="P744" s="11"/>
      <c r="Q744" s="11"/>
      <c r="R744" s="11"/>
      <c r="S744" s="11"/>
      <c r="T744" s="11"/>
      <c r="U744" s="11">
        <f t="shared" si="433"/>
        <v>0</v>
      </c>
      <c r="V744" s="2">
        <f t="shared" si="434"/>
        <v>0</v>
      </c>
      <c r="W744" s="11">
        <f t="shared" si="403"/>
        <v>0</v>
      </c>
      <c r="X744" s="2">
        <f t="shared" si="404"/>
        <v>0</v>
      </c>
      <c r="Y744" s="2">
        <f t="shared" si="405"/>
        <v>0</v>
      </c>
      <c r="Z744" s="11">
        <f t="shared" si="406"/>
        <v>0</v>
      </c>
      <c r="AA744" s="2">
        <f t="shared" si="407"/>
        <v>0</v>
      </c>
      <c r="AB744" s="11">
        <f t="shared" si="408"/>
        <v>0</v>
      </c>
      <c r="AC744" s="2">
        <f t="shared" si="409"/>
        <v>0</v>
      </c>
      <c r="AF744" s="11">
        <f t="shared" si="410"/>
        <v>0</v>
      </c>
      <c r="AG744" s="2">
        <f t="shared" si="411"/>
        <v>0</v>
      </c>
      <c r="AH744" s="2">
        <f t="shared" si="412"/>
        <v>0</v>
      </c>
      <c r="AI744" s="2">
        <f t="shared" si="413"/>
        <v>0</v>
      </c>
      <c r="AJ744" s="2">
        <f t="shared" si="414"/>
        <v>0</v>
      </c>
      <c r="AK744" s="2">
        <f t="shared" si="415"/>
        <v>0</v>
      </c>
      <c r="AL744" s="2">
        <f t="shared" si="416"/>
        <v>0</v>
      </c>
      <c r="AM744" s="11"/>
      <c r="AN744" s="2" t="e">
        <f t="shared" si="425"/>
        <v>#N/A</v>
      </c>
      <c r="AO744" s="2" t="e">
        <f t="shared" si="426"/>
        <v>#N/A</v>
      </c>
      <c r="AP744" s="2" t="e">
        <f t="shared" si="427"/>
        <v>#N/A</v>
      </c>
      <c r="AQ744" s="2" t="e">
        <f t="shared" si="428"/>
        <v>#N/A</v>
      </c>
      <c r="AR744" s="2" t="e">
        <f t="shared" si="429"/>
        <v>#N/A</v>
      </c>
      <c r="AS744" s="2" t="e">
        <f t="shared" si="430"/>
        <v>#DIV/0!</v>
      </c>
      <c r="AT744" s="9" t="e">
        <f t="shared" ca="1" si="431"/>
        <v>#N/A</v>
      </c>
      <c r="AU744" s="9" t="e">
        <f t="shared" ca="1" si="432"/>
        <v>#N/A</v>
      </c>
      <c r="AW744" s="2" t="e">
        <f t="shared" si="417"/>
        <v>#N/A</v>
      </c>
      <c r="AX744" s="2" t="e">
        <f t="shared" si="418"/>
        <v>#N/A</v>
      </c>
      <c r="AY744" s="2" t="e">
        <f t="shared" si="419"/>
        <v>#N/A</v>
      </c>
      <c r="AZ744" s="2" t="e">
        <f t="shared" si="420"/>
        <v>#N/A</v>
      </c>
      <c r="BA744" s="2" t="e">
        <f t="shared" si="421"/>
        <v>#N/A</v>
      </c>
      <c r="BB744" s="2" t="e">
        <f t="shared" si="422"/>
        <v>#DIV/0!</v>
      </c>
      <c r="BC744" s="9" t="e">
        <f t="shared" ca="1" si="423"/>
        <v>#N/A</v>
      </c>
      <c r="BD744" s="9" t="e">
        <f t="shared" ca="1" si="424"/>
        <v>#N/A</v>
      </c>
    </row>
    <row r="745" spans="1:56" ht="15" x14ac:dyDescent="0.25">
      <c r="A745"/>
      <c r="B745"/>
      <c r="C745"/>
      <c r="D745"/>
      <c r="E745"/>
      <c r="F745"/>
      <c r="G745"/>
      <c r="H745"/>
      <c r="I745"/>
      <c r="J745"/>
      <c r="K745"/>
      <c r="L745" s="64"/>
      <c r="M745" s="64"/>
      <c r="N745" s="16"/>
      <c r="O745" s="11"/>
      <c r="P745" s="11"/>
      <c r="Q745" s="11"/>
      <c r="R745" s="11"/>
      <c r="S745" s="11"/>
      <c r="T745" s="11"/>
      <c r="U745" s="11">
        <f t="shared" si="433"/>
        <v>0</v>
      </c>
      <c r="V745" s="2">
        <f t="shared" si="434"/>
        <v>0</v>
      </c>
      <c r="W745" s="11">
        <f t="shared" si="403"/>
        <v>0</v>
      </c>
      <c r="X745" s="2">
        <f t="shared" si="404"/>
        <v>0</v>
      </c>
      <c r="Y745" s="2">
        <f t="shared" si="405"/>
        <v>0</v>
      </c>
      <c r="Z745" s="11">
        <f t="shared" si="406"/>
        <v>0</v>
      </c>
      <c r="AA745" s="2">
        <f t="shared" si="407"/>
        <v>0</v>
      </c>
      <c r="AB745" s="11">
        <f t="shared" si="408"/>
        <v>0</v>
      </c>
      <c r="AC745" s="2">
        <f t="shared" si="409"/>
        <v>0</v>
      </c>
      <c r="AF745" s="11">
        <f t="shared" si="410"/>
        <v>0</v>
      </c>
      <c r="AG745" s="2">
        <f t="shared" si="411"/>
        <v>0</v>
      </c>
      <c r="AH745" s="2">
        <f t="shared" si="412"/>
        <v>0</v>
      </c>
      <c r="AI745" s="2">
        <f t="shared" si="413"/>
        <v>0</v>
      </c>
      <c r="AJ745" s="2">
        <f t="shared" si="414"/>
        <v>0</v>
      </c>
      <c r="AK745" s="2">
        <f t="shared" si="415"/>
        <v>0</v>
      </c>
      <c r="AL745" s="2">
        <f t="shared" si="416"/>
        <v>0</v>
      </c>
      <c r="AM745" s="11"/>
      <c r="AN745" s="2" t="e">
        <f t="shared" si="425"/>
        <v>#N/A</v>
      </c>
      <c r="AO745" s="2" t="e">
        <f t="shared" si="426"/>
        <v>#N/A</v>
      </c>
      <c r="AP745" s="2" t="e">
        <f t="shared" si="427"/>
        <v>#N/A</v>
      </c>
      <c r="AQ745" s="2" t="e">
        <f t="shared" si="428"/>
        <v>#N/A</v>
      </c>
      <c r="AR745" s="2" t="e">
        <f t="shared" si="429"/>
        <v>#N/A</v>
      </c>
      <c r="AS745" s="2" t="e">
        <f t="shared" si="430"/>
        <v>#DIV/0!</v>
      </c>
      <c r="AT745" s="9" t="e">
        <f t="shared" ca="1" si="431"/>
        <v>#N/A</v>
      </c>
      <c r="AU745" s="9" t="e">
        <f t="shared" ca="1" si="432"/>
        <v>#N/A</v>
      </c>
      <c r="AW745" s="2" t="e">
        <f t="shared" si="417"/>
        <v>#N/A</v>
      </c>
      <c r="AX745" s="2" t="e">
        <f t="shared" si="418"/>
        <v>#N/A</v>
      </c>
      <c r="AY745" s="2" t="e">
        <f t="shared" si="419"/>
        <v>#N/A</v>
      </c>
      <c r="AZ745" s="2" t="e">
        <f t="shared" si="420"/>
        <v>#N/A</v>
      </c>
      <c r="BA745" s="2" t="e">
        <f t="shared" si="421"/>
        <v>#N/A</v>
      </c>
      <c r="BB745" s="2" t="e">
        <f t="shared" si="422"/>
        <v>#DIV/0!</v>
      </c>
      <c r="BC745" s="9" t="e">
        <f t="shared" ca="1" si="423"/>
        <v>#N/A</v>
      </c>
      <c r="BD745" s="9" t="e">
        <f t="shared" ca="1" si="424"/>
        <v>#N/A</v>
      </c>
    </row>
    <row r="746" spans="1:56" ht="15" x14ac:dyDescent="0.25">
      <c r="A746"/>
      <c r="B746"/>
      <c r="C746"/>
      <c r="D746"/>
      <c r="E746"/>
      <c r="F746"/>
      <c r="G746"/>
      <c r="H746"/>
      <c r="I746"/>
      <c r="J746"/>
      <c r="K746"/>
      <c r="L746" s="64"/>
      <c r="M746" s="64"/>
      <c r="N746" s="16"/>
      <c r="O746" s="11"/>
      <c r="P746" s="11"/>
      <c r="Q746" s="11"/>
      <c r="R746" s="11"/>
      <c r="S746" s="11"/>
      <c r="T746" s="11"/>
      <c r="U746" s="11">
        <f t="shared" si="433"/>
        <v>0</v>
      </c>
      <c r="V746" s="2">
        <f t="shared" si="434"/>
        <v>0</v>
      </c>
      <c r="W746" s="11">
        <f t="shared" si="403"/>
        <v>0</v>
      </c>
      <c r="X746" s="2">
        <f t="shared" si="404"/>
        <v>0</v>
      </c>
      <c r="Y746" s="2">
        <f t="shared" si="405"/>
        <v>0</v>
      </c>
      <c r="Z746" s="11">
        <f t="shared" si="406"/>
        <v>0</v>
      </c>
      <c r="AA746" s="2">
        <f t="shared" si="407"/>
        <v>0</v>
      </c>
      <c r="AB746" s="11">
        <f t="shared" si="408"/>
        <v>0</v>
      </c>
      <c r="AC746" s="2">
        <f t="shared" si="409"/>
        <v>0</v>
      </c>
      <c r="AF746" s="11">
        <f t="shared" si="410"/>
        <v>0</v>
      </c>
      <c r="AG746" s="2">
        <f t="shared" si="411"/>
        <v>0</v>
      </c>
      <c r="AH746" s="2">
        <f t="shared" si="412"/>
        <v>0</v>
      </c>
      <c r="AI746" s="2">
        <f t="shared" si="413"/>
        <v>0</v>
      </c>
      <c r="AJ746" s="2">
        <f t="shared" si="414"/>
        <v>0</v>
      </c>
      <c r="AK746" s="2">
        <f t="shared" si="415"/>
        <v>0</v>
      </c>
      <c r="AL746" s="2">
        <f t="shared" si="416"/>
        <v>0</v>
      </c>
      <c r="AM746" s="11"/>
      <c r="AN746" s="2" t="e">
        <f t="shared" si="425"/>
        <v>#N/A</v>
      </c>
      <c r="AO746" s="2" t="e">
        <f t="shared" si="426"/>
        <v>#N/A</v>
      </c>
      <c r="AP746" s="2" t="e">
        <f t="shared" si="427"/>
        <v>#N/A</v>
      </c>
      <c r="AQ746" s="2" t="e">
        <f t="shared" si="428"/>
        <v>#N/A</v>
      </c>
      <c r="AR746" s="2" t="e">
        <f t="shared" si="429"/>
        <v>#N/A</v>
      </c>
      <c r="AS746" s="2" t="e">
        <f t="shared" si="430"/>
        <v>#DIV/0!</v>
      </c>
      <c r="AT746" s="9" t="e">
        <f t="shared" ca="1" si="431"/>
        <v>#N/A</v>
      </c>
      <c r="AU746" s="9" t="e">
        <f t="shared" ca="1" si="432"/>
        <v>#N/A</v>
      </c>
      <c r="AW746" s="2" t="e">
        <f t="shared" si="417"/>
        <v>#N/A</v>
      </c>
      <c r="AX746" s="2" t="e">
        <f t="shared" si="418"/>
        <v>#N/A</v>
      </c>
      <c r="AY746" s="2" t="e">
        <f t="shared" si="419"/>
        <v>#N/A</v>
      </c>
      <c r="AZ746" s="2" t="e">
        <f t="shared" si="420"/>
        <v>#N/A</v>
      </c>
      <c r="BA746" s="2" t="e">
        <f t="shared" si="421"/>
        <v>#N/A</v>
      </c>
      <c r="BB746" s="2" t="e">
        <f t="shared" si="422"/>
        <v>#DIV/0!</v>
      </c>
      <c r="BC746" s="9" t="e">
        <f t="shared" ca="1" si="423"/>
        <v>#N/A</v>
      </c>
      <c r="BD746" s="9" t="e">
        <f t="shared" ca="1" si="424"/>
        <v>#N/A</v>
      </c>
    </row>
    <row r="747" spans="1:56" ht="15" x14ac:dyDescent="0.25">
      <c r="A747"/>
      <c r="B747"/>
      <c r="C747"/>
      <c r="D747"/>
      <c r="E747"/>
      <c r="F747"/>
      <c r="G747"/>
      <c r="H747"/>
      <c r="I747"/>
      <c r="J747"/>
      <c r="K747"/>
      <c r="L747" s="64"/>
      <c r="M747" s="64"/>
      <c r="N747" s="16"/>
      <c r="O747" s="11"/>
      <c r="P747" s="11"/>
      <c r="Q747" s="11"/>
      <c r="R747" s="11"/>
      <c r="S747" s="11"/>
      <c r="T747" s="11"/>
      <c r="U747" s="11">
        <f t="shared" si="433"/>
        <v>0</v>
      </c>
      <c r="V747" s="2">
        <f t="shared" si="434"/>
        <v>0</v>
      </c>
      <c r="W747" s="11">
        <f t="shared" si="403"/>
        <v>0</v>
      </c>
      <c r="X747" s="2">
        <f t="shared" si="404"/>
        <v>0</v>
      </c>
      <c r="Y747" s="2">
        <f t="shared" si="405"/>
        <v>0</v>
      </c>
      <c r="Z747" s="11">
        <f t="shared" si="406"/>
        <v>0</v>
      </c>
      <c r="AA747" s="2">
        <f t="shared" si="407"/>
        <v>0</v>
      </c>
      <c r="AB747" s="11">
        <f t="shared" si="408"/>
        <v>0</v>
      </c>
      <c r="AC747" s="2">
        <f t="shared" si="409"/>
        <v>0</v>
      </c>
      <c r="AF747" s="11">
        <f t="shared" si="410"/>
        <v>0</v>
      </c>
      <c r="AG747" s="2">
        <f t="shared" si="411"/>
        <v>0</v>
      </c>
      <c r="AH747" s="2">
        <f t="shared" si="412"/>
        <v>0</v>
      </c>
      <c r="AI747" s="2">
        <f t="shared" si="413"/>
        <v>0</v>
      </c>
      <c r="AJ747" s="2">
        <f t="shared" si="414"/>
        <v>0</v>
      </c>
      <c r="AK747" s="2">
        <f t="shared" si="415"/>
        <v>0</v>
      </c>
      <c r="AL747" s="2">
        <f t="shared" si="416"/>
        <v>0</v>
      </c>
      <c r="AM747" s="11"/>
      <c r="AN747" s="2" t="e">
        <f t="shared" si="425"/>
        <v>#N/A</v>
      </c>
      <c r="AO747" s="2" t="e">
        <f t="shared" si="426"/>
        <v>#N/A</v>
      </c>
      <c r="AP747" s="2" t="e">
        <f t="shared" si="427"/>
        <v>#N/A</v>
      </c>
      <c r="AQ747" s="2" t="e">
        <f t="shared" si="428"/>
        <v>#N/A</v>
      </c>
      <c r="AR747" s="2" t="e">
        <f t="shared" si="429"/>
        <v>#N/A</v>
      </c>
      <c r="AS747" s="2" t="e">
        <f t="shared" si="430"/>
        <v>#DIV/0!</v>
      </c>
      <c r="AT747" s="9" t="e">
        <f t="shared" ca="1" si="431"/>
        <v>#N/A</v>
      </c>
      <c r="AU747" s="9" t="e">
        <f t="shared" ca="1" si="432"/>
        <v>#N/A</v>
      </c>
      <c r="AW747" s="2" t="e">
        <f t="shared" si="417"/>
        <v>#N/A</v>
      </c>
      <c r="AX747" s="2" t="e">
        <f t="shared" si="418"/>
        <v>#N/A</v>
      </c>
      <c r="AY747" s="2" t="e">
        <f t="shared" si="419"/>
        <v>#N/A</v>
      </c>
      <c r="AZ747" s="2" t="e">
        <f t="shared" si="420"/>
        <v>#N/A</v>
      </c>
      <c r="BA747" s="2" t="e">
        <f t="shared" si="421"/>
        <v>#N/A</v>
      </c>
      <c r="BB747" s="2" t="e">
        <f t="shared" si="422"/>
        <v>#DIV/0!</v>
      </c>
      <c r="BC747" s="9" t="e">
        <f t="shared" ca="1" si="423"/>
        <v>#N/A</v>
      </c>
      <c r="BD747" s="9" t="e">
        <f t="shared" ca="1" si="424"/>
        <v>#N/A</v>
      </c>
    </row>
    <row r="748" spans="1:56" ht="15" x14ac:dyDescent="0.25">
      <c r="A748"/>
      <c r="B748"/>
      <c r="C748"/>
      <c r="D748"/>
      <c r="E748"/>
      <c r="F748"/>
      <c r="G748"/>
      <c r="H748"/>
      <c r="I748"/>
      <c r="J748"/>
      <c r="K748"/>
      <c r="L748" s="64"/>
      <c r="M748" s="64"/>
      <c r="N748" s="16"/>
      <c r="O748" s="11"/>
      <c r="P748" s="11"/>
      <c r="Q748" s="11"/>
      <c r="R748" s="11"/>
      <c r="S748" s="11"/>
      <c r="T748" s="11"/>
      <c r="U748" s="11">
        <f t="shared" si="433"/>
        <v>0</v>
      </c>
      <c r="V748" s="2">
        <f t="shared" si="434"/>
        <v>0</v>
      </c>
      <c r="W748" s="11">
        <f t="shared" si="403"/>
        <v>0</v>
      </c>
      <c r="X748" s="2">
        <f t="shared" si="404"/>
        <v>0</v>
      </c>
      <c r="Y748" s="2">
        <f t="shared" si="405"/>
        <v>0</v>
      </c>
      <c r="Z748" s="11">
        <f t="shared" si="406"/>
        <v>0</v>
      </c>
      <c r="AA748" s="2">
        <f t="shared" si="407"/>
        <v>0</v>
      </c>
      <c r="AB748" s="11">
        <f t="shared" si="408"/>
        <v>0</v>
      </c>
      <c r="AC748" s="2">
        <f t="shared" si="409"/>
        <v>0</v>
      </c>
      <c r="AF748" s="11">
        <f t="shared" si="410"/>
        <v>0</v>
      </c>
      <c r="AG748" s="2">
        <f t="shared" si="411"/>
        <v>0</v>
      </c>
      <c r="AH748" s="2">
        <f t="shared" si="412"/>
        <v>0</v>
      </c>
      <c r="AI748" s="2">
        <f t="shared" si="413"/>
        <v>0</v>
      </c>
      <c r="AJ748" s="2">
        <f t="shared" si="414"/>
        <v>0</v>
      </c>
      <c r="AK748" s="2">
        <f t="shared" si="415"/>
        <v>0</v>
      </c>
      <c r="AL748" s="2">
        <f t="shared" si="416"/>
        <v>0</v>
      </c>
      <c r="AM748" s="11"/>
      <c r="AN748" s="2" t="e">
        <f t="shared" si="425"/>
        <v>#N/A</v>
      </c>
      <c r="AO748" s="2" t="e">
        <f t="shared" si="426"/>
        <v>#N/A</v>
      </c>
      <c r="AP748" s="2" t="e">
        <f t="shared" si="427"/>
        <v>#N/A</v>
      </c>
      <c r="AQ748" s="2" t="e">
        <f t="shared" si="428"/>
        <v>#N/A</v>
      </c>
      <c r="AR748" s="2" t="e">
        <f t="shared" si="429"/>
        <v>#N/A</v>
      </c>
      <c r="AS748" s="2" t="e">
        <f t="shared" si="430"/>
        <v>#DIV/0!</v>
      </c>
      <c r="AT748" s="9" t="e">
        <f t="shared" ca="1" si="431"/>
        <v>#N/A</v>
      </c>
      <c r="AU748" s="9" t="e">
        <f t="shared" ca="1" si="432"/>
        <v>#N/A</v>
      </c>
      <c r="AW748" s="2" t="e">
        <f t="shared" si="417"/>
        <v>#N/A</v>
      </c>
      <c r="AX748" s="2" t="e">
        <f t="shared" si="418"/>
        <v>#N/A</v>
      </c>
      <c r="AY748" s="2" t="e">
        <f t="shared" si="419"/>
        <v>#N/A</v>
      </c>
      <c r="AZ748" s="2" t="e">
        <f t="shared" si="420"/>
        <v>#N/A</v>
      </c>
      <c r="BA748" s="2" t="e">
        <f t="shared" si="421"/>
        <v>#N/A</v>
      </c>
      <c r="BB748" s="2" t="e">
        <f t="shared" si="422"/>
        <v>#DIV/0!</v>
      </c>
      <c r="BC748" s="9" t="e">
        <f t="shared" ca="1" si="423"/>
        <v>#N/A</v>
      </c>
      <c r="BD748" s="9" t="e">
        <f t="shared" ca="1" si="424"/>
        <v>#N/A</v>
      </c>
    </row>
    <row r="749" spans="1:56" ht="15" x14ac:dyDescent="0.25">
      <c r="A749"/>
      <c r="B749"/>
      <c r="C749"/>
      <c r="D749"/>
      <c r="E749"/>
      <c r="F749"/>
      <c r="G749"/>
      <c r="H749"/>
      <c r="I749"/>
      <c r="J749"/>
      <c r="K749"/>
      <c r="L749" s="64"/>
      <c r="M749" s="64"/>
      <c r="N749" s="16"/>
      <c r="O749" s="11"/>
      <c r="P749" s="11"/>
      <c r="Q749" s="11"/>
      <c r="R749" s="11"/>
      <c r="S749" s="11"/>
      <c r="T749" s="11"/>
      <c r="U749" s="11">
        <f t="shared" si="433"/>
        <v>0</v>
      </c>
      <c r="V749" s="2">
        <f t="shared" si="434"/>
        <v>0</v>
      </c>
      <c r="W749" s="11">
        <f t="shared" si="403"/>
        <v>0</v>
      </c>
      <c r="X749" s="2">
        <f t="shared" si="404"/>
        <v>0</v>
      </c>
      <c r="Y749" s="2">
        <f t="shared" si="405"/>
        <v>0</v>
      </c>
      <c r="Z749" s="11">
        <f t="shared" si="406"/>
        <v>0</v>
      </c>
      <c r="AA749" s="2">
        <f t="shared" si="407"/>
        <v>0</v>
      </c>
      <c r="AB749" s="11">
        <f t="shared" si="408"/>
        <v>0</v>
      </c>
      <c r="AC749" s="2">
        <f t="shared" si="409"/>
        <v>0</v>
      </c>
      <c r="AF749" s="11">
        <f t="shared" si="410"/>
        <v>0</v>
      </c>
      <c r="AG749" s="2">
        <f t="shared" si="411"/>
        <v>0</v>
      </c>
      <c r="AH749" s="2">
        <f t="shared" si="412"/>
        <v>0</v>
      </c>
      <c r="AI749" s="2">
        <f t="shared" si="413"/>
        <v>0</v>
      </c>
      <c r="AJ749" s="2">
        <f t="shared" si="414"/>
        <v>0</v>
      </c>
      <c r="AK749" s="2">
        <f t="shared" si="415"/>
        <v>0</v>
      </c>
      <c r="AL749" s="2">
        <f t="shared" si="416"/>
        <v>0</v>
      </c>
      <c r="AM749" s="11"/>
      <c r="AN749" s="2" t="e">
        <f t="shared" si="425"/>
        <v>#N/A</v>
      </c>
      <c r="AO749" s="2" t="e">
        <f t="shared" si="426"/>
        <v>#N/A</v>
      </c>
      <c r="AP749" s="2" t="e">
        <f t="shared" si="427"/>
        <v>#N/A</v>
      </c>
      <c r="AQ749" s="2" t="e">
        <f t="shared" si="428"/>
        <v>#N/A</v>
      </c>
      <c r="AR749" s="2" t="e">
        <f t="shared" si="429"/>
        <v>#N/A</v>
      </c>
      <c r="AS749" s="2" t="e">
        <f t="shared" si="430"/>
        <v>#DIV/0!</v>
      </c>
      <c r="AT749" s="9" t="e">
        <f t="shared" ca="1" si="431"/>
        <v>#N/A</v>
      </c>
      <c r="AU749" s="9" t="e">
        <f t="shared" ca="1" si="432"/>
        <v>#N/A</v>
      </c>
      <c r="AW749" s="2" t="e">
        <f t="shared" si="417"/>
        <v>#N/A</v>
      </c>
      <c r="AX749" s="2" t="e">
        <f t="shared" si="418"/>
        <v>#N/A</v>
      </c>
      <c r="AY749" s="2" t="e">
        <f t="shared" si="419"/>
        <v>#N/A</v>
      </c>
      <c r="AZ749" s="2" t="e">
        <f t="shared" si="420"/>
        <v>#N/A</v>
      </c>
      <c r="BA749" s="2" t="e">
        <f t="shared" si="421"/>
        <v>#N/A</v>
      </c>
      <c r="BB749" s="2" t="e">
        <f t="shared" si="422"/>
        <v>#DIV/0!</v>
      </c>
      <c r="BC749" s="9" t="e">
        <f t="shared" ca="1" si="423"/>
        <v>#N/A</v>
      </c>
      <c r="BD749" s="9" t="e">
        <f t="shared" ca="1" si="424"/>
        <v>#N/A</v>
      </c>
    </row>
    <row r="750" spans="1:56" ht="15" x14ac:dyDescent="0.25">
      <c r="A750"/>
      <c r="B750"/>
      <c r="C750"/>
      <c r="D750"/>
      <c r="E750"/>
      <c r="F750"/>
      <c r="G750"/>
      <c r="H750"/>
      <c r="I750"/>
      <c r="J750"/>
      <c r="K750"/>
      <c r="L750" s="64"/>
      <c r="M750" s="64"/>
      <c r="N750" s="16"/>
      <c r="O750" s="11"/>
      <c r="P750" s="11"/>
      <c r="Q750" s="11"/>
      <c r="R750" s="11"/>
      <c r="S750" s="11"/>
      <c r="T750" s="11"/>
      <c r="U750" s="11">
        <f t="shared" si="433"/>
        <v>0</v>
      </c>
      <c r="V750" s="2">
        <f t="shared" si="434"/>
        <v>0</v>
      </c>
      <c r="W750" s="11">
        <f t="shared" si="403"/>
        <v>0</v>
      </c>
      <c r="X750" s="2">
        <f t="shared" si="404"/>
        <v>0</v>
      </c>
      <c r="Y750" s="2">
        <f t="shared" si="405"/>
        <v>0</v>
      </c>
      <c r="Z750" s="11">
        <f t="shared" si="406"/>
        <v>0</v>
      </c>
      <c r="AA750" s="2">
        <f t="shared" si="407"/>
        <v>0</v>
      </c>
      <c r="AB750" s="11">
        <f t="shared" si="408"/>
        <v>0</v>
      </c>
      <c r="AC750" s="2">
        <f t="shared" si="409"/>
        <v>0</v>
      </c>
      <c r="AF750" s="11">
        <f t="shared" si="410"/>
        <v>0</v>
      </c>
      <c r="AG750" s="2">
        <f t="shared" si="411"/>
        <v>0</v>
      </c>
      <c r="AH750" s="2">
        <f t="shared" si="412"/>
        <v>0</v>
      </c>
      <c r="AI750" s="2">
        <f t="shared" si="413"/>
        <v>0</v>
      </c>
      <c r="AJ750" s="2">
        <f t="shared" si="414"/>
        <v>0</v>
      </c>
      <c r="AK750" s="2">
        <f t="shared" si="415"/>
        <v>0</v>
      </c>
      <c r="AL750" s="2">
        <f t="shared" si="416"/>
        <v>0</v>
      </c>
      <c r="AM750" s="11"/>
      <c r="AN750" s="2" t="e">
        <f t="shared" si="425"/>
        <v>#N/A</v>
      </c>
      <c r="AO750" s="2" t="e">
        <f t="shared" si="426"/>
        <v>#N/A</v>
      </c>
      <c r="AP750" s="2" t="e">
        <f t="shared" si="427"/>
        <v>#N/A</v>
      </c>
      <c r="AQ750" s="2" t="e">
        <f t="shared" si="428"/>
        <v>#N/A</v>
      </c>
      <c r="AR750" s="2" t="e">
        <f t="shared" si="429"/>
        <v>#N/A</v>
      </c>
      <c r="AS750" s="2" t="e">
        <f t="shared" si="430"/>
        <v>#DIV/0!</v>
      </c>
      <c r="AT750" s="9" t="e">
        <f t="shared" ca="1" si="431"/>
        <v>#N/A</v>
      </c>
      <c r="AU750" s="9" t="e">
        <f t="shared" ca="1" si="432"/>
        <v>#N/A</v>
      </c>
      <c r="AW750" s="2" t="e">
        <f t="shared" si="417"/>
        <v>#N/A</v>
      </c>
      <c r="AX750" s="2" t="e">
        <f t="shared" si="418"/>
        <v>#N/A</v>
      </c>
      <c r="AY750" s="2" t="e">
        <f t="shared" si="419"/>
        <v>#N/A</v>
      </c>
      <c r="AZ750" s="2" t="e">
        <f t="shared" si="420"/>
        <v>#N/A</v>
      </c>
      <c r="BA750" s="2" t="e">
        <f t="shared" si="421"/>
        <v>#N/A</v>
      </c>
      <c r="BB750" s="2" t="e">
        <f t="shared" si="422"/>
        <v>#DIV/0!</v>
      </c>
      <c r="BC750" s="9" t="e">
        <f t="shared" ca="1" si="423"/>
        <v>#N/A</v>
      </c>
      <c r="BD750" s="9" t="e">
        <f t="shared" ca="1" si="424"/>
        <v>#N/A</v>
      </c>
    </row>
    <row r="751" spans="1:56" ht="15" x14ac:dyDescent="0.25">
      <c r="A751"/>
      <c r="B751"/>
      <c r="C751"/>
      <c r="D751"/>
      <c r="E751"/>
      <c r="F751"/>
      <c r="G751"/>
      <c r="H751"/>
      <c r="I751"/>
      <c r="J751"/>
      <c r="K751"/>
      <c r="L751" s="64"/>
      <c r="M751" s="64"/>
      <c r="N751" s="16"/>
      <c r="O751" s="11"/>
      <c r="P751" s="11"/>
      <c r="Q751" s="11"/>
      <c r="R751" s="11"/>
      <c r="S751" s="11"/>
      <c r="T751" s="11"/>
      <c r="U751" s="11">
        <f t="shared" si="433"/>
        <v>0</v>
      </c>
      <c r="V751" s="2">
        <f t="shared" si="434"/>
        <v>0</v>
      </c>
      <c r="W751" s="11">
        <f t="shared" si="403"/>
        <v>0</v>
      </c>
      <c r="X751" s="2">
        <f t="shared" si="404"/>
        <v>0</v>
      </c>
      <c r="Y751" s="2">
        <f t="shared" si="405"/>
        <v>0</v>
      </c>
      <c r="Z751" s="11">
        <f t="shared" si="406"/>
        <v>0</v>
      </c>
      <c r="AA751" s="2">
        <f t="shared" si="407"/>
        <v>0</v>
      </c>
      <c r="AB751" s="11">
        <f t="shared" si="408"/>
        <v>0</v>
      </c>
      <c r="AC751" s="2">
        <f t="shared" si="409"/>
        <v>0</v>
      </c>
      <c r="AF751" s="11">
        <f t="shared" si="410"/>
        <v>0</v>
      </c>
      <c r="AG751" s="2">
        <f t="shared" si="411"/>
        <v>0</v>
      </c>
      <c r="AH751" s="2">
        <f t="shared" si="412"/>
        <v>0</v>
      </c>
      <c r="AI751" s="2">
        <f t="shared" si="413"/>
        <v>0</v>
      </c>
      <c r="AJ751" s="2">
        <f t="shared" si="414"/>
        <v>0</v>
      </c>
      <c r="AK751" s="2">
        <f t="shared" si="415"/>
        <v>0</v>
      </c>
      <c r="AL751" s="2">
        <f t="shared" si="416"/>
        <v>0</v>
      </c>
      <c r="AM751" s="11"/>
      <c r="AN751" s="2" t="e">
        <f t="shared" si="425"/>
        <v>#N/A</v>
      </c>
      <c r="AO751" s="2" t="e">
        <f t="shared" si="426"/>
        <v>#N/A</v>
      </c>
      <c r="AP751" s="2" t="e">
        <f t="shared" si="427"/>
        <v>#N/A</v>
      </c>
      <c r="AQ751" s="2" t="e">
        <f t="shared" si="428"/>
        <v>#N/A</v>
      </c>
      <c r="AR751" s="2" t="e">
        <f t="shared" si="429"/>
        <v>#N/A</v>
      </c>
      <c r="AS751" s="2" t="e">
        <f t="shared" si="430"/>
        <v>#DIV/0!</v>
      </c>
      <c r="AT751" s="9" t="e">
        <f t="shared" ca="1" si="431"/>
        <v>#N/A</v>
      </c>
      <c r="AU751" s="9" t="e">
        <f t="shared" ca="1" si="432"/>
        <v>#N/A</v>
      </c>
      <c r="AW751" s="2" t="e">
        <f t="shared" si="417"/>
        <v>#N/A</v>
      </c>
      <c r="AX751" s="2" t="e">
        <f t="shared" si="418"/>
        <v>#N/A</v>
      </c>
      <c r="AY751" s="2" t="e">
        <f t="shared" si="419"/>
        <v>#N/A</v>
      </c>
      <c r="AZ751" s="2" t="e">
        <f t="shared" si="420"/>
        <v>#N/A</v>
      </c>
      <c r="BA751" s="2" t="e">
        <f t="shared" si="421"/>
        <v>#N/A</v>
      </c>
      <c r="BB751" s="2" t="e">
        <f t="shared" si="422"/>
        <v>#DIV/0!</v>
      </c>
      <c r="BC751" s="9" t="e">
        <f t="shared" ca="1" si="423"/>
        <v>#N/A</v>
      </c>
      <c r="BD751" s="9" t="e">
        <f t="shared" ca="1" si="424"/>
        <v>#N/A</v>
      </c>
    </row>
    <row r="752" spans="1:56" ht="15" x14ac:dyDescent="0.25">
      <c r="A752"/>
      <c r="B752"/>
      <c r="C752"/>
      <c r="D752"/>
      <c r="E752"/>
      <c r="F752"/>
      <c r="G752"/>
      <c r="H752"/>
      <c r="I752"/>
      <c r="J752"/>
      <c r="K752"/>
      <c r="L752" s="64"/>
      <c r="M752" s="64"/>
      <c r="N752" s="16"/>
      <c r="O752" s="11"/>
      <c r="P752" s="11"/>
      <c r="Q752" s="11"/>
      <c r="R752" s="11"/>
      <c r="S752" s="11"/>
      <c r="T752" s="11"/>
      <c r="U752" s="11">
        <f t="shared" si="433"/>
        <v>0</v>
      </c>
      <c r="V752" s="2">
        <f t="shared" si="434"/>
        <v>0</v>
      </c>
      <c r="W752" s="11">
        <f t="shared" si="403"/>
        <v>0</v>
      </c>
      <c r="X752" s="2">
        <f t="shared" si="404"/>
        <v>0</v>
      </c>
      <c r="Y752" s="2">
        <f t="shared" si="405"/>
        <v>0</v>
      </c>
      <c r="Z752" s="11">
        <f t="shared" si="406"/>
        <v>0</v>
      </c>
      <c r="AA752" s="2">
        <f t="shared" si="407"/>
        <v>0</v>
      </c>
      <c r="AB752" s="11">
        <f t="shared" si="408"/>
        <v>0</v>
      </c>
      <c r="AC752" s="2">
        <f t="shared" si="409"/>
        <v>0</v>
      </c>
      <c r="AF752" s="11">
        <f t="shared" si="410"/>
        <v>0</v>
      </c>
      <c r="AG752" s="2">
        <f t="shared" si="411"/>
        <v>0</v>
      </c>
      <c r="AH752" s="2">
        <f t="shared" si="412"/>
        <v>0</v>
      </c>
      <c r="AI752" s="2">
        <f t="shared" si="413"/>
        <v>0</v>
      </c>
      <c r="AJ752" s="2">
        <f t="shared" si="414"/>
        <v>0</v>
      </c>
      <c r="AK752" s="2">
        <f t="shared" si="415"/>
        <v>0</v>
      </c>
      <c r="AL752" s="2">
        <f t="shared" si="416"/>
        <v>0</v>
      </c>
      <c r="AM752" s="11"/>
      <c r="AN752" s="2" t="e">
        <f t="shared" si="425"/>
        <v>#N/A</v>
      </c>
      <c r="AO752" s="2" t="e">
        <f t="shared" si="426"/>
        <v>#N/A</v>
      </c>
      <c r="AP752" s="2" t="e">
        <f t="shared" si="427"/>
        <v>#N/A</v>
      </c>
      <c r="AQ752" s="2" t="e">
        <f t="shared" si="428"/>
        <v>#N/A</v>
      </c>
      <c r="AR752" s="2" t="e">
        <f t="shared" si="429"/>
        <v>#N/A</v>
      </c>
      <c r="AS752" s="2" t="e">
        <f t="shared" si="430"/>
        <v>#DIV/0!</v>
      </c>
      <c r="AT752" s="9" t="e">
        <f t="shared" ca="1" si="431"/>
        <v>#N/A</v>
      </c>
      <c r="AU752" s="9" t="e">
        <f t="shared" ca="1" si="432"/>
        <v>#N/A</v>
      </c>
      <c r="AW752" s="2" t="e">
        <f t="shared" si="417"/>
        <v>#N/A</v>
      </c>
      <c r="AX752" s="2" t="e">
        <f t="shared" si="418"/>
        <v>#N/A</v>
      </c>
      <c r="AY752" s="2" t="e">
        <f t="shared" si="419"/>
        <v>#N/A</v>
      </c>
      <c r="AZ752" s="2" t="e">
        <f t="shared" si="420"/>
        <v>#N/A</v>
      </c>
      <c r="BA752" s="2" t="e">
        <f t="shared" si="421"/>
        <v>#N/A</v>
      </c>
      <c r="BB752" s="2" t="e">
        <f t="shared" si="422"/>
        <v>#DIV/0!</v>
      </c>
      <c r="BC752" s="9" t="e">
        <f t="shared" ca="1" si="423"/>
        <v>#N/A</v>
      </c>
      <c r="BD752" s="9" t="e">
        <f t="shared" ca="1" si="424"/>
        <v>#N/A</v>
      </c>
    </row>
    <row r="753" spans="1:56" ht="15" x14ac:dyDescent="0.25">
      <c r="A753"/>
      <c r="B753"/>
      <c r="C753"/>
      <c r="D753"/>
      <c r="E753"/>
      <c r="F753"/>
      <c r="G753"/>
      <c r="H753"/>
      <c r="I753"/>
      <c r="J753"/>
      <c r="K753"/>
      <c r="L753" s="64"/>
      <c r="M753" s="64"/>
      <c r="N753" s="16"/>
      <c r="O753" s="11"/>
      <c r="P753" s="11"/>
      <c r="Q753" s="11"/>
      <c r="R753" s="11"/>
      <c r="S753" s="11"/>
      <c r="T753" s="11"/>
      <c r="U753" s="11">
        <f t="shared" si="433"/>
        <v>0</v>
      </c>
      <c r="V753" s="2">
        <f t="shared" si="434"/>
        <v>0</v>
      </c>
      <c r="W753" s="11">
        <f t="shared" si="403"/>
        <v>0</v>
      </c>
      <c r="X753" s="2">
        <f t="shared" si="404"/>
        <v>0</v>
      </c>
      <c r="Y753" s="2">
        <f t="shared" si="405"/>
        <v>0</v>
      </c>
      <c r="Z753" s="11">
        <f t="shared" si="406"/>
        <v>0</v>
      </c>
      <c r="AA753" s="2">
        <f t="shared" si="407"/>
        <v>0</v>
      </c>
      <c r="AB753" s="11">
        <f t="shared" si="408"/>
        <v>0</v>
      </c>
      <c r="AC753" s="2">
        <f t="shared" si="409"/>
        <v>0</v>
      </c>
      <c r="AF753" s="11">
        <f t="shared" si="410"/>
        <v>0</v>
      </c>
      <c r="AG753" s="2">
        <f t="shared" si="411"/>
        <v>0</v>
      </c>
      <c r="AH753" s="2">
        <f t="shared" si="412"/>
        <v>0</v>
      </c>
      <c r="AI753" s="2">
        <f t="shared" si="413"/>
        <v>0</v>
      </c>
      <c r="AJ753" s="2">
        <f t="shared" si="414"/>
        <v>0</v>
      </c>
      <c r="AK753" s="2">
        <f t="shared" si="415"/>
        <v>0</v>
      </c>
      <c r="AL753" s="2">
        <f t="shared" si="416"/>
        <v>0</v>
      </c>
      <c r="AM753" s="11"/>
      <c r="AN753" s="2" t="e">
        <f t="shared" si="425"/>
        <v>#N/A</v>
      </c>
      <c r="AO753" s="2" t="e">
        <f t="shared" si="426"/>
        <v>#N/A</v>
      </c>
      <c r="AP753" s="2" t="e">
        <f t="shared" si="427"/>
        <v>#N/A</v>
      </c>
      <c r="AQ753" s="2" t="e">
        <f t="shared" si="428"/>
        <v>#N/A</v>
      </c>
      <c r="AR753" s="2" t="e">
        <f t="shared" si="429"/>
        <v>#N/A</v>
      </c>
      <c r="AS753" s="2" t="e">
        <f t="shared" si="430"/>
        <v>#DIV/0!</v>
      </c>
      <c r="AT753" s="9" t="e">
        <f t="shared" ca="1" si="431"/>
        <v>#N/A</v>
      </c>
      <c r="AU753" s="9" t="e">
        <f t="shared" ca="1" si="432"/>
        <v>#N/A</v>
      </c>
      <c r="AW753" s="2" t="e">
        <f t="shared" si="417"/>
        <v>#N/A</v>
      </c>
      <c r="AX753" s="2" t="e">
        <f t="shared" si="418"/>
        <v>#N/A</v>
      </c>
      <c r="AY753" s="2" t="e">
        <f t="shared" si="419"/>
        <v>#N/A</v>
      </c>
      <c r="AZ753" s="2" t="e">
        <f t="shared" si="420"/>
        <v>#N/A</v>
      </c>
      <c r="BA753" s="2" t="e">
        <f t="shared" si="421"/>
        <v>#N/A</v>
      </c>
      <c r="BB753" s="2" t="e">
        <f t="shared" si="422"/>
        <v>#DIV/0!</v>
      </c>
      <c r="BC753" s="9" t="e">
        <f t="shared" ca="1" si="423"/>
        <v>#N/A</v>
      </c>
      <c r="BD753" s="9" t="e">
        <f t="shared" ca="1" si="424"/>
        <v>#N/A</v>
      </c>
    </row>
    <row r="754" spans="1:56" ht="15" x14ac:dyDescent="0.25">
      <c r="A754"/>
      <c r="B754"/>
      <c r="C754"/>
      <c r="D754"/>
      <c r="E754"/>
      <c r="F754"/>
      <c r="G754"/>
      <c r="H754"/>
      <c r="I754"/>
      <c r="J754"/>
      <c r="K754"/>
      <c r="L754" s="64"/>
      <c r="M754" s="64"/>
      <c r="N754" s="16"/>
      <c r="O754" s="11"/>
      <c r="P754" s="11"/>
      <c r="Q754" s="11"/>
      <c r="R754" s="11"/>
      <c r="S754" s="11"/>
      <c r="T754" s="11"/>
      <c r="U754" s="11">
        <f t="shared" si="433"/>
        <v>0</v>
      </c>
      <c r="V754" s="2">
        <f t="shared" si="434"/>
        <v>0</v>
      </c>
      <c r="W754" s="11">
        <f t="shared" si="403"/>
        <v>0</v>
      </c>
      <c r="X754" s="2">
        <f t="shared" si="404"/>
        <v>0</v>
      </c>
      <c r="Y754" s="2">
        <f t="shared" si="405"/>
        <v>0</v>
      </c>
      <c r="Z754" s="11">
        <f t="shared" si="406"/>
        <v>0</v>
      </c>
      <c r="AA754" s="2">
        <f t="shared" si="407"/>
        <v>0</v>
      </c>
      <c r="AB754" s="11">
        <f t="shared" si="408"/>
        <v>0</v>
      </c>
      <c r="AC754" s="2">
        <f t="shared" si="409"/>
        <v>0</v>
      </c>
      <c r="AF754" s="11">
        <f t="shared" si="410"/>
        <v>0</v>
      </c>
      <c r="AG754" s="2">
        <f t="shared" si="411"/>
        <v>0</v>
      </c>
      <c r="AH754" s="2">
        <f t="shared" si="412"/>
        <v>0</v>
      </c>
      <c r="AI754" s="2">
        <f t="shared" si="413"/>
        <v>0</v>
      </c>
      <c r="AJ754" s="2">
        <f t="shared" si="414"/>
        <v>0</v>
      </c>
      <c r="AK754" s="2">
        <f t="shared" si="415"/>
        <v>0</v>
      </c>
      <c r="AL754" s="2">
        <f t="shared" si="416"/>
        <v>0</v>
      </c>
      <c r="AM754" s="11"/>
      <c r="AN754" s="2" t="e">
        <f t="shared" si="425"/>
        <v>#N/A</v>
      </c>
      <c r="AO754" s="2" t="e">
        <f t="shared" si="426"/>
        <v>#N/A</v>
      </c>
      <c r="AP754" s="2" t="e">
        <f t="shared" si="427"/>
        <v>#N/A</v>
      </c>
      <c r="AQ754" s="2" t="e">
        <f t="shared" si="428"/>
        <v>#N/A</v>
      </c>
      <c r="AR754" s="2" t="e">
        <f t="shared" si="429"/>
        <v>#N/A</v>
      </c>
      <c r="AS754" s="2" t="e">
        <f t="shared" si="430"/>
        <v>#DIV/0!</v>
      </c>
      <c r="AT754" s="9" t="e">
        <f t="shared" ca="1" si="431"/>
        <v>#N/A</v>
      </c>
      <c r="AU754" s="9" t="e">
        <f t="shared" ca="1" si="432"/>
        <v>#N/A</v>
      </c>
      <c r="AW754" s="2" t="e">
        <f t="shared" si="417"/>
        <v>#N/A</v>
      </c>
      <c r="AX754" s="2" t="e">
        <f t="shared" si="418"/>
        <v>#N/A</v>
      </c>
      <c r="AY754" s="2" t="e">
        <f t="shared" si="419"/>
        <v>#N/A</v>
      </c>
      <c r="AZ754" s="2" t="e">
        <f t="shared" si="420"/>
        <v>#N/A</v>
      </c>
      <c r="BA754" s="2" t="e">
        <f t="shared" si="421"/>
        <v>#N/A</v>
      </c>
      <c r="BB754" s="2" t="e">
        <f t="shared" si="422"/>
        <v>#DIV/0!</v>
      </c>
      <c r="BC754" s="9" t="e">
        <f t="shared" ca="1" si="423"/>
        <v>#N/A</v>
      </c>
      <c r="BD754" s="9" t="e">
        <f t="shared" ca="1" si="424"/>
        <v>#N/A</v>
      </c>
    </row>
    <row r="755" spans="1:56" ht="15" x14ac:dyDescent="0.25">
      <c r="A755"/>
      <c r="B755"/>
      <c r="C755"/>
      <c r="D755"/>
      <c r="E755"/>
      <c r="F755"/>
      <c r="G755"/>
      <c r="H755"/>
      <c r="I755"/>
      <c r="J755"/>
      <c r="K755"/>
      <c r="L755" s="64"/>
      <c r="M755" s="64"/>
      <c r="N755" s="16"/>
      <c r="O755" s="11"/>
      <c r="P755" s="11"/>
      <c r="Q755" s="11"/>
      <c r="R755" s="11"/>
      <c r="S755" s="11"/>
      <c r="T755" s="11"/>
      <c r="U755" s="11">
        <f t="shared" si="433"/>
        <v>0</v>
      </c>
      <c r="V755" s="2">
        <f t="shared" si="434"/>
        <v>0</v>
      </c>
      <c r="W755" s="11">
        <f t="shared" si="403"/>
        <v>0</v>
      </c>
      <c r="X755" s="2">
        <f t="shared" si="404"/>
        <v>0</v>
      </c>
      <c r="Y755" s="2">
        <f t="shared" si="405"/>
        <v>0</v>
      </c>
      <c r="Z755" s="11">
        <f t="shared" si="406"/>
        <v>0</v>
      </c>
      <c r="AA755" s="2">
        <f t="shared" si="407"/>
        <v>0</v>
      </c>
      <c r="AB755" s="11">
        <f t="shared" si="408"/>
        <v>0</v>
      </c>
      <c r="AC755" s="2">
        <f t="shared" si="409"/>
        <v>0</v>
      </c>
      <c r="AF755" s="11">
        <f t="shared" si="410"/>
        <v>0</v>
      </c>
      <c r="AG755" s="2">
        <f t="shared" si="411"/>
        <v>0</v>
      </c>
      <c r="AH755" s="2">
        <f t="shared" si="412"/>
        <v>0</v>
      </c>
      <c r="AI755" s="2">
        <f t="shared" si="413"/>
        <v>0</v>
      </c>
      <c r="AJ755" s="2">
        <f t="shared" si="414"/>
        <v>0</v>
      </c>
      <c r="AK755" s="2">
        <f t="shared" si="415"/>
        <v>0</v>
      </c>
      <c r="AL755" s="2">
        <f t="shared" si="416"/>
        <v>0</v>
      </c>
      <c r="AM755" s="11"/>
      <c r="AN755" s="2" t="e">
        <f t="shared" si="425"/>
        <v>#N/A</v>
      </c>
      <c r="AO755" s="2" t="e">
        <f t="shared" si="426"/>
        <v>#N/A</v>
      </c>
      <c r="AP755" s="2" t="e">
        <f t="shared" si="427"/>
        <v>#N/A</v>
      </c>
      <c r="AQ755" s="2" t="e">
        <f t="shared" si="428"/>
        <v>#N/A</v>
      </c>
      <c r="AR755" s="2" t="e">
        <f t="shared" si="429"/>
        <v>#N/A</v>
      </c>
      <c r="AS755" s="2" t="e">
        <f t="shared" si="430"/>
        <v>#DIV/0!</v>
      </c>
      <c r="AT755" s="9" t="e">
        <f t="shared" ca="1" si="431"/>
        <v>#N/A</v>
      </c>
      <c r="AU755" s="9" t="e">
        <f t="shared" ca="1" si="432"/>
        <v>#N/A</v>
      </c>
      <c r="AW755" s="2" t="e">
        <f t="shared" si="417"/>
        <v>#N/A</v>
      </c>
      <c r="AX755" s="2" t="e">
        <f t="shared" si="418"/>
        <v>#N/A</v>
      </c>
      <c r="AY755" s="2" t="e">
        <f t="shared" si="419"/>
        <v>#N/A</v>
      </c>
      <c r="AZ755" s="2" t="e">
        <f t="shared" si="420"/>
        <v>#N/A</v>
      </c>
      <c r="BA755" s="2" t="e">
        <f t="shared" si="421"/>
        <v>#N/A</v>
      </c>
      <c r="BB755" s="2" t="e">
        <f t="shared" si="422"/>
        <v>#DIV/0!</v>
      </c>
      <c r="BC755" s="9" t="e">
        <f t="shared" ca="1" si="423"/>
        <v>#N/A</v>
      </c>
      <c r="BD755" s="9" t="e">
        <f t="shared" ca="1" si="424"/>
        <v>#N/A</v>
      </c>
    </row>
    <row r="756" spans="1:56" ht="15" x14ac:dyDescent="0.25">
      <c r="A756"/>
      <c r="B756"/>
      <c r="C756"/>
      <c r="D756"/>
      <c r="E756"/>
      <c r="F756"/>
      <c r="G756"/>
      <c r="H756"/>
      <c r="I756"/>
      <c r="J756"/>
      <c r="K756"/>
      <c r="L756" s="64"/>
      <c r="M756" s="64"/>
      <c r="N756" s="16"/>
      <c r="O756" s="11"/>
      <c r="P756" s="11"/>
      <c r="Q756" s="11"/>
      <c r="R756" s="11"/>
      <c r="S756" s="11"/>
      <c r="T756" s="11"/>
      <c r="U756" s="11">
        <f t="shared" si="433"/>
        <v>0</v>
      </c>
      <c r="V756" s="2">
        <f t="shared" si="434"/>
        <v>0</v>
      </c>
      <c r="W756" s="11">
        <f t="shared" si="403"/>
        <v>0</v>
      </c>
      <c r="X756" s="2">
        <f t="shared" si="404"/>
        <v>0</v>
      </c>
      <c r="Y756" s="2">
        <f t="shared" si="405"/>
        <v>0</v>
      </c>
      <c r="Z756" s="11">
        <f t="shared" si="406"/>
        <v>0</v>
      </c>
      <c r="AA756" s="2">
        <f t="shared" si="407"/>
        <v>0</v>
      </c>
      <c r="AB756" s="11">
        <f t="shared" si="408"/>
        <v>0</v>
      </c>
      <c r="AC756" s="2">
        <f t="shared" si="409"/>
        <v>0</v>
      </c>
      <c r="AF756" s="11">
        <f t="shared" si="410"/>
        <v>0</v>
      </c>
      <c r="AG756" s="2">
        <f t="shared" si="411"/>
        <v>0</v>
      </c>
      <c r="AH756" s="2">
        <f t="shared" si="412"/>
        <v>0</v>
      </c>
      <c r="AI756" s="2">
        <f t="shared" si="413"/>
        <v>0</v>
      </c>
      <c r="AJ756" s="2">
        <f t="shared" si="414"/>
        <v>0</v>
      </c>
      <c r="AK756" s="2">
        <f t="shared" si="415"/>
        <v>0</v>
      </c>
      <c r="AL756" s="2">
        <f t="shared" si="416"/>
        <v>0</v>
      </c>
      <c r="AM756" s="11"/>
      <c r="AN756" s="2" t="e">
        <f t="shared" si="425"/>
        <v>#N/A</v>
      </c>
      <c r="AO756" s="2" t="e">
        <f t="shared" si="426"/>
        <v>#N/A</v>
      </c>
      <c r="AP756" s="2" t="e">
        <f t="shared" si="427"/>
        <v>#N/A</v>
      </c>
      <c r="AQ756" s="2" t="e">
        <f t="shared" si="428"/>
        <v>#N/A</v>
      </c>
      <c r="AR756" s="2" t="e">
        <f t="shared" si="429"/>
        <v>#N/A</v>
      </c>
      <c r="AS756" s="2" t="e">
        <f t="shared" si="430"/>
        <v>#DIV/0!</v>
      </c>
      <c r="AT756" s="9" t="e">
        <f t="shared" ca="1" si="431"/>
        <v>#N/A</v>
      </c>
      <c r="AU756" s="9" t="e">
        <f t="shared" ca="1" si="432"/>
        <v>#N/A</v>
      </c>
      <c r="AW756" s="2" t="e">
        <f t="shared" si="417"/>
        <v>#N/A</v>
      </c>
      <c r="AX756" s="2" t="e">
        <f t="shared" si="418"/>
        <v>#N/A</v>
      </c>
      <c r="AY756" s="2" t="e">
        <f t="shared" si="419"/>
        <v>#N/A</v>
      </c>
      <c r="AZ756" s="2" t="e">
        <f t="shared" si="420"/>
        <v>#N/A</v>
      </c>
      <c r="BA756" s="2" t="e">
        <f t="shared" si="421"/>
        <v>#N/A</v>
      </c>
      <c r="BB756" s="2" t="e">
        <f t="shared" si="422"/>
        <v>#DIV/0!</v>
      </c>
      <c r="BC756" s="9" t="e">
        <f t="shared" ca="1" si="423"/>
        <v>#N/A</v>
      </c>
      <c r="BD756" s="9" t="e">
        <f t="shared" ca="1" si="424"/>
        <v>#N/A</v>
      </c>
    </row>
    <row r="757" spans="1:56" ht="15" x14ac:dyDescent="0.25">
      <c r="A757"/>
      <c r="B757"/>
      <c r="C757"/>
      <c r="D757"/>
      <c r="E757"/>
      <c r="F757"/>
      <c r="G757"/>
      <c r="H757"/>
      <c r="I757"/>
      <c r="J757"/>
      <c r="K757"/>
      <c r="L757" s="64"/>
      <c r="M757" s="64"/>
      <c r="N757" s="16"/>
      <c r="O757" s="11"/>
      <c r="P757" s="11"/>
      <c r="Q757" s="11"/>
      <c r="R757" s="11"/>
      <c r="S757" s="11"/>
      <c r="T757" s="11"/>
      <c r="U757" s="11">
        <f t="shared" si="433"/>
        <v>0</v>
      </c>
      <c r="V757" s="2">
        <f t="shared" si="434"/>
        <v>0</v>
      </c>
      <c r="W757" s="11">
        <f t="shared" si="403"/>
        <v>0</v>
      </c>
      <c r="X757" s="2">
        <f t="shared" si="404"/>
        <v>0</v>
      </c>
      <c r="Y757" s="2">
        <f t="shared" si="405"/>
        <v>0</v>
      </c>
      <c r="Z757" s="11">
        <f t="shared" si="406"/>
        <v>0</v>
      </c>
      <c r="AA757" s="2">
        <f t="shared" si="407"/>
        <v>0</v>
      </c>
      <c r="AB757" s="11">
        <f t="shared" si="408"/>
        <v>0</v>
      </c>
      <c r="AC757" s="2">
        <f t="shared" si="409"/>
        <v>0</v>
      </c>
      <c r="AF757" s="11">
        <f t="shared" si="410"/>
        <v>0</v>
      </c>
      <c r="AG757" s="2">
        <f t="shared" si="411"/>
        <v>0</v>
      </c>
      <c r="AH757" s="2">
        <f t="shared" si="412"/>
        <v>0</v>
      </c>
      <c r="AI757" s="2">
        <f t="shared" si="413"/>
        <v>0</v>
      </c>
      <c r="AJ757" s="2">
        <f t="shared" si="414"/>
        <v>0</v>
      </c>
      <c r="AK757" s="2">
        <f t="shared" si="415"/>
        <v>0</v>
      </c>
      <c r="AL757" s="2">
        <f t="shared" si="416"/>
        <v>0</v>
      </c>
      <c r="AM757" s="11"/>
      <c r="AN757" s="2" t="e">
        <f t="shared" si="425"/>
        <v>#N/A</v>
      </c>
      <c r="AO757" s="2" t="e">
        <f t="shared" si="426"/>
        <v>#N/A</v>
      </c>
      <c r="AP757" s="2" t="e">
        <f t="shared" si="427"/>
        <v>#N/A</v>
      </c>
      <c r="AQ757" s="2" t="e">
        <f t="shared" si="428"/>
        <v>#N/A</v>
      </c>
      <c r="AR757" s="2" t="e">
        <f t="shared" si="429"/>
        <v>#N/A</v>
      </c>
      <c r="AS757" s="2" t="e">
        <f t="shared" si="430"/>
        <v>#DIV/0!</v>
      </c>
      <c r="AT757" s="9" t="e">
        <f t="shared" ca="1" si="431"/>
        <v>#N/A</v>
      </c>
      <c r="AU757" s="9" t="e">
        <f t="shared" ca="1" si="432"/>
        <v>#N/A</v>
      </c>
      <c r="AW757" s="2" t="e">
        <f t="shared" si="417"/>
        <v>#N/A</v>
      </c>
      <c r="AX757" s="2" t="e">
        <f t="shared" si="418"/>
        <v>#N/A</v>
      </c>
      <c r="AY757" s="2" t="e">
        <f t="shared" si="419"/>
        <v>#N/A</v>
      </c>
      <c r="AZ757" s="2" t="e">
        <f t="shared" si="420"/>
        <v>#N/A</v>
      </c>
      <c r="BA757" s="2" t="e">
        <f t="shared" si="421"/>
        <v>#N/A</v>
      </c>
      <c r="BB757" s="2" t="e">
        <f t="shared" si="422"/>
        <v>#DIV/0!</v>
      </c>
      <c r="BC757" s="9" t="e">
        <f t="shared" ca="1" si="423"/>
        <v>#N/A</v>
      </c>
      <c r="BD757" s="9" t="e">
        <f t="shared" ca="1" si="424"/>
        <v>#N/A</v>
      </c>
    </row>
    <row r="758" spans="1:56" ht="15" x14ac:dyDescent="0.25">
      <c r="A758"/>
      <c r="B758"/>
      <c r="C758"/>
      <c r="D758"/>
      <c r="E758"/>
      <c r="F758"/>
      <c r="G758"/>
      <c r="H758"/>
      <c r="I758"/>
      <c r="J758"/>
      <c r="K758"/>
      <c r="L758" s="64"/>
      <c r="M758" s="64"/>
      <c r="N758" s="16"/>
      <c r="O758" s="11"/>
      <c r="P758" s="11"/>
      <c r="Q758" s="11"/>
      <c r="R758" s="11"/>
      <c r="S758" s="11"/>
      <c r="T758" s="11"/>
      <c r="U758" s="11">
        <f t="shared" si="433"/>
        <v>0</v>
      </c>
      <c r="V758" s="2">
        <f t="shared" si="434"/>
        <v>0</v>
      </c>
      <c r="W758" s="11">
        <f t="shared" si="403"/>
        <v>0</v>
      </c>
      <c r="X758" s="2">
        <f t="shared" si="404"/>
        <v>0</v>
      </c>
      <c r="Y758" s="2">
        <f t="shared" si="405"/>
        <v>0</v>
      </c>
      <c r="Z758" s="11">
        <f t="shared" si="406"/>
        <v>0</v>
      </c>
      <c r="AA758" s="2">
        <f t="shared" si="407"/>
        <v>0</v>
      </c>
      <c r="AB758" s="11">
        <f t="shared" si="408"/>
        <v>0</v>
      </c>
      <c r="AC758" s="2">
        <f t="shared" si="409"/>
        <v>0</v>
      </c>
      <c r="AF758" s="11">
        <f t="shared" si="410"/>
        <v>0</v>
      </c>
      <c r="AG758" s="2">
        <f t="shared" si="411"/>
        <v>0</v>
      </c>
      <c r="AH758" s="2">
        <f t="shared" si="412"/>
        <v>0</v>
      </c>
      <c r="AI758" s="2">
        <f t="shared" si="413"/>
        <v>0</v>
      </c>
      <c r="AJ758" s="2">
        <f t="shared" si="414"/>
        <v>0</v>
      </c>
      <c r="AK758" s="2">
        <f t="shared" si="415"/>
        <v>0</v>
      </c>
      <c r="AL758" s="2">
        <f t="shared" si="416"/>
        <v>0</v>
      </c>
      <c r="AM758" s="11"/>
      <c r="AN758" s="2" t="e">
        <f t="shared" si="425"/>
        <v>#N/A</v>
      </c>
      <c r="AO758" s="2" t="e">
        <f t="shared" si="426"/>
        <v>#N/A</v>
      </c>
      <c r="AP758" s="2" t="e">
        <f t="shared" si="427"/>
        <v>#N/A</v>
      </c>
      <c r="AQ758" s="2" t="e">
        <f t="shared" si="428"/>
        <v>#N/A</v>
      </c>
      <c r="AR758" s="2" t="e">
        <f t="shared" si="429"/>
        <v>#N/A</v>
      </c>
      <c r="AS758" s="2" t="e">
        <f t="shared" si="430"/>
        <v>#DIV/0!</v>
      </c>
      <c r="AT758" s="9" t="e">
        <f t="shared" ca="1" si="431"/>
        <v>#N/A</v>
      </c>
      <c r="AU758" s="9" t="e">
        <f t="shared" ca="1" si="432"/>
        <v>#N/A</v>
      </c>
      <c r="AW758" s="2" t="e">
        <f t="shared" si="417"/>
        <v>#N/A</v>
      </c>
      <c r="AX758" s="2" t="e">
        <f t="shared" si="418"/>
        <v>#N/A</v>
      </c>
      <c r="AY758" s="2" t="e">
        <f t="shared" si="419"/>
        <v>#N/A</v>
      </c>
      <c r="AZ758" s="2" t="e">
        <f t="shared" si="420"/>
        <v>#N/A</v>
      </c>
      <c r="BA758" s="2" t="e">
        <f t="shared" si="421"/>
        <v>#N/A</v>
      </c>
      <c r="BB758" s="2" t="e">
        <f t="shared" si="422"/>
        <v>#DIV/0!</v>
      </c>
      <c r="BC758" s="9" t="e">
        <f t="shared" ca="1" si="423"/>
        <v>#N/A</v>
      </c>
      <c r="BD758" s="9" t="e">
        <f t="shared" ca="1" si="424"/>
        <v>#N/A</v>
      </c>
    </row>
    <row r="759" spans="1:56" ht="15" x14ac:dyDescent="0.25">
      <c r="A759"/>
      <c r="B759"/>
      <c r="C759"/>
      <c r="D759"/>
      <c r="E759"/>
      <c r="F759"/>
      <c r="G759"/>
      <c r="H759"/>
      <c r="I759"/>
      <c r="J759"/>
      <c r="K759"/>
      <c r="L759" s="64"/>
      <c r="M759" s="64"/>
      <c r="N759" s="16"/>
      <c r="O759" s="11"/>
      <c r="P759" s="11"/>
      <c r="Q759" s="11"/>
      <c r="R759" s="11"/>
      <c r="S759" s="11"/>
      <c r="T759" s="11"/>
      <c r="U759" s="11">
        <f t="shared" si="433"/>
        <v>0</v>
      </c>
      <c r="V759" s="2">
        <f t="shared" si="434"/>
        <v>0</v>
      </c>
      <c r="W759" s="11">
        <f t="shared" si="403"/>
        <v>0</v>
      </c>
      <c r="X759" s="2">
        <f t="shared" si="404"/>
        <v>0</v>
      </c>
      <c r="Y759" s="2">
        <f t="shared" si="405"/>
        <v>0</v>
      </c>
      <c r="Z759" s="11">
        <f t="shared" si="406"/>
        <v>0</v>
      </c>
      <c r="AA759" s="2">
        <f t="shared" si="407"/>
        <v>0</v>
      </c>
      <c r="AB759" s="11">
        <f t="shared" si="408"/>
        <v>0</v>
      </c>
      <c r="AC759" s="2">
        <f t="shared" si="409"/>
        <v>0</v>
      </c>
      <c r="AF759" s="11">
        <f t="shared" si="410"/>
        <v>0</v>
      </c>
      <c r="AG759" s="2">
        <f t="shared" si="411"/>
        <v>0</v>
      </c>
      <c r="AH759" s="2">
        <f t="shared" si="412"/>
        <v>0</v>
      </c>
      <c r="AI759" s="2">
        <f t="shared" si="413"/>
        <v>0</v>
      </c>
      <c r="AJ759" s="2">
        <f t="shared" si="414"/>
        <v>0</v>
      </c>
      <c r="AK759" s="2">
        <f t="shared" si="415"/>
        <v>0</v>
      </c>
      <c r="AL759" s="2">
        <f t="shared" si="416"/>
        <v>0</v>
      </c>
      <c r="AM759" s="11"/>
      <c r="AN759" s="2" t="e">
        <f t="shared" si="425"/>
        <v>#N/A</v>
      </c>
      <c r="AO759" s="2" t="e">
        <f t="shared" si="426"/>
        <v>#N/A</v>
      </c>
      <c r="AP759" s="2" t="e">
        <f t="shared" si="427"/>
        <v>#N/A</v>
      </c>
      <c r="AQ759" s="2" t="e">
        <f t="shared" si="428"/>
        <v>#N/A</v>
      </c>
      <c r="AR759" s="2" t="e">
        <f t="shared" si="429"/>
        <v>#N/A</v>
      </c>
      <c r="AS759" s="2" t="e">
        <f t="shared" si="430"/>
        <v>#DIV/0!</v>
      </c>
      <c r="AT759" s="9" t="e">
        <f t="shared" ca="1" si="431"/>
        <v>#N/A</v>
      </c>
      <c r="AU759" s="9" t="e">
        <f t="shared" ca="1" si="432"/>
        <v>#N/A</v>
      </c>
      <c r="AW759" s="2" t="e">
        <f t="shared" si="417"/>
        <v>#N/A</v>
      </c>
      <c r="AX759" s="2" t="e">
        <f t="shared" si="418"/>
        <v>#N/A</v>
      </c>
      <c r="AY759" s="2" t="e">
        <f t="shared" si="419"/>
        <v>#N/A</v>
      </c>
      <c r="AZ759" s="2" t="e">
        <f t="shared" si="420"/>
        <v>#N/A</v>
      </c>
      <c r="BA759" s="2" t="e">
        <f t="shared" si="421"/>
        <v>#N/A</v>
      </c>
      <c r="BB759" s="2" t="e">
        <f t="shared" si="422"/>
        <v>#DIV/0!</v>
      </c>
      <c r="BC759" s="9" t="e">
        <f t="shared" ca="1" si="423"/>
        <v>#N/A</v>
      </c>
      <c r="BD759" s="9" t="e">
        <f t="shared" ca="1" si="424"/>
        <v>#N/A</v>
      </c>
    </row>
    <row r="760" spans="1:56" ht="15" x14ac:dyDescent="0.25">
      <c r="A760"/>
      <c r="B760"/>
      <c r="C760"/>
      <c r="D760"/>
      <c r="E760"/>
      <c r="F760"/>
      <c r="G760"/>
      <c r="H760"/>
      <c r="I760"/>
      <c r="J760"/>
      <c r="K760"/>
      <c r="L760" s="64"/>
      <c r="M760" s="64"/>
      <c r="N760" s="16"/>
      <c r="O760" s="11"/>
      <c r="P760" s="11"/>
      <c r="Q760" s="11"/>
      <c r="R760" s="11"/>
      <c r="S760" s="11"/>
      <c r="T760" s="11"/>
      <c r="U760" s="11">
        <f t="shared" si="433"/>
        <v>0</v>
      </c>
      <c r="V760" s="2">
        <f t="shared" si="434"/>
        <v>0</v>
      </c>
      <c r="W760" s="11">
        <f t="shared" si="403"/>
        <v>0</v>
      </c>
      <c r="X760" s="2">
        <f t="shared" si="404"/>
        <v>0</v>
      </c>
      <c r="Y760" s="2">
        <f t="shared" si="405"/>
        <v>0</v>
      </c>
      <c r="Z760" s="11">
        <f t="shared" si="406"/>
        <v>0</v>
      </c>
      <c r="AA760" s="2">
        <f t="shared" si="407"/>
        <v>0</v>
      </c>
      <c r="AB760" s="11">
        <f t="shared" si="408"/>
        <v>0</v>
      </c>
      <c r="AC760" s="2">
        <f t="shared" si="409"/>
        <v>0</v>
      </c>
      <c r="AF760" s="11">
        <f t="shared" si="410"/>
        <v>0</v>
      </c>
      <c r="AG760" s="2">
        <f t="shared" si="411"/>
        <v>0</v>
      </c>
      <c r="AH760" s="2">
        <f t="shared" si="412"/>
        <v>0</v>
      </c>
      <c r="AI760" s="2">
        <f t="shared" si="413"/>
        <v>0</v>
      </c>
      <c r="AJ760" s="2">
        <f t="shared" si="414"/>
        <v>0</v>
      </c>
      <c r="AK760" s="2">
        <f t="shared" si="415"/>
        <v>0</v>
      </c>
      <c r="AL760" s="2">
        <f t="shared" si="416"/>
        <v>0</v>
      </c>
      <c r="AM760" s="11"/>
      <c r="AN760" s="2" t="e">
        <f t="shared" si="425"/>
        <v>#N/A</v>
      </c>
      <c r="AO760" s="2" t="e">
        <f t="shared" si="426"/>
        <v>#N/A</v>
      </c>
      <c r="AP760" s="2" t="e">
        <f t="shared" si="427"/>
        <v>#N/A</v>
      </c>
      <c r="AQ760" s="2" t="e">
        <f t="shared" si="428"/>
        <v>#N/A</v>
      </c>
      <c r="AR760" s="2" t="e">
        <f t="shared" si="429"/>
        <v>#N/A</v>
      </c>
      <c r="AS760" s="2" t="e">
        <f t="shared" si="430"/>
        <v>#DIV/0!</v>
      </c>
      <c r="AT760" s="9" t="e">
        <f t="shared" ca="1" si="431"/>
        <v>#N/A</v>
      </c>
      <c r="AU760" s="9" t="e">
        <f t="shared" ca="1" si="432"/>
        <v>#N/A</v>
      </c>
      <c r="AW760" s="2" t="e">
        <f t="shared" si="417"/>
        <v>#N/A</v>
      </c>
      <c r="AX760" s="2" t="e">
        <f t="shared" si="418"/>
        <v>#N/A</v>
      </c>
      <c r="AY760" s="2" t="e">
        <f t="shared" si="419"/>
        <v>#N/A</v>
      </c>
      <c r="AZ760" s="2" t="e">
        <f t="shared" si="420"/>
        <v>#N/A</v>
      </c>
      <c r="BA760" s="2" t="e">
        <f t="shared" si="421"/>
        <v>#N/A</v>
      </c>
      <c r="BB760" s="2" t="e">
        <f t="shared" si="422"/>
        <v>#DIV/0!</v>
      </c>
      <c r="BC760" s="9" t="e">
        <f t="shared" ca="1" si="423"/>
        <v>#N/A</v>
      </c>
      <c r="BD760" s="9" t="e">
        <f t="shared" ca="1" si="424"/>
        <v>#N/A</v>
      </c>
    </row>
    <row r="761" spans="1:56" ht="15" x14ac:dyDescent="0.25">
      <c r="A761"/>
      <c r="B761"/>
      <c r="C761"/>
      <c r="D761"/>
      <c r="E761"/>
      <c r="F761"/>
      <c r="G761"/>
      <c r="H761"/>
      <c r="I761"/>
      <c r="J761"/>
      <c r="K761"/>
      <c r="L761" s="64"/>
      <c r="M761" s="64"/>
      <c r="N761" s="16"/>
      <c r="O761" s="11"/>
      <c r="P761" s="11"/>
      <c r="Q761" s="11"/>
      <c r="R761" s="11"/>
      <c r="S761" s="11"/>
      <c r="T761" s="11"/>
      <c r="U761" s="11">
        <f t="shared" si="433"/>
        <v>0</v>
      </c>
      <c r="V761" s="2">
        <f t="shared" si="434"/>
        <v>0</v>
      </c>
      <c r="W761" s="11">
        <f t="shared" si="403"/>
        <v>0</v>
      </c>
      <c r="X761" s="2">
        <f t="shared" si="404"/>
        <v>0</v>
      </c>
      <c r="Y761" s="2">
        <f t="shared" si="405"/>
        <v>0</v>
      </c>
      <c r="Z761" s="11">
        <f t="shared" si="406"/>
        <v>0</v>
      </c>
      <c r="AA761" s="2">
        <f t="shared" si="407"/>
        <v>0</v>
      </c>
      <c r="AB761" s="11">
        <f t="shared" si="408"/>
        <v>0</v>
      </c>
      <c r="AC761" s="2">
        <f t="shared" si="409"/>
        <v>0</v>
      </c>
      <c r="AF761" s="11">
        <f t="shared" si="410"/>
        <v>0</v>
      </c>
      <c r="AG761" s="2">
        <f t="shared" si="411"/>
        <v>0</v>
      </c>
      <c r="AH761" s="2">
        <f t="shared" si="412"/>
        <v>0</v>
      </c>
      <c r="AI761" s="2">
        <f t="shared" si="413"/>
        <v>0</v>
      </c>
      <c r="AJ761" s="2">
        <f t="shared" si="414"/>
        <v>0</v>
      </c>
      <c r="AK761" s="2">
        <f t="shared" si="415"/>
        <v>0</v>
      </c>
      <c r="AL761" s="2">
        <f t="shared" si="416"/>
        <v>0</v>
      </c>
      <c r="AM761" s="11"/>
      <c r="AN761" s="2" t="e">
        <f t="shared" si="425"/>
        <v>#N/A</v>
      </c>
      <c r="AO761" s="2" t="e">
        <f t="shared" si="426"/>
        <v>#N/A</v>
      </c>
      <c r="AP761" s="2" t="e">
        <f t="shared" si="427"/>
        <v>#N/A</v>
      </c>
      <c r="AQ761" s="2" t="e">
        <f t="shared" si="428"/>
        <v>#N/A</v>
      </c>
      <c r="AR761" s="2" t="e">
        <f t="shared" si="429"/>
        <v>#N/A</v>
      </c>
      <c r="AS761" s="2" t="e">
        <f t="shared" si="430"/>
        <v>#DIV/0!</v>
      </c>
      <c r="AT761" s="9" t="e">
        <f t="shared" ca="1" si="431"/>
        <v>#N/A</v>
      </c>
      <c r="AU761" s="9" t="e">
        <f t="shared" ca="1" si="432"/>
        <v>#N/A</v>
      </c>
      <c r="AW761" s="2" t="e">
        <f t="shared" si="417"/>
        <v>#N/A</v>
      </c>
      <c r="AX761" s="2" t="e">
        <f t="shared" si="418"/>
        <v>#N/A</v>
      </c>
      <c r="AY761" s="2" t="e">
        <f t="shared" si="419"/>
        <v>#N/A</v>
      </c>
      <c r="AZ761" s="2" t="e">
        <f t="shared" si="420"/>
        <v>#N/A</v>
      </c>
      <c r="BA761" s="2" t="e">
        <f t="shared" si="421"/>
        <v>#N/A</v>
      </c>
      <c r="BB761" s="2" t="e">
        <f t="shared" si="422"/>
        <v>#DIV/0!</v>
      </c>
      <c r="BC761" s="9" t="e">
        <f t="shared" ca="1" si="423"/>
        <v>#N/A</v>
      </c>
      <c r="BD761" s="9" t="e">
        <f t="shared" ca="1" si="424"/>
        <v>#N/A</v>
      </c>
    </row>
    <row r="762" spans="1:56" ht="15" x14ac:dyDescent="0.25">
      <c r="A762"/>
      <c r="B762"/>
      <c r="C762"/>
      <c r="D762"/>
      <c r="E762"/>
      <c r="F762"/>
      <c r="G762"/>
      <c r="H762"/>
      <c r="I762"/>
      <c r="J762"/>
      <c r="K762"/>
      <c r="L762" s="64"/>
      <c r="M762" s="64"/>
      <c r="N762" s="16"/>
      <c r="O762" s="11"/>
      <c r="P762" s="11"/>
      <c r="Q762" s="11"/>
      <c r="R762" s="11"/>
      <c r="S762" s="11"/>
      <c r="T762" s="11"/>
      <c r="U762" s="11">
        <f t="shared" si="433"/>
        <v>0</v>
      </c>
      <c r="V762" s="2">
        <f t="shared" si="434"/>
        <v>0</v>
      </c>
      <c r="W762" s="11">
        <f t="shared" si="403"/>
        <v>0</v>
      </c>
      <c r="X762" s="2">
        <f t="shared" si="404"/>
        <v>0</v>
      </c>
      <c r="Y762" s="2">
        <f t="shared" si="405"/>
        <v>0</v>
      </c>
      <c r="Z762" s="11">
        <f t="shared" si="406"/>
        <v>0</v>
      </c>
      <c r="AA762" s="2">
        <f t="shared" si="407"/>
        <v>0</v>
      </c>
      <c r="AB762" s="11">
        <f t="shared" si="408"/>
        <v>0</v>
      </c>
      <c r="AC762" s="2">
        <f t="shared" si="409"/>
        <v>0</v>
      </c>
      <c r="AF762" s="11">
        <f t="shared" si="410"/>
        <v>0</v>
      </c>
      <c r="AG762" s="2">
        <f t="shared" si="411"/>
        <v>0</v>
      </c>
      <c r="AH762" s="2">
        <f t="shared" si="412"/>
        <v>0</v>
      </c>
      <c r="AI762" s="2">
        <f t="shared" si="413"/>
        <v>0</v>
      </c>
      <c r="AJ762" s="2">
        <f t="shared" si="414"/>
        <v>0</v>
      </c>
      <c r="AK762" s="2">
        <f t="shared" si="415"/>
        <v>0</v>
      </c>
      <c r="AL762" s="2">
        <f t="shared" si="416"/>
        <v>0</v>
      </c>
      <c r="AM762" s="11"/>
      <c r="AN762" s="2" t="e">
        <f t="shared" si="425"/>
        <v>#N/A</v>
      </c>
      <c r="AO762" s="2" t="e">
        <f t="shared" si="426"/>
        <v>#N/A</v>
      </c>
      <c r="AP762" s="2" t="e">
        <f t="shared" si="427"/>
        <v>#N/A</v>
      </c>
      <c r="AQ762" s="2" t="e">
        <f t="shared" si="428"/>
        <v>#N/A</v>
      </c>
      <c r="AR762" s="2" t="e">
        <f t="shared" si="429"/>
        <v>#N/A</v>
      </c>
      <c r="AS762" s="2" t="e">
        <f t="shared" si="430"/>
        <v>#DIV/0!</v>
      </c>
      <c r="AT762" s="9" t="e">
        <f t="shared" ca="1" si="431"/>
        <v>#N/A</v>
      </c>
      <c r="AU762" s="9" t="e">
        <f t="shared" ca="1" si="432"/>
        <v>#N/A</v>
      </c>
      <c r="AW762" s="2" t="e">
        <f t="shared" si="417"/>
        <v>#N/A</v>
      </c>
      <c r="AX762" s="2" t="e">
        <f t="shared" si="418"/>
        <v>#N/A</v>
      </c>
      <c r="AY762" s="2" t="e">
        <f t="shared" si="419"/>
        <v>#N/A</v>
      </c>
      <c r="AZ762" s="2" t="e">
        <f t="shared" si="420"/>
        <v>#N/A</v>
      </c>
      <c r="BA762" s="2" t="e">
        <f t="shared" si="421"/>
        <v>#N/A</v>
      </c>
      <c r="BB762" s="2" t="e">
        <f t="shared" si="422"/>
        <v>#DIV/0!</v>
      </c>
      <c r="BC762" s="9" t="e">
        <f t="shared" ca="1" si="423"/>
        <v>#N/A</v>
      </c>
      <c r="BD762" s="9" t="e">
        <f t="shared" ca="1" si="424"/>
        <v>#N/A</v>
      </c>
    </row>
    <row r="763" spans="1:56" ht="15" x14ac:dyDescent="0.25">
      <c r="A763"/>
      <c r="B763"/>
      <c r="C763"/>
      <c r="D763"/>
      <c r="E763"/>
      <c r="F763"/>
      <c r="G763"/>
      <c r="H763"/>
      <c r="I763"/>
      <c r="J763"/>
      <c r="K763"/>
      <c r="L763" s="64"/>
      <c r="M763" s="64"/>
      <c r="N763" s="16"/>
      <c r="O763" s="11"/>
      <c r="P763" s="11"/>
      <c r="Q763" s="11"/>
      <c r="R763" s="11"/>
      <c r="S763" s="11"/>
      <c r="T763" s="11"/>
      <c r="U763" s="11">
        <f t="shared" si="433"/>
        <v>0</v>
      </c>
      <c r="V763" s="2">
        <f t="shared" si="434"/>
        <v>0</v>
      </c>
      <c r="W763" s="11">
        <f t="shared" si="403"/>
        <v>0</v>
      </c>
      <c r="X763" s="2">
        <f t="shared" si="404"/>
        <v>0</v>
      </c>
      <c r="Y763" s="2">
        <f t="shared" si="405"/>
        <v>0</v>
      </c>
      <c r="Z763" s="11">
        <f t="shared" si="406"/>
        <v>0</v>
      </c>
      <c r="AA763" s="2">
        <f t="shared" si="407"/>
        <v>0</v>
      </c>
      <c r="AB763" s="11">
        <f t="shared" si="408"/>
        <v>0</v>
      </c>
      <c r="AC763" s="2">
        <f t="shared" si="409"/>
        <v>0</v>
      </c>
      <c r="AF763" s="11">
        <f t="shared" si="410"/>
        <v>0</v>
      </c>
      <c r="AG763" s="2">
        <f t="shared" si="411"/>
        <v>0</v>
      </c>
      <c r="AH763" s="2">
        <f t="shared" si="412"/>
        <v>0</v>
      </c>
      <c r="AI763" s="2">
        <f t="shared" si="413"/>
        <v>0</v>
      </c>
      <c r="AJ763" s="2">
        <f t="shared" si="414"/>
        <v>0</v>
      </c>
      <c r="AK763" s="2">
        <f t="shared" si="415"/>
        <v>0</v>
      </c>
      <c r="AL763" s="2">
        <f t="shared" si="416"/>
        <v>0</v>
      </c>
      <c r="AM763" s="11"/>
      <c r="AN763" s="2" t="e">
        <f t="shared" si="425"/>
        <v>#N/A</v>
      </c>
      <c r="AO763" s="2" t="e">
        <f t="shared" si="426"/>
        <v>#N/A</v>
      </c>
      <c r="AP763" s="2" t="e">
        <f t="shared" si="427"/>
        <v>#N/A</v>
      </c>
      <c r="AQ763" s="2" t="e">
        <f t="shared" si="428"/>
        <v>#N/A</v>
      </c>
      <c r="AR763" s="2" t="e">
        <f t="shared" si="429"/>
        <v>#N/A</v>
      </c>
      <c r="AS763" s="2" t="e">
        <f t="shared" si="430"/>
        <v>#DIV/0!</v>
      </c>
      <c r="AT763" s="9" t="e">
        <f t="shared" ca="1" si="431"/>
        <v>#N/A</v>
      </c>
      <c r="AU763" s="9" t="e">
        <f t="shared" ca="1" si="432"/>
        <v>#N/A</v>
      </c>
      <c r="AW763" s="2" t="e">
        <f t="shared" si="417"/>
        <v>#N/A</v>
      </c>
      <c r="AX763" s="2" t="e">
        <f t="shared" si="418"/>
        <v>#N/A</v>
      </c>
      <c r="AY763" s="2" t="e">
        <f t="shared" si="419"/>
        <v>#N/A</v>
      </c>
      <c r="AZ763" s="2" t="e">
        <f t="shared" si="420"/>
        <v>#N/A</v>
      </c>
      <c r="BA763" s="2" t="e">
        <f t="shared" si="421"/>
        <v>#N/A</v>
      </c>
      <c r="BB763" s="2" t="e">
        <f t="shared" si="422"/>
        <v>#DIV/0!</v>
      </c>
      <c r="BC763" s="9" t="e">
        <f t="shared" ca="1" si="423"/>
        <v>#N/A</v>
      </c>
      <c r="BD763" s="9" t="e">
        <f t="shared" ca="1" si="424"/>
        <v>#N/A</v>
      </c>
    </row>
    <row r="764" spans="1:56" ht="15" x14ac:dyDescent="0.25">
      <c r="A764"/>
      <c r="B764"/>
      <c r="C764"/>
      <c r="D764"/>
      <c r="E764"/>
      <c r="F764"/>
      <c r="G764"/>
      <c r="H764"/>
      <c r="I764"/>
      <c r="J764"/>
      <c r="K764"/>
      <c r="L764" s="64"/>
      <c r="M764" s="64"/>
      <c r="N764" s="16"/>
      <c r="O764" s="11"/>
      <c r="P764" s="11"/>
      <c r="Q764" s="11"/>
      <c r="R764" s="11"/>
      <c r="S764" s="11"/>
      <c r="T764" s="11"/>
      <c r="U764" s="11">
        <f t="shared" si="433"/>
        <v>0</v>
      </c>
      <c r="V764" s="2">
        <f t="shared" si="434"/>
        <v>0</v>
      </c>
      <c r="W764" s="11">
        <f t="shared" si="403"/>
        <v>0</v>
      </c>
      <c r="X764" s="2">
        <f t="shared" si="404"/>
        <v>0</v>
      </c>
      <c r="Y764" s="2">
        <f t="shared" si="405"/>
        <v>0</v>
      </c>
      <c r="Z764" s="11">
        <f t="shared" si="406"/>
        <v>0</v>
      </c>
      <c r="AA764" s="2">
        <f t="shared" si="407"/>
        <v>0</v>
      </c>
      <c r="AB764" s="11">
        <f t="shared" si="408"/>
        <v>0</v>
      </c>
      <c r="AC764" s="2">
        <f t="shared" si="409"/>
        <v>0</v>
      </c>
      <c r="AF764" s="11">
        <f t="shared" si="410"/>
        <v>0</v>
      </c>
      <c r="AG764" s="2">
        <f t="shared" si="411"/>
        <v>0</v>
      </c>
      <c r="AH764" s="2">
        <f t="shared" si="412"/>
        <v>0</v>
      </c>
      <c r="AI764" s="2">
        <f t="shared" si="413"/>
        <v>0</v>
      </c>
      <c r="AJ764" s="2">
        <f t="shared" si="414"/>
        <v>0</v>
      </c>
      <c r="AK764" s="2">
        <f t="shared" si="415"/>
        <v>0</v>
      </c>
      <c r="AL764" s="2">
        <f t="shared" si="416"/>
        <v>0</v>
      </c>
      <c r="AM764" s="11"/>
      <c r="AN764" s="2" t="e">
        <f t="shared" si="425"/>
        <v>#N/A</v>
      </c>
      <c r="AO764" s="2" t="e">
        <f t="shared" si="426"/>
        <v>#N/A</v>
      </c>
      <c r="AP764" s="2" t="e">
        <f t="shared" si="427"/>
        <v>#N/A</v>
      </c>
      <c r="AQ764" s="2" t="e">
        <f t="shared" si="428"/>
        <v>#N/A</v>
      </c>
      <c r="AR764" s="2" t="e">
        <f t="shared" si="429"/>
        <v>#N/A</v>
      </c>
      <c r="AS764" s="2" t="e">
        <f t="shared" si="430"/>
        <v>#DIV/0!</v>
      </c>
      <c r="AT764" s="9" t="e">
        <f t="shared" ca="1" si="431"/>
        <v>#N/A</v>
      </c>
      <c r="AU764" s="9" t="e">
        <f t="shared" ca="1" si="432"/>
        <v>#N/A</v>
      </c>
      <c r="AW764" s="2" t="e">
        <f t="shared" si="417"/>
        <v>#N/A</v>
      </c>
      <c r="AX764" s="2" t="e">
        <f t="shared" si="418"/>
        <v>#N/A</v>
      </c>
      <c r="AY764" s="2" t="e">
        <f t="shared" si="419"/>
        <v>#N/A</v>
      </c>
      <c r="AZ764" s="2" t="e">
        <f t="shared" si="420"/>
        <v>#N/A</v>
      </c>
      <c r="BA764" s="2" t="e">
        <f t="shared" si="421"/>
        <v>#N/A</v>
      </c>
      <c r="BB764" s="2" t="e">
        <f t="shared" si="422"/>
        <v>#DIV/0!</v>
      </c>
      <c r="BC764" s="9" t="e">
        <f t="shared" ca="1" si="423"/>
        <v>#N/A</v>
      </c>
      <c r="BD764" s="9" t="e">
        <f t="shared" ca="1" si="424"/>
        <v>#N/A</v>
      </c>
    </row>
    <row r="765" spans="1:56" ht="15" x14ac:dyDescent="0.25">
      <c r="A765"/>
      <c r="B765"/>
      <c r="C765"/>
      <c r="D765"/>
      <c r="E765"/>
      <c r="F765"/>
      <c r="G765"/>
      <c r="H765"/>
      <c r="I765"/>
      <c r="J765"/>
      <c r="K765"/>
      <c r="L765" s="64"/>
      <c r="M765" s="64"/>
      <c r="N765" s="16"/>
      <c r="O765" s="11"/>
      <c r="P765" s="11"/>
      <c r="Q765" s="11"/>
      <c r="R765" s="11"/>
      <c r="S765" s="11"/>
      <c r="T765" s="11"/>
      <c r="U765" s="11">
        <f t="shared" si="433"/>
        <v>0</v>
      </c>
      <c r="V765" s="2">
        <f t="shared" si="434"/>
        <v>0</v>
      </c>
      <c r="W765" s="11">
        <f t="shared" si="403"/>
        <v>0</v>
      </c>
      <c r="X765" s="2">
        <f t="shared" si="404"/>
        <v>0</v>
      </c>
      <c r="Y765" s="2">
        <f t="shared" si="405"/>
        <v>0</v>
      </c>
      <c r="Z765" s="11">
        <f t="shared" si="406"/>
        <v>0</v>
      </c>
      <c r="AA765" s="2">
        <f t="shared" si="407"/>
        <v>0</v>
      </c>
      <c r="AB765" s="11">
        <f t="shared" si="408"/>
        <v>0</v>
      </c>
      <c r="AC765" s="2">
        <f t="shared" si="409"/>
        <v>0</v>
      </c>
      <c r="AF765" s="11">
        <f t="shared" si="410"/>
        <v>0</v>
      </c>
      <c r="AG765" s="2">
        <f t="shared" si="411"/>
        <v>0</v>
      </c>
      <c r="AH765" s="2">
        <f t="shared" si="412"/>
        <v>0</v>
      </c>
      <c r="AI765" s="2">
        <f t="shared" si="413"/>
        <v>0</v>
      </c>
      <c r="AJ765" s="2">
        <f t="shared" si="414"/>
        <v>0</v>
      </c>
      <c r="AK765" s="2">
        <f t="shared" si="415"/>
        <v>0</v>
      </c>
      <c r="AL765" s="2">
        <f t="shared" si="416"/>
        <v>0</v>
      </c>
      <c r="AM765" s="11"/>
      <c r="AN765" s="2" t="e">
        <f t="shared" si="425"/>
        <v>#N/A</v>
      </c>
      <c r="AO765" s="2" t="e">
        <f t="shared" si="426"/>
        <v>#N/A</v>
      </c>
      <c r="AP765" s="2" t="e">
        <f t="shared" si="427"/>
        <v>#N/A</v>
      </c>
      <c r="AQ765" s="2" t="e">
        <f t="shared" si="428"/>
        <v>#N/A</v>
      </c>
      <c r="AR765" s="2" t="e">
        <f t="shared" si="429"/>
        <v>#N/A</v>
      </c>
      <c r="AS765" s="2" t="e">
        <f t="shared" si="430"/>
        <v>#DIV/0!</v>
      </c>
      <c r="AT765" s="9" t="e">
        <f t="shared" ca="1" si="431"/>
        <v>#N/A</v>
      </c>
      <c r="AU765" s="9" t="e">
        <f t="shared" ca="1" si="432"/>
        <v>#N/A</v>
      </c>
      <c r="AW765" s="2" t="e">
        <f t="shared" si="417"/>
        <v>#N/A</v>
      </c>
      <c r="AX765" s="2" t="e">
        <f t="shared" si="418"/>
        <v>#N/A</v>
      </c>
      <c r="AY765" s="2" t="e">
        <f t="shared" si="419"/>
        <v>#N/A</v>
      </c>
      <c r="AZ765" s="2" t="e">
        <f t="shared" si="420"/>
        <v>#N/A</v>
      </c>
      <c r="BA765" s="2" t="e">
        <f t="shared" si="421"/>
        <v>#N/A</v>
      </c>
      <c r="BB765" s="2" t="e">
        <f t="shared" si="422"/>
        <v>#DIV/0!</v>
      </c>
      <c r="BC765" s="9" t="e">
        <f t="shared" ca="1" si="423"/>
        <v>#N/A</v>
      </c>
      <c r="BD765" s="9" t="e">
        <f t="shared" ca="1" si="424"/>
        <v>#N/A</v>
      </c>
    </row>
    <row r="766" spans="1:56" ht="15" x14ac:dyDescent="0.25">
      <c r="A766"/>
      <c r="B766"/>
      <c r="C766"/>
      <c r="D766"/>
      <c r="E766"/>
      <c r="F766"/>
      <c r="G766"/>
      <c r="H766"/>
      <c r="I766"/>
      <c r="J766"/>
      <c r="K766"/>
      <c r="L766" s="64"/>
      <c r="M766" s="64"/>
      <c r="N766" s="16"/>
      <c r="O766" s="11"/>
      <c r="P766" s="11"/>
      <c r="Q766" s="11"/>
      <c r="R766" s="11"/>
      <c r="S766" s="11"/>
      <c r="T766" s="11"/>
      <c r="U766" s="11">
        <f t="shared" si="433"/>
        <v>0</v>
      </c>
      <c r="V766" s="2">
        <f t="shared" si="434"/>
        <v>0</v>
      </c>
      <c r="W766" s="11">
        <f t="shared" si="403"/>
        <v>0</v>
      </c>
      <c r="X766" s="2">
        <f t="shared" si="404"/>
        <v>0</v>
      </c>
      <c r="Y766" s="2">
        <f t="shared" si="405"/>
        <v>0</v>
      </c>
      <c r="Z766" s="11">
        <f t="shared" si="406"/>
        <v>0</v>
      </c>
      <c r="AA766" s="2">
        <f t="shared" si="407"/>
        <v>0</v>
      </c>
      <c r="AB766" s="11">
        <f t="shared" si="408"/>
        <v>0</v>
      </c>
      <c r="AC766" s="2">
        <f t="shared" si="409"/>
        <v>0</v>
      </c>
      <c r="AF766" s="11">
        <f t="shared" si="410"/>
        <v>0</v>
      </c>
      <c r="AG766" s="2">
        <f t="shared" si="411"/>
        <v>0</v>
      </c>
      <c r="AH766" s="2">
        <f t="shared" si="412"/>
        <v>0</v>
      </c>
      <c r="AI766" s="2">
        <f t="shared" si="413"/>
        <v>0</v>
      </c>
      <c r="AJ766" s="2">
        <f t="shared" si="414"/>
        <v>0</v>
      </c>
      <c r="AK766" s="2">
        <f t="shared" si="415"/>
        <v>0</v>
      </c>
      <c r="AL766" s="2">
        <f t="shared" si="416"/>
        <v>0</v>
      </c>
      <c r="AM766" s="11"/>
      <c r="AN766" s="2" t="e">
        <f t="shared" si="425"/>
        <v>#N/A</v>
      </c>
      <c r="AO766" s="2" t="e">
        <f t="shared" si="426"/>
        <v>#N/A</v>
      </c>
      <c r="AP766" s="2" t="e">
        <f t="shared" si="427"/>
        <v>#N/A</v>
      </c>
      <c r="AQ766" s="2" t="e">
        <f t="shared" si="428"/>
        <v>#N/A</v>
      </c>
      <c r="AR766" s="2" t="e">
        <f t="shared" si="429"/>
        <v>#N/A</v>
      </c>
      <c r="AS766" s="2" t="e">
        <f t="shared" si="430"/>
        <v>#DIV/0!</v>
      </c>
      <c r="AT766" s="9" t="e">
        <f t="shared" ca="1" si="431"/>
        <v>#N/A</v>
      </c>
      <c r="AU766" s="9" t="e">
        <f t="shared" ca="1" si="432"/>
        <v>#N/A</v>
      </c>
      <c r="AW766" s="2" t="e">
        <f t="shared" si="417"/>
        <v>#N/A</v>
      </c>
      <c r="AX766" s="2" t="e">
        <f t="shared" si="418"/>
        <v>#N/A</v>
      </c>
      <c r="AY766" s="2" t="e">
        <f t="shared" si="419"/>
        <v>#N/A</v>
      </c>
      <c r="AZ766" s="2" t="e">
        <f t="shared" si="420"/>
        <v>#N/A</v>
      </c>
      <c r="BA766" s="2" t="e">
        <f t="shared" si="421"/>
        <v>#N/A</v>
      </c>
      <c r="BB766" s="2" t="e">
        <f t="shared" si="422"/>
        <v>#DIV/0!</v>
      </c>
      <c r="BC766" s="9" t="e">
        <f t="shared" ca="1" si="423"/>
        <v>#N/A</v>
      </c>
      <c r="BD766" s="9" t="e">
        <f t="shared" ca="1" si="424"/>
        <v>#N/A</v>
      </c>
    </row>
    <row r="767" spans="1:56" ht="15" x14ac:dyDescent="0.25">
      <c r="A767"/>
      <c r="B767"/>
      <c r="C767"/>
      <c r="D767"/>
      <c r="E767"/>
      <c r="F767"/>
      <c r="G767"/>
      <c r="H767"/>
      <c r="I767"/>
      <c r="J767"/>
      <c r="K767"/>
      <c r="L767" s="64"/>
      <c r="M767" s="64"/>
      <c r="N767" s="16"/>
      <c r="O767" s="11"/>
      <c r="P767" s="11"/>
      <c r="Q767" s="11"/>
      <c r="R767" s="11"/>
      <c r="S767" s="11"/>
      <c r="T767" s="11"/>
      <c r="U767" s="11">
        <f t="shared" si="433"/>
        <v>0</v>
      </c>
      <c r="V767" s="2">
        <f t="shared" si="434"/>
        <v>0</v>
      </c>
      <c r="W767" s="11">
        <f t="shared" si="403"/>
        <v>0</v>
      </c>
      <c r="X767" s="2">
        <f t="shared" si="404"/>
        <v>0</v>
      </c>
      <c r="Y767" s="2">
        <f t="shared" si="405"/>
        <v>0</v>
      </c>
      <c r="Z767" s="11">
        <f t="shared" si="406"/>
        <v>0</v>
      </c>
      <c r="AA767" s="2">
        <f t="shared" si="407"/>
        <v>0</v>
      </c>
      <c r="AB767" s="11">
        <f t="shared" si="408"/>
        <v>0</v>
      </c>
      <c r="AC767" s="2">
        <f t="shared" si="409"/>
        <v>0</v>
      </c>
      <c r="AF767" s="11">
        <f t="shared" si="410"/>
        <v>0</v>
      </c>
      <c r="AG767" s="2">
        <f t="shared" si="411"/>
        <v>0</v>
      </c>
      <c r="AH767" s="2">
        <f t="shared" si="412"/>
        <v>0</v>
      </c>
      <c r="AI767" s="2">
        <f t="shared" si="413"/>
        <v>0</v>
      </c>
      <c r="AJ767" s="2">
        <f t="shared" si="414"/>
        <v>0</v>
      </c>
      <c r="AK767" s="2">
        <f t="shared" si="415"/>
        <v>0</v>
      </c>
      <c r="AL767" s="2">
        <f t="shared" si="416"/>
        <v>0</v>
      </c>
      <c r="AM767" s="11"/>
      <c r="AN767" s="2" t="e">
        <f t="shared" si="425"/>
        <v>#N/A</v>
      </c>
      <c r="AO767" s="2" t="e">
        <f t="shared" si="426"/>
        <v>#N/A</v>
      </c>
      <c r="AP767" s="2" t="e">
        <f t="shared" si="427"/>
        <v>#N/A</v>
      </c>
      <c r="AQ767" s="2" t="e">
        <f t="shared" si="428"/>
        <v>#N/A</v>
      </c>
      <c r="AR767" s="2" t="e">
        <f t="shared" si="429"/>
        <v>#N/A</v>
      </c>
      <c r="AS767" s="2" t="e">
        <f t="shared" si="430"/>
        <v>#DIV/0!</v>
      </c>
      <c r="AT767" s="9" t="e">
        <f t="shared" ca="1" si="431"/>
        <v>#N/A</v>
      </c>
      <c r="AU767" s="9" t="e">
        <f t="shared" ca="1" si="432"/>
        <v>#N/A</v>
      </c>
      <c r="AW767" s="2" t="e">
        <f t="shared" si="417"/>
        <v>#N/A</v>
      </c>
      <c r="AX767" s="2" t="e">
        <f t="shared" si="418"/>
        <v>#N/A</v>
      </c>
      <c r="AY767" s="2" t="e">
        <f t="shared" si="419"/>
        <v>#N/A</v>
      </c>
      <c r="AZ767" s="2" t="e">
        <f t="shared" si="420"/>
        <v>#N/A</v>
      </c>
      <c r="BA767" s="2" t="e">
        <f t="shared" si="421"/>
        <v>#N/A</v>
      </c>
      <c r="BB767" s="2" t="e">
        <f t="shared" si="422"/>
        <v>#DIV/0!</v>
      </c>
      <c r="BC767" s="9" t="e">
        <f t="shared" ca="1" si="423"/>
        <v>#N/A</v>
      </c>
      <c r="BD767" s="9" t="e">
        <f t="shared" ca="1" si="424"/>
        <v>#N/A</v>
      </c>
    </row>
    <row r="768" spans="1:56" ht="15" x14ac:dyDescent="0.25">
      <c r="A768"/>
      <c r="B768"/>
      <c r="C768"/>
      <c r="D768"/>
      <c r="E768"/>
      <c r="F768"/>
      <c r="G768"/>
      <c r="H768"/>
      <c r="I768"/>
      <c r="J768"/>
      <c r="K768"/>
      <c r="L768" s="64"/>
      <c r="M768" s="64"/>
      <c r="N768" s="16"/>
      <c r="O768" s="11"/>
      <c r="P768" s="11"/>
      <c r="Q768" s="11"/>
      <c r="R768" s="11"/>
      <c r="S768" s="11"/>
      <c r="T768" s="11"/>
      <c r="U768" s="11">
        <f t="shared" si="433"/>
        <v>0</v>
      </c>
      <c r="V768" s="2">
        <f t="shared" si="434"/>
        <v>0</v>
      </c>
      <c r="W768" s="11">
        <f t="shared" si="403"/>
        <v>0</v>
      </c>
      <c r="X768" s="2">
        <f t="shared" si="404"/>
        <v>0</v>
      </c>
      <c r="Y768" s="2">
        <f t="shared" si="405"/>
        <v>0</v>
      </c>
      <c r="Z768" s="11">
        <f t="shared" si="406"/>
        <v>0</v>
      </c>
      <c r="AA768" s="2">
        <f t="shared" si="407"/>
        <v>0</v>
      </c>
      <c r="AB768" s="11">
        <f t="shared" si="408"/>
        <v>0</v>
      </c>
      <c r="AC768" s="2">
        <f t="shared" si="409"/>
        <v>0</v>
      </c>
      <c r="AF768" s="11">
        <f t="shared" si="410"/>
        <v>0</v>
      </c>
      <c r="AG768" s="2">
        <f t="shared" si="411"/>
        <v>0</v>
      </c>
      <c r="AH768" s="2">
        <f t="shared" si="412"/>
        <v>0</v>
      </c>
      <c r="AI768" s="2">
        <f t="shared" si="413"/>
        <v>0</v>
      </c>
      <c r="AJ768" s="2">
        <f t="shared" si="414"/>
        <v>0</v>
      </c>
      <c r="AK768" s="2">
        <f t="shared" si="415"/>
        <v>0</v>
      </c>
      <c r="AL768" s="2">
        <f t="shared" si="416"/>
        <v>0</v>
      </c>
      <c r="AM768" s="11"/>
      <c r="AN768" s="2" t="e">
        <f t="shared" si="425"/>
        <v>#N/A</v>
      </c>
      <c r="AO768" s="2" t="e">
        <f t="shared" si="426"/>
        <v>#N/A</v>
      </c>
      <c r="AP768" s="2" t="e">
        <f t="shared" si="427"/>
        <v>#N/A</v>
      </c>
      <c r="AQ768" s="2" t="e">
        <f t="shared" si="428"/>
        <v>#N/A</v>
      </c>
      <c r="AR768" s="2" t="e">
        <f t="shared" si="429"/>
        <v>#N/A</v>
      </c>
      <c r="AS768" s="2" t="e">
        <f t="shared" si="430"/>
        <v>#DIV/0!</v>
      </c>
      <c r="AT768" s="9" t="e">
        <f t="shared" ca="1" si="431"/>
        <v>#N/A</v>
      </c>
      <c r="AU768" s="9" t="e">
        <f t="shared" ca="1" si="432"/>
        <v>#N/A</v>
      </c>
      <c r="AW768" s="2" t="e">
        <f t="shared" si="417"/>
        <v>#N/A</v>
      </c>
      <c r="AX768" s="2" t="e">
        <f t="shared" si="418"/>
        <v>#N/A</v>
      </c>
      <c r="AY768" s="2" t="e">
        <f t="shared" si="419"/>
        <v>#N/A</v>
      </c>
      <c r="AZ768" s="2" t="e">
        <f t="shared" si="420"/>
        <v>#N/A</v>
      </c>
      <c r="BA768" s="2" t="e">
        <f t="shared" si="421"/>
        <v>#N/A</v>
      </c>
      <c r="BB768" s="2" t="e">
        <f t="shared" si="422"/>
        <v>#DIV/0!</v>
      </c>
      <c r="BC768" s="9" t="e">
        <f t="shared" ca="1" si="423"/>
        <v>#N/A</v>
      </c>
      <c r="BD768" s="9" t="e">
        <f t="shared" ca="1" si="424"/>
        <v>#N/A</v>
      </c>
    </row>
    <row r="769" spans="1:56" ht="15" x14ac:dyDescent="0.25">
      <c r="A769"/>
      <c r="B769"/>
      <c r="C769"/>
      <c r="D769"/>
      <c r="E769"/>
      <c r="F769"/>
      <c r="G769"/>
      <c r="H769"/>
      <c r="I769"/>
      <c r="J769"/>
      <c r="K769"/>
      <c r="L769" s="64"/>
      <c r="M769" s="64"/>
      <c r="N769" s="16"/>
      <c r="O769" s="11"/>
      <c r="P769" s="11"/>
      <c r="Q769" s="11"/>
      <c r="R769" s="11"/>
      <c r="S769" s="11"/>
      <c r="T769" s="11"/>
      <c r="U769" s="11">
        <f t="shared" si="433"/>
        <v>0</v>
      </c>
      <c r="V769" s="2">
        <f t="shared" si="434"/>
        <v>0</v>
      </c>
      <c r="W769" s="11">
        <f t="shared" si="403"/>
        <v>0</v>
      </c>
      <c r="X769" s="2">
        <f t="shared" si="404"/>
        <v>0</v>
      </c>
      <c r="Y769" s="2">
        <f t="shared" si="405"/>
        <v>0</v>
      </c>
      <c r="Z769" s="11">
        <f t="shared" si="406"/>
        <v>0</v>
      </c>
      <c r="AA769" s="2">
        <f t="shared" si="407"/>
        <v>0</v>
      </c>
      <c r="AB769" s="11">
        <f t="shared" si="408"/>
        <v>0</v>
      </c>
      <c r="AC769" s="2">
        <f t="shared" si="409"/>
        <v>0</v>
      </c>
      <c r="AF769" s="11">
        <f t="shared" si="410"/>
        <v>0</v>
      </c>
      <c r="AG769" s="2">
        <f t="shared" si="411"/>
        <v>0</v>
      </c>
      <c r="AH769" s="2">
        <f t="shared" si="412"/>
        <v>0</v>
      </c>
      <c r="AI769" s="2">
        <f t="shared" si="413"/>
        <v>0</v>
      </c>
      <c r="AJ769" s="2">
        <f t="shared" si="414"/>
        <v>0</v>
      </c>
      <c r="AK769" s="2">
        <f t="shared" si="415"/>
        <v>0</v>
      </c>
      <c r="AL769" s="2">
        <f t="shared" si="416"/>
        <v>0</v>
      </c>
      <c r="AM769" s="11"/>
      <c r="AN769" s="2" t="e">
        <f t="shared" si="425"/>
        <v>#N/A</v>
      </c>
      <c r="AO769" s="2" t="e">
        <f t="shared" si="426"/>
        <v>#N/A</v>
      </c>
      <c r="AP769" s="2" t="e">
        <f t="shared" si="427"/>
        <v>#N/A</v>
      </c>
      <c r="AQ769" s="2" t="e">
        <f t="shared" si="428"/>
        <v>#N/A</v>
      </c>
      <c r="AR769" s="2" t="e">
        <f t="shared" si="429"/>
        <v>#N/A</v>
      </c>
      <c r="AS769" s="2" t="e">
        <f t="shared" si="430"/>
        <v>#DIV/0!</v>
      </c>
      <c r="AT769" s="9" t="e">
        <f t="shared" ca="1" si="431"/>
        <v>#N/A</v>
      </c>
      <c r="AU769" s="9" t="e">
        <f t="shared" ca="1" si="432"/>
        <v>#N/A</v>
      </c>
      <c r="AW769" s="2" t="e">
        <f t="shared" si="417"/>
        <v>#N/A</v>
      </c>
      <c r="AX769" s="2" t="e">
        <f t="shared" si="418"/>
        <v>#N/A</v>
      </c>
      <c r="AY769" s="2" t="e">
        <f t="shared" si="419"/>
        <v>#N/A</v>
      </c>
      <c r="AZ769" s="2" t="e">
        <f t="shared" si="420"/>
        <v>#N/A</v>
      </c>
      <c r="BA769" s="2" t="e">
        <f t="shared" si="421"/>
        <v>#N/A</v>
      </c>
      <c r="BB769" s="2" t="e">
        <f t="shared" si="422"/>
        <v>#DIV/0!</v>
      </c>
      <c r="BC769" s="9" t="e">
        <f t="shared" ca="1" si="423"/>
        <v>#N/A</v>
      </c>
      <c r="BD769" s="9" t="e">
        <f t="shared" ca="1" si="424"/>
        <v>#N/A</v>
      </c>
    </row>
    <row r="770" spans="1:56" ht="15" x14ac:dyDescent="0.25">
      <c r="A770"/>
      <c r="B770"/>
      <c r="C770"/>
      <c r="D770"/>
      <c r="E770"/>
      <c r="F770"/>
      <c r="G770"/>
      <c r="H770"/>
      <c r="I770"/>
      <c r="J770"/>
      <c r="K770"/>
      <c r="L770" s="64"/>
      <c r="M770" s="64"/>
      <c r="N770" s="16"/>
      <c r="O770" s="11"/>
      <c r="P770" s="11"/>
      <c r="Q770" s="11"/>
      <c r="R770" s="11"/>
      <c r="S770" s="11"/>
      <c r="T770" s="11"/>
      <c r="U770" s="11">
        <f t="shared" si="433"/>
        <v>0</v>
      </c>
      <c r="V770" s="2">
        <f t="shared" si="434"/>
        <v>0</v>
      </c>
      <c r="W770" s="11">
        <f t="shared" si="403"/>
        <v>0</v>
      </c>
      <c r="X770" s="2">
        <f t="shared" si="404"/>
        <v>0</v>
      </c>
      <c r="Y770" s="2">
        <f t="shared" si="405"/>
        <v>0</v>
      </c>
      <c r="Z770" s="11">
        <f t="shared" si="406"/>
        <v>0</v>
      </c>
      <c r="AA770" s="2">
        <f t="shared" si="407"/>
        <v>0</v>
      </c>
      <c r="AB770" s="11">
        <f t="shared" si="408"/>
        <v>0</v>
      </c>
      <c r="AC770" s="2">
        <f t="shared" si="409"/>
        <v>0</v>
      </c>
      <c r="AF770" s="11">
        <f t="shared" si="410"/>
        <v>0</v>
      </c>
      <c r="AG770" s="2">
        <f t="shared" si="411"/>
        <v>0</v>
      </c>
      <c r="AH770" s="2">
        <f t="shared" si="412"/>
        <v>0</v>
      </c>
      <c r="AI770" s="2">
        <f t="shared" si="413"/>
        <v>0</v>
      </c>
      <c r="AJ770" s="2">
        <f t="shared" si="414"/>
        <v>0</v>
      </c>
      <c r="AK770" s="2">
        <f t="shared" si="415"/>
        <v>0</v>
      </c>
      <c r="AL770" s="2">
        <f t="shared" si="416"/>
        <v>0</v>
      </c>
      <c r="AM770" s="11"/>
      <c r="AN770" s="2" t="e">
        <f t="shared" si="425"/>
        <v>#N/A</v>
      </c>
      <c r="AO770" s="2" t="e">
        <f t="shared" si="426"/>
        <v>#N/A</v>
      </c>
      <c r="AP770" s="2" t="e">
        <f t="shared" si="427"/>
        <v>#N/A</v>
      </c>
      <c r="AQ770" s="2" t="e">
        <f t="shared" si="428"/>
        <v>#N/A</v>
      </c>
      <c r="AR770" s="2" t="e">
        <f t="shared" si="429"/>
        <v>#N/A</v>
      </c>
      <c r="AS770" s="2" t="e">
        <f t="shared" si="430"/>
        <v>#DIV/0!</v>
      </c>
      <c r="AT770" s="9" t="e">
        <f t="shared" ca="1" si="431"/>
        <v>#N/A</v>
      </c>
      <c r="AU770" s="9" t="e">
        <f t="shared" ca="1" si="432"/>
        <v>#N/A</v>
      </c>
      <c r="AW770" s="2" t="e">
        <f t="shared" si="417"/>
        <v>#N/A</v>
      </c>
      <c r="AX770" s="2" t="e">
        <f t="shared" si="418"/>
        <v>#N/A</v>
      </c>
      <c r="AY770" s="2" t="e">
        <f t="shared" si="419"/>
        <v>#N/A</v>
      </c>
      <c r="AZ770" s="2" t="e">
        <f t="shared" si="420"/>
        <v>#N/A</v>
      </c>
      <c r="BA770" s="2" t="e">
        <f t="shared" si="421"/>
        <v>#N/A</v>
      </c>
      <c r="BB770" s="2" t="e">
        <f t="shared" si="422"/>
        <v>#DIV/0!</v>
      </c>
      <c r="BC770" s="9" t="e">
        <f t="shared" ca="1" si="423"/>
        <v>#N/A</v>
      </c>
      <c r="BD770" s="9" t="e">
        <f t="shared" ca="1" si="424"/>
        <v>#N/A</v>
      </c>
    </row>
    <row r="771" spans="1:56" ht="15" x14ac:dyDescent="0.25">
      <c r="A771"/>
      <c r="B771"/>
      <c r="C771"/>
      <c r="D771"/>
      <c r="E771"/>
      <c r="F771"/>
      <c r="G771"/>
      <c r="H771"/>
      <c r="I771"/>
      <c r="J771"/>
      <c r="K771"/>
      <c r="L771" s="64"/>
      <c r="M771" s="64"/>
      <c r="N771" s="16"/>
      <c r="O771" s="11"/>
      <c r="P771" s="11"/>
      <c r="Q771" s="11"/>
      <c r="R771" s="11"/>
      <c r="S771" s="11"/>
      <c r="T771" s="11"/>
      <c r="U771" s="11">
        <f t="shared" si="433"/>
        <v>0</v>
      </c>
      <c r="V771" s="2">
        <f t="shared" si="434"/>
        <v>0</v>
      </c>
      <c r="W771" s="11">
        <f t="shared" si="403"/>
        <v>0</v>
      </c>
      <c r="X771" s="2">
        <f t="shared" si="404"/>
        <v>0</v>
      </c>
      <c r="Y771" s="2">
        <f t="shared" si="405"/>
        <v>0</v>
      </c>
      <c r="Z771" s="11">
        <f t="shared" si="406"/>
        <v>0</v>
      </c>
      <c r="AA771" s="2">
        <f t="shared" si="407"/>
        <v>0</v>
      </c>
      <c r="AB771" s="11">
        <f t="shared" si="408"/>
        <v>0</v>
      </c>
      <c r="AC771" s="2">
        <f t="shared" si="409"/>
        <v>0</v>
      </c>
      <c r="AF771" s="11">
        <f t="shared" si="410"/>
        <v>0</v>
      </c>
      <c r="AG771" s="2">
        <f t="shared" si="411"/>
        <v>0</v>
      </c>
      <c r="AH771" s="2">
        <f t="shared" si="412"/>
        <v>0</v>
      </c>
      <c r="AI771" s="2">
        <f t="shared" si="413"/>
        <v>0</v>
      </c>
      <c r="AJ771" s="2">
        <f t="shared" si="414"/>
        <v>0</v>
      </c>
      <c r="AK771" s="2">
        <f t="shared" si="415"/>
        <v>0</v>
      </c>
      <c r="AL771" s="2">
        <f t="shared" si="416"/>
        <v>0</v>
      </c>
      <c r="AM771" s="11"/>
      <c r="AN771" s="2" t="e">
        <f t="shared" si="425"/>
        <v>#N/A</v>
      </c>
      <c r="AO771" s="2" t="e">
        <f t="shared" si="426"/>
        <v>#N/A</v>
      </c>
      <c r="AP771" s="2" t="e">
        <f t="shared" si="427"/>
        <v>#N/A</v>
      </c>
      <c r="AQ771" s="2" t="e">
        <f t="shared" si="428"/>
        <v>#N/A</v>
      </c>
      <c r="AR771" s="2" t="e">
        <f t="shared" si="429"/>
        <v>#N/A</v>
      </c>
      <c r="AS771" s="2" t="e">
        <f t="shared" si="430"/>
        <v>#DIV/0!</v>
      </c>
      <c r="AT771" s="9" t="e">
        <f t="shared" ca="1" si="431"/>
        <v>#N/A</v>
      </c>
      <c r="AU771" s="9" t="e">
        <f t="shared" ca="1" si="432"/>
        <v>#N/A</v>
      </c>
      <c r="AW771" s="2" t="e">
        <f t="shared" si="417"/>
        <v>#N/A</v>
      </c>
      <c r="AX771" s="2" t="e">
        <f t="shared" si="418"/>
        <v>#N/A</v>
      </c>
      <c r="AY771" s="2" t="e">
        <f t="shared" si="419"/>
        <v>#N/A</v>
      </c>
      <c r="AZ771" s="2" t="e">
        <f t="shared" si="420"/>
        <v>#N/A</v>
      </c>
      <c r="BA771" s="2" t="e">
        <f t="shared" si="421"/>
        <v>#N/A</v>
      </c>
      <c r="BB771" s="2" t="e">
        <f t="shared" si="422"/>
        <v>#DIV/0!</v>
      </c>
      <c r="BC771" s="9" t="e">
        <f t="shared" ca="1" si="423"/>
        <v>#N/A</v>
      </c>
      <c r="BD771" s="9" t="e">
        <f t="shared" ca="1" si="424"/>
        <v>#N/A</v>
      </c>
    </row>
    <row r="772" spans="1:56" ht="15" x14ac:dyDescent="0.25">
      <c r="A772"/>
      <c r="B772"/>
      <c r="C772"/>
      <c r="D772"/>
      <c r="E772"/>
      <c r="F772"/>
      <c r="G772"/>
      <c r="H772"/>
      <c r="I772"/>
      <c r="J772"/>
      <c r="K772"/>
      <c r="L772" s="64"/>
      <c r="M772" s="64"/>
      <c r="N772" s="16"/>
      <c r="O772" s="11"/>
      <c r="P772" s="11"/>
      <c r="Q772" s="11"/>
      <c r="R772" s="11"/>
      <c r="S772" s="11"/>
      <c r="T772" s="11"/>
      <c r="U772" s="11">
        <f t="shared" si="433"/>
        <v>0</v>
      </c>
      <c r="V772" s="2">
        <f t="shared" si="434"/>
        <v>0</v>
      </c>
      <c r="W772" s="11">
        <f t="shared" ref="W772:W835" si="435">O772-O772</f>
        <v>0</v>
      </c>
      <c r="X772" s="2">
        <f t="shared" ref="X772:X835" si="436">IF(O772&gt;0,P772-(O772*$X$63/$W$63), P772)</f>
        <v>0</v>
      </c>
      <c r="Y772" s="2">
        <f t="shared" ref="Y772:Y835" si="437">IF(O772&gt;0,Q772-(O772*$Y$63/$W$63),Q772)</f>
        <v>0</v>
      </c>
      <c r="Z772" s="11">
        <f t="shared" ref="Z772:Z835" si="438">R772</f>
        <v>0</v>
      </c>
      <c r="AA772" s="2">
        <f t="shared" ref="AA772:AA835" si="439">IF(O772&gt;0,S772-(O772*$AA$63/$W$63),S772)</f>
        <v>0</v>
      </c>
      <c r="AB772" s="11">
        <f t="shared" ref="AB772:AB835" si="440">T772</f>
        <v>0</v>
      </c>
      <c r="AC772" s="2">
        <f t="shared" ref="AC772:AC835" si="441">IF(O772&gt;0,U772-(O772*$AC$63/$W$63),U772)</f>
        <v>0</v>
      </c>
      <c r="AF772" s="11">
        <f t="shared" ref="AF772:AF835" si="442">W772</f>
        <v>0</v>
      </c>
      <c r="AG772" s="2">
        <f t="shared" ref="AG772:AG835" si="443">IF(O772&gt;0, X772-(O772*$AG$63/$AF$63), X772)</f>
        <v>0</v>
      </c>
      <c r="AH772" s="2">
        <f t="shared" ref="AH772:AH835" si="444">IF(O772&gt;0, Y772-(O772*$AH$63/$AF$63), Y772)</f>
        <v>0</v>
      </c>
      <c r="AI772" s="2">
        <f t="shared" ref="AI772:AI835" si="445">IF(O772&gt;0, Z772-(O772*$AI$63/$AF$63), Z772)</f>
        <v>0</v>
      </c>
      <c r="AJ772" s="2">
        <f t="shared" ref="AJ772:AJ835" si="446">IF(O772&gt;0, AA772-(O772*$AJ$63/$AF$63), AA772)</f>
        <v>0</v>
      </c>
      <c r="AK772" s="2">
        <f t="shared" ref="AK772:AK835" si="447">IF(P772&gt;0, AB772-(P772*$AK$63/$AG$63), AB772)</f>
        <v>0</v>
      </c>
      <c r="AL772" s="2">
        <f t="shared" ref="AL772:AL835" si="448">IF(O772&gt;0, AC772-(O772*$AL$63/$AF$63), AC772)</f>
        <v>0</v>
      </c>
      <c r="AM772" s="11"/>
      <c r="AN772" s="2" t="e">
        <f t="shared" si="425"/>
        <v>#N/A</v>
      </c>
      <c r="AO772" s="2" t="e">
        <f t="shared" si="426"/>
        <v>#N/A</v>
      </c>
      <c r="AP772" s="2" t="e">
        <f t="shared" si="427"/>
        <v>#N/A</v>
      </c>
      <c r="AQ772" s="2" t="e">
        <f t="shared" si="428"/>
        <v>#N/A</v>
      </c>
      <c r="AR772" s="2" t="e">
        <f t="shared" si="429"/>
        <v>#N/A</v>
      </c>
      <c r="AS772" s="2" t="e">
        <f t="shared" si="430"/>
        <v>#DIV/0!</v>
      </c>
      <c r="AT772" s="9" t="e">
        <f t="shared" ca="1" si="431"/>
        <v>#N/A</v>
      </c>
      <c r="AU772" s="9" t="e">
        <f t="shared" ca="1" si="432"/>
        <v>#N/A</v>
      </c>
      <c r="AW772" s="2" t="e">
        <f t="shared" si="417"/>
        <v>#N/A</v>
      </c>
      <c r="AX772" s="2" t="e">
        <f t="shared" si="418"/>
        <v>#N/A</v>
      </c>
      <c r="AY772" s="2" t="e">
        <f t="shared" si="419"/>
        <v>#N/A</v>
      </c>
      <c r="AZ772" s="2" t="e">
        <f t="shared" si="420"/>
        <v>#N/A</v>
      </c>
      <c r="BA772" s="2" t="e">
        <f t="shared" si="421"/>
        <v>#N/A</v>
      </c>
      <c r="BB772" s="2" t="e">
        <f t="shared" si="422"/>
        <v>#DIV/0!</v>
      </c>
      <c r="BC772" s="9" t="e">
        <f t="shared" ca="1" si="423"/>
        <v>#N/A</v>
      </c>
      <c r="BD772" s="9" t="e">
        <f t="shared" ca="1" si="424"/>
        <v>#N/A</v>
      </c>
    </row>
    <row r="773" spans="1:56" ht="15" x14ac:dyDescent="0.25">
      <c r="A773"/>
      <c r="B773"/>
      <c r="C773"/>
      <c r="D773"/>
      <c r="E773"/>
      <c r="F773"/>
      <c r="G773"/>
      <c r="H773"/>
      <c r="I773"/>
      <c r="J773"/>
      <c r="K773"/>
      <c r="L773" s="64"/>
      <c r="M773" s="64"/>
      <c r="N773" s="16"/>
      <c r="O773" s="11"/>
      <c r="P773" s="11"/>
      <c r="Q773" s="11"/>
      <c r="R773" s="11"/>
      <c r="S773" s="11"/>
      <c r="T773" s="11"/>
      <c r="U773" s="11">
        <f t="shared" si="433"/>
        <v>0</v>
      </c>
      <c r="V773" s="2">
        <f t="shared" si="434"/>
        <v>0</v>
      </c>
      <c r="W773" s="11">
        <f t="shared" si="435"/>
        <v>0</v>
      </c>
      <c r="X773" s="2">
        <f t="shared" si="436"/>
        <v>0</v>
      </c>
      <c r="Y773" s="2">
        <f t="shared" si="437"/>
        <v>0</v>
      </c>
      <c r="Z773" s="11">
        <f t="shared" si="438"/>
        <v>0</v>
      </c>
      <c r="AA773" s="2">
        <f t="shared" si="439"/>
        <v>0</v>
      </c>
      <c r="AB773" s="11">
        <f t="shared" si="440"/>
        <v>0</v>
      </c>
      <c r="AC773" s="2">
        <f t="shared" si="441"/>
        <v>0</v>
      </c>
      <c r="AF773" s="11">
        <f t="shared" si="442"/>
        <v>0</v>
      </c>
      <c r="AG773" s="2">
        <f t="shared" si="443"/>
        <v>0</v>
      </c>
      <c r="AH773" s="2">
        <f t="shared" si="444"/>
        <v>0</v>
      </c>
      <c r="AI773" s="2">
        <f t="shared" si="445"/>
        <v>0</v>
      </c>
      <c r="AJ773" s="2">
        <f t="shared" si="446"/>
        <v>0</v>
      </c>
      <c r="AK773" s="2">
        <f t="shared" si="447"/>
        <v>0</v>
      </c>
      <c r="AL773" s="2">
        <f t="shared" si="448"/>
        <v>0</v>
      </c>
      <c r="AM773" s="11"/>
      <c r="AN773" s="2" t="e">
        <f t="shared" si="425"/>
        <v>#N/A</v>
      </c>
      <c r="AO773" s="2" t="e">
        <f t="shared" si="426"/>
        <v>#N/A</v>
      </c>
      <c r="AP773" s="2" t="e">
        <f t="shared" si="427"/>
        <v>#N/A</v>
      </c>
      <c r="AQ773" s="2" t="e">
        <f t="shared" si="428"/>
        <v>#N/A</v>
      </c>
      <c r="AR773" s="2" t="e">
        <f t="shared" si="429"/>
        <v>#N/A</v>
      </c>
      <c r="AS773" s="2" t="e">
        <f t="shared" si="430"/>
        <v>#DIV/0!</v>
      </c>
      <c r="AT773" s="9" t="e">
        <f t="shared" ca="1" si="431"/>
        <v>#N/A</v>
      </c>
      <c r="AU773" s="9" t="e">
        <f t="shared" ca="1" si="432"/>
        <v>#N/A</v>
      </c>
      <c r="AW773" s="2" t="e">
        <f t="shared" si="417"/>
        <v>#N/A</v>
      </c>
      <c r="AX773" s="2" t="e">
        <f t="shared" si="418"/>
        <v>#N/A</v>
      </c>
      <c r="AY773" s="2" t="e">
        <f t="shared" si="419"/>
        <v>#N/A</v>
      </c>
      <c r="AZ773" s="2" t="e">
        <f t="shared" si="420"/>
        <v>#N/A</v>
      </c>
      <c r="BA773" s="2" t="e">
        <f t="shared" si="421"/>
        <v>#N/A</v>
      </c>
      <c r="BB773" s="2" t="e">
        <f t="shared" si="422"/>
        <v>#DIV/0!</v>
      </c>
      <c r="BC773" s="9" t="e">
        <f t="shared" ca="1" si="423"/>
        <v>#N/A</v>
      </c>
      <c r="BD773" s="9" t="e">
        <f t="shared" ca="1" si="424"/>
        <v>#N/A</v>
      </c>
    </row>
    <row r="774" spans="1:56" ht="15" x14ac:dyDescent="0.25">
      <c r="A774"/>
      <c r="B774"/>
      <c r="C774"/>
      <c r="D774"/>
      <c r="E774"/>
      <c r="F774"/>
      <c r="G774"/>
      <c r="H774"/>
      <c r="I774"/>
      <c r="J774"/>
      <c r="K774"/>
      <c r="L774" s="64"/>
      <c r="M774" s="64"/>
      <c r="N774" s="16"/>
      <c r="O774" s="11"/>
      <c r="P774" s="11"/>
      <c r="Q774" s="11"/>
      <c r="R774" s="11"/>
      <c r="S774" s="11"/>
      <c r="T774" s="11"/>
      <c r="U774" s="11">
        <f t="shared" si="433"/>
        <v>0</v>
      </c>
      <c r="V774" s="2">
        <f t="shared" si="434"/>
        <v>0</v>
      </c>
      <c r="W774" s="11">
        <f t="shared" si="435"/>
        <v>0</v>
      </c>
      <c r="X774" s="2">
        <f t="shared" si="436"/>
        <v>0</v>
      </c>
      <c r="Y774" s="2">
        <f t="shared" si="437"/>
        <v>0</v>
      </c>
      <c r="Z774" s="11">
        <f t="shared" si="438"/>
        <v>0</v>
      </c>
      <c r="AA774" s="2">
        <f t="shared" si="439"/>
        <v>0</v>
      </c>
      <c r="AB774" s="11">
        <f t="shared" si="440"/>
        <v>0</v>
      </c>
      <c r="AC774" s="2">
        <f t="shared" si="441"/>
        <v>0</v>
      </c>
      <c r="AF774" s="11">
        <f t="shared" si="442"/>
        <v>0</v>
      </c>
      <c r="AG774" s="2">
        <f t="shared" si="443"/>
        <v>0</v>
      </c>
      <c r="AH774" s="2">
        <f t="shared" si="444"/>
        <v>0</v>
      </c>
      <c r="AI774" s="2">
        <f t="shared" si="445"/>
        <v>0</v>
      </c>
      <c r="AJ774" s="2">
        <f t="shared" si="446"/>
        <v>0</v>
      </c>
      <c r="AK774" s="2">
        <f t="shared" si="447"/>
        <v>0</v>
      </c>
      <c r="AL774" s="2">
        <f t="shared" si="448"/>
        <v>0</v>
      </c>
      <c r="AM774" s="11"/>
      <c r="AN774" s="2" t="e">
        <f t="shared" si="425"/>
        <v>#N/A</v>
      </c>
      <c r="AO774" s="2" t="e">
        <f t="shared" si="426"/>
        <v>#N/A</v>
      </c>
      <c r="AP774" s="2" t="e">
        <f t="shared" si="427"/>
        <v>#N/A</v>
      </c>
      <c r="AQ774" s="2" t="e">
        <f t="shared" si="428"/>
        <v>#N/A</v>
      </c>
      <c r="AR774" s="2" t="e">
        <f t="shared" si="429"/>
        <v>#N/A</v>
      </c>
      <c r="AS774" s="2" t="e">
        <f t="shared" si="430"/>
        <v>#DIV/0!</v>
      </c>
      <c r="AT774" s="9" t="e">
        <f t="shared" ca="1" si="431"/>
        <v>#N/A</v>
      </c>
      <c r="AU774" s="9" t="e">
        <f t="shared" ca="1" si="432"/>
        <v>#N/A</v>
      </c>
      <c r="AW774" s="2" t="e">
        <f t="shared" si="417"/>
        <v>#N/A</v>
      </c>
      <c r="AX774" s="2" t="e">
        <f t="shared" si="418"/>
        <v>#N/A</v>
      </c>
      <c r="AY774" s="2" t="e">
        <f t="shared" si="419"/>
        <v>#N/A</v>
      </c>
      <c r="AZ774" s="2" t="e">
        <f t="shared" si="420"/>
        <v>#N/A</v>
      </c>
      <c r="BA774" s="2" t="e">
        <f t="shared" si="421"/>
        <v>#N/A</v>
      </c>
      <c r="BB774" s="2" t="e">
        <f t="shared" si="422"/>
        <v>#DIV/0!</v>
      </c>
      <c r="BC774" s="9" t="e">
        <f t="shared" ca="1" si="423"/>
        <v>#N/A</v>
      </c>
      <c r="BD774" s="9" t="e">
        <f t="shared" ca="1" si="424"/>
        <v>#N/A</v>
      </c>
    </row>
    <row r="775" spans="1:56" ht="15" x14ac:dyDescent="0.25">
      <c r="A775"/>
      <c r="B775"/>
      <c r="C775"/>
      <c r="D775"/>
      <c r="E775"/>
      <c r="F775"/>
      <c r="G775"/>
      <c r="H775"/>
      <c r="I775"/>
      <c r="J775"/>
      <c r="K775"/>
      <c r="L775" s="64"/>
      <c r="M775" s="64"/>
      <c r="N775" s="16"/>
      <c r="O775" s="11"/>
      <c r="P775" s="11"/>
      <c r="Q775" s="11"/>
      <c r="R775" s="11"/>
      <c r="S775" s="11"/>
      <c r="T775" s="11"/>
      <c r="U775" s="11">
        <f t="shared" si="433"/>
        <v>0</v>
      </c>
      <c r="V775" s="2">
        <f t="shared" si="434"/>
        <v>0</v>
      </c>
      <c r="W775" s="11">
        <f t="shared" si="435"/>
        <v>0</v>
      </c>
      <c r="X775" s="2">
        <f t="shared" si="436"/>
        <v>0</v>
      </c>
      <c r="Y775" s="2">
        <f t="shared" si="437"/>
        <v>0</v>
      </c>
      <c r="Z775" s="11">
        <f t="shared" si="438"/>
        <v>0</v>
      </c>
      <c r="AA775" s="2">
        <f t="shared" si="439"/>
        <v>0</v>
      </c>
      <c r="AB775" s="11">
        <f t="shared" si="440"/>
        <v>0</v>
      </c>
      <c r="AC775" s="2">
        <f t="shared" si="441"/>
        <v>0</v>
      </c>
      <c r="AF775" s="11">
        <f t="shared" si="442"/>
        <v>0</v>
      </c>
      <c r="AG775" s="2">
        <f t="shared" si="443"/>
        <v>0</v>
      </c>
      <c r="AH775" s="2">
        <f t="shared" si="444"/>
        <v>0</v>
      </c>
      <c r="AI775" s="2">
        <f t="shared" si="445"/>
        <v>0</v>
      </c>
      <c r="AJ775" s="2">
        <f t="shared" si="446"/>
        <v>0</v>
      </c>
      <c r="AK775" s="2">
        <f t="shared" si="447"/>
        <v>0</v>
      </c>
      <c r="AL775" s="2">
        <f t="shared" si="448"/>
        <v>0</v>
      </c>
      <c r="AM775" s="11"/>
      <c r="AN775" s="2" t="e">
        <f t="shared" si="425"/>
        <v>#N/A</v>
      </c>
      <c r="AO775" s="2" t="e">
        <f t="shared" si="426"/>
        <v>#N/A</v>
      </c>
      <c r="AP775" s="2" t="e">
        <f t="shared" si="427"/>
        <v>#N/A</v>
      </c>
      <c r="AQ775" s="2" t="e">
        <f t="shared" si="428"/>
        <v>#N/A</v>
      </c>
      <c r="AR775" s="2" t="e">
        <f t="shared" si="429"/>
        <v>#N/A</v>
      </c>
      <c r="AS775" s="2" t="e">
        <f t="shared" si="430"/>
        <v>#DIV/0!</v>
      </c>
      <c r="AT775" s="9" t="e">
        <f t="shared" ca="1" si="431"/>
        <v>#N/A</v>
      </c>
      <c r="AU775" s="9" t="e">
        <f t="shared" ca="1" si="432"/>
        <v>#N/A</v>
      </c>
      <c r="AW775" s="2" t="e">
        <f t="shared" si="417"/>
        <v>#N/A</v>
      </c>
      <c r="AX775" s="2" t="e">
        <f t="shared" si="418"/>
        <v>#N/A</v>
      </c>
      <c r="AY775" s="2" t="e">
        <f t="shared" si="419"/>
        <v>#N/A</v>
      </c>
      <c r="AZ775" s="2" t="e">
        <f t="shared" si="420"/>
        <v>#N/A</v>
      </c>
      <c r="BA775" s="2" t="e">
        <f t="shared" si="421"/>
        <v>#N/A</v>
      </c>
      <c r="BB775" s="2" t="e">
        <f t="shared" si="422"/>
        <v>#DIV/0!</v>
      </c>
      <c r="BC775" s="9" t="e">
        <f t="shared" ca="1" si="423"/>
        <v>#N/A</v>
      </c>
      <c r="BD775" s="9" t="e">
        <f t="shared" ca="1" si="424"/>
        <v>#N/A</v>
      </c>
    </row>
    <row r="776" spans="1:56" ht="15" x14ac:dyDescent="0.25">
      <c r="A776"/>
      <c r="B776"/>
      <c r="C776"/>
      <c r="D776"/>
      <c r="E776"/>
      <c r="F776"/>
      <c r="G776"/>
      <c r="H776"/>
      <c r="I776"/>
      <c r="J776"/>
      <c r="K776"/>
      <c r="L776" s="64"/>
      <c r="M776" s="64"/>
      <c r="N776" s="16"/>
      <c r="O776" s="11"/>
      <c r="P776" s="11"/>
      <c r="Q776" s="11"/>
      <c r="R776" s="11"/>
      <c r="S776" s="11"/>
      <c r="T776" s="11"/>
      <c r="U776" s="11">
        <f t="shared" si="433"/>
        <v>0</v>
      </c>
      <c r="V776" s="2">
        <f t="shared" si="434"/>
        <v>0</v>
      </c>
      <c r="W776" s="11">
        <f t="shared" si="435"/>
        <v>0</v>
      </c>
      <c r="X776" s="2">
        <f t="shared" si="436"/>
        <v>0</v>
      </c>
      <c r="Y776" s="2">
        <f t="shared" si="437"/>
        <v>0</v>
      </c>
      <c r="Z776" s="11">
        <f t="shared" si="438"/>
        <v>0</v>
      </c>
      <c r="AA776" s="2">
        <f t="shared" si="439"/>
        <v>0</v>
      </c>
      <c r="AB776" s="11">
        <f t="shared" si="440"/>
        <v>0</v>
      </c>
      <c r="AC776" s="2">
        <f t="shared" si="441"/>
        <v>0</v>
      </c>
      <c r="AF776" s="11">
        <f t="shared" si="442"/>
        <v>0</v>
      </c>
      <c r="AG776" s="2">
        <f t="shared" si="443"/>
        <v>0</v>
      </c>
      <c r="AH776" s="2">
        <f t="shared" si="444"/>
        <v>0</v>
      </c>
      <c r="AI776" s="2">
        <f t="shared" si="445"/>
        <v>0</v>
      </c>
      <c r="AJ776" s="2">
        <f t="shared" si="446"/>
        <v>0</v>
      </c>
      <c r="AK776" s="2">
        <f t="shared" si="447"/>
        <v>0</v>
      </c>
      <c r="AL776" s="2">
        <f t="shared" si="448"/>
        <v>0</v>
      </c>
      <c r="AM776" s="11"/>
      <c r="AN776" s="2" t="e">
        <f t="shared" si="425"/>
        <v>#N/A</v>
      </c>
      <c r="AO776" s="2" t="e">
        <f t="shared" si="426"/>
        <v>#N/A</v>
      </c>
      <c r="AP776" s="2" t="e">
        <f t="shared" si="427"/>
        <v>#N/A</v>
      </c>
      <c r="AQ776" s="2" t="e">
        <f t="shared" si="428"/>
        <v>#N/A</v>
      </c>
      <c r="AR776" s="2" t="e">
        <f t="shared" si="429"/>
        <v>#N/A</v>
      </c>
      <c r="AS776" s="2" t="e">
        <f t="shared" si="430"/>
        <v>#DIV/0!</v>
      </c>
      <c r="AT776" s="9" t="e">
        <f t="shared" ca="1" si="431"/>
        <v>#N/A</v>
      </c>
      <c r="AU776" s="9" t="e">
        <f t="shared" ca="1" si="432"/>
        <v>#N/A</v>
      </c>
      <c r="AW776" s="2" t="e">
        <f t="shared" si="417"/>
        <v>#N/A</v>
      </c>
      <c r="AX776" s="2" t="e">
        <f t="shared" si="418"/>
        <v>#N/A</v>
      </c>
      <c r="AY776" s="2" t="e">
        <f t="shared" si="419"/>
        <v>#N/A</v>
      </c>
      <c r="AZ776" s="2" t="e">
        <f t="shared" si="420"/>
        <v>#N/A</v>
      </c>
      <c r="BA776" s="2" t="e">
        <f t="shared" si="421"/>
        <v>#N/A</v>
      </c>
      <c r="BB776" s="2" t="e">
        <f t="shared" si="422"/>
        <v>#DIV/0!</v>
      </c>
      <c r="BC776" s="9" t="e">
        <f t="shared" ca="1" si="423"/>
        <v>#N/A</v>
      </c>
      <c r="BD776" s="9" t="e">
        <f t="shared" ca="1" si="424"/>
        <v>#N/A</v>
      </c>
    </row>
    <row r="777" spans="1:56" ht="15" x14ac:dyDescent="0.25">
      <c r="A777"/>
      <c r="B777"/>
      <c r="C777"/>
      <c r="D777"/>
      <c r="E777"/>
      <c r="F777"/>
      <c r="G777"/>
      <c r="H777"/>
      <c r="I777"/>
      <c r="J777"/>
      <c r="K777"/>
      <c r="L777" s="64"/>
      <c r="M777" s="64"/>
      <c r="N777" s="16"/>
      <c r="O777" s="11"/>
      <c r="P777" s="11"/>
      <c r="Q777" s="11"/>
      <c r="R777" s="11"/>
      <c r="S777" s="11"/>
      <c r="T777" s="11"/>
      <c r="U777" s="11">
        <f t="shared" si="433"/>
        <v>0</v>
      </c>
      <c r="V777" s="2">
        <f t="shared" si="434"/>
        <v>0</v>
      </c>
      <c r="W777" s="11">
        <f t="shared" si="435"/>
        <v>0</v>
      </c>
      <c r="X777" s="2">
        <f t="shared" si="436"/>
        <v>0</v>
      </c>
      <c r="Y777" s="2">
        <f t="shared" si="437"/>
        <v>0</v>
      </c>
      <c r="Z777" s="11">
        <f t="shared" si="438"/>
        <v>0</v>
      </c>
      <c r="AA777" s="2">
        <f t="shared" si="439"/>
        <v>0</v>
      </c>
      <c r="AB777" s="11">
        <f t="shared" si="440"/>
        <v>0</v>
      </c>
      <c r="AC777" s="2">
        <f t="shared" si="441"/>
        <v>0</v>
      </c>
      <c r="AF777" s="11">
        <f t="shared" si="442"/>
        <v>0</v>
      </c>
      <c r="AG777" s="2">
        <f t="shared" si="443"/>
        <v>0</v>
      </c>
      <c r="AH777" s="2">
        <f t="shared" si="444"/>
        <v>0</v>
      </c>
      <c r="AI777" s="2">
        <f t="shared" si="445"/>
        <v>0</v>
      </c>
      <c r="AJ777" s="2">
        <f t="shared" si="446"/>
        <v>0</v>
      </c>
      <c r="AK777" s="2">
        <f t="shared" si="447"/>
        <v>0</v>
      </c>
      <c r="AL777" s="2">
        <f t="shared" si="448"/>
        <v>0</v>
      </c>
      <c r="AM777" s="11"/>
      <c r="AN777" s="2" t="e">
        <f t="shared" si="425"/>
        <v>#N/A</v>
      </c>
      <c r="AO777" s="2" t="e">
        <f t="shared" si="426"/>
        <v>#N/A</v>
      </c>
      <c r="AP777" s="2" t="e">
        <f t="shared" si="427"/>
        <v>#N/A</v>
      </c>
      <c r="AQ777" s="2" t="e">
        <f t="shared" si="428"/>
        <v>#N/A</v>
      </c>
      <c r="AR777" s="2" t="e">
        <f t="shared" si="429"/>
        <v>#N/A</v>
      </c>
      <c r="AS777" s="2" t="e">
        <f t="shared" si="430"/>
        <v>#DIV/0!</v>
      </c>
      <c r="AT777" s="9" t="e">
        <f t="shared" ca="1" si="431"/>
        <v>#N/A</v>
      </c>
      <c r="AU777" s="9" t="e">
        <f t="shared" ca="1" si="432"/>
        <v>#N/A</v>
      </c>
      <c r="AW777" s="2" t="e">
        <f t="shared" si="417"/>
        <v>#N/A</v>
      </c>
      <c r="AX777" s="2" t="e">
        <f t="shared" si="418"/>
        <v>#N/A</v>
      </c>
      <c r="AY777" s="2" t="e">
        <f t="shared" si="419"/>
        <v>#N/A</v>
      </c>
      <c r="AZ777" s="2" t="e">
        <f t="shared" si="420"/>
        <v>#N/A</v>
      </c>
      <c r="BA777" s="2" t="e">
        <f t="shared" si="421"/>
        <v>#N/A</v>
      </c>
      <c r="BB777" s="2" t="e">
        <f t="shared" si="422"/>
        <v>#DIV/0!</v>
      </c>
      <c r="BC777" s="9" t="e">
        <f t="shared" ca="1" si="423"/>
        <v>#N/A</v>
      </c>
      <c r="BD777" s="9" t="e">
        <f t="shared" ca="1" si="424"/>
        <v>#N/A</v>
      </c>
    </row>
    <row r="778" spans="1:56" ht="15" x14ac:dyDescent="0.25">
      <c r="A778"/>
      <c r="B778"/>
      <c r="C778"/>
      <c r="D778"/>
      <c r="E778"/>
      <c r="F778"/>
      <c r="G778"/>
      <c r="H778"/>
      <c r="I778"/>
      <c r="J778"/>
      <c r="K778"/>
      <c r="L778" s="64"/>
      <c r="M778" s="64"/>
      <c r="N778" s="16"/>
      <c r="O778" s="11"/>
      <c r="P778" s="11"/>
      <c r="Q778" s="11"/>
      <c r="R778" s="11"/>
      <c r="S778" s="11"/>
      <c r="T778" s="11"/>
      <c r="U778" s="11">
        <f t="shared" si="433"/>
        <v>0</v>
      </c>
      <c r="V778" s="2">
        <f t="shared" si="434"/>
        <v>0</v>
      </c>
      <c r="W778" s="11">
        <f t="shared" si="435"/>
        <v>0</v>
      </c>
      <c r="X778" s="2">
        <f t="shared" si="436"/>
        <v>0</v>
      </c>
      <c r="Y778" s="2">
        <f t="shared" si="437"/>
        <v>0</v>
      </c>
      <c r="Z778" s="11">
        <f t="shared" si="438"/>
        <v>0</v>
      </c>
      <c r="AA778" s="2">
        <f t="shared" si="439"/>
        <v>0</v>
      </c>
      <c r="AB778" s="11">
        <f t="shared" si="440"/>
        <v>0</v>
      </c>
      <c r="AC778" s="2">
        <f t="shared" si="441"/>
        <v>0</v>
      </c>
      <c r="AF778" s="11">
        <f t="shared" si="442"/>
        <v>0</v>
      </c>
      <c r="AG778" s="2">
        <f t="shared" si="443"/>
        <v>0</v>
      </c>
      <c r="AH778" s="2">
        <f t="shared" si="444"/>
        <v>0</v>
      </c>
      <c r="AI778" s="2">
        <f t="shared" si="445"/>
        <v>0</v>
      </c>
      <c r="AJ778" s="2">
        <f t="shared" si="446"/>
        <v>0</v>
      </c>
      <c r="AK778" s="2">
        <f t="shared" si="447"/>
        <v>0</v>
      </c>
      <c r="AL778" s="2">
        <f t="shared" si="448"/>
        <v>0</v>
      </c>
      <c r="AM778" s="11"/>
      <c r="AN778" s="2" t="e">
        <f t="shared" si="425"/>
        <v>#N/A</v>
      </c>
      <c r="AO778" s="2" t="e">
        <f t="shared" si="426"/>
        <v>#N/A</v>
      </c>
      <c r="AP778" s="2" t="e">
        <f t="shared" si="427"/>
        <v>#N/A</v>
      </c>
      <c r="AQ778" s="2" t="e">
        <f t="shared" si="428"/>
        <v>#N/A</v>
      </c>
      <c r="AR778" s="2" t="e">
        <f t="shared" si="429"/>
        <v>#N/A</v>
      </c>
      <c r="AS778" s="2" t="e">
        <f t="shared" si="430"/>
        <v>#DIV/0!</v>
      </c>
      <c r="AT778" s="9" t="e">
        <f t="shared" ca="1" si="431"/>
        <v>#N/A</v>
      </c>
      <c r="AU778" s="9" t="e">
        <f t="shared" ca="1" si="432"/>
        <v>#N/A</v>
      </c>
      <c r="AW778" s="2" t="e">
        <f t="shared" si="417"/>
        <v>#N/A</v>
      </c>
      <c r="AX778" s="2" t="e">
        <f t="shared" si="418"/>
        <v>#N/A</v>
      </c>
      <c r="AY778" s="2" t="e">
        <f t="shared" si="419"/>
        <v>#N/A</v>
      </c>
      <c r="AZ778" s="2" t="e">
        <f t="shared" si="420"/>
        <v>#N/A</v>
      </c>
      <c r="BA778" s="2" t="e">
        <f t="shared" si="421"/>
        <v>#N/A</v>
      </c>
      <c r="BB778" s="2" t="e">
        <f t="shared" si="422"/>
        <v>#DIV/0!</v>
      </c>
      <c r="BC778" s="9" t="e">
        <f t="shared" ca="1" si="423"/>
        <v>#N/A</v>
      </c>
      <c r="BD778" s="9" t="e">
        <f t="shared" ca="1" si="424"/>
        <v>#N/A</v>
      </c>
    </row>
    <row r="779" spans="1:56" ht="15" x14ac:dyDescent="0.25">
      <c r="A779"/>
      <c r="B779"/>
      <c r="C779"/>
      <c r="D779"/>
      <c r="E779"/>
      <c r="F779"/>
      <c r="G779"/>
      <c r="H779"/>
      <c r="I779"/>
      <c r="J779"/>
      <c r="K779"/>
      <c r="L779" s="64"/>
      <c r="M779" s="64"/>
      <c r="N779" s="16"/>
      <c r="O779" s="11"/>
      <c r="P779" s="11"/>
      <c r="Q779" s="11"/>
      <c r="R779" s="11"/>
      <c r="S779" s="11"/>
      <c r="T779" s="11"/>
      <c r="U779" s="11">
        <f t="shared" si="433"/>
        <v>0</v>
      </c>
      <c r="V779" s="2">
        <f t="shared" si="434"/>
        <v>0</v>
      </c>
      <c r="W779" s="11">
        <f t="shared" si="435"/>
        <v>0</v>
      </c>
      <c r="X779" s="2">
        <f t="shared" si="436"/>
        <v>0</v>
      </c>
      <c r="Y779" s="2">
        <f t="shared" si="437"/>
        <v>0</v>
      </c>
      <c r="Z779" s="11">
        <f t="shared" si="438"/>
        <v>0</v>
      </c>
      <c r="AA779" s="2">
        <f t="shared" si="439"/>
        <v>0</v>
      </c>
      <c r="AB779" s="11">
        <f t="shared" si="440"/>
        <v>0</v>
      </c>
      <c r="AC779" s="2">
        <f t="shared" si="441"/>
        <v>0</v>
      </c>
      <c r="AF779" s="11">
        <f t="shared" si="442"/>
        <v>0</v>
      </c>
      <c r="AG779" s="2">
        <f t="shared" si="443"/>
        <v>0</v>
      </c>
      <c r="AH779" s="2">
        <f t="shared" si="444"/>
        <v>0</v>
      </c>
      <c r="AI779" s="2">
        <f t="shared" si="445"/>
        <v>0</v>
      </c>
      <c r="AJ779" s="2">
        <f t="shared" si="446"/>
        <v>0</v>
      </c>
      <c r="AK779" s="2">
        <f t="shared" si="447"/>
        <v>0</v>
      </c>
      <c r="AL779" s="2">
        <f t="shared" si="448"/>
        <v>0</v>
      </c>
      <c r="AM779" s="11"/>
      <c r="AN779" s="2" t="e">
        <f t="shared" si="425"/>
        <v>#N/A</v>
      </c>
      <c r="AO779" s="2" t="e">
        <f t="shared" si="426"/>
        <v>#N/A</v>
      </c>
      <c r="AP779" s="2" t="e">
        <f t="shared" si="427"/>
        <v>#N/A</v>
      </c>
      <c r="AQ779" s="2" t="e">
        <f t="shared" si="428"/>
        <v>#N/A</v>
      </c>
      <c r="AR779" s="2" t="e">
        <f t="shared" si="429"/>
        <v>#N/A</v>
      </c>
      <c r="AS779" s="2" t="e">
        <f t="shared" si="430"/>
        <v>#DIV/0!</v>
      </c>
      <c r="AT779" s="9" t="e">
        <f t="shared" ca="1" si="431"/>
        <v>#N/A</v>
      </c>
      <c r="AU779" s="9" t="e">
        <f t="shared" ca="1" si="432"/>
        <v>#N/A</v>
      </c>
      <c r="AW779" s="2" t="e">
        <f t="shared" si="417"/>
        <v>#N/A</v>
      </c>
      <c r="AX779" s="2" t="e">
        <f t="shared" si="418"/>
        <v>#N/A</v>
      </c>
      <c r="AY779" s="2" t="e">
        <f t="shared" si="419"/>
        <v>#N/A</v>
      </c>
      <c r="AZ779" s="2" t="e">
        <f t="shared" si="420"/>
        <v>#N/A</v>
      </c>
      <c r="BA779" s="2" t="e">
        <f t="shared" si="421"/>
        <v>#N/A</v>
      </c>
      <c r="BB779" s="2" t="e">
        <f t="shared" si="422"/>
        <v>#DIV/0!</v>
      </c>
      <c r="BC779" s="9" t="e">
        <f t="shared" ca="1" si="423"/>
        <v>#N/A</v>
      </c>
      <c r="BD779" s="9" t="e">
        <f t="shared" ca="1" si="424"/>
        <v>#N/A</v>
      </c>
    </row>
    <row r="780" spans="1:56" ht="15" x14ac:dyDescent="0.25">
      <c r="A780"/>
      <c r="B780"/>
      <c r="C780"/>
      <c r="D780"/>
      <c r="E780"/>
      <c r="F780"/>
      <c r="G780"/>
      <c r="H780"/>
      <c r="I780"/>
      <c r="J780"/>
      <c r="K780"/>
      <c r="L780" s="64"/>
      <c r="M780" s="64"/>
      <c r="N780" s="16"/>
      <c r="O780" s="11"/>
      <c r="P780" s="11"/>
      <c r="Q780" s="11"/>
      <c r="R780" s="11"/>
      <c r="S780" s="11"/>
      <c r="T780" s="11"/>
      <c r="U780" s="11">
        <f t="shared" si="433"/>
        <v>0</v>
      </c>
      <c r="V780" s="2">
        <f t="shared" si="434"/>
        <v>0</v>
      </c>
      <c r="W780" s="11">
        <f t="shared" si="435"/>
        <v>0</v>
      </c>
      <c r="X780" s="2">
        <f t="shared" si="436"/>
        <v>0</v>
      </c>
      <c r="Y780" s="2">
        <f t="shared" si="437"/>
        <v>0</v>
      </c>
      <c r="Z780" s="11">
        <f t="shared" si="438"/>
        <v>0</v>
      </c>
      <c r="AA780" s="2">
        <f t="shared" si="439"/>
        <v>0</v>
      </c>
      <c r="AB780" s="11">
        <f t="shared" si="440"/>
        <v>0</v>
      </c>
      <c r="AC780" s="2">
        <f t="shared" si="441"/>
        <v>0</v>
      </c>
      <c r="AF780" s="11">
        <f t="shared" si="442"/>
        <v>0</v>
      </c>
      <c r="AG780" s="2">
        <f t="shared" si="443"/>
        <v>0</v>
      </c>
      <c r="AH780" s="2">
        <f t="shared" si="444"/>
        <v>0</v>
      </c>
      <c r="AI780" s="2">
        <f t="shared" si="445"/>
        <v>0</v>
      </c>
      <c r="AJ780" s="2">
        <f t="shared" si="446"/>
        <v>0</v>
      </c>
      <c r="AK780" s="2">
        <f t="shared" si="447"/>
        <v>0</v>
      </c>
      <c r="AL780" s="2">
        <f t="shared" si="448"/>
        <v>0</v>
      </c>
      <c r="AM780" s="11"/>
      <c r="AN780" s="2" t="e">
        <f t="shared" si="425"/>
        <v>#N/A</v>
      </c>
      <c r="AO780" s="2" t="e">
        <f t="shared" si="426"/>
        <v>#N/A</v>
      </c>
      <c r="AP780" s="2" t="e">
        <f t="shared" si="427"/>
        <v>#N/A</v>
      </c>
      <c r="AQ780" s="2" t="e">
        <f t="shared" si="428"/>
        <v>#N/A</v>
      </c>
      <c r="AR780" s="2" t="e">
        <f t="shared" si="429"/>
        <v>#N/A</v>
      </c>
      <c r="AS780" s="2" t="e">
        <f t="shared" si="430"/>
        <v>#DIV/0!</v>
      </c>
      <c r="AT780" s="9" t="e">
        <f t="shared" ca="1" si="431"/>
        <v>#N/A</v>
      </c>
      <c r="AU780" s="9" t="e">
        <f t="shared" ca="1" si="432"/>
        <v>#N/A</v>
      </c>
      <c r="AW780" s="2" t="e">
        <f t="shared" si="417"/>
        <v>#N/A</v>
      </c>
      <c r="AX780" s="2" t="e">
        <f t="shared" si="418"/>
        <v>#N/A</v>
      </c>
      <c r="AY780" s="2" t="e">
        <f t="shared" si="419"/>
        <v>#N/A</v>
      </c>
      <c r="AZ780" s="2" t="e">
        <f t="shared" si="420"/>
        <v>#N/A</v>
      </c>
      <c r="BA780" s="2" t="e">
        <f t="shared" si="421"/>
        <v>#N/A</v>
      </c>
      <c r="BB780" s="2" t="e">
        <f t="shared" si="422"/>
        <v>#DIV/0!</v>
      </c>
      <c r="BC780" s="9" t="e">
        <f t="shared" ca="1" si="423"/>
        <v>#N/A</v>
      </c>
      <c r="BD780" s="9" t="e">
        <f t="shared" ca="1" si="424"/>
        <v>#N/A</v>
      </c>
    </row>
    <row r="781" spans="1:56" ht="15" x14ac:dyDescent="0.25">
      <c r="A781"/>
      <c r="B781"/>
      <c r="C781"/>
      <c r="D781"/>
      <c r="E781"/>
      <c r="F781"/>
      <c r="G781"/>
      <c r="H781"/>
      <c r="I781"/>
      <c r="J781"/>
      <c r="K781"/>
      <c r="L781" s="64"/>
      <c r="M781" s="64"/>
      <c r="N781" s="16"/>
      <c r="O781" s="11"/>
      <c r="P781" s="11"/>
      <c r="Q781" s="11"/>
      <c r="R781" s="11"/>
      <c r="S781" s="11"/>
      <c r="T781" s="11"/>
      <c r="U781" s="11">
        <f t="shared" si="433"/>
        <v>0</v>
      </c>
      <c r="V781" s="2">
        <f t="shared" si="434"/>
        <v>0</v>
      </c>
      <c r="W781" s="11">
        <f t="shared" si="435"/>
        <v>0</v>
      </c>
      <c r="X781" s="2">
        <f t="shared" si="436"/>
        <v>0</v>
      </c>
      <c r="Y781" s="2">
        <f t="shared" si="437"/>
        <v>0</v>
      </c>
      <c r="Z781" s="11">
        <f t="shared" si="438"/>
        <v>0</v>
      </c>
      <c r="AA781" s="2">
        <f t="shared" si="439"/>
        <v>0</v>
      </c>
      <c r="AB781" s="11">
        <f t="shared" si="440"/>
        <v>0</v>
      </c>
      <c r="AC781" s="2">
        <f t="shared" si="441"/>
        <v>0</v>
      </c>
      <c r="AF781" s="11">
        <f t="shared" si="442"/>
        <v>0</v>
      </c>
      <c r="AG781" s="2">
        <f t="shared" si="443"/>
        <v>0</v>
      </c>
      <c r="AH781" s="2">
        <f t="shared" si="444"/>
        <v>0</v>
      </c>
      <c r="AI781" s="2">
        <f t="shared" si="445"/>
        <v>0</v>
      </c>
      <c r="AJ781" s="2">
        <f t="shared" si="446"/>
        <v>0</v>
      </c>
      <c r="AK781" s="2">
        <f t="shared" si="447"/>
        <v>0</v>
      </c>
      <c r="AL781" s="2">
        <f t="shared" si="448"/>
        <v>0</v>
      </c>
      <c r="AM781" s="11"/>
      <c r="AN781" s="2" t="e">
        <f t="shared" si="425"/>
        <v>#N/A</v>
      </c>
      <c r="AO781" s="2" t="e">
        <f t="shared" si="426"/>
        <v>#N/A</v>
      </c>
      <c r="AP781" s="2" t="e">
        <f t="shared" si="427"/>
        <v>#N/A</v>
      </c>
      <c r="AQ781" s="2" t="e">
        <f t="shared" si="428"/>
        <v>#N/A</v>
      </c>
      <c r="AR781" s="2" t="e">
        <f t="shared" si="429"/>
        <v>#N/A</v>
      </c>
      <c r="AS781" s="2" t="e">
        <f t="shared" si="430"/>
        <v>#DIV/0!</v>
      </c>
      <c r="AT781" s="9" t="e">
        <f t="shared" ca="1" si="431"/>
        <v>#N/A</v>
      </c>
      <c r="AU781" s="9" t="e">
        <f t="shared" ca="1" si="432"/>
        <v>#N/A</v>
      </c>
      <c r="AW781" s="2" t="e">
        <f t="shared" si="417"/>
        <v>#N/A</v>
      </c>
      <c r="AX781" s="2" t="e">
        <f t="shared" si="418"/>
        <v>#N/A</v>
      </c>
      <c r="AY781" s="2" t="e">
        <f t="shared" si="419"/>
        <v>#N/A</v>
      </c>
      <c r="AZ781" s="2" t="e">
        <f t="shared" si="420"/>
        <v>#N/A</v>
      </c>
      <c r="BA781" s="2" t="e">
        <f t="shared" si="421"/>
        <v>#N/A</v>
      </c>
      <c r="BB781" s="2" t="e">
        <f t="shared" si="422"/>
        <v>#DIV/0!</v>
      </c>
      <c r="BC781" s="9" t="e">
        <f t="shared" ca="1" si="423"/>
        <v>#N/A</v>
      </c>
      <c r="BD781" s="9" t="e">
        <f t="shared" ca="1" si="424"/>
        <v>#N/A</v>
      </c>
    </row>
    <row r="782" spans="1:56" ht="15" x14ac:dyDescent="0.25">
      <c r="A782"/>
      <c r="B782"/>
      <c r="C782"/>
      <c r="D782"/>
      <c r="E782"/>
      <c r="F782"/>
      <c r="G782"/>
      <c r="H782"/>
      <c r="I782"/>
      <c r="J782"/>
      <c r="K782"/>
      <c r="L782" s="64"/>
      <c r="M782" s="64"/>
      <c r="N782" s="16"/>
      <c r="O782" s="11"/>
      <c r="P782" s="11"/>
      <c r="Q782" s="11"/>
      <c r="R782" s="11"/>
      <c r="S782" s="11"/>
      <c r="T782" s="11"/>
      <c r="U782" s="11">
        <f t="shared" si="433"/>
        <v>0</v>
      </c>
      <c r="V782" s="2">
        <f t="shared" si="434"/>
        <v>0</v>
      </c>
      <c r="W782" s="11">
        <f t="shared" si="435"/>
        <v>0</v>
      </c>
      <c r="X782" s="2">
        <f t="shared" si="436"/>
        <v>0</v>
      </c>
      <c r="Y782" s="2">
        <f t="shared" si="437"/>
        <v>0</v>
      </c>
      <c r="Z782" s="11">
        <f t="shared" si="438"/>
        <v>0</v>
      </c>
      <c r="AA782" s="2">
        <f t="shared" si="439"/>
        <v>0</v>
      </c>
      <c r="AB782" s="11">
        <f t="shared" si="440"/>
        <v>0</v>
      </c>
      <c r="AC782" s="2">
        <f t="shared" si="441"/>
        <v>0</v>
      </c>
      <c r="AF782" s="11">
        <f t="shared" si="442"/>
        <v>0</v>
      </c>
      <c r="AG782" s="2">
        <f t="shared" si="443"/>
        <v>0</v>
      </c>
      <c r="AH782" s="2">
        <f t="shared" si="444"/>
        <v>0</v>
      </c>
      <c r="AI782" s="2">
        <f t="shared" si="445"/>
        <v>0</v>
      </c>
      <c r="AJ782" s="2">
        <f t="shared" si="446"/>
        <v>0</v>
      </c>
      <c r="AK782" s="2">
        <f t="shared" si="447"/>
        <v>0</v>
      </c>
      <c r="AL782" s="2">
        <f t="shared" si="448"/>
        <v>0</v>
      </c>
      <c r="AM782" s="11"/>
      <c r="AN782" s="2" t="e">
        <f t="shared" si="425"/>
        <v>#N/A</v>
      </c>
      <c r="AO782" s="2" t="e">
        <f t="shared" si="426"/>
        <v>#N/A</v>
      </c>
      <c r="AP782" s="2" t="e">
        <f t="shared" si="427"/>
        <v>#N/A</v>
      </c>
      <c r="AQ782" s="2" t="e">
        <f t="shared" si="428"/>
        <v>#N/A</v>
      </c>
      <c r="AR782" s="2" t="e">
        <f t="shared" si="429"/>
        <v>#N/A</v>
      </c>
      <c r="AS782" s="2" t="e">
        <f t="shared" si="430"/>
        <v>#DIV/0!</v>
      </c>
      <c r="AT782" s="9" t="e">
        <f t="shared" ca="1" si="431"/>
        <v>#N/A</v>
      </c>
      <c r="AU782" s="9" t="e">
        <f t="shared" ca="1" si="432"/>
        <v>#N/A</v>
      </c>
      <c r="AW782" s="2" t="e">
        <f t="shared" si="417"/>
        <v>#N/A</v>
      </c>
      <c r="AX782" s="2" t="e">
        <f t="shared" si="418"/>
        <v>#N/A</v>
      </c>
      <c r="AY782" s="2" t="e">
        <f t="shared" si="419"/>
        <v>#N/A</v>
      </c>
      <c r="AZ782" s="2" t="e">
        <f t="shared" si="420"/>
        <v>#N/A</v>
      </c>
      <c r="BA782" s="2" t="e">
        <f t="shared" si="421"/>
        <v>#N/A</v>
      </c>
      <c r="BB782" s="2" t="e">
        <f t="shared" si="422"/>
        <v>#DIV/0!</v>
      </c>
      <c r="BC782" s="9" t="e">
        <f t="shared" ca="1" si="423"/>
        <v>#N/A</v>
      </c>
      <c r="BD782" s="9" t="e">
        <f t="shared" ca="1" si="424"/>
        <v>#N/A</v>
      </c>
    </row>
    <row r="783" spans="1:56" ht="15" x14ac:dyDescent="0.25">
      <c r="A783"/>
      <c r="B783"/>
      <c r="C783"/>
      <c r="D783"/>
      <c r="E783"/>
      <c r="F783"/>
      <c r="G783"/>
      <c r="H783"/>
      <c r="I783"/>
      <c r="J783"/>
      <c r="K783"/>
      <c r="L783" s="64"/>
      <c r="M783" s="64"/>
      <c r="N783" s="16"/>
      <c r="O783" s="11"/>
      <c r="P783" s="11"/>
      <c r="Q783" s="11"/>
      <c r="R783" s="11"/>
      <c r="S783" s="11"/>
      <c r="T783" s="11"/>
      <c r="U783" s="11">
        <f t="shared" si="433"/>
        <v>0</v>
      </c>
      <c r="V783" s="2">
        <f t="shared" si="434"/>
        <v>0</v>
      </c>
      <c r="W783" s="11">
        <f t="shared" si="435"/>
        <v>0</v>
      </c>
      <c r="X783" s="2">
        <f t="shared" si="436"/>
        <v>0</v>
      </c>
      <c r="Y783" s="2">
        <f t="shared" si="437"/>
        <v>0</v>
      </c>
      <c r="Z783" s="11">
        <f t="shared" si="438"/>
        <v>0</v>
      </c>
      <c r="AA783" s="2">
        <f t="shared" si="439"/>
        <v>0</v>
      </c>
      <c r="AB783" s="11">
        <f t="shared" si="440"/>
        <v>0</v>
      </c>
      <c r="AC783" s="2">
        <f t="shared" si="441"/>
        <v>0</v>
      </c>
      <c r="AF783" s="11">
        <f t="shared" si="442"/>
        <v>0</v>
      </c>
      <c r="AG783" s="2">
        <f t="shared" si="443"/>
        <v>0</v>
      </c>
      <c r="AH783" s="2">
        <f t="shared" si="444"/>
        <v>0</v>
      </c>
      <c r="AI783" s="2">
        <f t="shared" si="445"/>
        <v>0</v>
      </c>
      <c r="AJ783" s="2">
        <f t="shared" si="446"/>
        <v>0</v>
      </c>
      <c r="AK783" s="2">
        <f t="shared" si="447"/>
        <v>0</v>
      </c>
      <c r="AL783" s="2">
        <f t="shared" si="448"/>
        <v>0</v>
      </c>
      <c r="AM783" s="11"/>
      <c r="AN783" s="2" t="e">
        <f t="shared" si="425"/>
        <v>#N/A</v>
      </c>
      <c r="AO783" s="2" t="e">
        <f t="shared" si="426"/>
        <v>#N/A</v>
      </c>
      <c r="AP783" s="2" t="e">
        <f t="shared" si="427"/>
        <v>#N/A</v>
      </c>
      <c r="AQ783" s="2" t="e">
        <f t="shared" si="428"/>
        <v>#N/A</v>
      </c>
      <c r="AR783" s="2" t="e">
        <f t="shared" si="429"/>
        <v>#N/A</v>
      </c>
      <c r="AS783" s="2" t="e">
        <f t="shared" si="430"/>
        <v>#DIV/0!</v>
      </c>
      <c r="AT783" s="9" t="e">
        <f t="shared" ca="1" si="431"/>
        <v>#N/A</v>
      </c>
      <c r="AU783" s="9" t="e">
        <f t="shared" ca="1" si="432"/>
        <v>#N/A</v>
      </c>
      <c r="AW783" s="2" t="e">
        <f t="shared" si="417"/>
        <v>#N/A</v>
      </c>
      <c r="AX783" s="2" t="e">
        <f t="shared" si="418"/>
        <v>#N/A</v>
      </c>
      <c r="AY783" s="2" t="e">
        <f t="shared" si="419"/>
        <v>#N/A</v>
      </c>
      <c r="AZ783" s="2" t="e">
        <f t="shared" si="420"/>
        <v>#N/A</v>
      </c>
      <c r="BA783" s="2" t="e">
        <f t="shared" si="421"/>
        <v>#N/A</v>
      </c>
      <c r="BB783" s="2" t="e">
        <f t="shared" si="422"/>
        <v>#DIV/0!</v>
      </c>
      <c r="BC783" s="9" t="e">
        <f t="shared" ca="1" si="423"/>
        <v>#N/A</v>
      </c>
      <c r="BD783" s="9" t="e">
        <f t="shared" ca="1" si="424"/>
        <v>#N/A</v>
      </c>
    </row>
    <row r="784" spans="1:56" ht="15" x14ac:dyDescent="0.25">
      <c r="A784"/>
      <c r="B784"/>
      <c r="C784"/>
      <c r="D784"/>
      <c r="E784"/>
      <c r="F784"/>
      <c r="G784"/>
      <c r="H784"/>
      <c r="I784"/>
      <c r="J784"/>
      <c r="K784"/>
      <c r="L784" s="64"/>
      <c r="M784" s="64"/>
      <c r="N784" s="16"/>
      <c r="O784" s="11"/>
      <c r="P784" s="11"/>
      <c r="Q784" s="11"/>
      <c r="R784" s="11"/>
      <c r="S784" s="11"/>
      <c r="T784" s="11"/>
      <c r="U784" s="11">
        <f t="shared" si="433"/>
        <v>0</v>
      </c>
      <c r="V784" s="2">
        <f t="shared" si="434"/>
        <v>0</v>
      </c>
      <c r="W784" s="11">
        <f t="shared" si="435"/>
        <v>0</v>
      </c>
      <c r="X784" s="2">
        <f t="shared" si="436"/>
        <v>0</v>
      </c>
      <c r="Y784" s="2">
        <f t="shared" si="437"/>
        <v>0</v>
      </c>
      <c r="Z784" s="11">
        <f t="shared" si="438"/>
        <v>0</v>
      </c>
      <c r="AA784" s="2">
        <f t="shared" si="439"/>
        <v>0</v>
      </c>
      <c r="AB784" s="11">
        <f t="shared" si="440"/>
        <v>0</v>
      </c>
      <c r="AC784" s="2">
        <f t="shared" si="441"/>
        <v>0</v>
      </c>
      <c r="AF784" s="11">
        <f t="shared" si="442"/>
        <v>0</v>
      </c>
      <c r="AG784" s="2">
        <f t="shared" si="443"/>
        <v>0</v>
      </c>
      <c r="AH784" s="2">
        <f t="shared" si="444"/>
        <v>0</v>
      </c>
      <c r="AI784" s="2">
        <f t="shared" si="445"/>
        <v>0</v>
      </c>
      <c r="AJ784" s="2">
        <f t="shared" si="446"/>
        <v>0</v>
      </c>
      <c r="AK784" s="2">
        <f t="shared" si="447"/>
        <v>0</v>
      </c>
      <c r="AL784" s="2">
        <f t="shared" si="448"/>
        <v>0</v>
      </c>
      <c r="AM784" s="11"/>
      <c r="AN784" s="2" t="e">
        <f t="shared" si="425"/>
        <v>#N/A</v>
      </c>
      <c r="AO784" s="2" t="e">
        <f t="shared" si="426"/>
        <v>#N/A</v>
      </c>
      <c r="AP784" s="2" t="e">
        <f t="shared" si="427"/>
        <v>#N/A</v>
      </c>
      <c r="AQ784" s="2" t="e">
        <f t="shared" si="428"/>
        <v>#N/A</v>
      </c>
      <c r="AR784" s="2" t="e">
        <f t="shared" si="429"/>
        <v>#N/A</v>
      </c>
      <c r="AS784" s="2" t="e">
        <f t="shared" si="430"/>
        <v>#DIV/0!</v>
      </c>
      <c r="AT784" s="9" t="e">
        <f t="shared" ca="1" si="431"/>
        <v>#N/A</v>
      </c>
      <c r="AU784" s="9" t="e">
        <f t="shared" ca="1" si="432"/>
        <v>#N/A</v>
      </c>
      <c r="AW784" s="2" t="e">
        <f t="shared" si="417"/>
        <v>#N/A</v>
      </c>
      <c r="AX784" s="2" t="e">
        <f t="shared" si="418"/>
        <v>#N/A</v>
      </c>
      <c r="AY784" s="2" t="e">
        <f t="shared" si="419"/>
        <v>#N/A</v>
      </c>
      <c r="AZ784" s="2" t="e">
        <f t="shared" si="420"/>
        <v>#N/A</v>
      </c>
      <c r="BA784" s="2" t="e">
        <f t="shared" si="421"/>
        <v>#N/A</v>
      </c>
      <c r="BB784" s="2" t="e">
        <f t="shared" si="422"/>
        <v>#DIV/0!</v>
      </c>
      <c r="BC784" s="9" t="e">
        <f t="shared" ca="1" si="423"/>
        <v>#N/A</v>
      </c>
      <c r="BD784" s="9" t="e">
        <f t="shared" ca="1" si="424"/>
        <v>#N/A</v>
      </c>
    </row>
    <row r="785" spans="1:56" ht="15" x14ac:dyDescent="0.25">
      <c r="A785"/>
      <c r="B785"/>
      <c r="C785"/>
      <c r="D785"/>
      <c r="E785"/>
      <c r="F785"/>
      <c r="G785"/>
      <c r="H785"/>
      <c r="I785"/>
      <c r="J785"/>
      <c r="K785"/>
      <c r="L785" s="64"/>
      <c r="M785" s="64"/>
      <c r="N785" s="16"/>
      <c r="O785" s="11"/>
      <c r="P785" s="11"/>
      <c r="Q785" s="11"/>
      <c r="R785" s="11"/>
      <c r="S785" s="11"/>
      <c r="T785" s="11"/>
      <c r="U785" s="11">
        <f t="shared" si="433"/>
        <v>0</v>
      </c>
      <c r="V785" s="2">
        <f t="shared" si="434"/>
        <v>0</v>
      </c>
      <c r="W785" s="11">
        <f t="shared" si="435"/>
        <v>0</v>
      </c>
      <c r="X785" s="2">
        <f t="shared" si="436"/>
        <v>0</v>
      </c>
      <c r="Y785" s="2">
        <f t="shared" si="437"/>
        <v>0</v>
      </c>
      <c r="Z785" s="11">
        <f t="shared" si="438"/>
        <v>0</v>
      </c>
      <c r="AA785" s="2">
        <f t="shared" si="439"/>
        <v>0</v>
      </c>
      <c r="AB785" s="11">
        <f t="shared" si="440"/>
        <v>0</v>
      </c>
      <c r="AC785" s="2">
        <f t="shared" si="441"/>
        <v>0</v>
      </c>
      <c r="AF785" s="11">
        <f t="shared" si="442"/>
        <v>0</v>
      </c>
      <c r="AG785" s="2">
        <f t="shared" si="443"/>
        <v>0</v>
      </c>
      <c r="AH785" s="2">
        <f t="shared" si="444"/>
        <v>0</v>
      </c>
      <c r="AI785" s="2">
        <f t="shared" si="445"/>
        <v>0</v>
      </c>
      <c r="AJ785" s="2">
        <f t="shared" si="446"/>
        <v>0</v>
      </c>
      <c r="AK785" s="2">
        <f t="shared" si="447"/>
        <v>0</v>
      </c>
      <c r="AL785" s="2">
        <f t="shared" si="448"/>
        <v>0</v>
      </c>
      <c r="AM785" s="11"/>
      <c r="AN785" s="2" t="e">
        <f t="shared" si="425"/>
        <v>#N/A</v>
      </c>
      <c r="AO785" s="2" t="e">
        <f t="shared" si="426"/>
        <v>#N/A</v>
      </c>
      <c r="AP785" s="2" t="e">
        <f t="shared" si="427"/>
        <v>#N/A</v>
      </c>
      <c r="AQ785" s="2" t="e">
        <f t="shared" si="428"/>
        <v>#N/A</v>
      </c>
      <c r="AR785" s="2" t="e">
        <f t="shared" si="429"/>
        <v>#N/A</v>
      </c>
      <c r="AS785" s="2" t="e">
        <f t="shared" si="430"/>
        <v>#DIV/0!</v>
      </c>
      <c r="AT785" s="9" t="e">
        <f t="shared" ca="1" si="431"/>
        <v>#N/A</v>
      </c>
      <c r="AU785" s="9" t="e">
        <f t="shared" ca="1" si="432"/>
        <v>#N/A</v>
      </c>
      <c r="AW785" s="2" t="e">
        <f t="shared" si="417"/>
        <v>#N/A</v>
      </c>
      <c r="AX785" s="2" t="e">
        <f t="shared" si="418"/>
        <v>#N/A</v>
      </c>
      <c r="AY785" s="2" t="e">
        <f t="shared" si="419"/>
        <v>#N/A</v>
      </c>
      <c r="AZ785" s="2" t="e">
        <f t="shared" si="420"/>
        <v>#N/A</v>
      </c>
      <c r="BA785" s="2" t="e">
        <f t="shared" si="421"/>
        <v>#N/A</v>
      </c>
      <c r="BB785" s="2" t="e">
        <f t="shared" si="422"/>
        <v>#DIV/0!</v>
      </c>
      <c r="BC785" s="9" t="e">
        <f t="shared" ca="1" si="423"/>
        <v>#N/A</v>
      </c>
      <c r="BD785" s="9" t="e">
        <f t="shared" ca="1" si="424"/>
        <v>#N/A</v>
      </c>
    </row>
    <row r="786" spans="1:56" ht="15" x14ac:dyDescent="0.25">
      <c r="A786"/>
      <c r="B786"/>
      <c r="C786"/>
      <c r="D786"/>
      <c r="E786"/>
      <c r="F786"/>
      <c r="G786"/>
      <c r="H786"/>
      <c r="I786"/>
      <c r="J786"/>
      <c r="K786"/>
      <c r="L786" s="64"/>
      <c r="M786" s="64"/>
      <c r="N786" s="16"/>
      <c r="O786" s="11"/>
      <c r="P786" s="11"/>
      <c r="Q786" s="11"/>
      <c r="R786" s="11"/>
      <c r="S786" s="11"/>
      <c r="T786" s="11"/>
      <c r="U786" s="11">
        <f t="shared" si="433"/>
        <v>0</v>
      </c>
      <c r="V786" s="2">
        <f t="shared" si="434"/>
        <v>0</v>
      </c>
      <c r="W786" s="11">
        <f t="shared" si="435"/>
        <v>0</v>
      </c>
      <c r="X786" s="2">
        <f t="shared" si="436"/>
        <v>0</v>
      </c>
      <c r="Y786" s="2">
        <f t="shared" si="437"/>
        <v>0</v>
      </c>
      <c r="Z786" s="11">
        <f t="shared" si="438"/>
        <v>0</v>
      </c>
      <c r="AA786" s="2">
        <f t="shared" si="439"/>
        <v>0</v>
      </c>
      <c r="AB786" s="11">
        <f t="shared" si="440"/>
        <v>0</v>
      </c>
      <c r="AC786" s="2">
        <f t="shared" si="441"/>
        <v>0</v>
      </c>
      <c r="AF786" s="11">
        <f t="shared" si="442"/>
        <v>0</v>
      </c>
      <c r="AG786" s="2">
        <f t="shared" si="443"/>
        <v>0</v>
      </c>
      <c r="AH786" s="2">
        <f t="shared" si="444"/>
        <v>0</v>
      </c>
      <c r="AI786" s="2">
        <f t="shared" si="445"/>
        <v>0</v>
      </c>
      <c r="AJ786" s="2">
        <f t="shared" si="446"/>
        <v>0</v>
      </c>
      <c r="AK786" s="2">
        <f t="shared" si="447"/>
        <v>0</v>
      </c>
      <c r="AL786" s="2">
        <f t="shared" si="448"/>
        <v>0</v>
      </c>
      <c r="AM786" s="11"/>
      <c r="AN786" s="2" t="e">
        <f t="shared" si="425"/>
        <v>#N/A</v>
      </c>
      <c r="AO786" s="2" t="e">
        <f t="shared" si="426"/>
        <v>#N/A</v>
      </c>
      <c r="AP786" s="2" t="e">
        <f t="shared" si="427"/>
        <v>#N/A</v>
      </c>
      <c r="AQ786" s="2" t="e">
        <f t="shared" si="428"/>
        <v>#N/A</v>
      </c>
      <c r="AR786" s="2" t="e">
        <f t="shared" si="429"/>
        <v>#N/A</v>
      </c>
      <c r="AS786" s="2" t="e">
        <f t="shared" si="430"/>
        <v>#DIV/0!</v>
      </c>
      <c r="AT786" s="9" t="e">
        <f t="shared" ca="1" si="431"/>
        <v>#N/A</v>
      </c>
      <c r="AU786" s="9" t="e">
        <f t="shared" ca="1" si="432"/>
        <v>#N/A</v>
      </c>
      <c r="AW786" s="2" t="e">
        <f t="shared" si="417"/>
        <v>#N/A</v>
      </c>
      <c r="AX786" s="2" t="e">
        <f t="shared" si="418"/>
        <v>#N/A</v>
      </c>
      <c r="AY786" s="2" t="e">
        <f t="shared" si="419"/>
        <v>#N/A</v>
      </c>
      <c r="AZ786" s="2" t="e">
        <f t="shared" si="420"/>
        <v>#N/A</v>
      </c>
      <c r="BA786" s="2" t="e">
        <f t="shared" si="421"/>
        <v>#N/A</v>
      </c>
      <c r="BB786" s="2" t="e">
        <f t="shared" si="422"/>
        <v>#DIV/0!</v>
      </c>
      <c r="BC786" s="9" t="e">
        <f t="shared" ca="1" si="423"/>
        <v>#N/A</v>
      </c>
      <c r="BD786" s="9" t="e">
        <f t="shared" ca="1" si="424"/>
        <v>#N/A</v>
      </c>
    </row>
    <row r="787" spans="1:56" ht="15" x14ac:dyDescent="0.25">
      <c r="A787"/>
      <c r="B787"/>
      <c r="C787"/>
      <c r="D787"/>
      <c r="E787"/>
      <c r="F787"/>
      <c r="G787"/>
      <c r="H787"/>
      <c r="I787"/>
      <c r="J787"/>
      <c r="K787"/>
      <c r="L787" s="64"/>
      <c r="M787" s="64"/>
      <c r="N787" s="16"/>
      <c r="O787" s="11"/>
      <c r="P787" s="11"/>
      <c r="Q787" s="11"/>
      <c r="R787" s="11"/>
      <c r="S787" s="11"/>
      <c r="T787" s="11"/>
      <c r="U787" s="11">
        <f t="shared" si="433"/>
        <v>0</v>
      </c>
      <c r="V787" s="2">
        <f t="shared" si="434"/>
        <v>0</v>
      </c>
      <c r="W787" s="11">
        <f t="shared" si="435"/>
        <v>0</v>
      </c>
      <c r="X787" s="2">
        <f t="shared" si="436"/>
        <v>0</v>
      </c>
      <c r="Y787" s="2">
        <f t="shared" si="437"/>
        <v>0</v>
      </c>
      <c r="Z787" s="11">
        <f t="shared" si="438"/>
        <v>0</v>
      </c>
      <c r="AA787" s="2">
        <f t="shared" si="439"/>
        <v>0</v>
      </c>
      <c r="AB787" s="11">
        <f t="shared" si="440"/>
        <v>0</v>
      </c>
      <c r="AC787" s="2">
        <f t="shared" si="441"/>
        <v>0</v>
      </c>
      <c r="AF787" s="11">
        <f t="shared" si="442"/>
        <v>0</v>
      </c>
      <c r="AG787" s="2">
        <f t="shared" si="443"/>
        <v>0</v>
      </c>
      <c r="AH787" s="2">
        <f t="shared" si="444"/>
        <v>0</v>
      </c>
      <c r="AI787" s="2">
        <f t="shared" si="445"/>
        <v>0</v>
      </c>
      <c r="AJ787" s="2">
        <f t="shared" si="446"/>
        <v>0</v>
      </c>
      <c r="AK787" s="2">
        <f t="shared" si="447"/>
        <v>0</v>
      </c>
      <c r="AL787" s="2">
        <f t="shared" si="448"/>
        <v>0</v>
      </c>
      <c r="AM787" s="11"/>
      <c r="AN787" s="2" t="e">
        <f t="shared" si="425"/>
        <v>#N/A</v>
      </c>
      <c r="AO787" s="2" t="e">
        <f t="shared" si="426"/>
        <v>#N/A</v>
      </c>
      <c r="AP787" s="2" t="e">
        <f t="shared" si="427"/>
        <v>#N/A</v>
      </c>
      <c r="AQ787" s="2" t="e">
        <f t="shared" si="428"/>
        <v>#N/A</v>
      </c>
      <c r="AR787" s="2" t="e">
        <f t="shared" si="429"/>
        <v>#N/A</v>
      </c>
      <c r="AS787" s="2" t="e">
        <f t="shared" si="430"/>
        <v>#DIV/0!</v>
      </c>
      <c r="AT787" s="9" t="e">
        <f t="shared" ca="1" si="431"/>
        <v>#N/A</v>
      </c>
      <c r="AU787" s="9" t="e">
        <f t="shared" ca="1" si="432"/>
        <v>#N/A</v>
      </c>
      <c r="AW787" s="2" t="e">
        <f t="shared" si="417"/>
        <v>#N/A</v>
      </c>
      <c r="AX787" s="2" t="e">
        <f t="shared" si="418"/>
        <v>#N/A</v>
      </c>
      <c r="AY787" s="2" t="e">
        <f t="shared" si="419"/>
        <v>#N/A</v>
      </c>
      <c r="AZ787" s="2" t="e">
        <f t="shared" si="420"/>
        <v>#N/A</v>
      </c>
      <c r="BA787" s="2" t="e">
        <f t="shared" si="421"/>
        <v>#N/A</v>
      </c>
      <c r="BB787" s="2" t="e">
        <f t="shared" si="422"/>
        <v>#DIV/0!</v>
      </c>
      <c r="BC787" s="9" t="e">
        <f t="shared" ca="1" si="423"/>
        <v>#N/A</v>
      </c>
      <c r="BD787" s="9" t="e">
        <f t="shared" ca="1" si="424"/>
        <v>#N/A</v>
      </c>
    </row>
    <row r="788" spans="1:56" ht="15" x14ac:dyDescent="0.25">
      <c r="A788"/>
      <c r="B788"/>
      <c r="C788"/>
      <c r="D788"/>
      <c r="E788"/>
      <c r="F788"/>
      <c r="G788"/>
      <c r="H788"/>
      <c r="I788"/>
      <c r="J788"/>
      <c r="K788"/>
      <c r="L788" s="64"/>
      <c r="M788" s="64"/>
      <c r="N788" s="16"/>
      <c r="O788" s="11"/>
      <c r="P788" s="11"/>
      <c r="Q788" s="11"/>
      <c r="R788" s="11"/>
      <c r="S788" s="11"/>
      <c r="T788" s="11"/>
      <c r="U788" s="11">
        <f t="shared" si="433"/>
        <v>0</v>
      </c>
      <c r="V788" s="2">
        <f t="shared" si="434"/>
        <v>0</v>
      </c>
      <c r="W788" s="11">
        <f t="shared" si="435"/>
        <v>0</v>
      </c>
      <c r="X788" s="2">
        <f t="shared" si="436"/>
        <v>0</v>
      </c>
      <c r="Y788" s="2">
        <f t="shared" si="437"/>
        <v>0</v>
      </c>
      <c r="Z788" s="11">
        <f t="shared" si="438"/>
        <v>0</v>
      </c>
      <c r="AA788" s="2">
        <f t="shared" si="439"/>
        <v>0</v>
      </c>
      <c r="AB788" s="11">
        <f t="shared" si="440"/>
        <v>0</v>
      </c>
      <c r="AC788" s="2">
        <f t="shared" si="441"/>
        <v>0</v>
      </c>
      <c r="AF788" s="11">
        <f t="shared" si="442"/>
        <v>0</v>
      </c>
      <c r="AG788" s="2">
        <f t="shared" si="443"/>
        <v>0</v>
      </c>
      <c r="AH788" s="2">
        <f t="shared" si="444"/>
        <v>0</v>
      </c>
      <c r="AI788" s="2">
        <f t="shared" si="445"/>
        <v>0</v>
      </c>
      <c r="AJ788" s="2">
        <f t="shared" si="446"/>
        <v>0</v>
      </c>
      <c r="AK788" s="2">
        <f t="shared" si="447"/>
        <v>0</v>
      </c>
      <c r="AL788" s="2">
        <f t="shared" si="448"/>
        <v>0</v>
      </c>
      <c r="AM788" s="11"/>
      <c r="AN788" s="2" t="e">
        <f t="shared" si="425"/>
        <v>#N/A</v>
      </c>
      <c r="AO788" s="2" t="e">
        <f t="shared" si="426"/>
        <v>#N/A</v>
      </c>
      <c r="AP788" s="2" t="e">
        <f t="shared" si="427"/>
        <v>#N/A</v>
      </c>
      <c r="AQ788" s="2" t="e">
        <f t="shared" si="428"/>
        <v>#N/A</v>
      </c>
      <c r="AR788" s="2" t="e">
        <f t="shared" si="429"/>
        <v>#N/A</v>
      </c>
      <c r="AS788" s="2" t="e">
        <f t="shared" si="430"/>
        <v>#DIV/0!</v>
      </c>
      <c r="AT788" s="9" t="e">
        <f t="shared" ca="1" si="431"/>
        <v>#N/A</v>
      </c>
      <c r="AU788" s="9" t="e">
        <f t="shared" ca="1" si="432"/>
        <v>#N/A</v>
      </c>
      <c r="AW788" s="2" t="e">
        <f t="shared" si="417"/>
        <v>#N/A</v>
      </c>
      <c r="AX788" s="2" t="e">
        <f t="shared" si="418"/>
        <v>#N/A</v>
      </c>
      <c r="AY788" s="2" t="e">
        <f t="shared" si="419"/>
        <v>#N/A</v>
      </c>
      <c r="AZ788" s="2" t="e">
        <f t="shared" si="420"/>
        <v>#N/A</v>
      </c>
      <c r="BA788" s="2" t="e">
        <f t="shared" si="421"/>
        <v>#N/A</v>
      </c>
      <c r="BB788" s="2" t="e">
        <f t="shared" si="422"/>
        <v>#DIV/0!</v>
      </c>
      <c r="BC788" s="9" t="e">
        <f t="shared" ca="1" si="423"/>
        <v>#N/A</v>
      </c>
      <c r="BD788" s="9" t="e">
        <f t="shared" ca="1" si="424"/>
        <v>#N/A</v>
      </c>
    </row>
    <row r="789" spans="1:56" ht="15" x14ac:dyDescent="0.25">
      <c r="A789"/>
      <c r="B789"/>
      <c r="C789"/>
      <c r="D789"/>
      <c r="E789"/>
      <c r="F789"/>
      <c r="G789"/>
      <c r="H789"/>
      <c r="I789"/>
      <c r="J789"/>
      <c r="K789"/>
      <c r="L789" s="64"/>
      <c r="M789" s="64"/>
      <c r="N789" s="16"/>
      <c r="O789" s="11"/>
      <c r="P789" s="11"/>
      <c r="Q789" s="11"/>
      <c r="R789" s="11"/>
      <c r="S789" s="11"/>
      <c r="T789" s="11"/>
      <c r="U789" s="11">
        <f t="shared" si="433"/>
        <v>0</v>
      </c>
      <c r="V789" s="2">
        <f t="shared" si="434"/>
        <v>0</v>
      </c>
      <c r="W789" s="11">
        <f t="shared" si="435"/>
        <v>0</v>
      </c>
      <c r="X789" s="2">
        <f t="shared" si="436"/>
        <v>0</v>
      </c>
      <c r="Y789" s="2">
        <f t="shared" si="437"/>
        <v>0</v>
      </c>
      <c r="Z789" s="11">
        <f t="shared" si="438"/>
        <v>0</v>
      </c>
      <c r="AA789" s="2">
        <f t="shared" si="439"/>
        <v>0</v>
      </c>
      <c r="AB789" s="11">
        <f t="shared" si="440"/>
        <v>0</v>
      </c>
      <c r="AC789" s="2">
        <f t="shared" si="441"/>
        <v>0</v>
      </c>
      <c r="AF789" s="11">
        <f t="shared" si="442"/>
        <v>0</v>
      </c>
      <c r="AG789" s="2">
        <f t="shared" si="443"/>
        <v>0</v>
      </c>
      <c r="AH789" s="2">
        <f t="shared" si="444"/>
        <v>0</v>
      </c>
      <c r="AI789" s="2">
        <f t="shared" si="445"/>
        <v>0</v>
      </c>
      <c r="AJ789" s="2">
        <f t="shared" si="446"/>
        <v>0</v>
      </c>
      <c r="AK789" s="2">
        <f t="shared" si="447"/>
        <v>0</v>
      </c>
      <c r="AL789" s="2">
        <f t="shared" si="448"/>
        <v>0</v>
      </c>
      <c r="AM789" s="11"/>
      <c r="AN789" s="2" t="e">
        <f t="shared" si="425"/>
        <v>#N/A</v>
      </c>
      <c r="AO789" s="2" t="e">
        <f t="shared" si="426"/>
        <v>#N/A</v>
      </c>
      <c r="AP789" s="2" t="e">
        <f t="shared" si="427"/>
        <v>#N/A</v>
      </c>
      <c r="AQ789" s="2" t="e">
        <f t="shared" si="428"/>
        <v>#N/A</v>
      </c>
      <c r="AR789" s="2" t="e">
        <f t="shared" si="429"/>
        <v>#N/A</v>
      </c>
      <c r="AS789" s="2" t="e">
        <f t="shared" si="430"/>
        <v>#DIV/0!</v>
      </c>
      <c r="AT789" s="9" t="e">
        <f t="shared" ca="1" si="431"/>
        <v>#N/A</v>
      </c>
      <c r="AU789" s="9" t="e">
        <f t="shared" ca="1" si="432"/>
        <v>#N/A</v>
      </c>
      <c r="AW789" s="2" t="e">
        <f t="shared" si="417"/>
        <v>#N/A</v>
      </c>
      <c r="AX789" s="2" t="e">
        <f t="shared" si="418"/>
        <v>#N/A</v>
      </c>
      <c r="AY789" s="2" t="e">
        <f t="shared" si="419"/>
        <v>#N/A</v>
      </c>
      <c r="AZ789" s="2" t="e">
        <f t="shared" si="420"/>
        <v>#N/A</v>
      </c>
      <c r="BA789" s="2" t="e">
        <f t="shared" si="421"/>
        <v>#N/A</v>
      </c>
      <c r="BB789" s="2" t="e">
        <f t="shared" si="422"/>
        <v>#DIV/0!</v>
      </c>
      <c r="BC789" s="9" t="e">
        <f t="shared" ca="1" si="423"/>
        <v>#N/A</v>
      </c>
      <c r="BD789" s="9" t="e">
        <f t="shared" ca="1" si="424"/>
        <v>#N/A</v>
      </c>
    </row>
    <row r="790" spans="1:56" ht="15" x14ac:dyDescent="0.25">
      <c r="A790"/>
      <c r="B790"/>
      <c r="C790"/>
      <c r="D790"/>
      <c r="E790"/>
      <c r="F790"/>
      <c r="G790"/>
      <c r="H790"/>
      <c r="I790"/>
      <c r="J790"/>
      <c r="K790"/>
      <c r="L790" s="64"/>
      <c r="M790" s="64"/>
      <c r="N790" s="16"/>
      <c r="O790" s="11"/>
      <c r="P790" s="11"/>
      <c r="Q790" s="11"/>
      <c r="R790" s="11"/>
      <c r="S790" s="11"/>
      <c r="T790" s="11"/>
      <c r="U790" s="11">
        <f t="shared" si="433"/>
        <v>0</v>
      </c>
      <c r="V790" s="2">
        <f t="shared" si="434"/>
        <v>0</v>
      </c>
      <c r="W790" s="11">
        <f t="shared" si="435"/>
        <v>0</v>
      </c>
      <c r="X790" s="2">
        <f t="shared" si="436"/>
        <v>0</v>
      </c>
      <c r="Y790" s="2">
        <f t="shared" si="437"/>
        <v>0</v>
      </c>
      <c r="Z790" s="11">
        <f t="shared" si="438"/>
        <v>0</v>
      </c>
      <c r="AA790" s="2">
        <f t="shared" si="439"/>
        <v>0</v>
      </c>
      <c r="AB790" s="11">
        <f t="shared" si="440"/>
        <v>0</v>
      </c>
      <c r="AC790" s="2">
        <f t="shared" si="441"/>
        <v>0</v>
      </c>
      <c r="AF790" s="11">
        <f t="shared" si="442"/>
        <v>0</v>
      </c>
      <c r="AG790" s="2">
        <f t="shared" si="443"/>
        <v>0</v>
      </c>
      <c r="AH790" s="2">
        <f t="shared" si="444"/>
        <v>0</v>
      </c>
      <c r="AI790" s="2">
        <f t="shared" si="445"/>
        <v>0</v>
      </c>
      <c r="AJ790" s="2">
        <f t="shared" si="446"/>
        <v>0</v>
      </c>
      <c r="AK790" s="2">
        <f t="shared" si="447"/>
        <v>0</v>
      </c>
      <c r="AL790" s="2">
        <f t="shared" si="448"/>
        <v>0</v>
      </c>
      <c r="AM790" s="11"/>
      <c r="AN790" s="2" t="e">
        <f t="shared" si="425"/>
        <v>#N/A</v>
      </c>
      <c r="AO790" s="2" t="e">
        <f t="shared" si="426"/>
        <v>#N/A</v>
      </c>
      <c r="AP790" s="2" t="e">
        <f t="shared" si="427"/>
        <v>#N/A</v>
      </c>
      <c r="AQ790" s="2" t="e">
        <f t="shared" si="428"/>
        <v>#N/A</v>
      </c>
      <c r="AR790" s="2" t="e">
        <f t="shared" si="429"/>
        <v>#N/A</v>
      </c>
      <c r="AS790" s="2" t="e">
        <f t="shared" si="430"/>
        <v>#DIV/0!</v>
      </c>
      <c r="AT790" s="9" t="e">
        <f t="shared" ca="1" si="431"/>
        <v>#N/A</v>
      </c>
      <c r="AU790" s="9" t="e">
        <f t="shared" ca="1" si="432"/>
        <v>#N/A</v>
      </c>
      <c r="AW790" s="2" t="e">
        <f t="shared" si="417"/>
        <v>#N/A</v>
      </c>
      <c r="AX790" s="2" t="e">
        <f t="shared" si="418"/>
        <v>#N/A</v>
      </c>
      <c r="AY790" s="2" t="e">
        <f t="shared" si="419"/>
        <v>#N/A</v>
      </c>
      <c r="AZ790" s="2" t="e">
        <f t="shared" si="420"/>
        <v>#N/A</v>
      </c>
      <c r="BA790" s="2" t="e">
        <f t="shared" si="421"/>
        <v>#N/A</v>
      </c>
      <c r="BB790" s="2" t="e">
        <f t="shared" si="422"/>
        <v>#DIV/0!</v>
      </c>
      <c r="BC790" s="9" t="e">
        <f t="shared" ca="1" si="423"/>
        <v>#N/A</v>
      </c>
      <c r="BD790" s="9" t="e">
        <f t="shared" ca="1" si="424"/>
        <v>#N/A</v>
      </c>
    </row>
    <row r="791" spans="1:56" ht="15" x14ac:dyDescent="0.25">
      <c r="A791"/>
      <c r="B791"/>
      <c r="C791"/>
      <c r="D791"/>
      <c r="E791"/>
      <c r="F791"/>
      <c r="G791"/>
      <c r="H791"/>
      <c r="I791"/>
      <c r="J791"/>
      <c r="K791"/>
      <c r="L791" s="64"/>
      <c r="M791" s="64"/>
      <c r="N791" s="16"/>
      <c r="O791" s="11"/>
      <c r="P791" s="11"/>
      <c r="Q791" s="11"/>
      <c r="R791" s="11"/>
      <c r="S791" s="11"/>
      <c r="T791" s="11"/>
      <c r="U791" s="11">
        <f t="shared" si="433"/>
        <v>0</v>
      </c>
      <c r="V791" s="2">
        <f t="shared" si="434"/>
        <v>0</v>
      </c>
      <c r="W791" s="11">
        <f t="shared" si="435"/>
        <v>0</v>
      </c>
      <c r="X791" s="2">
        <f t="shared" si="436"/>
        <v>0</v>
      </c>
      <c r="Y791" s="2">
        <f t="shared" si="437"/>
        <v>0</v>
      </c>
      <c r="Z791" s="11">
        <f t="shared" si="438"/>
        <v>0</v>
      </c>
      <c r="AA791" s="2">
        <f t="shared" si="439"/>
        <v>0</v>
      </c>
      <c r="AB791" s="11">
        <f t="shared" si="440"/>
        <v>0</v>
      </c>
      <c r="AC791" s="2">
        <f t="shared" si="441"/>
        <v>0</v>
      </c>
      <c r="AF791" s="11">
        <f t="shared" si="442"/>
        <v>0</v>
      </c>
      <c r="AG791" s="2">
        <f t="shared" si="443"/>
        <v>0</v>
      </c>
      <c r="AH791" s="2">
        <f t="shared" si="444"/>
        <v>0</v>
      </c>
      <c r="AI791" s="2">
        <f t="shared" si="445"/>
        <v>0</v>
      </c>
      <c r="AJ791" s="2">
        <f t="shared" si="446"/>
        <v>0</v>
      </c>
      <c r="AK791" s="2">
        <f t="shared" si="447"/>
        <v>0</v>
      </c>
      <c r="AL791" s="2">
        <f t="shared" si="448"/>
        <v>0</v>
      </c>
      <c r="AM791" s="11"/>
      <c r="AN791" s="2" t="e">
        <f t="shared" si="425"/>
        <v>#N/A</v>
      </c>
      <c r="AO791" s="2" t="e">
        <f t="shared" si="426"/>
        <v>#N/A</v>
      </c>
      <c r="AP791" s="2" t="e">
        <f t="shared" si="427"/>
        <v>#N/A</v>
      </c>
      <c r="AQ791" s="2" t="e">
        <f t="shared" si="428"/>
        <v>#N/A</v>
      </c>
      <c r="AR791" s="2" t="e">
        <f t="shared" si="429"/>
        <v>#N/A</v>
      </c>
      <c r="AS791" s="2" t="e">
        <f t="shared" si="430"/>
        <v>#DIV/0!</v>
      </c>
      <c r="AT791" s="9" t="e">
        <f t="shared" ca="1" si="431"/>
        <v>#N/A</v>
      </c>
      <c r="AU791" s="9" t="e">
        <f t="shared" ca="1" si="432"/>
        <v>#N/A</v>
      </c>
      <c r="AW791" s="2" t="e">
        <f t="shared" ref="AW791:AW854" si="449">IF(AND(AL791&gt;0, AJ791&gt;0), AL791/AJ791, #N/A)</f>
        <v>#N/A</v>
      </c>
      <c r="AX791" s="2" t="e">
        <f t="shared" ref="AX791:AX854" si="450">$B$8*((AW791/$B$10)^$B$11)</f>
        <v>#N/A</v>
      </c>
      <c r="AY791" s="2" t="e">
        <f t="shared" ref="AY791:AY854" si="451">AX791*AI791</f>
        <v>#N/A</v>
      </c>
      <c r="AZ791" s="2" t="e">
        <f t="shared" ref="AZ791:AZ854" si="452">AK791-AY791</f>
        <v>#N/A</v>
      </c>
      <c r="BA791" s="2" t="e">
        <f t="shared" ref="BA791:BA854" si="453">(AZ791/AJ791)/((AW791/$B$10)^$B$12)</f>
        <v>#N/A</v>
      </c>
      <c r="BB791" s="2" t="e">
        <f t="shared" ref="BB791:BB854" si="454">(AH791/AJ791)/((AW791/$B$10)^$B$13)</f>
        <v>#DIV/0!</v>
      </c>
      <c r="BC791" s="9" t="e">
        <f t="shared" ref="BC791:BC854" ca="1" si="455">IF(AND(BA791&lt;$P$3,BA791&gt;$P$4),BA791,"rejected")</f>
        <v>#N/A</v>
      </c>
      <c r="BD791" s="9" t="e">
        <f t="shared" ref="BD791:BD854" ca="1" si="456">IF(AND(BA791&lt;$P$3,BA791&gt;$P$4),BA791,#N/A)</f>
        <v>#N/A</v>
      </c>
    </row>
    <row r="792" spans="1:56" ht="15" x14ac:dyDescent="0.25">
      <c r="A792"/>
      <c r="B792"/>
      <c r="C792"/>
      <c r="D792"/>
      <c r="E792"/>
      <c r="F792"/>
      <c r="G792"/>
      <c r="H792"/>
      <c r="I792"/>
      <c r="J792"/>
      <c r="K792"/>
      <c r="L792" s="64"/>
      <c r="M792" s="64"/>
      <c r="N792" s="16"/>
      <c r="O792" s="11"/>
      <c r="P792" s="11"/>
      <c r="Q792" s="11"/>
      <c r="R792" s="11"/>
      <c r="S792" s="11"/>
      <c r="T792" s="11"/>
      <c r="U792" s="11">
        <f t="shared" si="433"/>
        <v>0</v>
      </c>
      <c r="V792" s="2">
        <f t="shared" si="434"/>
        <v>0</v>
      </c>
      <c r="W792" s="11">
        <f t="shared" si="435"/>
        <v>0</v>
      </c>
      <c r="X792" s="2">
        <f t="shared" si="436"/>
        <v>0</v>
      </c>
      <c r="Y792" s="2">
        <f t="shared" si="437"/>
        <v>0</v>
      </c>
      <c r="Z792" s="11">
        <f t="shared" si="438"/>
        <v>0</v>
      </c>
      <c r="AA792" s="2">
        <f t="shared" si="439"/>
        <v>0</v>
      </c>
      <c r="AB792" s="11">
        <f t="shared" si="440"/>
        <v>0</v>
      </c>
      <c r="AC792" s="2">
        <f t="shared" si="441"/>
        <v>0</v>
      </c>
      <c r="AF792" s="11">
        <f t="shared" si="442"/>
        <v>0</v>
      </c>
      <c r="AG792" s="2">
        <f t="shared" si="443"/>
        <v>0</v>
      </c>
      <c r="AH792" s="2">
        <f t="shared" si="444"/>
        <v>0</v>
      </c>
      <c r="AI792" s="2">
        <f t="shared" si="445"/>
        <v>0</v>
      </c>
      <c r="AJ792" s="2">
        <f t="shared" si="446"/>
        <v>0</v>
      </c>
      <c r="AK792" s="2">
        <f t="shared" si="447"/>
        <v>0</v>
      </c>
      <c r="AL792" s="2">
        <f t="shared" si="448"/>
        <v>0</v>
      </c>
      <c r="AM792" s="11"/>
      <c r="AN792" s="2" t="e">
        <f t="shared" si="425"/>
        <v>#N/A</v>
      </c>
      <c r="AO792" s="2" t="e">
        <f t="shared" si="426"/>
        <v>#N/A</v>
      </c>
      <c r="AP792" s="2" t="e">
        <f t="shared" si="427"/>
        <v>#N/A</v>
      </c>
      <c r="AQ792" s="2" t="e">
        <f t="shared" si="428"/>
        <v>#N/A</v>
      </c>
      <c r="AR792" s="2" t="e">
        <f t="shared" si="429"/>
        <v>#N/A</v>
      </c>
      <c r="AS792" s="2" t="e">
        <f t="shared" si="430"/>
        <v>#DIV/0!</v>
      </c>
      <c r="AT792" s="9" t="e">
        <f t="shared" ca="1" si="431"/>
        <v>#N/A</v>
      </c>
      <c r="AU792" s="9" t="e">
        <f t="shared" ca="1" si="432"/>
        <v>#N/A</v>
      </c>
      <c r="AW792" s="2" t="e">
        <f t="shared" si="449"/>
        <v>#N/A</v>
      </c>
      <c r="AX792" s="2" t="e">
        <f t="shared" si="450"/>
        <v>#N/A</v>
      </c>
      <c r="AY792" s="2" t="e">
        <f t="shared" si="451"/>
        <v>#N/A</v>
      </c>
      <c r="AZ792" s="2" t="e">
        <f t="shared" si="452"/>
        <v>#N/A</v>
      </c>
      <c r="BA792" s="2" t="e">
        <f t="shared" si="453"/>
        <v>#N/A</v>
      </c>
      <c r="BB792" s="2" t="e">
        <f t="shared" si="454"/>
        <v>#DIV/0!</v>
      </c>
      <c r="BC792" s="9" t="e">
        <f t="shared" ca="1" si="455"/>
        <v>#N/A</v>
      </c>
      <c r="BD792" s="9" t="e">
        <f t="shared" ca="1" si="456"/>
        <v>#N/A</v>
      </c>
    </row>
    <row r="793" spans="1:56" ht="15" x14ac:dyDescent="0.25">
      <c r="A793"/>
      <c r="B793"/>
      <c r="C793"/>
      <c r="D793"/>
      <c r="E793"/>
      <c r="F793"/>
      <c r="G793"/>
      <c r="H793"/>
      <c r="I793"/>
      <c r="J793"/>
      <c r="K793"/>
      <c r="L793" s="64"/>
      <c r="M793" s="64"/>
      <c r="N793" s="16"/>
      <c r="O793" s="11"/>
      <c r="P793" s="11"/>
      <c r="Q793" s="11"/>
      <c r="R793" s="11"/>
      <c r="S793" s="11"/>
      <c r="T793" s="11"/>
      <c r="U793" s="11">
        <f t="shared" si="433"/>
        <v>0</v>
      </c>
      <c r="V793" s="2">
        <f t="shared" si="434"/>
        <v>0</v>
      </c>
      <c r="W793" s="11">
        <f t="shared" si="435"/>
        <v>0</v>
      </c>
      <c r="X793" s="2">
        <f t="shared" si="436"/>
        <v>0</v>
      </c>
      <c r="Y793" s="2">
        <f t="shared" si="437"/>
        <v>0</v>
      </c>
      <c r="Z793" s="11">
        <f t="shared" si="438"/>
        <v>0</v>
      </c>
      <c r="AA793" s="2">
        <f t="shared" si="439"/>
        <v>0</v>
      </c>
      <c r="AB793" s="11">
        <f t="shared" si="440"/>
        <v>0</v>
      </c>
      <c r="AC793" s="2">
        <f t="shared" si="441"/>
        <v>0</v>
      </c>
      <c r="AF793" s="11">
        <f t="shared" si="442"/>
        <v>0</v>
      </c>
      <c r="AG793" s="2">
        <f t="shared" si="443"/>
        <v>0</v>
      </c>
      <c r="AH793" s="2">
        <f t="shared" si="444"/>
        <v>0</v>
      </c>
      <c r="AI793" s="2">
        <f t="shared" si="445"/>
        <v>0</v>
      </c>
      <c r="AJ793" s="2">
        <f t="shared" si="446"/>
        <v>0</v>
      </c>
      <c r="AK793" s="2">
        <f t="shared" si="447"/>
        <v>0</v>
      </c>
      <c r="AL793" s="2">
        <f t="shared" si="448"/>
        <v>0</v>
      </c>
      <c r="AM793" s="11"/>
      <c r="AN793" s="2" t="e">
        <f t="shared" si="425"/>
        <v>#N/A</v>
      </c>
      <c r="AO793" s="2" t="e">
        <f t="shared" si="426"/>
        <v>#N/A</v>
      </c>
      <c r="AP793" s="2" t="e">
        <f t="shared" si="427"/>
        <v>#N/A</v>
      </c>
      <c r="AQ793" s="2" t="e">
        <f t="shared" si="428"/>
        <v>#N/A</v>
      </c>
      <c r="AR793" s="2" t="e">
        <f t="shared" si="429"/>
        <v>#N/A</v>
      </c>
      <c r="AS793" s="2" t="e">
        <f t="shared" si="430"/>
        <v>#DIV/0!</v>
      </c>
      <c r="AT793" s="9" t="e">
        <f t="shared" ca="1" si="431"/>
        <v>#N/A</v>
      </c>
      <c r="AU793" s="9" t="e">
        <f t="shared" ca="1" si="432"/>
        <v>#N/A</v>
      </c>
      <c r="AW793" s="2" t="e">
        <f t="shared" si="449"/>
        <v>#N/A</v>
      </c>
      <c r="AX793" s="2" t="e">
        <f t="shared" si="450"/>
        <v>#N/A</v>
      </c>
      <c r="AY793" s="2" t="e">
        <f t="shared" si="451"/>
        <v>#N/A</v>
      </c>
      <c r="AZ793" s="2" t="e">
        <f t="shared" si="452"/>
        <v>#N/A</v>
      </c>
      <c r="BA793" s="2" t="e">
        <f t="shared" si="453"/>
        <v>#N/A</v>
      </c>
      <c r="BB793" s="2" t="e">
        <f t="shared" si="454"/>
        <v>#DIV/0!</v>
      </c>
      <c r="BC793" s="9" t="e">
        <f t="shared" ca="1" si="455"/>
        <v>#N/A</v>
      </c>
      <c r="BD793" s="9" t="e">
        <f t="shared" ca="1" si="456"/>
        <v>#N/A</v>
      </c>
    </row>
    <row r="794" spans="1:56" ht="15" x14ac:dyDescent="0.25">
      <c r="A794"/>
      <c r="B794"/>
      <c r="C794"/>
      <c r="D794"/>
      <c r="E794"/>
      <c r="F794"/>
      <c r="G794"/>
      <c r="H794"/>
      <c r="I794"/>
      <c r="J794"/>
      <c r="K794"/>
      <c r="L794" s="64"/>
      <c r="M794" s="64"/>
      <c r="N794" s="16"/>
      <c r="O794" s="11"/>
      <c r="P794" s="11"/>
      <c r="Q794" s="11"/>
      <c r="R794" s="11"/>
      <c r="S794" s="11"/>
      <c r="T794" s="11"/>
      <c r="U794" s="11">
        <f t="shared" si="433"/>
        <v>0</v>
      </c>
      <c r="V794" s="2">
        <f t="shared" si="434"/>
        <v>0</v>
      </c>
      <c r="W794" s="11">
        <f t="shared" si="435"/>
        <v>0</v>
      </c>
      <c r="X794" s="2">
        <f t="shared" si="436"/>
        <v>0</v>
      </c>
      <c r="Y794" s="2">
        <f t="shared" si="437"/>
        <v>0</v>
      </c>
      <c r="Z794" s="11">
        <f t="shared" si="438"/>
        <v>0</v>
      </c>
      <c r="AA794" s="2">
        <f t="shared" si="439"/>
        <v>0</v>
      </c>
      <c r="AB794" s="11">
        <f t="shared" si="440"/>
        <v>0</v>
      </c>
      <c r="AC794" s="2">
        <f t="shared" si="441"/>
        <v>0</v>
      </c>
      <c r="AF794" s="11">
        <f t="shared" si="442"/>
        <v>0</v>
      </c>
      <c r="AG794" s="2">
        <f t="shared" si="443"/>
        <v>0</v>
      </c>
      <c r="AH794" s="2">
        <f t="shared" si="444"/>
        <v>0</v>
      </c>
      <c r="AI794" s="2">
        <f t="shared" si="445"/>
        <v>0</v>
      </c>
      <c r="AJ794" s="2">
        <f t="shared" si="446"/>
        <v>0</v>
      </c>
      <c r="AK794" s="2">
        <f t="shared" si="447"/>
        <v>0</v>
      </c>
      <c r="AL794" s="2">
        <f t="shared" si="448"/>
        <v>0</v>
      </c>
      <c r="AM794" s="11"/>
      <c r="AN794" s="2" t="e">
        <f t="shared" si="425"/>
        <v>#N/A</v>
      </c>
      <c r="AO794" s="2" t="e">
        <f t="shared" si="426"/>
        <v>#N/A</v>
      </c>
      <c r="AP794" s="2" t="e">
        <f t="shared" si="427"/>
        <v>#N/A</v>
      </c>
      <c r="AQ794" s="2" t="e">
        <f t="shared" si="428"/>
        <v>#N/A</v>
      </c>
      <c r="AR794" s="2" t="e">
        <f t="shared" si="429"/>
        <v>#N/A</v>
      </c>
      <c r="AS794" s="2" t="e">
        <f t="shared" si="430"/>
        <v>#DIV/0!</v>
      </c>
      <c r="AT794" s="9" t="e">
        <f t="shared" ca="1" si="431"/>
        <v>#N/A</v>
      </c>
      <c r="AU794" s="9" t="e">
        <f t="shared" ca="1" si="432"/>
        <v>#N/A</v>
      </c>
      <c r="AW794" s="2" t="e">
        <f t="shared" si="449"/>
        <v>#N/A</v>
      </c>
      <c r="AX794" s="2" t="e">
        <f t="shared" si="450"/>
        <v>#N/A</v>
      </c>
      <c r="AY794" s="2" t="e">
        <f t="shared" si="451"/>
        <v>#N/A</v>
      </c>
      <c r="AZ794" s="2" t="e">
        <f t="shared" si="452"/>
        <v>#N/A</v>
      </c>
      <c r="BA794" s="2" t="e">
        <f t="shared" si="453"/>
        <v>#N/A</v>
      </c>
      <c r="BB794" s="2" t="e">
        <f t="shared" si="454"/>
        <v>#DIV/0!</v>
      </c>
      <c r="BC794" s="9" t="e">
        <f t="shared" ca="1" si="455"/>
        <v>#N/A</v>
      </c>
      <c r="BD794" s="9" t="e">
        <f t="shared" ca="1" si="456"/>
        <v>#N/A</v>
      </c>
    </row>
    <row r="795" spans="1:56" ht="15" x14ac:dyDescent="0.25">
      <c r="A795"/>
      <c r="B795"/>
      <c r="C795"/>
      <c r="D795"/>
      <c r="E795"/>
      <c r="F795"/>
      <c r="G795"/>
      <c r="H795"/>
      <c r="I795"/>
      <c r="J795"/>
      <c r="K795"/>
      <c r="L795" s="64"/>
      <c r="M795" s="64"/>
      <c r="N795" s="16"/>
      <c r="O795" s="11"/>
      <c r="P795" s="11"/>
      <c r="Q795" s="11"/>
      <c r="R795" s="11"/>
      <c r="S795" s="11"/>
      <c r="T795" s="11"/>
      <c r="U795" s="11">
        <f t="shared" si="433"/>
        <v>0</v>
      </c>
      <c r="V795" s="2">
        <f t="shared" si="434"/>
        <v>0</v>
      </c>
      <c r="W795" s="11">
        <f t="shared" si="435"/>
        <v>0</v>
      </c>
      <c r="X795" s="2">
        <f t="shared" si="436"/>
        <v>0</v>
      </c>
      <c r="Y795" s="2">
        <f t="shared" si="437"/>
        <v>0</v>
      </c>
      <c r="Z795" s="11">
        <f t="shared" si="438"/>
        <v>0</v>
      </c>
      <c r="AA795" s="2">
        <f t="shared" si="439"/>
        <v>0</v>
      </c>
      <c r="AB795" s="11">
        <f t="shared" si="440"/>
        <v>0</v>
      </c>
      <c r="AC795" s="2">
        <f t="shared" si="441"/>
        <v>0</v>
      </c>
      <c r="AF795" s="11">
        <f t="shared" si="442"/>
        <v>0</v>
      </c>
      <c r="AG795" s="2">
        <f t="shared" si="443"/>
        <v>0</v>
      </c>
      <c r="AH795" s="2">
        <f t="shared" si="444"/>
        <v>0</v>
      </c>
      <c r="AI795" s="2">
        <f t="shared" si="445"/>
        <v>0</v>
      </c>
      <c r="AJ795" s="2">
        <f t="shared" si="446"/>
        <v>0</v>
      </c>
      <c r="AK795" s="2">
        <f t="shared" si="447"/>
        <v>0</v>
      </c>
      <c r="AL795" s="2">
        <f t="shared" si="448"/>
        <v>0</v>
      </c>
      <c r="AM795" s="11"/>
      <c r="AN795" s="2" t="e">
        <f t="shared" ref="AN795:AN858" si="457">IF(AND(S795&gt;0,U795&gt;0),U795/S795, #N/A)</f>
        <v>#N/A</v>
      </c>
      <c r="AO795" s="2" t="e">
        <f t="shared" ref="AO795:AO858" si="458">$B$8*((AN795/$B$10)^$B$11)</f>
        <v>#N/A</v>
      </c>
      <c r="AP795" s="2" t="e">
        <f t="shared" ref="AP795:AP858" si="459">AO795*R795</f>
        <v>#N/A</v>
      </c>
      <c r="AQ795" s="2" t="e">
        <f t="shared" ref="AQ795:AQ858" si="460">T795-AP795</f>
        <v>#N/A</v>
      </c>
      <c r="AR795" s="2" t="e">
        <f t="shared" ref="AR795:AR858" si="461">(AQ795/S795)/((AN795/$B$10)^$B$12)</f>
        <v>#N/A</v>
      </c>
      <c r="AS795" s="2" t="e">
        <f t="shared" ref="AS795:AS858" si="462">(Q795/S795)/((AN795/$B$10)^$B$13)</f>
        <v>#DIV/0!</v>
      </c>
      <c r="AT795" s="9" t="e">
        <f t="shared" ref="AT795:AT858" ca="1" si="463">IF(AND(AR795&lt;$M$3,AR795&gt;$M$4),AR795,"rejected")</f>
        <v>#N/A</v>
      </c>
      <c r="AU795" s="9" t="e">
        <f t="shared" ref="AU795:AU858" ca="1" si="464">IF(AND(AR795&lt;$M$3,AR795&gt;$M$4),AR795,#N/A)</f>
        <v>#N/A</v>
      </c>
      <c r="AW795" s="2" t="e">
        <f t="shared" si="449"/>
        <v>#N/A</v>
      </c>
      <c r="AX795" s="2" t="e">
        <f t="shared" si="450"/>
        <v>#N/A</v>
      </c>
      <c r="AY795" s="2" t="e">
        <f t="shared" si="451"/>
        <v>#N/A</v>
      </c>
      <c r="AZ795" s="2" t="e">
        <f t="shared" si="452"/>
        <v>#N/A</v>
      </c>
      <c r="BA795" s="2" t="e">
        <f t="shared" si="453"/>
        <v>#N/A</v>
      </c>
      <c r="BB795" s="2" t="e">
        <f t="shared" si="454"/>
        <v>#DIV/0!</v>
      </c>
      <c r="BC795" s="9" t="e">
        <f t="shared" ca="1" si="455"/>
        <v>#N/A</v>
      </c>
      <c r="BD795" s="9" t="e">
        <f t="shared" ca="1" si="456"/>
        <v>#N/A</v>
      </c>
    </row>
    <row r="796" spans="1:56" ht="15" x14ac:dyDescent="0.25">
      <c r="A796"/>
      <c r="B796"/>
      <c r="C796"/>
      <c r="D796"/>
      <c r="E796"/>
      <c r="F796"/>
      <c r="G796"/>
      <c r="H796"/>
      <c r="I796"/>
      <c r="J796"/>
      <c r="K796"/>
      <c r="L796" s="64"/>
      <c r="M796" s="64"/>
      <c r="N796" s="16"/>
      <c r="O796" s="11"/>
      <c r="P796" s="11"/>
      <c r="Q796" s="11"/>
      <c r="R796" s="11"/>
      <c r="S796" s="11"/>
      <c r="T796" s="11"/>
      <c r="U796" s="11">
        <f t="shared" si="433"/>
        <v>0</v>
      </c>
      <c r="V796" s="2">
        <f t="shared" si="434"/>
        <v>0</v>
      </c>
      <c r="W796" s="11">
        <f t="shared" si="435"/>
        <v>0</v>
      </c>
      <c r="X796" s="2">
        <f t="shared" si="436"/>
        <v>0</v>
      </c>
      <c r="Y796" s="2">
        <f t="shared" si="437"/>
        <v>0</v>
      </c>
      <c r="Z796" s="11">
        <f t="shared" si="438"/>
        <v>0</v>
      </c>
      <c r="AA796" s="2">
        <f t="shared" si="439"/>
        <v>0</v>
      </c>
      <c r="AB796" s="11">
        <f t="shared" si="440"/>
        <v>0</v>
      </c>
      <c r="AC796" s="2">
        <f t="shared" si="441"/>
        <v>0</v>
      </c>
      <c r="AF796" s="11">
        <f t="shared" si="442"/>
        <v>0</v>
      </c>
      <c r="AG796" s="2">
        <f t="shared" si="443"/>
        <v>0</v>
      </c>
      <c r="AH796" s="2">
        <f t="shared" si="444"/>
        <v>0</v>
      </c>
      <c r="AI796" s="2">
        <f t="shared" si="445"/>
        <v>0</v>
      </c>
      <c r="AJ796" s="2">
        <f t="shared" si="446"/>
        <v>0</v>
      </c>
      <c r="AK796" s="2">
        <f t="shared" si="447"/>
        <v>0</v>
      </c>
      <c r="AL796" s="2">
        <f t="shared" si="448"/>
        <v>0</v>
      </c>
      <c r="AM796" s="11"/>
      <c r="AN796" s="2" t="e">
        <f t="shared" si="457"/>
        <v>#N/A</v>
      </c>
      <c r="AO796" s="2" t="e">
        <f t="shared" si="458"/>
        <v>#N/A</v>
      </c>
      <c r="AP796" s="2" t="e">
        <f t="shared" si="459"/>
        <v>#N/A</v>
      </c>
      <c r="AQ796" s="2" t="e">
        <f t="shared" si="460"/>
        <v>#N/A</v>
      </c>
      <c r="AR796" s="2" t="e">
        <f t="shared" si="461"/>
        <v>#N/A</v>
      </c>
      <c r="AS796" s="2" t="e">
        <f t="shared" si="462"/>
        <v>#DIV/0!</v>
      </c>
      <c r="AT796" s="9" t="e">
        <f t="shared" ca="1" si="463"/>
        <v>#N/A</v>
      </c>
      <c r="AU796" s="9" t="e">
        <f t="shared" ca="1" si="464"/>
        <v>#N/A</v>
      </c>
      <c r="AW796" s="2" t="e">
        <f t="shared" si="449"/>
        <v>#N/A</v>
      </c>
      <c r="AX796" s="2" t="e">
        <f t="shared" si="450"/>
        <v>#N/A</v>
      </c>
      <c r="AY796" s="2" t="e">
        <f t="shared" si="451"/>
        <v>#N/A</v>
      </c>
      <c r="AZ796" s="2" t="e">
        <f t="shared" si="452"/>
        <v>#N/A</v>
      </c>
      <c r="BA796" s="2" t="e">
        <f t="shared" si="453"/>
        <v>#N/A</v>
      </c>
      <c r="BB796" s="2" t="e">
        <f t="shared" si="454"/>
        <v>#DIV/0!</v>
      </c>
      <c r="BC796" s="9" t="e">
        <f t="shared" ca="1" si="455"/>
        <v>#N/A</v>
      </c>
      <c r="BD796" s="9" t="e">
        <f t="shared" ca="1" si="456"/>
        <v>#N/A</v>
      </c>
    </row>
    <row r="797" spans="1:56" ht="15" x14ac:dyDescent="0.25">
      <c r="A797"/>
      <c r="B797"/>
      <c r="C797"/>
      <c r="D797"/>
      <c r="E797"/>
      <c r="F797"/>
      <c r="G797"/>
      <c r="H797"/>
      <c r="I797"/>
      <c r="J797"/>
      <c r="K797"/>
      <c r="L797" s="64"/>
      <c r="M797" s="64"/>
      <c r="N797" s="16"/>
      <c r="O797" s="11"/>
      <c r="P797" s="11"/>
      <c r="Q797" s="11"/>
      <c r="R797" s="11"/>
      <c r="S797" s="11"/>
      <c r="T797" s="11"/>
      <c r="U797" s="11">
        <f t="shared" si="433"/>
        <v>0</v>
      </c>
      <c r="V797" s="2">
        <f t="shared" si="434"/>
        <v>0</v>
      </c>
      <c r="W797" s="11">
        <f t="shared" si="435"/>
        <v>0</v>
      </c>
      <c r="X797" s="2">
        <f t="shared" si="436"/>
        <v>0</v>
      </c>
      <c r="Y797" s="2">
        <f t="shared" si="437"/>
        <v>0</v>
      </c>
      <c r="Z797" s="11">
        <f t="shared" si="438"/>
        <v>0</v>
      </c>
      <c r="AA797" s="2">
        <f t="shared" si="439"/>
        <v>0</v>
      </c>
      <c r="AB797" s="11">
        <f t="shared" si="440"/>
        <v>0</v>
      </c>
      <c r="AC797" s="2">
        <f t="shared" si="441"/>
        <v>0</v>
      </c>
      <c r="AF797" s="11">
        <f t="shared" si="442"/>
        <v>0</v>
      </c>
      <c r="AG797" s="2">
        <f t="shared" si="443"/>
        <v>0</v>
      </c>
      <c r="AH797" s="2">
        <f t="shared" si="444"/>
        <v>0</v>
      </c>
      <c r="AI797" s="2">
        <f t="shared" si="445"/>
        <v>0</v>
      </c>
      <c r="AJ797" s="2">
        <f t="shared" si="446"/>
        <v>0</v>
      </c>
      <c r="AK797" s="2">
        <f t="shared" si="447"/>
        <v>0</v>
      </c>
      <c r="AL797" s="2">
        <f t="shared" si="448"/>
        <v>0</v>
      </c>
      <c r="AM797" s="11"/>
      <c r="AN797" s="2" t="e">
        <f t="shared" si="457"/>
        <v>#N/A</v>
      </c>
      <c r="AO797" s="2" t="e">
        <f t="shared" si="458"/>
        <v>#N/A</v>
      </c>
      <c r="AP797" s="2" t="e">
        <f t="shared" si="459"/>
        <v>#N/A</v>
      </c>
      <c r="AQ797" s="2" t="e">
        <f t="shared" si="460"/>
        <v>#N/A</v>
      </c>
      <c r="AR797" s="2" t="e">
        <f t="shared" si="461"/>
        <v>#N/A</v>
      </c>
      <c r="AS797" s="2" t="e">
        <f t="shared" si="462"/>
        <v>#DIV/0!</v>
      </c>
      <c r="AT797" s="9" t="e">
        <f t="shared" ca="1" si="463"/>
        <v>#N/A</v>
      </c>
      <c r="AU797" s="9" t="e">
        <f t="shared" ca="1" si="464"/>
        <v>#N/A</v>
      </c>
      <c r="AW797" s="2" t="e">
        <f t="shared" si="449"/>
        <v>#N/A</v>
      </c>
      <c r="AX797" s="2" t="e">
        <f t="shared" si="450"/>
        <v>#N/A</v>
      </c>
      <c r="AY797" s="2" t="e">
        <f t="shared" si="451"/>
        <v>#N/A</v>
      </c>
      <c r="AZ797" s="2" t="e">
        <f t="shared" si="452"/>
        <v>#N/A</v>
      </c>
      <c r="BA797" s="2" t="e">
        <f t="shared" si="453"/>
        <v>#N/A</v>
      </c>
      <c r="BB797" s="2" t="e">
        <f t="shared" si="454"/>
        <v>#DIV/0!</v>
      </c>
      <c r="BC797" s="9" t="e">
        <f t="shared" ca="1" si="455"/>
        <v>#N/A</v>
      </c>
      <c r="BD797" s="9" t="e">
        <f t="shared" ca="1" si="456"/>
        <v>#N/A</v>
      </c>
    </row>
    <row r="798" spans="1:56" ht="15" x14ac:dyDescent="0.25">
      <c r="A798"/>
      <c r="B798"/>
      <c r="C798"/>
      <c r="D798"/>
      <c r="E798"/>
      <c r="F798"/>
      <c r="G798"/>
      <c r="H798"/>
      <c r="I798"/>
      <c r="J798"/>
      <c r="K798"/>
      <c r="L798" s="64"/>
      <c r="M798" s="64"/>
      <c r="N798" s="16"/>
      <c r="O798" s="11"/>
      <c r="P798" s="11"/>
      <c r="Q798" s="11"/>
      <c r="R798" s="11"/>
      <c r="S798" s="11"/>
      <c r="T798" s="11"/>
      <c r="U798" s="11">
        <f t="shared" si="433"/>
        <v>0</v>
      </c>
      <c r="V798" s="2">
        <f t="shared" si="434"/>
        <v>0</v>
      </c>
      <c r="W798" s="11">
        <f t="shared" si="435"/>
        <v>0</v>
      </c>
      <c r="X798" s="2">
        <f t="shared" si="436"/>
        <v>0</v>
      </c>
      <c r="Y798" s="2">
        <f t="shared" si="437"/>
        <v>0</v>
      </c>
      <c r="Z798" s="11">
        <f t="shared" si="438"/>
        <v>0</v>
      </c>
      <c r="AA798" s="2">
        <f t="shared" si="439"/>
        <v>0</v>
      </c>
      <c r="AB798" s="11">
        <f t="shared" si="440"/>
        <v>0</v>
      </c>
      <c r="AC798" s="2">
        <f t="shared" si="441"/>
        <v>0</v>
      </c>
      <c r="AF798" s="11">
        <f t="shared" si="442"/>
        <v>0</v>
      </c>
      <c r="AG798" s="2">
        <f t="shared" si="443"/>
        <v>0</v>
      </c>
      <c r="AH798" s="2">
        <f t="shared" si="444"/>
        <v>0</v>
      </c>
      <c r="AI798" s="2">
        <f t="shared" si="445"/>
        <v>0</v>
      </c>
      <c r="AJ798" s="2">
        <f t="shared" si="446"/>
        <v>0</v>
      </c>
      <c r="AK798" s="2">
        <f t="shared" si="447"/>
        <v>0</v>
      </c>
      <c r="AL798" s="2">
        <f t="shared" si="448"/>
        <v>0</v>
      </c>
      <c r="AM798" s="11"/>
      <c r="AN798" s="2" t="e">
        <f t="shared" si="457"/>
        <v>#N/A</v>
      </c>
      <c r="AO798" s="2" t="e">
        <f t="shared" si="458"/>
        <v>#N/A</v>
      </c>
      <c r="AP798" s="2" t="e">
        <f t="shared" si="459"/>
        <v>#N/A</v>
      </c>
      <c r="AQ798" s="2" t="e">
        <f t="shared" si="460"/>
        <v>#N/A</v>
      </c>
      <c r="AR798" s="2" t="e">
        <f t="shared" si="461"/>
        <v>#N/A</v>
      </c>
      <c r="AS798" s="2" t="e">
        <f t="shared" si="462"/>
        <v>#DIV/0!</v>
      </c>
      <c r="AT798" s="9" t="e">
        <f t="shared" ca="1" si="463"/>
        <v>#N/A</v>
      </c>
      <c r="AU798" s="9" t="e">
        <f t="shared" ca="1" si="464"/>
        <v>#N/A</v>
      </c>
      <c r="AW798" s="2" t="e">
        <f t="shared" si="449"/>
        <v>#N/A</v>
      </c>
      <c r="AX798" s="2" t="e">
        <f t="shared" si="450"/>
        <v>#N/A</v>
      </c>
      <c r="AY798" s="2" t="e">
        <f t="shared" si="451"/>
        <v>#N/A</v>
      </c>
      <c r="AZ798" s="2" t="e">
        <f t="shared" si="452"/>
        <v>#N/A</v>
      </c>
      <c r="BA798" s="2" t="e">
        <f t="shared" si="453"/>
        <v>#N/A</v>
      </c>
      <c r="BB798" s="2" t="e">
        <f t="shared" si="454"/>
        <v>#DIV/0!</v>
      </c>
      <c r="BC798" s="9" t="e">
        <f t="shared" ca="1" si="455"/>
        <v>#N/A</v>
      </c>
      <c r="BD798" s="9" t="e">
        <f t="shared" ca="1" si="456"/>
        <v>#N/A</v>
      </c>
    </row>
    <row r="799" spans="1:56" ht="15" x14ac:dyDescent="0.25">
      <c r="A799"/>
      <c r="B799"/>
      <c r="C799"/>
      <c r="D799"/>
      <c r="E799"/>
      <c r="F799"/>
      <c r="G799"/>
      <c r="H799"/>
      <c r="I799"/>
      <c r="J799"/>
      <c r="K799"/>
      <c r="L799" s="64"/>
      <c r="M799" s="64"/>
      <c r="N799" s="16"/>
      <c r="O799" s="11"/>
      <c r="P799" s="11"/>
      <c r="Q799" s="11"/>
      <c r="R799" s="11"/>
      <c r="S799" s="11"/>
      <c r="T799" s="11"/>
      <c r="U799" s="11">
        <f t="shared" si="433"/>
        <v>0</v>
      </c>
      <c r="V799" s="2">
        <f t="shared" si="434"/>
        <v>0</v>
      </c>
      <c r="W799" s="11">
        <f t="shared" si="435"/>
        <v>0</v>
      </c>
      <c r="X799" s="2">
        <f t="shared" si="436"/>
        <v>0</v>
      </c>
      <c r="Y799" s="2">
        <f t="shared" si="437"/>
        <v>0</v>
      </c>
      <c r="Z799" s="11">
        <f t="shared" si="438"/>
        <v>0</v>
      </c>
      <c r="AA799" s="2">
        <f t="shared" si="439"/>
        <v>0</v>
      </c>
      <c r="AB799" s="11">
        <f t="shared" si="440"/>
        <v>0</v>
      </c>
      <c r="AC799" s="2">
        <f t="shared" si="441"/>
        <v>0</v>
      </c>
      <c r="AF799" s="11">
        <f t="shared" si="442"/>
        <v>0</v>
      </c>
      <c r="AG799" s="2">
        <f t="shared" si="443"/>
        <v>0</v>
      </c>
      <c r="AH799" s="2">
        <f t="shared" si="444"/>
        <v>0</v>
      </c>
      <c r="AI799" s="2">
        <f t="shared" si="445"/>
        <v>0</v>
      </c>
      <c r="AJ799" s="2">
        <f t="shared" si="446"/>
        <v>0</v>
      </c>
      <c r="AK799" s="2">
        <f t="shared" si="447"/>
        <v>0</v>
      </c>
      <c r="AL799" s="2">
        <f t="shared" si="448"/>
        <v>0</v>
      </c>
      <c r="AM799" s="11"/>
      <c r="AN799" s="2" t="e">
        <f t="shared" si="457"/>
        <v>#N/A</v>
      </c>
      <c r="AO799" s="2" t="e">
        <f t="shared" si="458"/>
        <v>#N/A</v>
      </c>
      <c r="AP799" s="2" t="e">
        <f t="shared" si="459"/>
        <v>#N/A</v>
      </c>
      <c r="AQ799" s="2" t="e">
        <f t="shared" si="460"/>
        <v>#N/A</v>
      </c>
      <c r="AR799" s="2" t="e">
        <f t="shared" si="461"/>
        <v>#N/A</v>
      </c>
      <c r="AS799" s="2" t="e">
        <f t="shared" si="462"/>
        <v>#DIV/0!</v>
      </c>
      <c r="AT799" s="9" t="e">
        <f t="shared" ca="1" si="463"/>
        <v>#N/A</v>
      </c>
      <c r="AU799" s="9" t="e">
        <f t="shared" ca="1" si="464"/>
        <v>#N/A</v>
      </c>
      <c r="AW799" s="2" t="e">
        <f t="shared" si="449"/>
        <v>#N/A</v>
      </c>
      <c r="AX799" s="2" t="e">
        <f t="shared" si="450"/>
        <v>#N/A</v>
      </c>
      <c r="AY799" s="2" t="e">
        <f t="shared" si="451"/>
        <v>#N/A</v>
      </c>
      <c r="AZ799" s="2" t="e">
        <f t="shared" si="452"/>
        <v>#N/A</v>
      </c>
      <c r="BA799" s="2" t="e">
        <f t="shared" si="453"/>
        <v>#N/A</v>
      </c>
      <c r="BB799" s="2" t="e">
        <f t="shared" si="454"/>
        <v>#DIV/0!</v>
      </c>
      <c r="BC799" s="9" t="e">
        <f t="shared" ca="1" si="455"/>
        <v>#N/A</v>
      </c>
      <c r="BD799" s="9" t="e">
        <f t="shared" ca="1" si="456"/>
        <v>#N/A</v>
      </c>
    </row>
    <row r="800" spans="1:56" ht="15" x14ac:dyDescent="0.25">
      <c r="A800"/>
      <c r="B800"/>
      <c r="C800"/>
      <c r="D800"/>
      <c r="E800"/>
      <c r="F800"/>
      <c r="G800"/>
      <c r="H800"/>
      <c r="I800"/>
      <c r="J800"/>
      <c r="K800"/>
      <c r="L800" s="64"/>
      <c r="M800" s="64"/>
      <c r="N800" s="16"/>
      <c r="O800" s="11"/>
      <c r="P800" s="11"/>
      <c r="Q800" s="11"/>
      <c r="R800" s="11"/>
      <c r="S800" s="11"/>
      <c r="T800" s="11"/>
      <c r="U800" s="11">
        <f t="shared" si="433"/>
        <v>0</v>
      </c>
      <c r="V800" s="2">
        <f t="shared" si="434"/>
        <v>0</v>
      </c>
      <c r="W800" s="11">
        <f t="shared" si="435"/>
        <v>0</v>
      </c>
      <c r="X800" s="2">
        <f t="shared" si="436"/>
        <v>0</v>
      </c>
      <c r="Y800" s="2">
        <f t="shared" si="437"/>
        <v>0</v>
      </c>
      <c r="Z800" s="11">
        <f t="shared" si="438"/>
        <v>0</v>
      </c>
      <c r="AA800" s="2">
        <f t="shared" si="439"/>
        <v>0</v>
      </c>
      <c r="AB800" s="11">
        <f t="shared" si="440"/>
        <v>0</v>
      </c>
      <c r="AC800" s="2">
        <f t="shared" si="441"/>
        <v>0</v>
      </c>
      <c r="AF800" s="11">
        <f t="shared" si="442"/>
        <v>0</v>
      </c>
      <c r="AG800" s="2">
        <f t="shared" si="443"/>
        <v>0</v>
      </c>
      <c r="AH800" s="2">
        <f t="shared" si="444"/>
        <v>0</v>
      </c>
      <c r="AI800" s="2">
        <f t="shared" si="445"/>
        <v>0</v>
      </c>
      <c r="AJ800" s="2">
        <f t="shared" si="446"/>
        <v>0</v>
      </c>
      <c r="AK800" s="2">
        <f t="shared" si="447"/>
        <v>0</v>
      </c>
      <c r="AL800" s="2">
        <f t="shared" si="448"/>
        <v>0</v>
      </c>
      <c r="AM800" s="11"/>
      <c r="AN800" s="2" t="e">
        <f t="shared" si="457"/>
        <v>#N/A</v>
      </c>
      <c r="AO800" s="2" t="e">
        <f t="shared" si="458"/>
        <v>#N/A</v>
      </c>
      <c r="AP800" s="2" t="e">
        <f t="shared" si="459"/>
        <v>#N/A</v>
      </c>
      <c r="AQ800" s="2" t="e">
        <f t="shared" si="460"/>
        <v>#N/A</v>
      </c>
      <c r="AR800" s="2" t="e">
        <f t="shared" si="461"/>
        <v>#N/A</v>
      </c>
      <c r="AS800" s="2" t="e">
        <f t="shared" si="462"/>
        <v>#DIV/0!</v>
      </c>
      <c r="AT800" s="9" t="e">
        <f t="shared" ca="1" si="463"/>
        <v>#N/A</v>
      </c>
      <c r="AU800" s="9" t="e">
        <f t="shared" ca="1" si="464"/>
        <v>#N/A</v>
      </c>
      <c r="AW800" s="2" t="e">
        <f t="shared" si="449"/>
        <v>#N/A</v>
      </c>
      <c r="AX800" s="2" t="e">
        <f t="shared" si="450"/>
        <v>#N/A</v>
      </c>
      <c r="AY800" s="2" t="e">
        <f t="shared" si="451"/>
        <v>#N/A</v>
      </c>
      <c r="AZ800" s="2" t="e">
        <f t="shared" si="452"/>
        <v>#N/A</v>
      </c>
      <c r="BA800" s="2" t="e">
        <f t="shared" si="453"/>
        <v>#N/A</v>
      </c>
      <c r="BB800" s="2" t="e">
        <f t="shared" si="454"/>
        <v>#DIV/0!</v>
      </c>
      <c r="BC800" s="9" t="e">
        <f t="shared" ca="1" si="455"/>
        <v>#N/A</v>
      </c>
      <c r="BD800" s="9" t="e">
        <f t="shared" ca="1" si="456"/>
        <v>#N/A</v>
      </c>
    </row>
    <row r="801" spans="1:56" ht="15" x14ac:dyDescent="0.25">
      <c r="A801"/>
      <c r="B801"/>
      <c r="C801"/>
      <c r="D801"/>
      <c r="E801"/>
      <c r="F801"/>
      <c r="G801"/>
      <c r="H801"/>
      <c r="I801"/>
      <c r="J801"/>
      <c r="K801"/>
      <c r="L801" s="64"/>
      <c r="M801" s="64"/>
      <c r="N801" s="16"/>
      <c r="O801" s="11"/>
      <c r="P801" s="11"/>
      <c r="Q801" s="11"/>
      <c r="R801" s="11"/>
      <c r="S801" s="11"/>
      <c r="T801" s="11"/>
      <c r="U801" s="11">
        <f t="shared" si="433"/>
        <v>0</v>
      </c>
      <c r="V801" s="2">
        <f t="shared" si="434"/>
        <v>0</v>
      </c>
      <c r="W801" s="11">
        <f t="shared" si="435"/>
        <v>0</v>
      </c>
      <c r="X801" s="2">
        <f t="shared" si="436"/>
        <v>0</v>
      </c>
      <c r="Y801" s="2">
        <f t="shared" si="437"/>
        <v>0</v>
      </c>
      <c r="Z801" s="11">
        <f t="shared" si="438"/>
        <v>0</v>
      </c>
      <c r="AA801" s="2">
        <f t="shared" si="439"/>
        <v>0</v>
      </c>
      <c r="AB801" s="11">
        <f t="shared" si="440"/>
        <v>0</v>
      </c>
      <c r="AC801" s="2">
        <f t="shared" si="441"/>
        <v>0</v>
      </c>
      <c r="AF801" s="11">
        <f t="shared" si="442"/>
        <v>0</v>
      </c>
      <c r="AG801" s="2">
        <f t="shared" si="443"/>
        <v>0</v>
      </c>
      <c r="AH801" s="2">
        <f t="shared" si="444"/>
        <v>0</v>
      </c>
      <c r="AI801" s="2">
        <f t="shared" si="445"/>
        <v>0</v>
      </c>
      <c r="AJ801" s="2">
        <f t="shared" si="446"/>
        <v>0</v>
      </c>
      <c r="AK801" s="2">
        <f t="shared" si="447"/>
        <v>0</v>
      </c>
      <c r="AL801" s="2">
        <f t="shared" si="448"/>
        <v>0</v>
      </c>
      <c r="AM801" s="11"/>
      <c r="AN801" s="2" t="e">
        <f t="shared" si="457"/>
        <v>#N/A</v>
      </c>
      <c r="AO801" s="2" t="e">
        <f t="shared" si="458"/>
        <v>#N/A</v>
      </c>
      <c r="AP801" s="2" t="e">
        <f t="shared" si="459"/>
        <v>#N/A</v>
      </c>
      <c r="AQ801" s="2" t="e">
        <f t="shared" si="460"/>
        <v>#N/A</v>
      </c>
      <c r="AR801" s="2" t="e">
        <f t="shared" si="461"/>
        <v>#N/A</v>
      </c>
      <c r="AS801" s="2" t="e">
        <f t="shared" si="462"/>
        <v>#DIV/0!</v>
      </c>
      <c r="AT801" s="9" t="e">
        <f t="shared" ca="1" si="463"/>
        <v>#N/A</v>
      </c>
      <c r="AU801" s="9" t="e">
        <f t="shared" ca="1" si="464"/>
        <v>#N/A</v>
      </c>
      <c r="AW801" s="2" t="e">
        <f t="shared" si="449"/>
        <v>#N/A</v>
      </c>
      <c r="AX801" s="2" t="e">
        <f t="shared" si="450"/>
        <v>#N/A</v>
      </c>
      <c r="AY801" s="2" t="e">
        <f t="shared" si="451"/>
        <v>#N/A</v>
      </c>
      <c r="AZ801" s="2" t="e">
        <f t="shared" si="452"/>
        <v>#N/A</v>
      </c>
      <c r="BA801" s="2" t="e">
        <f t="shared" si="453"/>
        <v>#N/A</v>
      </c>
      <c r="BB801" s="2" t="e">
        <f t="shared" si="454"/>
        <v>#DIV/0!</v>
      </c>
      <c r="BC801" s="9" t="e">
        <f t="shared" ca="1" si="455"/>
        <v>#N/A</v>
      </c>
      <c r="BD801" s="9" t="e">
        <f t="shared" ca="1" si="456"/>
        <v>#N/A</v>
      </c>
    </row>
    <row r="802" spans="1:56" ht="15" x14ac:dyDescent="0.25">
      <c r="A802"/>
      <c r="B802"/>
      <c r="C802"/>
      <c r="D802"/>
      <c r="E802"/>
      <c r="F802"/>
      <c r="G802"/>
      <c r="H802"/>
      <c r="I802"/>
      <c r="J802"/>
      <c r="K802"/>
      <c r="L802" s="64"/>
      <c r="M802" s="64"/>
      <c r="N802" s="16"/>
      <c r="O802" s="11"/>
      <c r="P802" s="11"/>
      <c r="Q802" s="11"/>
      <c r="R802" s="11"/>
      <c r="S802" s="11"/>
      <c r="T802" s="11"/>
      <c r="U802" s="11">
        <f t="shared" ref="U802:U865" si="465">M802</f>
        <v>0</v>
      </c>
      <c r="V802" s="2">
        <f t="shared" ref="V802:V865" si="466">IF(M802&gt;0,N802-(M802*$X$63/$W$63), N802)</f>
        <v>0</v>
      </c>
      <c r="W802" s="11">
        <f t="shared" si="435"/>
        <v>0</v>
      </c>
      <c r="X802" s="2">
        <f t="shared" si="436"/>
        <v>0</v>
      </c>
      <c r="Y802" s="2">
        <f t="shared" si="437"/>
        <v>0</v>
      </c>
      <c r="Z802" s="11">
        <f t="shared" si="438"/>
        <v>0</v>
      </c>
      <c r="AA802" s="2">
        <f t="shared" si="439"/>
        <v>0</v>
      </c>
      <c r="AB802" s="11">
        <f t="shared" si="440"/>
        <v>0</v>
      </c>
      <c r="AC802" s="2">
        <f t="shared" si="441"/>
        <v>0</v>
      </c>
      <c r="AF802" s="11">
        <f t="shared" si="442"/>
        <v>0</v>
      </c>
      <c r="AG802" s="2">
        <f t="shared" si="443"/>
        <v>0</v>
      </c>
      <c r="AH802" s="2">
        <f t="shared" si="444"/>
        <v>0</v>
      </c>
      <c r="AI802" s="2">
        <f t="shared" si="445"/>
        <v>0</v>
      </c>
      <c r="AJ802" s="2">
        <f t="shared" si="446"/>
        <v>0</v>
      </c>
      <c r="AK802" s="2">
        <f t="shared" si="447"/>
        <v>0</v>
      </c>
      <c r="AL802" s="2">
        <f t="shared" si="448"/>
        <v>0</v>
      </c>
      <c r="AM802" s="11"/>
      <c r="AN802" s="2" t="e">
        <f t="shared" si="457"/>
        <v>#N/A</v>
      </c>
      <c r="AO802" s="2" t="e">
        <f t="shared" si="458"/>
        <v>#N/A</v>
      </c>
      <c r="AP802" s="2" t="e">
        <f t="shared" si="459"/>
        <v>#N/A</v>
      </c>
      <c r="AQ802" s="2" t="e">
        <f t="shared" si="460"/>
        <v>#N/A</v>
      </c>
      <c r="AR802" s="2" t="e">
        <f t="shared" si="461"/>
        <v>#N/A</v>
      </c>
      <c r="AS802" s="2" t="e">
        <f t="shared" si="462"/>
        <v>#DIV/0!</v>
      </c>
      <c r="AT802" s="9" t="e">
        <f t="shared" ca="1" si="463"/>
        <v>#N/A</v>
      </c>
      <c r="AU802" s="9" t="e">
        <f t="shared" ca="1" si="464"/>
        <v>#N/A</v>
      </c>
      <c r="AW802" s="2" t="e">
        <f t="shared" si="449"/>
        <v>#N/A</v>
      </c>
      <c r="AX802" s="2" t="e">
        <f t="shared" si="450"/>
        <v>#N/A</v>
      </c>
      <c r="AY802" s="2" t="e">
        <f t="shared" si="451"/>
        <v>#N/A</v>
      </c>
      <c r="AZ802" s="2" t="e">
        <f t="shared" si="452"/>
        <v>#N/A</v>
      </c>
      <c r="BA802" s="2" t="e">
        <f t="shared" si="453"/>
        <v>#N/A</v>
      </c>
      <c r="BB802" s="2" t="e">
        <f t="shared" si="454"/>
        <v>#DIV/0!</v>
      </c>
      <c r="BC802" s="9" t="e">
        <f t="shared" ca="1" si="455"/>
        <v>#N/A</v>
      </c>
      <c r="BD802" s="9" t="e">
        <f t="shared" ca="1" si="456"/>
        <v>#N/A</v>
      </c>
    </row>
    <row r="803" spans="1:56" ht="15" x14ac:dyDescent="0.25">
      <c r="A803"/>
      <c r="B803"/>
      <c r="C803"/>
      <c r="D803"/>
      <c r="E803"/>
      <c r="F803"/>
      <c r="G803"/>
      <c r="H803"/>
      <c r="I803"/>
      <c r="J803"/>
      <c r="K803"/>
      <c r="L803" s="64"/>
      <c r="M803" s="64"/>
      <c r="N803" s="16"/>
      <c r="O803" s="11"/>
      <c r="P803" s="11"/>
      <c r="Q803" s="11"/>
      <c r="R803" s="11"/>
      <c r="S803" s="11"/>
      <c r="T803" s="11"/>
      <c r="U803" s="11">
        <f t="shared" si="465"/>
        <v>0</v>
      </c>
      <c r="V803" s="2">
        <f t="shared" si="466"/>
        <v>0</v>
      </c>
      <c r="W803" s="11">
        <f t="shared" si="435"/>
        <v>0</v>
      </c>
      <c r="X803" s="2">
        <f t="shared" si="436"/>
        <v>0</v>
      </c>
      <c r="Y803" s="2">
        <f t="shared" si="437"/>
        <v>0</v>
      </c>
      <c r="Z803" s="11">
        <f t="shared" si="438"/>
        <v>0</v>
      </c>
      <c r="AA803" s="2">
        <f t="shared" si="439"/>
        <v>0</v>
      </c>
      <c r="AB803" s="11">
        <f t="shared" si="440"/>
        <v>0</v>
      </c>
      <c r="AC803" s="2">
        <f t="shared" si="441"/>
        <v>0</v>
      </c>
      <c r="AF803" s="11">
        <f t="shared" si="442"/>
        <v>0</v>
      </c>
      <c r="AG803" s="2">
        <f t="shared" si="443"/>
        <v>0</v>
      </c>
      <c r="AH803" s="2">
        <f t="shared" si="444"/>
        <v>0</v>
      </c>
      <c r="AI803" s="2">
        <f t="shared" si="445"/>
        <v>0</v>
      </c>
      <c r="AJ803" s="2">
        <f t="shared" si="446"/>
        <v>0</v>
      </c>
      <c r="AK803" s="2">
        <f t="shared" si="447"/>
        <v>0</v>
      </c>
      <c r="AL803" s="2">
        <f t="shared" si="448"/>
        <v>0</v>
      </c>
      <c r="AM803" s="11"/>
      <c r="AN803" s="2" t="e">
        <f t="shared" si="457"/>
        <v>#N/A</v>
      </c>
      <c r="AO803" s="2" t="e">
        <f t="shared" si="458"/>
        <v>#N/A</v>
      </c>
      <c r="AP803" s="2" t="e">
        <f t="shared" si="459"/>
        <v>#N/A</v>
      </c>
      <c r="AQ803" s="2" t="e">
        <f t="shared" si="460"/>
        <v>#N/A</v>
      </c>
      <c r="AR803" s="2" t="e">
        <f t="shared" si="461"/>
        <v>#N/A</v>
      </c>
      <c r="AS803" s="2" t="e">
        <f t="shared" si="462"/>
        <v>#DIV/0!</v>
      </c>
      <c r="AT803" s="9" t="e">
        <f t="shared" ca="1" si="463"/>
        <v>#N/A</v>
      </c>
      <c r="AU803" s="9" t="e">
        <f t="shared" ca="1" si="464"/>
        <v>#N/A</v>
      </c>
      <c r="AW803" s="2" t="e">
        <f t="shared" si="449"/>
        <v>#N/A</v>
      </c>
      <c r="AX803" s="2" t="e">
        <f t="shared" si="450"/>
        <v>#N/A</v>
      </c>
      <c r="AY803" s="2" t="e">
        <f t="shared" si="451"/>
        <v>#N/A</v>
      </c>
      <c r="AZ803" s="2" t="e">
        <f t="shared" si="452"/>
        <v>#N/A</v>
      </c>
      <c r="BA803" s="2" t="e">
        <f t="shared" si="453"/>
        <v>#N/A</v>
      </c>
      <c r="BB803" s="2" t="e">
        <f t="shared" si="454"/>
        <v>#DIV/0!</v>
      </c>
      <c r="BC803" s="9" t="e">
        <f t="shared" ca="1" si="455"/>
        <v>#N/A</v>
      </c>
      <c r="BD803" s="9" t="e">
        <f t="shared" ca="1" si="456"/>
        <v>#N/A</v>
      </c>
    </row>
    <row r="804" spans="1:56" ht="15" x14ac:dyDescent="0.25">
      <c r="A804"/>
      <c r="B804"/>
      <c r="C804"/>
      <c r="D804"/>
      <c r="E804"/>
      <c r="F804"/>
      <c r="G804"/>
      <c r="H804"/>
      <c r="I804"/>
      <c r="J804"/>
      <c r="K804"/>
      <c r="L804" s="64"/>
      <c r="M804" s="64"/>
      <c r="N804" s="16"/>
      <c r="O804" s="11"/>
      <c r="P804" s="11"/>
      <c r="Q804" s="11"/>
      <c r="R804" s="11"/>
      <c r="S804" s="11"/>
      <c r="T804" s="11"/>
      <c r="U804" s="11">
        <f t="shared" si="465"/>
        <v>0</v>
      </c>
      <c r="V804" s="2">
        <f t="shared" si="466"/>
        <v>0</v>
      </c>
      <c r="W804" s="11">
        <f t="shared" si="435"/>
        <v>0</v>
      </c>
      <c r="X804" s="2">
        <f t="shared" si="436"/>
        <v>0</v>
      </c>
      <c r="Y804" s="2">
        <f t="shared" si="437"/>
        <v>0</v>
      </c>
      <c r="Z804" s="11">
        <f t="shared" si="438"/>
        <v>0</v>
      </c>
      <c r="AA804" s="2">
        <f t="shared" si="439"/>
        <v>0</v>
      </c>
      <c r="AB804" s="11">
        <f t="shared" si="440"/>
        <v>0</v>
      </c>
      <c r="AC804" s="2">
        <f t="shared" si="441"/>
        <v>0</v>
      </c>
      <c r="AF804" s="11">
        <f t="shared" si="442"/>
        <v>0</v>
      </c>
      <c r="AG804" s="2">
        <f t="shared" si="443"/>
        <v>0</v>
      </c>
      <c r="AH804" s="2">
        <f t="shared" si="444"/>
        <v>0</v>
      </c>
      <c r="AI804" s="2">
        <f t="shared" si="445"/>
        <v>0</v>
      </c>
      <c r="AJ804" s="2">
        <f t="shared" si="446"/>
        <v>0</v>
      </c>
      <c r="AK804" s="2">
        <f t="shared" si="447"/>
        <v>0</v>
      </c>
      <c r="AL804" s="2">
        <f t="shared" si="448"/>
        <v>0</v>
      </c>
      <c r="AM804" s="11"/>
      <c r="AN804" s="2" t="e">
        <f t="shared" si="457"/>
        <v>#N/A</v>
      </c>
      <c r="AO804" s="2" t="e">
        <f t="shared" si="458"/>
        <v>#N/A</v>
      </c>
      <c r="AP804" s="2" t="e">
        <f t="shared" si="459"/>
        <v>#N/A</v>
      </c>
      <c r="AQ804" s="2" t="e">
        <f t="shared" si="460"/>
        <v>#N/A</v>
      </c>
      <c r="AR804" s="2" t="e">
        <f t="shared" si="461"/>
        <v>#N/A</v>
      </c>
      <c r="AS804" s="2" t="e">
        <f t="shared" si="462"/>
        <v>#DIV/0!</v>
      </c>
      <c r="AT804" s="9" t="e">
        <f t="shared" ca="1" si="463"/>
        <v>#N/A</v>
      </c>
      <c r="AU804" s="9" t="e">
        <f t="shared" ca="1" si="464"/>
        <v>#N/A</v>
      </c>
      <c r="AW804" s="2" t="e">
        <f t="shared" si="449"/>
        <v>#N/A</v>
      </c>
      <c r="AX804" s="2" t="e">
        <f t="shared" si="450"/>
        <v>#N/A</v>
      </c>
      <c r="AY804" s="2" t="e">
        <f t="shared" si="451"/>
        <v>#N/A</v>
      </c>
      <c r="AZ804" s="2" t="e">
        <f t="shared" si="452"/>
        <v>#N/A</v>
      </c>
      <c r="BA804" s="2" t="e">
        <f t="shared" si="453"/>
        <v>#N/A</v>
      </c>
      <c r="BB804" s="2" t="e">
        <f t="shared" si="454"/>
        <v>#DIV/0!</v>
      </c>
      <c r="BC804" s="9" t="e">
        <f t="shared" ca="1" si="455"/>
        <v>#N/A</v>
      </c>
      <c r="BD804" s="9" t="e">
        <f t="shared" ca="1" si="456"/>
        <v>#N/A</v>
      </c>
    </row>
    <row r="805" spans="1:56" ht="15" x14ac:dyDescent="0.25">
      <c r="A805"/>
      <c r="B805"/>
      <c r="C805"/>
      <c r="D805"/>
      <c r="E805"/>
      <c r="F805"/>
      <c r="G805"/>
      <c r="H805"/>
      <c r="I805"/>
      <c r="J805"/>
      <c r="K805"/>
      <c r="L805" s="64"/>
      <c r="M805" s="64"/>
      <c r="N805" s="16"/>
      <c r="O805" s="11"/>
      <c r="P805" s="11"/>
      <c r="Q805" s="11"/>
      <c r="R805" s="11"/>
      <c r="S805" s="11"/>
      <c r="T805" s="11"/>
      <c r="U805" s="11">
        <f t="shared" si="465"/>
        <v>0</v>
      </c>
      <c r="V805" s="2">
        <f t="shared" si="466"/>
        <v>0</v>
      </c>
      <c r="W805" s="11">
        <f t="shared" si="435"/>
        <v>0</v>
      </c>
      <c r="X805" s="2">
        <f t="shared" si="436"/>
        <v>0</v>
      </c>
      <c r="Y805" s="2">
        <f t="shared" si="437"/>
        <v>0</v>
      </c>
      <c r="Z805" s="11">
        <f t="shared" si="438"/>
        <v>0</v>
      </c>
      <c r="AA805" s="2">
        <f t="shared" si="439"/>
        <v>0</v>
      </c>
      <c r="AB805" s="11">
        <f t="shared" si="440"/>
        <v>0</v>
      </c>
      <c r="AC805" s="2">
        <f t="shared" si="441"/>
        <v>0</v>
      </c>
      <c r="AF805" s="11">
        <f t="shared" si="442"/>
        <v>0</v>
      </c>
      <c r="AG805" s="2">
        <f t="shared" si="443"/>
        <v>0</v>
      </c>
      <c r="AH805" s="2">
        <f t="shared" si="444"/>
        <v>0</v>
      </c>
      <c r="AI805" s="2">
        <f t="shared" si="445"/>
        <v>0</v>
      </c>
      <c r="AJ805" s="2">
        <f t="shared" si="446"/>
        <v>0</v>
      </c>
      <c r="AK805" s="2">
        <f t="shared" si="447"/>
        <v>0</v>
      </c>
      <c r="AL805" s="2">
        <f t="shared" si="448"/>
        <v>0</v>
      </c>
      <c r="AM805" s="11"/>
      <c r="AN805" s="2" t="e">
        <f t="shared" si="457"/>
        <v>#N/A</v>
      </c>
      <c r="AO805" s="2" t="e">
        <f t="shared" si="458"/>
        <v>#N/A</v>
      </c>
      <c r="AP805" s="2" t="e">
        <f t="shared" si="459"/>
        <v>#N/A</v>
      </c>
      <c r="AQ805" s="2" t="e">
        <f t="shared" si="460"/>
        <v>#N/A</v>
      </c>
      <c r="AR805" s="2" t="e">
        <f t="shared" si="461"/>
        <v>#N/A</v>
      </c>
      <c r="AS805" s="2" t="e">
        <f t="shared" si="462"/>
        <v>#DIV/0!</v>
      </c>
      <c r="AT805" s="9" t="e">
        <f t="shared" ca="1" si="463"/>
        <v>#N/A</v>
      </c>
      <c r="AU805" s="9" t="e">
        <f t="shared" ca="1" si="464"/>
        <v>#N/A</v>
      </c>
      <c r="AW805" s="2" t="e">
        <f t="shared" si="449"/>
        <v>#N/A</v>
      </c>
      <c r="AX805" s="2" t="e">
        <f t="shared" si="450"/>
        <v>#N/A</v>
      </c>
      <c r="AY805" s="2" t="e">
        <f t="shared" si="451"/>
        <v>#N/A</v>
      </c>
      <c r="AZ805" s="2" t="e">
        <f t="shared" si="452"/>
        <v>#N/A</v>
      </c>
      <c r="BA805" s="2" t="e">
        <f t="shared" si="453"/>
        <v>#N/A</v>
      </c>
      <c r="BB805" s="2" t="e">
        <f t="shared" si="454"/>
        <v>#DIV/0!</v>
      </c>
      <c r="BC805" s="9" t="e">
        <f t="shared" ca="1" si="455"/>
        <v>#N/A</v>
      </c>
      <c r="BD805" s="9" t="e">
        <f t="shared" ca="1" si="456"/>
        <v>#N/A</v>
      </c>
    </row>
    <row r="806" spans="1:56" ht="15" x14ac:dyDescent="0.25">
      <c r="A806"/>
      <c r="B806"/>
      <c r="C806"/>
      <c r="D806"/>
      <c r="E806"/>
      <c r="F806"/>
      <c r="G806"/>
      <c r="H806"/>
      <c r="I806"/>
      <c r="J806"/>
      <c r="K806"/>
      <c r="L806" s="64"/>
      <c r="M806" s="64"/>
      <c r="N806" s="16"/>
      <c r="O806" s="11"/>
      <c r="P806" s="11"/>
      <c r="Q806" s="11"/>
      <c r="R806" s="11"/>
      <c r="S806" s="11"/>
      <c r="T806" s="11"/>
      <c r="U806" s="11">
        <f t="shared" si="465"/>
        <v>0</v>
      </c>
      <c r="V806" s="2">
        <f t="shared" si="466"/>
        <v>0</v>
      </c>
      <c r="W806" s="11">
        <f t="shared" si="435"/>
        <v>0</v>
      </c>
      <c r="X806" s="2">
        <f t="shared" si="436"/>
        <v>0</v>
      </c>
      <c r="Y806" s="2">
        <f t="shared" si="437"/>
        <v>0</v>
      </c>
      <c r="Z806" s="11">
        <f t="shared" si="438"/>
        <v>0</v>
      </c>
      <c r="AA806" s="2">
        <f t="shared" si="439"/>
        <v>0</v>
      </c>
      <c r="AB806" s="11">
        <f t="shared" si="440"/>
        <v>0</v>
      </c>
      <c r="AC806" s="2">
        <f t="shared" si="441"/>
        <v>0</v>
      </c>
      <c r="AF806" s="11">
        <f t="shared" si="442"/>
        <v>0</v>
      </c>
      <c r="AG806" s="2">
        <f t="shared" si="443"/>
        <v>0</v>
      </c>
      <c r="AH806" s="2">
        <f t="shared" si="444"/>
        <v>0</v>
      </c>
      <c r="AI806" s="2">
        <f t="shared" si="445"/>
        <v>0</v>
      </c>
      <c r="AJ806" s="2">
        <f t="shared" si="446"/>
        <v>0</v>
      </c>
      <c r="AK806" s="2">
        <f t="shared" si="447"/>
        <v>0</v>
      </c>
      <c r="AL806" s="2">
        <f t="shared" si="448"/>
        <v>0</v>
      </c>
      <c r="AM806" s="11"/>
      <c r="AN806" s="2" t="e">
        <f t="shared" si="457"/>
        <v>#N/A</v>
      </c>
      <c r="AO806" s="2" t="e">
        <f t="shared" si="458"/>
        <v>#N/A</v>
      </c>
      <c r="AP806" s="2" t="e">
        <f t="shared" si="459"/>
        <v>#N/A</v>
      </c>
      <c r="AQ806" s="2" t="e">
        <f t="shared" si="460"/>
        <v>#N/A</v>
      </c>
      <c r="AR806" s="2" t="e">
        <f t="shared" si="461"/>
        <v>#N/A</v>
      </c>
      <c r="AS806" s="2" t="e">
        <f t="shared" si="462"/>
        <v>#DIV/0!</v>
      </c>
      <c r="AT806" s="9" t="e">
        <f t="shared" ca="1" si="463"/>
        <v>#N/A</v>
      </c>
      <c r="AU806" s="9" t="e">
        <f t="shared" ca="1" si="464"/>
        <v>#N/A</v>
      </c>
      <c r="AW806" s="2" t="e">
        <f t="shared" si="449"/>
        <v>#N/A</v>
      </c>
      <c r="AX806" s="2" t="e">
        <f t="shared" si="450"/>
        <v>#N/A</v>
      </c>
      <c r="AY806" s="2" t="e">
        <f t="shared" si="451"/>
        <v>#N/A</v>
      </c>
      <c r="AZ806" s="2" t="e">
        <f t="shared" si="452"/>
        <v>#N/A</v>
      </c>
      <c r="BA806" s="2" t="e">
        <f t="shared" si="453"/>
        <v>#N/A</v>
      </c>
      <c r="BB806" s="2" t="e">
        <f t="shared" si="454"/>
        <v>#DIV/0!</v>
      </c>
      <c r="BC806" s="9" t="e">
        <f t="shared" ca="1" si="455"/>
        <v>#N/A</v>
      </c>
      <c r="BD806" s="9" t="e">
        <f t="shared" ca="1" si="456"/>
        <v>#N/A</v>
      </c>
    </row>
    <row r="807" spans="1:56" ht="15" x14ac:dyDescent="0.25">
      <c r="A807"/>
      <c r="B807"/>
      <c r="C807"/>
      <c r="D807"/>
      <c r="E807"/>
      <c r="F807"/>
      <c r="G807"/>
      <c r="H807"/>
      <c r="I807"/>
      <c r="J807"/>
      <c r="K807"/>
      <c r="L807" s="64"/>
      <c r="M807" s="64"/>
      <c r="N807" s="16"/>
      <c r="O807" s="11"/>
      <c r="P807" s="11"/>
      <c r="Q807" s="11"/>
      <c r="R807" s="11"/>
      <c r="S807" s="11"/>
      <c r="T807" s="11"/>
      <c r="U807" s="11">
        <f t="shared" si="465"/>
        <v>0</v>
      </c>
      <c r="V807" s="2">
        <f t="shared" si="466"/>
        <v>0</v>
      </c>
      <c r="W807" s="11">
        <f t="shared" si="435"/>
        <v>0</v>
      </c>
      <c r="X807" s="2">
        <f t="shared" si="436"/>
        <v>0</v>
      </c>
      <c r="Y807" s="2">
        <f t="shared" si="437"/>
        <v>0</v>
      </c>
      <c r="Z807" s="11">
        <f t="shared" si="438"/>
        <v>0</v>
      </c>
      <c r="AA807" s="2">
        <f t="shared" si="439"/>
        <v>0</v>
      </c>
      <c r="AB807" s="11">
        <f t="shared" si="440"/>
        <v>0</v>
      </c>
      <c r="AC807" s="2">
        <f t="shared" si="441"/>
        <v>0</v>
      </c>
      <c r="AF807" s="11">
        <f t="shared" si="442"/>
        <v>0</v>
      </c>
      <c r="AG807" s="2">
        <f t="shared" si="443"/>
        <v>0</v>
      </c>
      <c r="AH807" s="2">
        <f t="shared" si="444"/>
        <v>0</v>
      </c>
      <c r="AI807" s="2">
        <f t="shared" si="445"/>
        <v>0</v>
      </c>
      <c r="AJ807" s="2">
        <f t="shared" si="446"/>
        <v>0</v>
      </c>
      <c r="AK807" s="2">
        <f t="shared" si="447"/>
        <v>0</v>
      </c>
      <c r="AL807" s="2">
        <f t="shared" si="448"/>
        <v>0</v>
      </c>
      <c r="AM807" s="11"/>
      <c r="AN807" s="2" t="e">
        <f t="shared" si="457"/>
        <v>#N/A</v>
      </c>
      <c r="AO807" s="2" t="e">
        <f t="shared" si="458"/>
        <v>#N/A</v>
      </c>
      <c r="AP807" s="2" t="e">
        <f t="shared" si="459"/>
        <v>#N/A</v>
      </c>
      <c r="AQ807" s="2" t="e">
        <f t="shared" si="460"/>
        <v>#N/A</v>
      </c>
      <c r="AR807" s="2" t="e">
        <f t="shared" si="461"/>
        <v>#N/A</v>
      </c>
      <c r="AS807" s="2" t="e">
        <f t="shared" si="462"/>
        <v>#DIV/0!</v>
      </c>
      <c r="AT807" s="9" t="e">
        <f t="shared" ca="1" si="463"/>
        <v>#N/A</v>
      </c>
      <c r="AU807" s="9" t="e">
        <f t="shared" ca="1" si="464"/>
        <v>#N/A</v>
      </c>
      <c r="AW807" s="2" t="e">
        <f t="shared" si="449"/>
        <v>#N/A</v>
      </c>
      <c r="AX807" s="2" t="e">
        <f t="shared" si="450"/>
        <v>#N/A</v>
      </c>
      <c r="AY807" s="2" t="e">
        <f t="shared" si="451"/>
        <v>#N/A</v>
      </c>
      <c r="AZ807" s="2" t="e">
        <f t="shared" si="452"/>
        <v>#N/A</v>
      </c>
      <c r="BA807" s="2" t="e">
        <f t="shared" si="453"/>
        <v>#N/A</v>
      </c>
      <c r="BB807" s="2" t="e">
        <f t="shared" si="454"/>
        <v>#DIV/0!</v>
      </c>
      <c r="BC807" s="9" t="e">
        <f t="shared" ca="1" si="455"/>
        <v>#N/A</v>
      </c>
      <c r="BD807" s="9" t="e">
        <f t="shared" ca="1" si="456"/>
        <v>#N/A</v>
      </c>
    </row>
    <row r="808" spans="1:56" ht="15" x14ac:dyDescent="0.25">
      <c r="A808"/>
      <c r="B808"/>
      <c r="C808"/>
      <c r="D808"/>
      <c r="E808"/>
      <c r="F808"/>
      <c r="G808"/>
      <c r="H808"/>
      <c r="I808"/>
      <c r="J808"/>
      <c r="K808"/>
      <c r="L808" s="64"/>
      <c r="M808" s="64"/>
      <c r="N808" s="16"/>
      <c r="O808" s="11"/>
      <c r="P808" s="11"/>
      <c r="Q808" s="11"/>
      <c r="R808" s="11"/>
      <c r="S808" s="11"/>
      <c r="T808" s="11"/>
      <c r="U808" s="11">
        <f t="shared" si="465"/>
        <v>0</v>
      </c>
      <c r="V808" s="2">
        <f t="shared" si="466"/>
        <v>0</v>
      </c>
      <c r="W808" s="11">
        <f t="shared" si="435"/>
        <v>0</v>
      </c>
      <c r="X808" s="2">
        <f t="shared" si="436"/>
        <v>0</v>
      </c>
      <c r="Y808" s="2">
        <f t="shared" si="437"/>
        <v>0</v>
      </c>
      <c r="Z808" s="11">
        <f t="shared" si="438"/>
        <v>0</v>
      </c>
      <c r="AA808" s="2">
        <f t="shared" si="439"/>
        <v>0</v>
      </c>
      <c r="AB808" s="11">
        <f t="shared" si="440"/>
        <v>0</v>
      </c>
      <c r="AC808" s="2">
        <f t="shared" si="441"/>
        <v>0</v>
      </c>
      <c r="AF808" s="11">
        <f t="shared" si="442"/>
        <v>0</v>
      </c>
      <c r="AG808" s="2">
        <f t="shared" si="443"/>
        <v>0</v>
      </c>
      <c r="AH808" s="2">
        <f t="shared" si="444"/>
        <v>0</v>
      </c>
      <c r="AI808" s="2">
        <f t="shared" si="445"/>
        <v>0</v>
      </c>
      <c r="AJ808" s="2">
        <f t="shared" si="446"/>
        <v>0</v>
      </c>
      <c r="AK808" s="2">
        <f t="shared" si="447"/>
        <v>0</v>
      </c>
      <c r="AL808" s="2">
        <f t="shared" si="448"/>
        <v>0</v>
      </c>
      <c r="AM808" s="11"/>
      <c r="AN808" s="2" t="e">
        <f t="shared" si="457"/>
        <v>#N/A</v>
      </c>
      <c r="AO808" s="2" t="e">
        <f t="shared" si="458"/>
        <v>#N/A</v>
      </c>
      <c r="AP808" s="2" t="e">
        <f t="shared" si="459"/>
        <v>#N/A</v>
      </c>
      <c r="AQ808" s="2" t="e">
        <f t="shared" si="460"/>
        <v>#N/A</v>
      </c>
      <c r="AR808" s="2" t="e">
        <f t="shared" si="461"/>
        <v>#N/A</v>
      </c>
      <c r="AS808" s="2" t="e">
        <f t="shared" si="462"/>
        <v>#DIV/0!</v>
      </c>
      <c r="AT808" s="9" t="e">
        <f t="shared" ca="1" si="463"/>
        <v>#N/A</v>
      </c>
      <c r="AU808" s="9" t="e">
        <f t="shared" ca="1" si="464"/>
        <v>#N/A</v>
      </c>
      <c r="AW808" s="2" t="e">
        <f t="shared" si="449"/>
        <v>#N/A</v>
      </c>
      <c r="AX808" s="2" t="e">
        <f t="shared" si="450"/>
        <v>#N/A</v>
      </c>
      <c r="AY808" s="2" t="e">
        <f t="shared" si="451"/>
        <v>#N/A</v>
      </c>
      <c r="AZ808" s="2" t="e">
        <f t="shared" si="452"/>
        <v>#N/A</v>
      </c>
      <c r="BA808" s="2" t="e">
        <f t="shared" si="453"/>
        <v>#N/A</v>
      </c>
      <c r="BB808" s="2" t="e">
        <f t="shared" si="454"/>
        <v>#DIV/0!</v>
      </c>
      <c r="BC808" s="9" t="e">
        <f t="shared" ca="1" si="455"/>
        <v>#N/A</v>
      </c>
      <c r="BD808" s="9" t="e">
        <f t="shared" ca="1" si="456"/>
        <v>#N/A</v>
      </c>
    </row>
    <row r="809" spans="1:56" ht="15" x14ac:dyDescent="0.25">
      <c r="A809"/>
      <c r="B809"/>
      <c r="C809"/>
      <c r="D809"/>
      <c r="E809"/>
      <c r="F809"/>
      <c r="G809"/>
      <c r="H809"/>
      <c r="I809"/>
      <c r="J809"/>
      <c r="K809"/>
      <c r="L809" s="64"/>
      <c r="M809" s="64"/>
      <c r="N809" s="16"/>
      <c r="O809" s="11"/>
      <c r="P809" s="11"/>
      <c r="Q809" s="11"/>
      <c r="R809" s="11"/>
      <c r="S809" s="11"/>
      <c r="T809" s="11"/>
      <c r="U809" s="11">
        <f t="shared" si="465"/>
        <v>0</v>
      </c>
      <c r="V809" s="2">
        <f t="shared" si="466"/>
        <v>0</v>
      </c>
      <c r="W809" s="11">
        <f t="shared" si="435"/>
        <v>0</v>
      </c>
      <c r="X809" s="2">
        <f t="shared" si="436"/>
        <v>0</v>
      </c>
      <c r="Y809" s="2">
        <f t="shared" si="437"/>
        <v>0</v>
      </c>
      <c r="Z809" s="11">
        <f t="shared" si="438"/>
        <v>0</v>
      </c>
      <c r="AA809" s="2">
        <f t="shared" si="439"/>
        <v>0</v>
      </c>
      <c r="AB809" s="11">
        <f t="shared" si="440"/>
        <v>0</v>
      </c>
      <c r="AC809" s="2">
        <f t="shared" si="441"/>
        <v>0</v>
      </c>
      <c r="AF809" s="11">
        <f t="shared" si="442"/>
        <v>0</v>
      </c>
      <c r="AG809" s="2">
        <f t="shared" si="443"/>
        <v>0</v>
      </c>
      <c r="AH809" s="2">
        <f t="shared" si="444"/>
        <v>0</v>
      </c>
      <c r="AI809" s="2">
        <f t="shared" si="445"/>
        <v>0</v>
      </c>
      <c r="AJ809" s="2">
        <f t="shared" si="446"/>
        <v>0</v>
      </c>
      <c r="AK809" s="2">
        <f t="shared" si="447"/>
        <v>0</v>
      </c>
      <c r="AL809" s="2">
        <f t="shared" si="448"/>
        <v>0</v>
      </c>
      <c r="AM809" s="11"/>
      <c r="AN809" s="2" t="e">
        <f t="shared" si="457"/>
        <v>#N/A</v>
      </c>
      <c r="AO809" s="2" t="e">
        <f t="shared" si="458"/>
        <v>#N/A</v>
      </c>
      <c r="AP809" s="2" t="e">
        <f t="shared" si="459"/>
        <v>#N/A</v>
      </c>
      <c r="AQ809" s="2" t="e">
        <f t="shared" si="460"/>
        <v>#N/A</v>
      </c>
      <c r="AR809" s="2" t="e">
        <f t="shared" si="461"/>
        <v>#N/A</v>
      </c>
      <c r="AS809" s="2" t="e">
        <f t="shared" si="462"/>
        <v>#DIV/0!</v>
      </c>
      <c r="AT809" s="9" t="e">
        <f t="shared" ca="1" si="463"/>
        <v>#N/A</v>
      </c>
      <c r="AU809" s="9" t="e">
        <f t="shared" ca="1" si="464"/>
        <v>#N/A</v>
      </c>
      <c r="AW809" s="2" t="e">
        <f t="shared" si="449"/>
        <v>#N/A</v>
      </c>
      <c r="AX809" s="2" t="e">
        <f t="shared" si="450"/>
        <v>#N/A</v>
      </c>
      <c r="AY809" s="2" t="e">
        <f t="shared" si="451"/>
        <v>#N/A</v>
      </c>
      <c r="AZ809" s="2" t="e">
        <f t="shared" si="452"/>
        <v>#N/A</v>
      </c>
      <c r="BA809" s="2" t="e">
        <f t="shared" si="453"/>
        <v>#N/A</v>
      </c>
      <c r="BB809" s="2" t="e">
        <f t="shared" si="454"/>
        <v>#DIV/0!</v>
      </c>
      <c r="BC809" s="9" t="e">
        <f t="shared" ca="1" si="455"/>
        <v>#N/A</v>
      </c>
      <c r="BD809" s="9" t="e">
        <f t="shared" ca="1" si="456"/>
        <v>#N/A</v>
      </c>
    </row>
    <row r="810" spans="1:56" ht="15" x14ac:dyDescent="0.25">
      <c r="A810"/>
      <c r="B810"/>
      <c r="C810"/>
      <c r="D810"/>
      <c r="E810"/>
      <c r="F810"/>
      <c r="G810"/>
      <c r="H810"/>
      <c r="I810"/>
      <c r="J810"/>
      <c r="K810"/>
      <c r="L810" s="64"/>
      <c r="M810" s="64"/>
      <c r="N810" s="16"/>
      <c r="O810" s="11"/>
      <c r="P810" s="11"/>
      <c r="Q810" s="11"/>
      <c r="R810" s="11"/>
      <c r="S810" s="11"/>
      <c r="T810" s="11"/>
      <c r="U810" s="11">
        <f t="shared" si="465"/>
        <v>0</v>
      </c>
      <c r="V810" s="2">
        <f t="shared" si="466"/>
        <v>0</v>
      </c>
      <c r="W810" s="11">
        <f t="shared" si="435"/>
        <v>0</v>
      </c>
      <c r="X810" s="2">
        <f t="shared" si="436"/>
        <v>0</v>
      </c>
      <c r="Y810" s="2">
        <f t="shared" si="437"/>
        <v>0</v>
      </c>
      <c r="Z810" s="11">
        <f t="shared" si="438"/>
        <v>0</v>
      </c>
      <c r="AA810" s="2">
        <f t="shared" si="439"/>
        <v>0</v>
      </c>
      <c r="AB810" s="11">
        <f t="shared" si="440"/>
        <v>0</v>
      </c>
      <c r="AC810" s="2">
        <f t="shared" si="441"/>
        <v>0</v>
      </c>
      <c r="AF810" s="11">
        <f t="shared" si="442"/>
        <v>0</v>
      </c>
      <c r="AG810" s="2">
        <f t="shared" si="443"/>
        <v>0</v>
      </c>
      <c r="AH810" s="2">
        <f t="shared" si="444"/>
        <v>0</v>
      </c>
      <c r="AI810" s="2">
        <f t="shared" si="445"/>
        <v>0</v>
      </c>
      <c r="AJ810" s="2">
        <f t="shared" si="446"/>
        <v>0</v>
      </c>
      <c r="AK810" s="2">
        <f t="shared" si="447"/>
        <v>0</v>
      </c>
      <c r="AL810" s="2">
        <f t="shared" si="448"/>
        <v>0</v>
      </c>
      <c r="AM810" s="11"/>
      <c r="AN810" s="2" t="e">
        <f t="shared" si="457"/>
        <v>#N/A</v>
      </c>
      <c r="AO810" s="2" t="e">
        <f t="shared" si="458"/>
        <v>#N/A</v>
      </c>
      <c r="AP810" s="2" t="e">
        <f t="shared" si="459"/>
        <v>#N/A</v>
      </c>
      <c r="AQ810" s="2" t="e">
        <f t="shared" si="460"/>
        <v>#N/A</v>
      </c>
      <c r="AR810" s="2" t="e">
        <f t="shared" si="461"/>
        <v>#N/A</v>
      </c>
      <c r="AS810" s="2" t="e">
        <f t="shared" si="462"/>
        <v>#DIV/0!</v>
      </c>
      <c r="AT810" s="9" t="e">
        <f t="shared" ca="1" si="463"/>
        <v>#N/A</v>
      </c>
      <c r="AU810" s="9" t="e">
        <f t="shared" ca="1" si="464"/>
        <v>#N/A</v>
      </c>
      <c r="AW810" s="2" t="e">
        <f t="shared" si="449"/>
        <v>#N/A</v>
      </c>
      <c r="AX810" s="2" t="e">
        <f t="shared" si="450"/>
        <v>#N/A</v>
      </c>
      <c r="AY810" s="2" t="e">
        <f t="shared" si="451"/>
        <v>#N/A</v>
      </c>
      <c r="AZ810" s="2" t="e">
        <f t="shared" si="452"/>
        <v>#N/A</v>
      </c>
      <c r="BA810" s="2" t="e">
        <f t="shared" si="453"/>
        <v>#N/A</v>
      </c>
      <c r="BB810" s="2" t="e">
        <f t="shared" si="454"/>
        <v>#DIV/0!</v>
      </c>
      <c r="BC810" s="9" t="e">
        <f t="shared" ca="1" si="455"/>
        <v>#N/A</v>
      </c>
      <c r="BD810" s="9" t="e">
        <f t="shared" ca="1" si="456"/>
        <v>#N/A</v>
      </c>
    </row>
    <row r="811" spans="1:56" ht="15" x14ac:dyDescent="0.25">
      <c r="A811"/>
      <c r="B811"/>
      <c r="C811"/>
      <c r="D811"/>
      <c r="E811"/>
      <c r="F811"/>
      <c r="G811"/>
      <c r="H811"/>
      <c r="I811"/>
      <c r="J811"/>
      <c r="K811"/>
      <c r="L811" s="64"/>
      <c r="M811" s="64"/>
      <c r="N811" s="16"/>
      <c r="O811" s="11"/>
      <c r="P811" s="11"/>
      <c r="Q811" s="11"/>
      <c r="R811" s="11"/>
      <c r="S811" s="11"/>
      <c r="T811" s="11"/>
      <c r="U811" s="11">
        <f t="shared" si="465"/>
        <v>0</v>
      </c>
      <c r="V811" s="2">
        <f t="shared" si="466"/>
        <v>0</v>
      </c>
      <c r="W811" s="11">
        <f t="shared" si="435"/>
        <v>0</v>
      </c>
      <c r="X811" s="2">
        <f t="shared" si="436"/>
        <v>0</v>
      </c>
      <c r="Y811" s="2">
        <f t="shared" si="437"/>
        <v>0</v>
      </c>
      <c r="Z811" s="11">
        <f t="shared" si="438"/>
        <v>0</v>
      </c>
      <c r="AA811" s="2">
        <f t="shared" si="439"/>
        <v>0</v>
      </c>
      <c r="AB811" s="11">
        <f t="shared" si="440"/>
        <v>0</v>
      </c>
      <c r="AC811" s="2">
        <f t="shared" si="441"/>
        <v>0</v>
      </c>
      <c r="AF811" s="11">
        <f t="shared" si="442"/>
        <v>0</v>
      </c>
      <c r="AG811" s="2">
        <f t="shared" si="443"/>
        <v>0</v>
      </c>
      <c r="AH811" s="2">
        <f t="shared" si="444"/>
        <v>0</v>
      </c>
      <c r="AI811" s="2">
        <f t="shared" si="445"/>
        <v>0</v>
      </c>
      <c r="AJ811" s="2">
        <f t="shared" si="446"/>
        <v>0</v>
      </c>
      <c r="AK811" s="2">
        <f t="shared" si="447"/>
        <v>0</v>
      </c>
      <c r="AL811" s="2">
        <f t="shared" si="448"/>
        <v>0</v>
      </c>
      <c r="AM811" s="11"/>
      <c r="AN811" s="2" t="e">
        <f t="shared" si="457"/>
        <v>#N/A</v>
      </c>
      <c r="AO811" s="2" t="e">
        <f t="shared" si="458"/>
        <v>#N/A</v>
      </c>
      <c r="AP811" s="2" t="e">
        <f t="shared" si="459"/>
        <v>#N/A</v>
      </c>
      <c r="AQ811" s="2" t="e">
        <f t="shared" si="460"/>
        <v>#N/A</v>
      </c>
      <c r="AR811" s="2" t="e">
        <f t="shared" si="461"/>
        <v>#N/A</v>
      </c>
      <c r="AS811" s="2" t="e">
        <f t="shared" si="462"/>
        <v>#DIV/0!</v>
      </c>
      <c r="AT811" s="9" t="e">
        <f t="shared" ca="1" si="463"/>
        <v>#N/A</v>
      </c>
      <c r="AU811" s="9" t="e">
        <f t="shared" ca="1" si="464"/>
        <v>#N/A</v>
      </c>
      <c r="AW811" s="2" t="e">
        <f t="shared" si="449"/>
        <v>#N/A</v>
      </c>
      <c r="AX811" s="2" t="e">
        <f t="shared" si="450"/>
        <v>#N/A</v>
      </c>
      <c r="AY811" s="2" t="e">
        <f t="shared" si="451"/>
        <v>#N/A</v>
      </c>
      <c r="AZ811" s="2" t="e">
        <f t="shared" si="452"/>
        <v>#N/A</v>
      </c>
      <c r="BA811" s="2" t="e">
        <f t="shared" si="453"/>
        <v>#N/A</v>
      </c>
      <c r="BB811" s="2" t="e">
        <f t="shared" si="454"/>
        <v>#DIV/0!</v>
      </c>
      <c r="BC811" s="9" t="e">
        <f t="shared" ca="1" si="455"/>
        <v>#N/A</v>
      </c>
      <c r="BD811" s="9" t="e">
        <f t="shared" ca="1" si="456"/>
        <v>#N/A</v>
      </c>
    </row>
    <row r="812" spans="1:56" ht="15" x14ac:dyDescent="0.25">
      <c r="A812"/>
      <c r="B812"/>
      <c r="C812"/>
      <c r="D812"/>
      <c r="E812"/>
      <c r="F812"/>
      <c r="G812"/>
      <c r="H812"/>
      <c r="I812"/>
      <c r="J812"/>
      <c r="K812"/>
      <c r="L812" s="64"/>
      <c r="M812" s="64"/>
      <c r="N812" s="16"/>
      <c r="O812" s="11"/>
      <c r="P812" s="11"/>
      <c r="Q812" s="11"/>
      <c r="R812" s="11"/>
      <c r="S812" s="11"/>
      <c r="T812" s="11"/>
      <c r="U812" s="11">
        <f t="shared" si="465"/>
        <v>0</v>
      </c>
      <c r="V812" s="2">
        <f t="shared" si="466"/>
        <v>0</v>
      </c>
      <c r="W812" s="11">
        <f t="shared" si="435"/>
        <v>0</v>
      </c>
      <c r="X812" s="2">
        <f t="shared" si="436"/>
        <v>0</v>
      </c>
      <c r="Y812" s="2">
        <f t="shared" si="437"/>
        <v>0</v>
      </c>
      <c r="Z812" s="11">
        <f t="shared" si="438"/>
        <v>0</v>
      </c>
      <c r="AA812" s="2">
        <f t="shared" si="439"/>
        <v>0</v>
      </c>
      <c r="AB812" s="11">
        <f t="shared" si="440"/>
        <v>0</v>
      </c>
      <c r="AC812" s="2">
        <f t="shared" si="441"/>
        <v>0</v>
      </c>
      <c r="AF812" s="11">
        <f t="shared" si="442"/>
        <v>0</v>
      </c>
      <c r="AG812" s="2">
        <f t="shared" si="443"/>
        <v>0</v>
      </c>
      <c r="AH812" s="2">
        <f t="shared" si="444"/>
        <v>0</v>
      </c>
      <c r="AI812" s="2">
        <f t="shared" si="445"/>
        <v>0</v>
      </c>
      <c r="AJ812" s="2">
        <f t="shared" si="446"/>
        <v>0</v>
      </c>
      <c r="AK812" s="2">
        <f t="shared" si="447"/>
        <v>0</v>
      </c>
      <c r="AL812" s="2">
        <f t="shared" si="448"/>
        <v>0</v>
      </c>
      <c r="AM812" s="11"/>
      <c r="AN812" s="2" t="e">
        <f t="shared" si="457"/>
        <v>#N/A</v>
      </c>
      <c r="AO812" s="2" t="e">
        <f t="shared" si="458"/>
        <v>#N/A</v>
      </c>
      <c r="AP812" s="2" t="e">
        <f t="shared" si="459"/>
        <v>#N/A</v>
      </c>
      <c r="AQ812" s="2" t="e">
        <f t="shared" si="460"/>
        <v>#N/A</v>
      </c>
      <c r="AR812" s="2" t="e">
        <f t="shared" si="461"/>
        <v>#N/A</v>
      </c>
      <c r="AS812" s="2" t="e">
        <f t="shared" si="462"/>
        <v>#DIV/0!</v>
      </c>
      <c r="AT812" s="9" t="e">
        <f t="shared" ca="1" si="463"/>
        <v>#N/A</v>
      </c>
      <c r="AU812" s="9" t="e">
        <f t="shared" ca="1" si="464"/>
        <v>#N/A</v>
      </c>
      <c r="AW812" s="2" t="e">
        <f t="shared" si="449"/>
        <v>#N/A</v>
      </c>
      <c r="AX812" s="2" t="e">
        <f t="shared" si="450"/>
        <v>#N/A</v>
      </c>
      <c r="AY812" s="2" t="e">
        <f t="shared" si="451"/>
        <v>#N/A</v>
      </c>
      <c r="AZ812" s="2" t="e">
        <f t="shared" si="452"/>
        <v>#N/A</v>
      </c>
      <c r="BA812" s="2" t="e">
        <f t="shared" si="453"/>
        <v>#N/A</v>
      </c>
      <c r="BB812" s="2" t="e">
        <f t="shared" si="454"/>
        <v>#DIV/0!</v>
      </c>
      <c r="BC812" s="9" t="e">
        <f t="shared" ca="1" si="455"/>
        <v>#N/A</v>
      </c>
      <c r="BD812" s="9" t="e">
        <f t="shared" ca="1" si="456"/>
        <v>#N/A</v>
      </c>
    </row>
    <row r="813" spans="1:56" ht="15" x14ac:dyDescent="0.25">
      <c r="A813"/>
      <c r="B813"/>
      <c r="C813"/>
      <c r="D813"/>
      <c r="E813"/>
      <c r="F813"/>
      <c r="G813"/>
      <c r="H813"/>
      <c r="I813"/>
      <c r="J813"/>
      <c r="K813"/>
      <c r="L813" s="64"/>
      <c r="M813" s="64"/>
      <c r="N813" s="16"/>
      <c r="O813" s="11"/>
      <c r="P813" s="11"/>
      <c r="Q813" s="11"/>
      <c r="R813" s="11"/>
      <c r="S813" s="11"/>
      <c r="T813" s="11"/>
      <c r="U813" s="11">
        <f t="shared" si="465"/>
        <v>0</v>
      </c>
      <c r="V813" s="2">
        <f t="shared" si="466"/>
        <v>0</v>
      </c>
      <c r="W813" s="11">
        <f t="shared" si="435"/>
        <v>0</v>
      </c>
      <c r="X813" s="2">
        <f t="shared" si="436"/>
        <v>0</v>
      </c>
      <c r="Y813" s="2">
        <f t="shared" si="437"/>
        <v>0</v>
      </c>
      <c r="Z813" s="11">
        <f t="shared" si="438"/>
        <v>0</v>
      </c>
      <c r="AA813" s="2">
        <f t="shared" si="439"/>
        <v>0</v>
      </c>
      <c r="AB813" s="11">
        <f t="shared" si="440"/>
        <v>0</v>
      </c>
      <c r="AC813" s="2">
        <f t="shared" si="441"/>
        <v>0</v>
      </c>
      <c r="AF813" s="11">
        <f t="shared" si="442"/>
        <v>0</v>
      </c>
      <c r="AG813" s="2">
        <f t="shared" si="443"/>
        <v>0</v>
      </c>
      <c r="AH813" s="2">
        <f t="shared" si="444"/>
        <v>0</v>
      </c>
      <c r="AI813" s="2">
        <f t="shared" si="445"/>
        <v>0</v>
      </c>
      <c r="AJ813" s="2">
        <f t="shared" si="446"/>
        <v>0</v>
      </c>
      <c r="AK813" s="2">
        <f t="shared" si="447"/>
        <v>0</v>
      </c>
      <c r="AL813" s="2">
        <f t="shared" si="448"/>
        <v>0</v>
      </c>
      <c r="AM813" s="11"/>
      <c r="AN813" s="2" t="e">
        <f t="shared" si="457"/>
        <v>#N/A</v>
      </c>
      <c r="AO813" s="2" t="e">
        <f t="shared" si="458"/>
        <v>#N/A</v>
      </c>
      <c r="AP813" s="2" t="e">
        <f t="shared" si="459"/>
        <v>#N/A</v>
      </c>
      <c r="AQ813" s="2" t="e">
        <f t="shared" si="460"/>
        <v>#N/A</v>
      </c>
      <c r="AR813" s="2" t="e">
        <f t="shared" si="461"/>
        <v>#N/A</v>
      </c>
      <c r="AS813" s="2" t="e">
        <f t="shared" si="462"/>
        <v>#DIV/0!</v>
      </c>
      <c r="AT813" s="9" t="e">
        <f t="shared" ca="1" si="463"/>
        <v>#N/A</v>
      </c>
      <c r="AU813" s="9" t="e">
        <f t="shared" ca="1" si="464"/>
        <v>#N/A</v>
      </c>
      <c r="AW813" s="2" t="e">
        <f t="shared" si="449"/>
        <v>#N/A</v>
      </c>
      <c r="AX813" s="2" t="e">
        <f t="shared" si="450"/>
        <v>#N/A</v>
      </c>
      <c r="AY813" s="2" t="e">
        <f t="shared" si="451"/>
        <v>#N/A</v>
      </c>
      <c r="AZ813" s="2" t="e">
        <f t="shared" si="452"/>
        <v>#N/A</v>
      </c>
      <c r="BA813" s="2" t="e">
        <f t="shared" si="453"/>
        <v>#N/A</v>
      </c>
      <c r="BB813" s="2" t="e">
        <f t="shared" si="454"/>
        <v>#DIV/0!</v>
      </c>
      <c r="BC813" s="9" t="e">
        <f t="shared" ca="1" si="455"/>
        <v>#N/A</v>
      </c>
      <c r="BD813" s="9" t="e">
        <f t="shared" ca="1" si="456"/>
        <v>#N/A</v>
      </c>
    </row>
    <row r="814" spans="1:56" ht="15" x14ac:dyDescent="0.25">
      <c r="A814"/>
      <c r="B814"/>
      <c r="C814"/>
      <c r="D814"/>
      <c r="E814"/>
      <c r="F814"/>
      <c r="G814"/>
      <c r="H814"/>
      <c r="I814"/>
      <c r="J814"/>
      <c r="K814"/>
      <c r="L814" s="64"/>
      <c r="M814" s="64"/>
      <c r="N814" s="16"/>
      <c r="O814" s="11"/>
      <c r="P814" s="11"/>
      <c r="Q814" s="11"/>
      <c r="R814" s="11"/>
      <c r="S814" s="11"/>
      <c r="T814" s="11"/>
      <c r="U814" s="11">
        <f t="shared" si="465"/>
        <v>0</v>
      </c>
      <c r="V814" s="2">
        <f t="shared" si="466"/>
        <v>0</v>
      </c>
      <c r="W814" s="11">
        <f t="shared" si="435"/>
        <v>0</v>
      </c>
      <c r="X814" s="2">
        <f t="shared" si="436"/>
        <v>0</v>
      </c>
      <c r="Y814" s="2">
        <f t="shared" si="437"/>
        <v>0</v>
      </c>
      <c r="Z814" s="11">
        <f t="shared" si="438"/>
        <v>0</v>
      </c>
      <c r="AA814" s="2">
        <f t="shared" si="439"/>
        <v>0</v>
      </c>
      <c r="AB814" s="11">
        <f t="shared" si="440"/>
        <v>0</v>
      </c>
      <c r="AC814" s="2">
        <f t="shared" si="441"/>
        <v>0</v>
      </c>
      <c r="AF814" s="11">
        <f t="shared" si="442"/>
        <v>0</v>
      </c>
      <c r="AG814" s="2">
        <f t="shared" si="443"/>
        <v>0</v>
      </c>
      <c r="AH814" s="2">
        <f t="shared" si="444"/>
        <v>0</v>
      </c>
      <c r="AI814" s="2">
        <f t="shared" si="445"/>
        <v>0</v>
      </c>
      <c r="AJ814" s="2">
        <f t="shared" si="446"/>
        <v>0</v>
      </c>
      <c r="AK814" s="2">
        <f t="shared" si="447"/>
        <v>0</v>
      </c>
      <c r="AL814" s="2">
        <f t="shared" si="448"/>
        <v>0</v>
      </c>
      <c r="AM814" s="11"/>
      <c r="AN814" s="2" t="e">
        <f t="shared" si="457"/>
        <v>#N/A</v>
      </c>
      <c r="AO814" s="2" t="e">
        <f t="shared" si="458"/>
        <v>#N/A</v>
      </c>
      <c r="AP814" s="2" t="e">
        <f t="shared" si="459"/>
        <v>#N/A</v>
      </c>
      <c r="AQ814" s="2" t="e">
        <f t="shared" si="460"/>
        <v>#N/A</v>
      </c>
      <c r="AR814" s="2" t="e">
        <f t="shared" si="461"/>
        <v>#N/A</v>
      </c>
      <c r="AS814" s="2" t="e">
        <f t="shared" si="462"/>
        <v>#DIV/0!</v>
      </c>
      <c r="AT814" s="9" t="e">
        <f t="shared" ca="1" si="463"/>
        <v>#N/A</v>
      </c>
      <c r="AU814" s="9" t="e">
        <f t="shared" ca="1" si="464"/>
        <v>#N/A</v>
      </c>
      <c r="AW814" s="2" t="e">
        <f t="shared" si="449"/>
        <v>#N/A</v>
      </c>
      <c r="AX814" s="2" t="e">
        <f t="shared" si="450"/>
        <v>#N/A</v>
      </c>
      <c r="AY814" s="2" t="e">
        <f t="shared" si="451"/>
        <v>#N/A</v>
      </c>
      <c r="AZ814" s="2" t="e">
        <f t="shared" si="452"/>
        <v>#N/A</v>
      </c>
      <c r="BA814" s="2" t="e">
        <f t="shared" si="453"/>
        <v>#N/A</v>
      </c>
      <c r="BB814" s="2" t="e">
        <f t="shared" si="454"/>
        <v>#DIV/0!</v>
      </c>
      <c r="BC814" s="9" t="e">
        <f t="shared" ca="1" si="455"/>
        <v>#N/A</v>
      </c>
      <c r="BD814" s="9" t="e">
        <f t="shared" ca="1" si="456"/>
        <v>#N/A</v>
      </c>
    </row>
    <row r="815" spans="1:56" ht="15" x14ac:dyDescent="0.25">
      <c r="A815"/>
      <c r="B815"/>
      <c r="C815"/>
      <c r="D815"/>
      <c r="E815"/>
      <c r="F815"/>
      <c r="G815"/>
      <c r="H815"/>
      <c r="I815"/>
      <c r="J815"/>
      <c r="K815"/>
      <c r="L815" s="64"/>
      <c r="M815" s="64"/>
      <c r="N815" s="16"/>
      <c r="O815" s="11"/>
      <c r="P815" s="11"/>
      <c r="Q815" s="11"/>
      <c r="R815" s="11"/>
      <c r="S815" s="11"/>
      <c r="T815" s="11"/>
      <c r="U815" s="11">
        <f t="shared" si="465"/>
        <v>0</v>
      </c>
      <c r="V815" s="2">
        <f t="shared" si="466"/>
        <v>0</v>
      </c>
      <c r="W815" s="11">
        <f t="shared" si="435"/>
        <v>0</v>
      </c>
      <c r="X815" s="2">
        <f t="shared" si="436"/>
        <v>0</v>
      </c>
      <c r="Y815" s="2">
        <f t="shared" si="437"/>
        <v>0</v>
      </c>
      <c r="Z815" s="11">
        <f t="shared" si="438"/>
        <v>0</v>
      </c>
      <c r="AA815" s="2">
        <f t="shared" si="439"/>
        <v>0</v>
      </c>
      <c r="AB815" s="11">
        <f t="shared" si="440"/>
        <v>0</v>
      </c>
      <c r="AC815" s="2">
        <f t="shared" si="441"/>
        <v>0</v>
      </c>
      <c r="AF815" s="11">
        <f t="shared" si="442"/>
        <v>0</v>
      </c>
      <c r="AG815" s="2">
        <f t="shared" si="443"/>
        <v>0</v>
      </c>
      <c r="AH815" s="2">
        <f t="shared" si="444"/>
        <v>0</v>
      </c>
      <c r="AI815" s="2">
        <f t="shared" si="445"/>
        <v>0</v>
      </c>
      <c r="AJ815" s="2">
        <f t="shared" si="446"/>
        <v>0</v>
      </c>
      <c r="AK815" s="2">
        <f t="shared" si="447"/>
        <v>0</v>
      </c>
      <c r="AL815" s="2">
        <f t="shared" si="448"/>
        <v>0</v>
      </c>
      <c r="AM815" s="11"/>
      <c r="AN815" s="2" t="e">
        <f t="shared" si="457"/>
        <v>#N/A</v>
      </c>
      <c r="AO815" s="2" t="e">
        <f t="shared" si="458"/>
        <v>#N/A</v>
      </c>
      <c r="AP815" s="2" t="e">
        <f t="shared" si="459"/>
        <v>#N/A</v>
      </c>
      <c r="AQ815" s="2" t="e">
        <f t="shared" si="460"/>
        <v>#N/A</v>
      </c>
      <c r="AR815" s="2" t="e">
        <f t="shared" si="461"/>
        <v>#N/A</v>
      </c>
      <c r="AS815" s="2" t="e">
        <f t="shared" si="462"/>
        <v>#DIV/0!</v>
      </c>
      <c r="AT815" s="9" t="e">
        <f t="shared" ca="1" si="463"/>
        <v>#N/A</v>
      </c>
      <c r="AU815" s="9" t="e">
        <f t="shared" ca="1" si="464"/>
        <v>#N/A</v>
      </c>
      <c r="AW815" s="2" t="e">
        <f t="shared" si="449"/>
        <v>#N/A</v>
      </c>
      <c r="AX815" s="2" t="e">
        <f t="shared" si="450"/>
        <v>#N/A</v>
      </c>
      <c r="AY815" s="2" t="e">
        <f t="shared" si="451"/>
        <v>#N/A</v>
      </c>
      <c r="AZ815" s="2" t="e">
        <f t="shared" si="452"/>
        <v>#N/A</v>
      </c>
      <c r="BA815" s="2" t="e">
        <f t="shared" si="453"/>
        <v>#N/A</v>
      </c>
      <c r="BB815" s="2" t="e">
        <f t="shared" si="454"/>
        <v>#DIV/0!</v>
      </c>
      <c r="BC815" s="9" t="e">
        <f t="shared" ca="1" si="455"/>
        <v>#N/A</v>
      </c>
      <c r="BD815" s="9" t="e">
        <f t="shared" ca="1" si="456"/>
        <v>#N/A</v>
      </c>
    </row>
    <row r="816" spans="1:56" ht="15" x14ac:dyDescent="0.25">
      <c r="A816"/>
      <c r="B816"/>
      <c r="C816"/>
      <c r="D816"/>
      <c r="E816"/>
      <c r="F816"/>
      <c r="G816"/>
      <c r="H816"/>
      <c r="I816"/>
      <c r="J816"/>
      <c r="K816"/>
      <c r="L816" s="64"/>
      <c r="M816" s="64"/>
      <c r="N816" s="16"/>
      <c r="O816" s="11"/>
      <c r="P816" s="11"/>
      <c r="Q816" s="11"/>
      <c r="R816" s="11"/>
      <c r="S816" s="11"/>
      <c r="T816" s="11"/>
      <c r="U816" s="11">
        <f t="shared" si="465"/>
        <v>0</v>
      </c>
      <c r="V816" s="2">
        <f t="shared" si="466"/>
        <v>0</v>
      </c>
      <c r="W816" s="11">
        <f t="shared" si="435"/>
        <v>0</v>
      </c>
      <c r="X816" s="2">
        <f t="shared" si="436"/>
        <v>0</v>
      </c>
      <c r="Y816" s="2">
        <f t="shared" si="437"/>
        <v>0</v>
      </c>
      <c r="Z816" s="11">
        <f t="shared" si="438"/>
        <v>0</v>
      </c>
      <c r="AA816" s="2">
        <f t="shared" si="439"/>
        <v>0</v>
      </c>
      <c r="AB816" s="11">
        <f t="shared" si="440"/>
        <v>0</v>
      </c>
      <c r="AC816" s="2">
        <f t="shared" si="441"/>
        <v>0</v>
      </c>
      <c r="AF816" s="11">
        <f t="shared" si="442"/>
        <v>0</v>
      </c>
      <c r="AG816" s="2">
        <f t="shared" si="443"/>
        <v>0</v>
      </c>
      <c r="AH816" s="2">
        <f t="shared" si="444"/>
        <v>0</v>
      </c>
      <c r="AI816" s="2">
        <f t="shared" si="445"/>
        <v>0</v>
      </c>
      <c r="AJ816" s="2">
        <f t="shared" si="446"/>
        <v>0</v>
      </c>
      <c r="AK816" s="2">
        <f t="shared" si="447"/>
        <v>0</v>
      </c>
      <c r="AL816" s="2">
        <f t="shared" si="448"/>
        <v>0</v>
      </c>
      <c r="AM816" s="11"/>
      <c r="AN816" s="2" t="e">
        <f t="shared" si="457"/>
        <v>#N/A</v>
      </c>
      <c r="AO816" s="2" t="e">
        <f t="shared" si="458"/>
        <v>#N/A</v>
      </c>
      <c r="AP816" s="2" t="e">
        <f t="shared" si="459"/>
        <v>#N/A</v>
      </c>
      <c r="AQ816" s="2" t="e">
        <f t="shared" si="460"/>
        <v>#N/A</v>
      </c>
      <c r="AR816" s="2" t="e">
        <f t="shared" si="461"/>
        <v>#N/A</v>
      </c>
      <c r="AS816" s="2" t="e">
        <f t="shared" si="462"/>
        <v>#DIV/0!</v>
      </c>
      <c r="AT816" s="9" t="e">
        <f t="shared" ca="1" si="463"/>
        <v>#N/A</v>
      </c>
      <c r="AU816" s="9" t="e">
        <f t="shared" ca="1" si="464"/>
        <v>#N/A</v>
      </c>
      <c r="AW816" s="2" t="e">
        <f t="shared" si="449"/>
        <v>#N/A</v>
      </c>
      <c r="AX816" s="2" t="e">
        <f t="shared" si="450"/>
        <v>#N/A</v>
      </c>
      <c r="AY816" s="2" t="e">
        <f t="shared" si="451"/>
        <v>#N/A</v>
      </c>
      <c r="AZ816" s="2" t="e">
        <f t="shared" si="452"/>
        <v>#N/A</v>
      </c>
      <c r="BA816" s="2" t="e">
        <f t="shared" si="453"/>
        <v>#N/A</v>
      </c>
      <c r="BB816" s="2" t="e">
        <f t="shared" si="454"/>
        <v>#DIV/0!</v>
      </c>
      <c r="BC816" s="9" t="e">
        <f t="shared" ca="1" si="455"/>
        <v>#N/A</v>
      </c>
      <c r="BD816" s="9" t="e">
        <f t="shared" ca="1" si="456"/>
        <v>#N/A</v>
      </c>
    </row>
    <row r="817" spans="1:56" ht="15" x14ac:dyDescent="0.25">
      <c r="A817"/>
      <c r="B817"/>
      <c r="C817"/>
      <c r="D817"/>
      <c r="E817"/>
      <c r="F817"/>
      <c r="G817"/>
      <c r="H817"/>
      <c r="I817"/>
      <c r="J817"/>
      <c r="K817"/>
      <c r="L817" s="64"/>
      <c r="M817" s="64"/>
      <c r="N817" s="16"/>
      <c r="O817" s="11"/>
      <c r="P817" s="11"/>
      <c r="Q817" s="11"/>
      <c r="R817" s="11"/>
      <c r="S817" s="11"/>
      <c r="T817" s="11"/>
      <c r="U817" s="11">
        <f t="shared" si="465"/>
        <v>0</v>
      </c>
      <c r="V817" s="2">
        <f t="shared" si="466"/>
        <v>0</v>
      </c>
      <c r="W817" s="11">
        <f t="shared" si="435"/>
        <v>0</v>
      </c>
      <c r="X817" s="2">
        <f t="shared" si="436"/>
        <v>0</v>
      </c>
      <c r="Y817" s="2">
        <f t="shared" si="437"/>
        <v>0</v>
      </c>
      <c r="Z817" s="11">
        <f t="shared" si="438"/>
        <v>0</v>
      </c>
      <c r="AA817" s="2">
        <f t="shared" si="439"/>
        <v>0</v>
      </c>
      <c r="AB817" s="11">
        <f t="shared" si="440"/>
        <v>0</v>
      </c>
      <c r="AC817" s="2">
        <f t="shared" si="441"/>
        <v>0</v>
      </c>
      <c r="AF817" s="11">
        <f t="shared" si="442"/>
        <v>0</v>
      </c>
      <c r="AG817" s="2">
        <f t="shared" si="443"/>
        <v>0</v>
      </c>
      <c r="AH817" s="2">
        <f t="shared" si="444"/>
        <v>0</v>
      </c>
      <c r="AI817" s="2">
        <f t="shared" si="445"/>
        <v>0</v>
      </c>
      <c r="AJ817" s="2">
        <f t="shared" si="446"/>
        <v>0</v>
      </c>
      <c r="AK817" s="2">
        <f t="shared" si="447"/>
        <v>0</v>
      </c>
      <c r="AL817" s="2">
        <f t="shared" si="448"/>
        <v>0</v>
      </c>
      <c r="AM817" s="11"/>
      <c r="AN817" s="2" t="e">
        <f t="shared" si="457"/>
        <v>#N/A</v>
      </c>
      <c r="AO817" s="2" t="e">
        <f t="shared" si="458"/>
        <v>#N/A</v>
      </c>
      <c r="AP817" s="2" t="e">
        <f t="shared" si="459"/>
        <v>#N/A</v>
      </c>
      <c r="AQ817" s="2" t="e">
        <f t="shared" si="460"/>
        <v>#N/A</v>
      </c>
      <c r="AR817" s="2" t="e">
        <f t="shared" si="461"/>
        <v>#N/A</v>
      </c>
      <c r="AS817" s="2" t="e">
        <f t="shared" si="462"/>
        <v>#DIV/0!</v>
      </c>
      <c r="AT817" s="9" t="e">
        <f t="shared" ca="1" si="463"/>
        <v>#N/A</v>
      </c>
      <c r="AU817" s="9" t="e">
        <f t="shared" ca="1" si="464"/>
        <v>#N/A</v>
      </c>
      <c r="AW817" s="2" t="e">
        <f t="shared" si="449"/>
        <v>#N/A</v>
      </c>
      <c r="AX817" s="2" t="e">
        <f t="shared" si="450"/>
        <v>#N/A</v>
      </c>
      <c r="AY817" s="2" t="e">
        <f t="shared" si="451"/>
        <v>#N/A</v>
      </c>
      <c r="AZ817" s="2" t="e">
        <f t="shared" si="452"/>
        <v>#N/A</v>
      </c>
      <c r="BA817" s="2" t="e">
        <f t="shared" si="453"/>
        <v>#N/A</v>
      </c>
      <c r="BB817" s="2" t="e">
        <f t="shared" si="454"/>
        <v>#DIV/0!</v>
      </c>
      <c r="BC817" s="9" t="e">
        <f t="shared" ca="1" si="455"/>
        <v>#N/A</v>
      </c>
      <c r="BD817" s="9" t="e">
        <f t="shared" ca="1" si="456"/>
        <v>#N/A</v>
      </c>
    </row>
    <row r="818" spans="1:56" ht="15" x14ac:dyDescent="0.25">
      <c r="A818"/>
      <c r="B818"/>
      <c r="C818"/>
      <c r="D818"/>
      <c r="E818"/>
      <c r="F818"/>
      <c r="G818"/>
      <c r="H818"/>
      <c r="I818"/>
      <c r="J818"/>
      <c r="K818"/>
      <c r="L818" s="64"/>
      <c r="M818" s="64"/>
      <c r="N818" s="16"/>
      <c r="O818" s="11"/>
      <c r="P818" s="11"/>
      <c r="Q818" s="11"/>
      <c r="R818" s="11"/>
      <c r="S818" s="11"/>
      <c r="T818" s="11"/>
      <c r="U818" s="11">
        <f t="shared" si="465"/>
        <v>0</v>
      </c>
      <c r="V818" s="2">
        <f t="shared" si="466"/>
        <v>0</v>
      </c>
      <c r="W818" s="11">
        <f t="shared" si="435"/>
        <v>0</v>
      </c>
      <c r="X818" s="2">
        <f t="shared" si="436"/>
        <v>0</v>
      </c>
      <c r="Y818" s="2">
        <f t="shared" si="437"/>
        <v>0</v>
      </c>
      <c r="Z818" s="11">
        <f t="shared" si="438"/>
        <v>0</v>
      </c>
      <c r="AA818" s="2">
        <f t="shared" si="439"/>
        <v>0</v>
      </c>
      <c r="AB818" s="11">
        <f t="shared" si="440"/>
        <v>0</v>
      </c>
      <c r="AC818" s="2">
        <f t="shared" si="441"/>
        <v>0</v>
      </c>
      <c r="AF818" s="11">
        <f t="shared" si="442"/>
        <v>0</v>
      </c>
      <c r="AG818" s="2">
        <f t="shared" si="443"/>
        <v>0</v>
      </c>
      <c r="AH818" s="2">
        <f t="shared" si="444"/>
        <v>0</v>
      </c>
      <c r="AI818" s="2">
        <f t="shared" si="445"/>
        <v>0</v>
      </c>
      <c r="AJ818" s="2">
        <f t="shared" si="446"/>
        <v>0</v>
      </c>
      <c r="AK818" s="2">
        <f t="shared" si="447"/>
        <v>0</v>
      </c>
      <c r="AL818" s="2">
        <f t="shared" si="448"/>
        <v>0</v>
      </c>
      <c r="AM818" s="11"/>
      <c r="AN818" s="2" t="e">
        <f t="shared" si="457"/>
        <v>#N/A</v>
      </c>
      <c r="AO818" s="2" t="e">
        <f t="shared" si="458"/>
        <v>#N/A</v>
      </c>
      <c r="AP818" s="2" t="e">
        <f t="shared" si="459"/>
        <v>#N/A</v>
      </c>
      <c r="AQ818" s="2" t="e">
        <f t="shared" si="460"/>
        <v>#N/A</v>
      </c>
      <c r="AR818" s="2" t="e">
        <f t="shared" si="461"/>
        <v>#N/A</v>
      </c>
      <c r="AS818" s="2" t="e">
        <f t="shared" si="462"/>
        <v>#DIV/0!</v>
      </c>
      <c r="AT818" s="9" t="e">
        <f t="shared" ca="1" si="463"/>
        <v>#N/A</v>
      </c>
      <c r="AU818" s="9" t="e">
        <f t="shared" ca="1" si="464"/>
        <v>#N/A</v>
      </c>
      <c r="AW818" s="2" t="e">
        <f t="shared" si="449"/>
        <v>#N/A</v>
      </c>
      <c r="AX818" s="2" t="e">
        <f t="shared" si="450"/>
        <v>#N/A</v>
      </c>
      <c r="AY818" s="2" t="e">
        <f t="shared" si="451"/>
        <v>#N/A</v>
      </c>
      <c r="AZ818" s="2" t="e">
        <f t="shared" si="452"/>
        <v>#N/A</v>
      </c>
      <c r="BA818" s="2" t="e">
        <f t="shared" si="453"/>
        <v>#N/A</v>
      </c>
      <c r="BB818" s="2" t="e">
        <f t="shared" si="454"/>
        <v>#DIV/0!</v>
      </c>
      <c r="BC818" s="9" t="e">
        <f t="shared" ca="1" si="455"/>
        <v>#N/A</v>
      </c>
      <c r="BD818" s="9" t="e">
        <f t="shared" ca="1" si="456"/>
        <v>#N/A</v>
      </c>
    </row>
    <row r="819" spans="1:56" ht="15" x14ac:dyDescent="0.25">
      <c r="A819"/>
      <c r="B819"/>
      <c r="C819"/>
      <c r="D819"/>
      <c r="E819"/>
      <c r="F819"/>
      <c r="G819"/>
      <c r="H819"/>
      <c r="I819"/>
      <c r="J819"/>
      <c r="K819"/>
      <c r="L819" s="64"/>
      <c r="M819" s="64"/>
      <c r="N819" s="16"/>
      <c r="O819" s="11"/>
      <c r="P819" s="11"/>
      <c r="Q819" s="11"/>
      <c r="R819" s="11"/>
      <c r="S819" s="11"/>
      <c r="T819" s="11"/>
      <c r="U819" s="11">
        <f t="shared" si="465"/>
        <v>0</v>
      </c>
      <c r="V819" s="2">
        <f t="shared" si="466"/>
        <v>0</v>
      </c>
      <c r="W819" s="11">
        <f t="shared" si="435"/>
        <v>0</v>
      </c>
      <c r="X819" s="2">
        <f t="shared" si="436"/>
        <v>0</v>
      </c>
      <c r="Y819" s="2">
        <f t="shared" si="437"/>
        <v>0</v>
      </c>
      <c r="Z819" s="11">
        <f t="shared" si="438"/>
        <v>0</v>
      </c>
      <c r="AA819" s="2">
        <f t="shared" si="439"/>
        <v>0</v>
      </c>
      <c r="AB819" s="11">
        <f t="shared" si="440"/>
        <v>0</v>
      </c>
      <c r="AC819" s="2">
        <f t="shared" si="441"/>
        <v>0</v>
      </c>
      <c r="AF819" s="11">
        <f t="shared" si="442"/>
        <v>0</v>
      </c>
      <c r="AG819" s="2">
        <f t="shared" si="443"/>
        <v>0</v>
      </c>
      <c r="AH819" s="2">
        <f t="shared" si="444"/>
        <v>0</v>
      </c>
      <c r="AI819" s="2">
        <f t="shared" si="445"/>
        <v>0</v>
      </c>
      <c r="AJ819" s="2">
        <f t="shared" si="446"/>
        <v>0</v>
      </c>
      <c r="AK819" s="2">
        <f t="shared" si="447"/>
        <v>0</v>
      </c>
      <c r="AL819" s="2">
        <f t="shared" si="448"/>
        <v>0</v>
      </c>
      <c r="AM819" s="11"/>
      <c r="AN819" s="2" t="e">
        <f t="shared" si="457"/>
        <v>#N/A</v>
      </c>
      <c r="AO819" s="2" t="e">
        <f t="shared" si="458"/>
        <v>#N/A</v>
      </c>
      <c r="AP819" s="2" t="e">
        <f t="shared" si="459"/>
        <v>#N/A</v>
      </c>
      <c r="AQ819" s="2" t="e">
        <f t="shared" si="460"/>
        <v>#N/A</v>
      </c>
      <c r="AR819" s="2" t="e">
        <f t="shared" si="461"/>
        <v>#N/A</v>
      </c>
      <c r="AS819" s="2" t="e">
        <f t="shared" si="462"/>
        <v>#DIV/0!</v>
      </c>
      <c r="AT819" s="9" t="e">
        <f t="shared" ca="1" si="463"/>
        <v>#N/A</v>
      </c>
      <c r="AU819" s="9" t="e">
        <f t="shared" ca="1" si="464"/>
        <v>#N/A</v>
      </c>
      <c r="AW819" s="2" t="e">
        <f t="shared" si="449"/>
        <v>#N/A</v>
      </c>
      <c r="AX819" s="2" t="e">
        <f t="shared" si="450"/>
        <v>#N/A</v>
      </c>
      <c r="AY819" s="2" t="e">
        <f t="shared" si="451"/>
        <v>#N/A</v>
      </c>
      <c r="AZ819" s="2" t="e">
        <f t="shared" si="452"/>
        <v>#N/A</v>
      </c>
      <c r="BA819" s="2" t="e">
        <f t="shared" si="453"/>
        <v>#N/A</v>
      </c>
      <c r="BB819" s="2" t="e">
        <f t="shared" si="454"/>
        <v>#DIV/0!</v>
      </c>
      <c r="BC819" s="9" t="e">
        <f t="shared" ca="1" si="455"/>
        <v>#N/A</v>
      </c>
      <c r="BD819" s="9" t="e">
        <f t="shared" ca="1" si="456"/>
        <v>#N/A</v>
      </c>
    </row>
    <row r="820" spans="1:56" ht="15" x14ac:dyDescent="0.25">
      <c r="A820"/>
      <c r="B820"/>
      <c r="C820"/>
      <c r="D820"/>
      <c r="E820"/>
      <c r="F820"/>
      <c r="G820"/>
      <c r="H820"/>
      <c r="I820"/>
      <c r="J820"/>
      <c r="K820"/>
      <c r="L820" s="64"/>
      <c r="M820" s="64"/>
      <c r="N820" s="16"/>
      <c r="O820" s="11"/>
      <c r="P820" s="11"/>
      <c r="Q820" s="11"/>
      <c r="R820" s="11"/>
      <c r="S820" s="11"/>
      <c r="T820" s="11"/>
      <c r="U820" s="11">
        <f t="shared" si="465"/>
        <v>0</v>
      </c>
      <c r="V820" s="2">
        <f t="shared" si="466"/>
        <v>0</v>
      </c>
      <c r="W820" s="11">
        <f t="shared" si="435"/>
        <v>0</v>
      </c>
      <c r="X820" s="2">
        <f t="shared" si="436"/>
        <v>0</v>
      </c>
      <c r="Y820" s="2">
        <f t="shared" si="437"/>
        <v>0</v>
      </c>
      <c r="Z820" s="11">
        <f t="shared" si="438"/>
        <v>0</v>
      </c>
      <c r="AA820" s="2">
        <f t="shared" si="439"/>
        <v>0</v>
      </c>
      <c r="AB820" s="11">
        <f t="shared" si="440"/>
        <v>0</v>
      </c>
      <c r="AC820" s="2">
        <f t="shared" si="441"/>
        <v>0</v>
      </c>
      <c r="AF820" s="11">
        <f t="shared" si="442"/>
        <v>0</v>
      </c>
      <c r="AG820" s="2">
        <f t="shared" si="443"/>
        <v>0</v>
      </c>
      <c r="AH820" s="2">
        <f t="shared" si="444"/>
        <v>0</v>
      </c>
      <c r="AI820" s="2">
        <f t="shared" si="445"/>
        <v>0</v>
      </c>
      <c r="AJ820" s="2">
        <f t="shared" si="446"/>
        <v>0</v>
      </c>
      <c r="AK820" s="2">
        <f t="shared" si="447"/>
        <v>0</v>
      </c>
      <c r="AL820" s="2">
        <f t="shared" si="448"/>
        <v>0</v>
      </c>
      <c r="AM820" s="11"/>
      <c r="AN820" s="2" t="e">
        <f t="shared" si="457"/>
        <v>#N/A</v>
      </c>
      <c r="AO820" s="2" t="e">
        <f t="shared" si="458"/>
        <v>#N/A</v>
      </c>
      <c r="AP820" s="2" t="e">
        <f t="shared" si="459"/>
        <v>#N/A</v>
      </c>
      <c r="AQ820" s="2" t="e">
        <f t="shared" si="460"/>
        <v>#N/A</v>
      </c>
      <c r="AR820" s="2" t="e">
        <f t="shared" si="461"/>
        <v>#N/A</v>
      </c>
      <c r="AS820" s="2" t="e">
        <f t="shared" si="462"/>
        <v>#DIV/0!</v>
      </c>
      <c r="AT820" s="9" t="e">
        <f t="shared" ca="1" si="463"/>
        <v>#N/A</v>
      </c>
      <c r="AU820" s="9" t="e">
        <f t="shared" ca="1" si="464"/>
        <v>#N/A</v>
      </c>
      <c r="AW820" s="2" t="e">
        <f t="shared" si="449"/>
        <v>#N/A</v>
      </c>
      <c r="AX820" s="2" t="e">
        <f t="shared" si="450"/>
        <v>#N/A</v>
      </c>
      <c r="AY820" s="2" t="e">
        <f t="shared" si="451"/>
        <v>#N/A</v>
      </c>
      <c r="AZ820" s="2" t="e">
        <f t="shared" si="452"/>
        <v>#N/A</v>
      </c>
      <c r="BA820" s="2" t="e">
        <f t="shared" si="453"/>
        <v>#N/A</v>
      </c>
      <c r="BB820" s="2" t="e">
        <f t="shared" si="454"/>
        <v>#DIV/0!</v>
      </c>
      <c r="BC820" s="9" t="e">
        <f t="shared" ca="1" si="455"/>
        <v>#N/A</v>
      </c>
      <c r="BD820" s="9" t="e">
        <f t="shared" ca="1" si="456"/>
        <v>#N/A</v>
      </c>
    </row>
    <row r="821" spans="1:56" ht="15" x14ac:dyDescent="0.25">
      <c r="A821"/>
      <c r="B821"/>
      <c r="C821"/>
      <c r="D821"/>
      <c r="E821"/>
      <c r="F821"/>
      <c r="G821"/>
      <c r="H821"/>
      <c r="I821"/>
      <c r="J821"/>
      <c r="K821"/>
      <c r="L821" s="64"/>
      <c r="M821" s="64"/>
      <c r="N821" s="16"/>
      <c r="O821" s="11"/>
      <c r="P821" s="11"/>
      <c r="Q821" s="11"/>
      <c r="R821" s="11"/>
      <c r="S821" s="11"/>
      <c r="T821" s="11"/>
      <c r="U821" s="11">
        <f t="shared" si="465"/>
        <v>0</v>
      </c>
      <c r="V821" s="2">
        <f t="shared" si="466"/>
        <v>0</v>
      </c>
      <c r="W821" s="11">
        <f t="shared" si="435"/>
        <v>0</v>
      </c>
      <c r="X821" s="2">
        <f t="shared" si="436"/>
        <v>0</v>
      </c>
      <c r="Y821" s="2">
        <f t="shared" si="437"/>
        <v>0</v>
      </c>
      <c r="Z821" s="11">
        <f t="shared" si="438"/>
        <v>0</v>
      </c>
      <c r="AA821" s="2">
        <f t="shared" si="439"/>
        <v>0</v>
      </c>
      <c r="AB821" s="11">
        <f t="shared" si="440"/>
        <v>0</v>
      </c>
      <c r="AC821" s="2">
        <f t="shared" si="441"/>
        <v>0</v>
      </c>
      <c r="AF821" s="11">
        <f t="shared" si="442"/>
        <v>0</v>
      </c>
      <c r="AG821" s="2">
        <f t="shared" si="443"/>
        <v>0</v>
      </c>
      <c r="AH821" s="2">
        <f t="shared" si="444"/>
        <v>0</v>
      </c>
      <c r="AI821" s="2">
        <f t="shared" si="445"/>
        <v>0</v>
      </c>
      <c r="AJ821" s="2">
        <f t="shared" si="446"/>
        <v>0</v>
      </c>
      <c r="AK821" s="2">
        <f t="shared" si="447"/>
        <v>0</v>
      </c>
      <c r="AL821" s="2">
        <f t="shared" si="448"/>
        <v>0</v>
      </c>
      <c r="AM821" s="11"/>
      <c r="AN821" s="2" t="e">
        <f t="shared" si="457"/>
        <v>#N/A</v>
      </c>
      <c r="AO821" s="2" t="e">
        <f t="shared" si="458"/>
        <v>#N/A</v>
      </c>
      <c r="AP821" s="2" t="e">
        <f t="shared" si="459"/>
        <v>#N/A</v>
      </c>
      <c r="AQ821" s="2" t="e">
        <f t="shared" si="460"/>
        <v>#N/A</v>
      </c>
      <c r="AR821" s="2" t="e">
        <f t="shared" si="461"/>
        <v>#N/A</v>
      </c>
      <c r="AS821" s="2" t="e">
        <f t="shared" si="462"/>
        <v>#DIV/0!</v>
      </c>
      <c r="AT821" s="9" t="e">
        <f t="shared" ca="1" si="463"/>
        <v>#N/A</v>
      </c>
      <c r="AU821" s="9" t="e">
        <f t="shared" ca="1" si="464"/>
        <v>#N/A</v>
      </c>
      <c r="AW821" s="2" t="e">
        <f t="shared" si="449"/>
        <v>#N/A</v>
      </c>
      <c r="AX821" s="2" t="e">
        <f t="shared" si="450"/>
        <v>#N/A</v>
      </c>
      <c r="AY821" s="2" t="e">
        <f t="shared" si="451"/>
        <v>#N/A</v>
      </c>
      <c r="AZ821" s="2" t="e">
        <f t="shared" si="452"/>
        <v>#N/A</v>
      </c>
      <c r="BA821" s="2" t="e">
        <f t="shared" si="453"/>
        <v>#N/A</v>
      </c>
      <c r="BB821" s="2" t="e">
        <f t="shared" si="454"/>
        <v>#DIV/0!</v>
      </c>
      <c r="BC821" s="9" t="e">
        <f t="shared" ca="1" si="455"/>
        <v>#N/A</v>
      </c>
      <c r="BD821" s="9" t="e">
        <f t="shared" ca="1" si="456"/>
        <v>#N/A</v>
      </c>
    </row>
    <row r="822" spans="1:56" ht="15" x14ac:dyDescent="0.25">
      <c r="A822"/>
      <c r="B822"/>
      <c r="C822"/>
      <c r="D822"/>
      <c r="E822"/>
      <c r="F822"/>
      <c r="G822"/>
      <c r="H822"/>
      <c r="I822"/>
      <c r="J822"/>
      <c r="K822"/>
      <c r="L822" s="64"/>
      <c r="M822" s="64"/>
      <c r="N822" s="16"/>
      <c r="O822" s="11"/>
      <c r="P822" s="11"/>
      <c r="Q822" s="11"/>
      <c r="R822" s="11"/>
      <c r="S822" s="11"/>
      <c r="T822" s="11"/>
      <c r="U822" s="11">
        <f t="shared" si="465"/>
        <v>0</v>
      </c>
      <c r="V822" s="2">
        <f t="shared" si="466"/>
        <v>0</v>
      </c>
      <c r="W822" s="11">
        <f t="shared" si="435"/>
        <v>0</v>
      </c>
      <c r="X822" s="2">
        <f t="shared" si="436"/>
        <v>0</v>
      </c>
      <c r="Y822" s="2">
        <f t="shared" si="437"/>
        <v>0</v>
      </c>
      <c r="Z822" s="11">
        <f t="shared" si="438"/>
        <v>0</v>
      </c>
      <c r="AA822" s="2">
        <f t="shared" si="439"/>
        <v>0</v>
      </c>
      <c r="AB822" s="11">
        <f t="shared" si="440"/>
        <v>0</v>
      </c>
      <c r="AC822" s="2">
        <f t="shared" si="441"/>
        <v>0</v>
      </c>
      <c r="AF822" s="11">
        <f t="shared" si="442"/>
        <v>0</v>
      </c>
      <c r="AG822" s="2">
        <f t="shared" si="443"/>
        <v>0</v>
      </c>
      <c r="AH822" s="2">
        <f t="shared" si="444"/>
        <v>0</v>
      </c>
      <c r="AI822" s="2">
        <f t="shared" si="445"/>
        <v>0</v>
      </c>
      <c r="AJ822" s="2">
        <f t="shared" si="446"/>
        <v>0</v>
      </c>
      <c r="AK822" s="2">
        <f t="shared" si="447"/>
        <v>0</v>
      </c>
      <c r="AL822" s="2">
        <f t="shared" si="448"/>
        <v>0</v>
      </c>
      <c r="AM822" s="11"/>
      <c r="AN822" s="2" t="e">
        <f t="shared" si="457"/>
        <v>#N/A</v>
      </c>
      <c r="AO822" s="2" t="e">
        <f t="shared" si="458"/>
        <v>#N/A</v>
      </c>
      <c r="AP822" s="2" t="e">
        <f t="shared" si="459"/>
        <v>#N/A</v>
      </c>
      <c r="AQ822" s="2" t="e">
        <f t="shared" si="460"/>
        <v>#N/A</v>
      </c>
      <c r="AR822" s="2" t="e">
        <f t="shared" si="461"/>
        <v>#N/A</v>
      </c>
      <c r="AS822" s="2" t="e">
        <f t="shared" si="462"/>
        <v>#DIV/0!</v>
      </c>
      <c r="AT822" s="9" t="e">
        <f t="shared" ca="1" si="463"/>
        <v>#N/A</v>
      </c>
      <c r="AU822" s="9" t="e">
        <f t="shared" ca="1" si="464"/>
        <v>#N/A</v>
      </c>
      <c r="AW822" s="2" t="e">
        <f t="shared" si="449"/>
        <v>#N/A</v>
      </c>
      <c r="AX822" s="2" t="e">
        <f t="shared" si="450"/>
        <v>#N/A</v>
      </c>
      <c r="AY822" s="2" t="e">
        <f t="shared" si="451"/>
        <v>#N/A</v>
      </c>
      <c r="AZ822" s="2" t="e">
        <f t="shared" si="452"/>
        <v>#N/A</v>
      </c>
      <c r="BA822" s="2" t="e">
        <f t="shared" si="453"/>
        <v>#N/A</v>
      </c>
      <c r="BB822" s="2" t="e">
        <f t="shared" si="454"/>
        <v>#DIV/0!</v>
      </c>
      <c r="BC822" s="9" t="e">
        <f t="shared" ca="1" si="455"/>
        <v>#N/A</v>
      </c>
      <c r="BD822" s="9" t="e">
        <f t="shared" ca="1" si="456"/>
        <v>#N/A</v>
      </c>
    </row>
    <row r="823" spans="1:56" ht="15" x14ac:dyDescent="0.25">
      <c r="A823"/>
      <c r="B823"/>
      <c r="C823"/>
      <c r="D823"/>
      <c r="E823"/>
      <c r="F823"/>
      <c r="G823"/>
      <c r="H823"/>
      <c r="I823"/>
      <c r="J823"/>
      <c r="K823"/>
      <c r="L823" s="64"/>
      <c r="M823" s="64"/>
      <c r="N823" s="16"/>
      <c r="O823" s="11"/>
      <c r="P823" s="11"/>
      <c r="Q823" s="11"/>
      <c r="R823" s="11"/>
      <c r="S823" s="11"/>
      <c r="T823" s="11"/>
      <c r="U823" s="11">
        <f t="shared" si="465"/>
        <v>0</v>
      </c>
      <c r="V823" s="2">
        <f t="shared" si="466"/>
        <v>0</v>
      </c>
      <c r="W823" s="11">
        <f t="shared" si="435"/>
        <v>0</v>
      </c>
      <c r="X823" s="2">
        <f t="shared" si="436"/>
        <v>0</v>
      </c>
      <c r="Y823" s="2">
        <f t="shared" si="437"/>
        <v>0</v>
      </c>
      <c r="Z823" s="11">
        <f t="shared" si="438"/>
        <v>0</v>
      </c>
      <c r="AA823" s="2">
        <f t="shared" si="439"/>
        <v>0</v>
      </c>
      <c r="AB823" s="11">
        <f t="shared" si="440"/>
        <v>0</v>
      </c>
      <c r="AC823" s="2">
        <f t="shared" si="441"/>
        <v>0</v>
      </c>
      <c r="AF823" s="11">
        <f t="shared" si="442"/>
        <v>0</v>
      </c>
      <c r="AG823" s="2">
        <f t="shared" si="443"/>
        <v>0</v>
      </c>
      <c r="AH823" s="2">
        <f t="shared" si="444"/>
        <v>0</v>
      </c>
      <c r="AI823" s="2">
        <f t="shared" si="445"/>
        <v>0</v>
      </c>
      <c r="AJ823" s="2">
        <f t="shared" si="446"/>
        <v>0</v>
      </c>
      <c r="AK823" s="2">
        <f t="shared" si="447"/>
        <v>0</v>
      </c>
      <c r="AL823" s="2">
        <f t="shared" si="448"/>
        <v>0</v>
      </c>
      <c r="AM823" s="11"/>
      <c r="AN823" s="2" t="e">
        <f t="shared" si="457"/>
        <v>#N/A</v>
      </c>
      <c r="AO823" s="2" t="e">
        <f t="shared" si="458"/>
        <v>#N/A</v>
      </c>
      <c r="AP823" s="2" t="e">
        <f t="shared" si="459"/>
        <v>#N/A</v>
      </c>
      <c r="AQ823" s="2" t="e">
        <f t="shared" si="460"/>
        <v>#N/A</v>
      </c>
      <c r="AR823" s="2" t="e">
        <f t="shared" si="461"/>
        <v>#N/A</v>
      </c>
      <c r="AS823" s="2" t="e">
        <f t="shared" si="462"/>
        <v>#DIV/0!</v>
      </c>
      <c r="AT823" s="9" t="e">
        <f t="shared" ca="1" si="463"/>
        <v>#N/A</v>
      </c>
      <c r="AU823" s="9" t="e">
        <f t="shared" ca="1" si="464"/>
        <v>#N/A</v>
      </c>
      <c r="AW823" s="2" t="e">
        <f t="shared" si="449"/>
        <v>#N/A</v>
      </c>
      <c r="AX823" s="2" t="e">
        <f t="shared" si="450"/>
        <v>#N/A</v>
      </c>
      <c r="AY823" s="2" t="e">
        <f t="shared" si="451"/>
        <v>#N/A</v>
      </c>
      <c r="AZ823" s="2" t="e">
        <f t="shared" si="452"/>
        <v>#N/A</v>
      </c>
      <c r="BA823" s="2" t="e">
        <f t="shared" si="453"/>
        <v>#N/A</v>
      </c>
      <c r="BB823" s="2" t="e">
        <f t="shared" si="454"/>
        <v>#DIV/0!</v>
      </c>
      <c r="BC823" s="9" t="e">
        <f t="shared" ca="1" si="455"/>
        <v>#N/A</v>
      </c>
      <c r="BD823" s="9" t="e">
        <f t="shared" ca="1" si="456"/>
        <v>#N/A</v>
      </c>
    </row>
    <row r="824" spans="1:56" ht="15" x14ac:dyDescent="0.25">
      <c r="A824"/>
      <c r="B824"/>
      <c r="C824"/>
      <c r="D824"/>
      <c r="E824"/>
      <c r="F824"/>
      <c r="G824"/>
      <c r="H824"/>
      <c r="I824"/>
      <c r="J824"/>
      <c r="K824"/>
      <c r="L824" s="64"/>
      <c r="M824" s="64"/>
      <c r="N824" s="16"/>
      <c r="O824" s="11"/>
      <c r="P824" s="11"/>
      <c r="Q824" s="11"/>
      <c r="R824" s="11"/>
      <c r="S824" s="11"/>
      <c r="T824" s="11"/>
      <c r="U824" s="11">
        <f t="shared" si="465"/>
        <v>0</v>
      </c>
      <c r="V824" s="2">
        <f t="shared" si="466"/>
        <v>0</v>
      </c>
      <c r="W824" s="11">
        <f t="shared" si="435"/>
        <v>0</v>
      </c>
      <c r="X824" s="2">
        <f t="shared" si="436"/>
        <v>0</v>
      </c>
      <c r="Y824" s="2">
        <f t="shared" si="437"/>
        <v>0</v>
      </c>
      <c r="Z824" s="11">
        <f t="shared" si="438"/>
        <v>0</v>
      </c>
      <c r="AA824" s="2">
        <f t="shared" si="439"/>
        <v>0</v>
      </c>
      <c r="AB824" s="11">
        <f t="shared" si="440"/>
        <v>0</v>
      </c>
      <c r="AC824" s="2">
        <f t="shared" si="441"/>
        <v>0</v>
      </c>
      <c r="AF824" s="11">
        <f t="shared" si="442"/>
        <v>0</v>
      </c>
      <c r="AG824" s="2">
        <f t="shared" si="443"/>
        <v>0</v>
      </c>
      <c r="AH824" s="2">
        <f t="shared" si="444"/>
        <v>0</v>
      </c>
      <c r="AI824" s="2">
        <f t="shared" si="445"/>
        <v>0</v>
      </c>
      <c r="AJ824" s="2">
        <f t="shared" si="446"/>
        <v>0</v>
      </c>
      <c r="AK824" s="2">
        <f t="shared" si="447"/>
        <v>0</v>
      </c>
      <c r="AL824" s="2">
        <f t="shared" si="448"/>
        <v>0</v>
      </c>
      <c r="AM824" s="11"/>
      <c r="AN824" s="2" t="e">
        <f t="shared" si="457"/>
        <v>#N/A</v>
      </c>
      <c r="AO824" s="2" t="e">
        <f t="shared" si="458"/>
        <v>#N/A</v>
      </c>
      <c r="AP824" s="2" t="e">
        <f t="shared" si="459"/>
        <v>#N/A</v>
      </c>
      <c r="AQ824" s="2" t="e">
        <f t="shared" si="460"/>
        <v>#N/A</v>
      </c>
      <c r="AR824" s="2" t="e">
        <f t="shared" si="461"/>
        <v>#N/A</v>
      </c>
      <c r="AS824" s="2" t="e">
        <f t="shared" si="462"/>
        <v>#DIV/0!</v>
      </c>
      <c r="AT824" s="9" t="e">
        <f t="shared" ca="1" si="463"/>
        <v>#N/A</v>
      </c>
      <c r="AU824" s="9" t="e">
        <f t="shared" ca="1" si="464"/>
        <v>#N/A</v>
      </c>
      <c r="AW824" s="2" t="e">
        <f t="shared" si="449"/>
        <v>#N/A</v>
      </c>
      <c r="AX824" s="2" t="e">
        <f t="shared" si="450"/>
        <v>#N/A</v>
      </c>
      <c r="AY824" s="2" t="e">
        <f t="shared" si="451"/>
        <v>#N/A</v>
      </c>
      <c r="AZ824" s="2" t="e">
        <f t="shared" si="452"/>
        <v>#N/A</v>
      </c>
      <c r="BA824" s="2" t="e">
        <f t="shared" si="453"/>
        <v>#N/A</v>
      </c>
      <c r="BB824" s="2" t="e">
        <f t="shared" si="454"/>
        <v>#DIV/0!</v>
      </c>
      <c r="BC824" s="9" t="e">
        <f t="shared" ca="1" si="455"/>
        <v>#N/A</v>
      </c>
      <c r="BD824" s="9" t="e">
        <f t="shared" ca="1" si="456"/>
        <v>#N/A</v>
      </c>
    </row>
    <row r="825" spans="1:56" ht="15" x14ac:dyDescent="0.25">
      <c r="A825"/>
      <c r="B825"/>
      <c r="C825"/>
      <c r="D825"/>
      <c r="E825"/>
      <c r="F825"/>
      <c r="G825"/>
      <c r="H825"/>
      <c r="I825"/>
      <c r="J825"/>
      <c r="K825"/>
      <c r="L825" s="64"/>
      <c r="M825" s="64"/>
      <c r="N825" s="16"/>
      <c r="O825" s="11"/>
      <c r="P825" s="11"/>
      <c r="Q825" s="11"/>
      <c r="R825" s="11"/>
      <c r="S825" s="11"/>
      <c r="T825" s="11"/>
      <c r="U825" s="11">
        <f t="shared" si="465"/>
        <v>0</v>
      </c>
      <c r="V825" s="2">
        <f t="shared" si="466"/>
        <v>0</v>
      </c>
      <c r="W825" s="11">
        <f t="shared" si="435"/>
        <v>0</v>
      </c>
      <c r="X825" s="2">
        <f t="shared" si="436"/>
        <v>0</v>
      </c>
      <c r="Y825" s="2">
        <f t="shared" si="437"/>
        <v>0</v>
      </c>
      <c r="Z825" s="11">
        <f t="shared" si="438"/>
        <v>0</v>
      </c>
      <c r="AA825" s="2">
        <f t="shared" si="439"/>
        <v>0</v>
      </c>
      <c r="AB825" s="11">
        <f t="shared" si="440"/>
        <v>0</v>
      </c>
      <c r="AC825" s="2">
        <f t="shared" si="441"/>
        <v>0</v>
      </c>
      <c r="AF825" s="11">
        <f t="shared" si="442"/>
        <v>0</v>
      </c>
      <c r="AG825" s="2">
        <f t="shared" si="443"/>
        <v>0</v>
      </c>
      <c r="AH825" s="2">
        <f t="shared" si="444"/>
        <v>0</v>
      </c>
      <c r="AI825" s="2">
        <f t="shared" si="445"/>
        <v>0</v>
      </c>
      <c r="AJ825" s="2">
        <f t="shared" si="446"/>
        <v>0</v>
      </c>
      <c r="AK825" s="2">
        <f t="shared" si="447"/>
        <v>0</v>
      </c>
      <c r="AL825" s="2">
        <f t="shared" si="448"/>
        <v>0</v>
      </c>
      <c r="AM825" s="11"/>
      <c r="AN825" s="2" t="e">
        <f t="shared" si="457"/>
        <v>#N/A</v>
      </c>
      <c r="AO825" s="2" t="e">
        <f t="shared" si="458"/>
        <v>#N/A</v>
      </c>
      <c r="AP825" s="2" t="e">
        <f t="shared" si="459"/>
        <v>#N/A</v>
      </c>
      <c r="AQ825" s="2" t="e">
        <f t="shared" si="460"/>
        <v>#N/A</v>
      </c>
      <c r="AR825" s="2" t="e">
        <f t="shared" si="461"/>
        <v>#N/A</v>
      </c>
      <c r="AS825" s="2" t="e">
        <f t="shared" si="462"/>
        <v>#DIV/0!</v>
      </c>
      <c r="AT825" s="9" t="e">
        <f t="shared" ca="1" si="463"/>
        <v>#N/A</v>
      </c>
      <c r="AU825" s="9" t="e">
        <f t="shared" ca="1" si="464"/>
        <v>#N/A</v>
      </c>
      <c r="AW825" s="2" t="e">
        <f t="shared" si="449"/>
        <v>#N/A</v>
      </c>
      <c r="AX825" s="2" t="e">
        <f t="shared" si="450"/>
        <v>#N/A</v>
      </c>
      <c r="AY825" s="2" t="e">
        <f t="shared" si="451"/>
        <v>#N/A</v>
      </c>
      <c r="AZ825" s="2" t="e">
        <f t="shared" si="452"/>
        <v>#N/A</v>
      </c>
      <c r="BA825" s="2" t="e">
        <f t="shared" si="453"/>
        <v>#N/A</v>
      </c>
      <c r="BB825" s="2" t="e">
        <f t="shared" si="454"/>
        <v>#DIV/0!</v>
      </c>
      <c r="BC825" s="9" t="e">
        <f t="shared" ca="1" si="455"/>
        <v>#N/A</v>
      </c>
      <c r="BD825" s="9" t="e">
        <f t="shared" ca="1" si="456"/>
        <v>#N/A</v>
      </c>
    </row>
    <row r="826" spans="1:56" ht="15" x14ac:dyDescent="0.25">
      <c r="A826"/>
      <c r="B826"/>
      <c r="C826"/>
      <c r="D826"/>
      <c r="E826"/>
      <c r="F826"/>
      <c r="G826"/>
      <c r="H826"/>
      <c r="I826"/>
      <c r="J826"/>
      <c r="K826"/>
      <c r="L826" s="64"/>
      <c r="M826" s="64"/>
      <c r="N826" s="16"/>
      <c r="O826" s="11"/>
      <c r="P826" s="11"/>
      <c r="Q826" s="11"/>
      <c r="R826" s="11"/>
      <c r="S826" s="11"/>
      <c r="T826" s="11"/>
      <c r="U826" s="11">
        <f t="shared" si="465"/>
        <v>0</v>
      </c>
      <c r="V826" s="2">
        <f t="shared" si="466"/>
        <v>0</v>
      </c>
      <c r="W826" s="11">
        <f t="shared" si="435"/>
        <v>0</v>
      </c>
      <c r="X826" s="2">
        <f t="shared" si="436"/>
        <v>0</v>
      </c>
      <c r="Y826" s="2">
        <f t="shared" si="437"/>
        <v>0</v>
      </c>
      <c r="Z826" s="11">
        <f t="shared" si="438"/>
        <v>0</v>
      </c>
      <c r="AA826" s="2">
        <f t="shared" si="439"/>
        <v>0</v>
      </c>
      <c r="AB826" s="11">
        <f t="shared" si="440"/>
        <v>0</v>
      </c>
      <c r="AC826" s="2">
        <f t="shared" si="441"/>
        <v>0</v>
      </c>
      <c r="AF826" s="11">
        <f t="shared" si="442"/>
        <v>0</v>
      </c>
      <c r="AG826" s="2">
        <f t="shared" si="443"/>
        <v>0</v>
      </c>
      <c r="AH826" s="2">
        <f t="shared" si="444"/>
        <v>0</v>
      </c>
      <c r="AI826" s="2">
        <f t="shared" si="445"/>
        <v>0</v>
      </c>
      <c r="AJ826" s="2">
        <f t="shared" si="446"/>
        <v>0</v>
      </c>
      <c r="AK826" s="2">
        <f t="shared" si="447"/>
        <v>0</v>
      </c>
      <c r="AL826" s="2">
        <f t="shared" si="448"/>
        <v>0</v>
      </c>
      <c r="AM826" s="11"/>
      <c r="AN826" s="2" t="e">
        <f t="shared" si="457"/>
        <v>#N/A</v>
      </c>
      <c r="AO826" s="2" t="e">
        <f t="shared" si="458"/>
        <v>#N/A</v>
      </c>
      <c r="AP826" s="2" t="e">
        <f t="shared" si="459"/>
        <v>#N/A</v>
      </c>
      <c r="AQ826" s="2" t="e">
        <f t="shared" si="460"/>
        <v>#N/A</v>
      </c>
      <c r="AR826" s="2" t="e">
        <f t="shared" si="461"/>
        <v>#N/A</v>
      </c>
      <c r="AS826" s="2" t="e">
        <f t="shared" si="462"/>
        <v>#DIV/0!</v>
      </c>
      <c r="AT826" s="9" t="e">
        <f t="shared" ca="1" si="463"/>
        <v>#N/A</v>
      </c>
      <c r="AU826" s="9" t="e">
        <f t="shared" ca="1" si="464"/>
        <v>#N/A</v>
      </c>
      <c r="AW826" s="2" t="e">
        <f t="shared" si="449"/>
        <v>#N/A</v>
      </c>
      <c r="AX826" s="2" t="e">
        <f t="shared" si="450"/>
        <v>#N/A</v>
      </c>
      <c r="AY826" s="2" t="e">
        <f t="shared" si="451"/>
        <v>#N/A</v>
      </c>
      <c r="AZ826" s="2" t="e">
        <f t="shared" si="452"/>
        <v>#N/A</v>
      </c>
      <c r="BA826" s="2" t="e">
        <f t="shared" si="453"/>
        <v>#N/A</v>
      </c>
      <c r="BB826" s="2" t="e">
        <f t="shared" si="454"/>
        <v>#DIV/0!</v>
      </c>
      <c r="BC826" s="9" t="e">
        <f t="shared" ca="1" si="455"/>
        <v>#N/A</v>
      </c>
      <c r="BD826" s="9" t="e">
        <f t="shared" ca="1" si="456"/>
        <v>#N/A</v>
      </c>
    </row>
    <row r="827" spans="1:56" ht="15" x14ac:dyDescent="0.25">
      <c r="A827"/>
      <c r="B827"/>
      <c r="C827"/>
      <c r="D827"/>
      <c r="E827"/>
      <c r="F827"/>
      <c r="G827"/>
      <c r="H827"/>
      <c r="I827"/>
      <c r="J827"/>
      <c r="K827"/>
      <c r="L827" s="64"/>
      <c r="M827" s="64"/>
      <c r="N827" s="16"/>
      <c r="O827" s="11"/>
      <c r="P827" s="11"/>
      <c r="Q827" s="11"/>
      <c r="R827" s="11"/>
      <c r="S827" s="11"/>
      <c r="T827" s="11"/>
      <c r="U827" s="11">
        <f t="shared" si="465"/>
        <v>0</v>
      </c>
      <c r="V827" s="2">
        <f t="shared" si="466"/>
        <v>0</v>
      </c>
      <c r="W827" s="11">
        <f t="shared" si="435"/>
        <v>0</v>
      </c>
      <c r="X827" s="2">
        <f t="shared" si="436"/>
        <v>0</v>
      </c>
      <c r="Y827" s="2">
        <f t="shared" si="437"/>
        <v>0</v>
      </c>
      <c r="Z827" s="11">
        <f t="shared" si="438"/>
        <v>0</v>
      </c>
      <c r="AA827" s="2">
        <f t="shared" si="439"/>
        <v>0</v>
      </c>
      <c r="AB827" s="11">
        <f t="shared" si="440"/>
        <v>0</v>
      </c>
      <c r="AC827" s="2">
        <f t="shared" si="441"/>
        <v>0</v>
      </c>
      <c r="AF827" s="11">
        <f t="shared" si="442"/>
        <v>0</v>
      </c>
      <c r="AG827" s="2">
        <f t="shared" si="443"/>
        <v>0</v>
      </c>
      <c r="AH827" s="2">
        <f t="shared" si="444"/>
        <v>0</v>
      </c>
      <c r="AI827" s="2">
        <f t="shared" si="445"/>
        <v>0</v>
      </c>
      <c r="AJ827" s="2">
        <f t="shared" si="446"/>
        <v>0</v>
      </c>
      <c r="AK827" s="2">
        <f t="shared" si="447"/>
        <v>0</v>
      </c>
      <c r="AL827" s="2">
        <f t="shared" si="448"/>
        <v>0</v>
      </c>
      <c r="AM827" s="11"/>
      <c r="AN827" s="2" t="e">
        <f t="shared" si="457"/>
        <v>#N/A</v>
      </c>
      <c r="AO827" s="2" t="e">
        <f t="shared" si="458"/>
        <v>#N/A</v>
      </c>
      <c r="AP827" s="2" t="e">
        <f t="shared" si="459"/>
        <v>#N/A</v>
      </c>
      <c r="AQ827" s="2" t="e">
        <f t="shared" si="460"/>
        <v>#N/A</v>
      </c>
      <c r="AR827" s="2" t="e">
        <f t="shared" si="461"/>
        <v>#N/A</v>
      </c>
      <c r="AS827" s="2" t="e">
        <f t="shared" si="462"/>
        <v>#DIV/0!</v>
      </c>
      <c r="AT827" s="9" t="e">
        <f t="shared" ca="1" si="463"/>
        <v>#N/A</v>
      </c>
      <c r="AU827" s="9" t="e">
        <f t="shared" ca="1" si="464"/>
        <v>#N/A</v>
      </c>
      <c r="AW827" s="2" t="e">
        <f t="shared" si="449"/>
        <v>#N/A</v>
      </c>
      <c r="AX827" s="2" t="e">
        <f t="shared" si="450"/>
        <v>#N/A</v>
      </c>
      <c r="AY827" s="2" t="e">
        <f t="shared" si="451"/>
        <v>#N/A</v>
      </c>
      <c r="AZ827" s="2" t="e">
        <f t="shared" si="452"/>
        <v>#N/A</v>
      </c>
      <c r="BA827" s="2" t="e">
        <f t="shared" si="453"/>
        <v>#N/A</v>
      </c>
      <c r="BB827" s="2" t="e">
        <f t="shared" si="454"/>
        <v>#DIV/0!</v>
      </c>
      <c r="BC827" s="9" t="e">
        <f t="shared" ca="1" si="455"/>
        <v>#N/A</v>
      </c>
      <c r="BD827" s="9" t="e">
        <f t="shared" ca="1" si="456"/>
        <v>#N/A</v>
      </c>
    </row>
    <row r="828" spans="1:56" ht="15" x14ac:dyDescent="0.25">
      <c r="A828"/>
      <c r="B828"/>
      <c r="C828"/>
      <c r="D828"/>
      <c r="E828"/>
      <c r="F828"/>
      <c r="G828"/>
      <c r="H828"/>
      <c r="I828"/>
      <c r="J828"/>
      <c r="K828"/>
      <c r="L828" s="64"/>
      <c r="M828" s="64"/>
      <c r="N828" s="16"/>
      <c r="O828" s="11"/>
      <c r="P828" s="11"/>
      <c r="Q828" s="11"/>
      <c r="R828" s="11"/>
      <c r="S828" s="11"/>
      <c r="T828" s="11"/>
      <c r="U828" s="11">
        <f t="shared" si="465"/>
        <v>0</v>
      </c>
      <c r="V828" s="2">
        <f t="shared" si="466"/>
        <v>0</v>
      </c>
      <c r="W828" s="11">
        <f t="shared" si="435"/>
        <v>0</v>
      </c>
      <c r="X828" s="2">
        <f t="shared" si="436"/>
        <v>0</v>
      </c>
      <c r="Y828" s="2">
        <f t="shared" si="437"/>
        <v>0</v>
      </c>
      <c r="Z828" s="11">
        <f t="shared" si="438"/>
        <v>0</v>
      </c>
      <c r="AA828" s="2">
        <f t="shared" si="439"/>
        <v>0</v>
      </c>
      <c r="AB828" s="11">
        <f t="shared" si="440"/>
        <v>0</v>
      </c>
      <c r="AC828" s="2">
        <f t="shared" si="441"/>
        <v>0</v>
      </c>
      <c r="AF828" s="11">
        <f t="shared" si="442"/>
        <v>0</v>
      </c>
      <c r="AG828" s="2">
        <f t="shared" si="443"/>
        <v>0</v>
      </c>
      <c r="AH828" s="2">
        <f t="shared" si="444"/>
        <v>0</v>
      </c>
      <c r="AI828" s="2">
        <f t="shared" si="445"/>
        <v>0</v>
      </c>
      <c r="AJ828" s="2">
        <f t="shared" si="446"/>
        <v>0</v>
      </c>
      <c r="AK828" s="2">
        <f t="shared" si="447"/>
        <v>0</v>
      </c>
      <c r="AL828" s="2">
        <f t="shared" si="448"/>
        <v>0</v>
      </c>
      <c r="AM828" s="11"/>
      <c r="AN828" s="2" t="e">
        <f t="shared" si="457"/>
        <v>#N/A</v>
      </c>
      <c r="AO828" s="2" t="e">
        <f t="shared" si="458"/>
        <v>#N/A</v>
      </c>
      <c r="AP828" s="2" t="e">
        <f t="shared" si="459"/>
        <v>#N/A</v>
      </c>
      <c r="AQ828" s="2" t="e">
        <f t="shared" si="460"/>
        <v>#N/A</v>
      </c>
      <c r="AR828" s="2" t="e">
        <f t="shared" si="461"/>
        <v>#N/A</v>
      </c>
      <c r="AS828" s="2" t="e">
        <f t="shared" si="462"/>
        <v>#DIV/0!</v>
      </c>
      <c r="AT828" s="9" t="e">
        <f t="shared" ca="1" si="463"/>
        <v>#N/A</v>
      </c>
      <c r="AU828" s="9" t="e">
        <f t="shared" ca="1" si="464"/>
        <v>#N/A</v>
      </c>
      <c r="AW828" s="2" t="e">
        <f t="shared" si="449"/>
        <v>#N/A</v>
      </c>
      <c r="AX828" s="2" t="e">
        <f t="shared" si="450"/>
        <v>#N/A</v>
      </c>
      <c r="AY828" s="2" t="e">
        <f t="shared" si="451"/>
        <v>#N/A</v>
      </c>
      <c r="AZ828" s="2" t="e">
        <f t="shared" si="452"/>
        <v>#N/A</v>
      </c>
      <c r="BA828" s="2" t="e">
        <f t="shared" si="453"/>
        <v>#N/A</v>
      </c>
      <c r="BB828" s="2" t="e">
        <f t="shared" si="454"/>
        <v>#DIV/0!</v>
      </c>
      <c r="BC828" s="9" t="e">
        <f t="shared" ca="1" si="455"/>
        <v>#N/A</v>
      </c>
      <c r="BD828" s="9" t="e">
        <f t="shared" ca="1" si="456"/>
        <v>#N/A</v>
      </c>
    </row>
    <row r="829" spans="1:56" ht="15" x14ac:dyDescent="0.25">
      <c r="A829"/>
      <c r="B829"/>
      <c r="C829"/>
      <c r="D829"/>
      <c r="E829"/>
      <c r="F829"/>
      <c r="G829"/>
      <c r="H829"/>
      <c r="I829"/>
      <c r="J829"/>
      <c r="K829"/>
      <c r="L829" s="64"/>
      <c r="M829" s="64"/>
      <c r="N829" s="16"/>
      <c r="O829" s="11"/>
      <c r="P829" s="11"/>
      <c r="Q829" s="11"/>
      <c r="R829" s="11"/>
      <c r="S829" s="11"/>
      <c r="T829" s="11"/>
      <c r="U829" s="11">
        <f t="shared" si="465"/>
        <v>0</v>
      </c>
      <c r="V829" s="2">
        <f t="shared" si="466"/>
        <v>0</v>
      </c>
      <c r="W829" s="11">
        <f t="shared" si="435"/>
        <v>0</v>
      </c>
      <c r="X829" s="2">
        <f t="shared" si="436"/>
        <v>0</v>
      </c>
      <c r="Y829" s="2">
        <f t="shared" si="437"/>
        <v>0</v>
      </c>
      <c r="Z829" s="11">
        <f t="shared" si="438"/>
        <v>0</v>
      </c>
      <c r="AA829" s="2">
        <f t="shared" si="439"/>
        <v>0</v>
      </c>
      <c r="AB829" s="11">
        <f t="shared" si="440"/>
        <v>0</v>
      </c>
      <c r="AC829" s="2">
        <f t="shared" si="441"/>
        <v>0</v>
      </c>
      <c r="AF829" s="11">
        <f t="shared" si="442"/>
        <v>0</v>
      </c>
      <c r="AG829" s="2">
        <f t="shared" si="443"/>
        <v>0</v>
      </c>
      <c r="AH829" s="2">
        <f t="shared" si="444"/>
        <v>0</v>
      </c>
      <c r="AI829" s="2">
        <f t="shared" si="445"/>
        <v>0</v>
      </c>
      <c r="AJ829" s="2">
        <f t="shared" si="446"/>
        <v>0</v>
      </c>
      <c r="AK829" s="2">
        <f t="shared" si="447"/>
        <v>0</v>
      </c>
      <c r="AL829" s="2">
        <f t="shared" si="448"/>
        <v>0</v>
      </c>
      <c r="AM829" s="11"/>
      <c r="AN829" s="2" t="e">
        <f t="shared" si="457"/>
        <v>#N/A</v>
      </c>
      <c r="AO829" s="2" t="e">
        <f t="shared" si="458"/>
        <v>#N/A</v>
      </c>
      <c r="AP829" s="2" t="e">
        <f t="shared" si="459"/>
        <v>#N/A</v>
      </c>
      <c r="AQ829" s="2" t="e">
        <f t="shared" si="460"/>
        <v>#N/A</v>
      </c>
      <c r="AR829" s="2" t="e">
        <f t="shared" si="461"/>
        <v>#N/A</v>
      </c>
      <c r="AS829" s="2" t="e">
        <f t="shared" si="462"/>
        <v>#DIV/0!</v>
      </c>
      <c r="AT829" s="9" t="e">
        <f t="shared" ca="1" si="463"/>
        <v>#N/A</v>
      </c>
      <c r="AU829" s="9" t="e">
        <f t="shared" ca="1" si="464"/>
        <v>#N/A</v>
      </c>
      <c r="AW829" s="2" t="e">
        <f t="shared" si="449"/>
        <v>#N/A</v>
      </c>
      <c r="AX829" s="2" t="e">
        <f t="shared" si="450"/>
        <v>#N/A</v>
      </c>
      <c r="AY829" s="2" t="e">
        <f t="shared" si="451"/>
        <v>#N/A</v>
      </c>
      <c r="AZ829" s="2" t="e">
        <f t="shared" si="452"/>
        <v>#N/A</v>
      </c>
      <c r="BA829" s="2" t="e">
        <f t="shared" si="453"/>
        <v>#N/A</v>
      </c>
      <c r="BB829" s="2" t="e">
        <f t="shared" si="454"/>
        <v>#DIV/0!</v>
      </c>
      <c r="BC829" s="9" t="e">
        <f t="shared" ca="1" si="455"/>
        <v>#N/A</v>
      </c>
      <c r="BD829" s="9" t="e">
        <f t="shared" ca="1" si="456"/>
        <v>#N/A</v>
      </c>
    </row>
    <row r="830" spans="1:56" ht="15" x14ac:dyDescent="0.25">
      <c r="A830"/>
      <c r="B830"/>
      <c r="C830"/>
      <c r="D830"/>
      <c r="E830"/>
      <c r="F830"/>
      <c r="G830"/>
      <c r="H830"/>
      <c r="I830"/>
      <c r="J830"/>
      <c r="K830"/>
      <c r="L830" s="64"/>
      <c r="M830" s="64"/>
      <c r="N830" s="16"/>
      <c r="O830" s="11"/>
      <c r="P830" s="11"/>
      <c r="Q830" s="11"/>
      <c r="R830" s="11"/>
      <c r="S830" s="11"/>
      <c r="T830" s="11"/>
      <c r="U830" s="11">
        <f t="shared" si="465"/>
        <v>0</v>
      </c>
      <c r="V830" s="2">
        <f t="shared" si="466"/>
        <v>0</v>
      </c>
      <c r="W830" s="11">
        <f t="shared" si="435"/>
        <v>0</v>
      </c>
      <c r="X830" s="2">
        <f t="shared" si="436"/>
        <v>0</v>
      </c>
      <c r="Y830" s="2">
        <f t="shared" si="437"/>
        <v>0</v>
      </c>
      <c r="Z830" s="11">
        <f t="shared" si="438"/>
        <v>0</v>
      </c>
      <c r="AA830" s="2">
        <f t="shared" si="439"/>
        <v>0</v>
      </c>
      <c r="AB830" s="11">
        <f t="shared" si="440"/>
        <v>0</v>
      </c>
      <c r="AC830" s="2">
        <f t="shared" si="441"/>
        <v>0</v>
      </c>
      <c r="AF830" s="11">
        <f t="shared" si="442"/>
        <v>0</v>
      </c>
      <c r="AG830" s="2">
        <f t="shared" si="443"/>
        <v>0</v>
      </c>
      <c r="AH830" s="2">
        <f t="shared" si="444"/>
        <v>0</v>
      </c>
      <c r="AI830" s="2">
        <f t="shared" si="445"/>
        <v>0</v>
      </c>
      <c r="AJ830" s="2">
        <f t="shared" si="446"/>
        <v>0</v>
      </c>
      <c r="AK830" s="2">
        <f t="shared" si="447"/>
        <v>0</v>
      </c>
      <c r="AL830" s="2">
        <f t="shared" si="448"/>
        <v>0</v>
      </c>
      <c r="AM830" s="11"/>
      <c r="AN830" s="2" t="e">
        <f t="shared" si="457"/>
        <v>#N/A</v>
      </c>
      <c r="AO830" s="2" t="e">
        <f t="shared" si="458"/>
        <v>#N/A</v>
      </c>
      <c r="AP830" s="2" t="e">
        <f t="shared" si="459"/>
        <v>#N/A</v>
      </c>
      <c r="AQ830" s="2" t="e">
        <f t="shared" si="460"/>
        <v>#N/A</v>
      </c>
      <c r="AR830" s="2" t="e">
        <f t="shared" si="461"/>
        <v>#N/A</v>
      </c>
      <c r="AS830" s="2" t="e">
        <f t="shared" si="462"/>
        <v>#DIV/0!</v>
      </c>
      <c r="AT830" s="9" t="e">
        <f t="shared" ca="1" si="463"/>
        <v>#N/A</v>
      </c>
      <c r="AU830" s="9" t="e">
        <f t="shared" ca="1" si="464"/>
        <v>#N/A</v>
      </c>
      <c r="AW830" s="2" t="e">
        <f t="shared" si="449"/>
        <v>#N/A</v>
      </c>
      <c r="AX830" s="2" t="e">
        <f t="shared" si="450"/>
        <v>#N/A</v>
      </c>
      <c r="AY830" s="2" t="e">
        <f t="shared" si="451"/>
        <v>#N/A</v>
      </c>
      <c r="AZ830" s="2" t="e">
        <f t="shared" si="452"/>
        <v>#N/A</v>
      </c>
      <c r="BA830" s="2" t="e">
        <f t="shared" si="453"/>
        <v>#N/A</v>
      </c>
      <c r="BB830" s="2" t="e">
        <f t="shared" si="454"/>
        <v>#DIV/0!</v>
      </c>
      <c r="BC830" s="9" t="e">
        <f t="shared" ca="1" si="455"/>
        <v>#N/A</v>
      </c>
      <c r="BD830" s="9" t="e">
        <f t="shared" ca="1" si="456"/>
        <v>#N/A</v>
      </c>
    </row>
    <row r="831" spans="1:56" ht="15" x14ac:dyDescent="0.25">
      <c r="A831"/>
      <c r="B831"/>
      <c r="C831"/>
      <c r="D831"/>
      <c r="E831"/>
      <c r="F831"/>
      <c r="G831"/>
      <c r="H831"/>
      <c r="I831"/>
      <c r="J831"/>
      <c r="K831"/>
      <c r="L831" s="64"/>
      <c r="M831" s="64"/>
      <c r="N831" s="16"/>
      <c r="O831" s="11"/>
      <c r="P831" s="11"/>
      <c r="Q831" s="11"/>
      <c r="R831" s="11"/>
      <c r="S831" s="11"/>
      <c r="T831" s="11"/>
      <c r="U831" s="11">
        <f t="shared" si="465"/>
        <v>0</v>
      </c>
      <c r="V831" s="2">
        <f t="shared" si="466"/>
        <v>0</v>
      </c>
      <c r="W831" s="11">
        <f t="shared" si="435"/>
        <v>0</v>
      </c>
      <c r="X831" s="2">
        <f t="shared" si="436"/>
        <v>0</v>
      </c>
      <c r="Y831" s="2">
        <f t="shared" si="437"/>
        <v>0</v>
      </c>
      <c r="Z831" s="11">
        <f t="shared" si="438"/>
        <v>0</v>
      </c>
      <c r="AA831" s="2">
        <f t="shared" si="439"/>
        <v>0</v>
      </c>
      <c r="AB831" s="11">
        <f t="shared" si="440"/>
        <v>0</v>
      </c>
      <c r="AC831" s="2">
        <f t="shared" si="441"/>
        <v>0</v>
      </c>
      <c r="AF831" s="11">
        <f t="shared" si="442"/>
        <v>0</v>
      </c>
      <c r="AG831" s="2">
        <f t="shared" si="443"/>
        <v>0</v>
      </c>
      <c r="AH831" s="2">
        <f t="shared" si="444"/>
        <v>0</v>
      </c>
      <c r="AI831" s="2">
        <f t="shared" si="445"/>
        <v>0</v>
      </c>
      <c r="AJ831" s="2">
        <f t="shared" si="446"/>
        <v>0</v>
      </c>
      <c r="AK831" s="2">
        <f t="shared" si="447"/>
        <v>0</v>
      </c>
      <c r="AL831" s="2">
        <f t="shared" si="448"/>
        <v>0</v>
      </c>
      <c r="AM831" s="11"/>
      <c r="AN831" s="2" t="e">
        <f t="shared" si="457"/>
        <v>#N/A</v>
      </c>
      <c r="AO831" s="2" t="e">
        <f t="shared" si="458"/>
        <v>#N/A</v>
      </c>
      <c r="AP831" s="2" t="e">
        <f t="shared" si="459"/>
        <v>#N/A</v>
      </c>
      <c r="AQ831" s="2" t="e">
        <f t="shared" si="460"/>
        <v>#N/A</v>
      </c>
      <c r="AR831" s="2" t="e">
        <f t="shared" si="461"/>
        <v>#N/A</v>
      </c>
      <c r="AS831" s="2" t="e">
        <f t="shared" si="462"/>
        <v>#DIV/0!</v>
      </c>
      <c r="AT831" s="9" t="e">
        <f t="shared" ca="1" si="463"/>
        <v>#N/A</v>
      </c>
      <c r="AU831" s="9" t="e">
        <f t="shared" ca="1" si="464"/>
        <v>#N/A</v>
      </c>
      <c r="AW831" s="2" t="e">
        <f t="shared" si="449"/>
        <v>#N/A</v>
      </c>
      <c r="AX831" s="2" t="e">
        <f t="shared" si="450"/>
        <v>#N/A</v>
      </c>
      <c r="AY831" s="2" t="e">
        <f t="shared" si="451"/>
        <v>#N/A</v>
      </c>
      <c r="AZ831" s="2" t="e">
        <f t="shared" si="452"/>
        <v>#N/A</v>
      </c>
      <c r="BA831" s="2" t="e">
        <f t="shared" si="453"/>
        <v>#N/A</v>
      </c>
      <c r="BB831" s="2" t="e">
        <f t="shared" si="454"/>
        <v>#DIV/0!</v>
      </c>
      <c r="BC831" s="9" t="e">
        <f t="shared" ca="1" si="455"/>
        <v>#N/A</v>
      </c>
      <c r="BD831" s="9" t="e">
        <f t="shared" ca="1" si="456"/>
        <v>#N/A</v>
      </c>
    </row>
    <row r="832" spans="1:56" ht="15" x14ac:dyDescent="0.25">
      <c r="A832"/>
      <c r="B832"/>
      <c r="C832"/>
      <c r="D832"/>
      <c r="E832"/>
      <c r="F832"/>
      <c r="G832"/>
      <c r="H832"/>
      <c r="I832"/>
      <c r="J832"/>
      <c r="K832"/>
      <c r="L832" s="64"/>
      <c r="M832" s="64"/>
      <c r="N832" s="16"/>
      <c r="O832" s="11"/>
      <c r="P832" s="11"/>
      <c r="Q832" s="11"/>
      <c r="R832" s="11"/>
      <c r="S832" s="11"/>
      <c r="T832" s="11"/>
      <c r="U832" s="11">
        <f t="shared" si="465"/>
        <v>0</v>
      </c>
      <c r="V832" s="2">
        <f t="shared" si="466"/>
        <v>0</v>
      </c>
      <c r="W832" s="11">
        <f t="shared" si="435"/>
        <v>0</v>
      </c>
      <c r="X832" s="2">
        <f t="shared" si="436"/>
        <v>0</v>
      </c>
      <c r="Y832" s="2">
        <f t="shared" si="437"/>
        <v>0</v>
      </c>
      <c r="Z832" s="11">
        <f t="shared" si="438"/>
        <v>0</v>
      </c>
      <c r="AA832" s="2">
        <f t="shared" si="439"/>
        <v>0</v>
      </c>
      <c r="AB832" s="11">
        <f t="shared" si="440"/>
        <v>0</v>
      </c>
      <c r="AC832" s="2">
        <f t="shared" si="441"/>
        <v>0</v>
      </c>
      <c r="AF832" s="11">
        <f t="shared" si="442"/>
        <v>0</v>
      </c>
      <c r="AG832" s="2">
        <f t="shared" si="443"/>
        <v>0</v>
      </c>
      <c r="AH832" s="2">
        <f t="shared" si="444"/>
        <v>0</v>
      </c>
      <c r="AI832" s="2">
        <f t="shared" si="445"/>
        <v>0</v>
      </c>
      <c r="AJ832" s="2">
        <f t="shared" si="446"/>
        <v>0</v>
      </c>
      <c r="AK832" s="2">
        <f t="shared" si="447"/>
        <v>0</v>
      </c>
      <c r="AL832" s="2">
        <f t="shared" si="448"/>
        <v>0</v>
      </c>
      <c r="AM832" s="11"/>
      <c r="AN832" s="2" t="e">
        <f t="shared" si="457"/>
        <v>#N/A</v>
      </c>
      <c r="AO832" s="2" t="e">
        <f t="shared" si="458"/>
        <v>#N/A</v>
      </c>
      <c r="AP832" s="2" t="e">
        <f t="shared" si="459"/>
        <v>#N/A</v>
      </c>
      <c r="AQ832" s="2" t="e">
        <f t="shared" si="460"/>
        <v>#N/A</v>
      </c>
      <c r="AR832" s="2" t="e">
        <f t="shared" si="461"/>
        <v>#N/A</v>
      </c>
      <c r="AS832" s="2" t="e">
        <f t="shared" si="462"/>
        <v>#DIV/0!</v>
      </c>
      <c r="AT832" s="9" t="e">
        <f t="shared" ca="1" si="463"/>
        <v>#N/A</v>
      </c>
      <c r="AU832" s="9" t="e">
        <f t="shared" ca="1" si="464"/>
        <v>#N/A</v>
      </c>
      <c r="AW832" s="2" t="e">
        <f t="shared" si="449"/>
        <v>#N/A</v>
      </c>
      <c r="AX832" s="2" t="e">
        <f t="shared" si="450"/>
        <v>#N/A</v>
      </c>
      <c r="AY832" s="2" t="e">
        <f t="shared" si="451"/>
        <v>#N/A</v>
      </c>
      <c r="AZ832" s="2" t="e">
        <f t="shared" si="452"/>
        <v>#N/A</v>
      </c>
      <c r="BA832" s="2" t="e">
        <f t="shared" si="453"/>
        <v>#N/A</v>
      </c>
      <c r="BB832" s="2" t="e">
        <f t="shared" si="454"/>
        <v>#DIV/0!</v>
      </c>
      <c r="BC832" s="9" t="e">
        <f t="shared" ca="1" si="455"/>
        <v>#N/A</v>
      </c>
      <c r="BD832" s="9" t="e">
        <f t="shared" ca="1" si="456"/>
        <v>#N/A</v>
      </c>
    </row>
    <row r="833" spans="1:56" ht="15" x14ac:dyDescent="0.25">
      <c r="A833"/>
      <c r="B833"/>
      <c r="C833"/>
      <c r="D833"/>
      <c r="E833"/>
      <c r="F833"/>
      <c r="G833"/>
      <c r="H833"/>
      <c r="I833"/>
      <c r="J833"/>
      <c r="K833"/>
      <c r="L833" s="64"/>
      <c r="M833" s="64"/>
      <c r="N833" s="16"/>
      <c r="O833" s="11"/>
      <c r="P833" s="11"/>
      <c r="Q833" s="11"/>
      <c r="R833" s="11"/>
      <c r="S833" s="11"/>
      <c r="T833" s="11"/>
      <c r="U833" s="11">
        <f t="shared" si="465"/>
        <v>0</v>
      </c>
      <c r="V833" s="2">
        <f t="shared" si="466"/>
        <v>0</v>
      </c>
      <c r="W833" s="11">
        <f t="shared" si="435"/>
        <v>0</v>
      </c>
      <c r="X833" s="2">
        <f t="shared" si="436"/>
        <v>0</v>
      </c>
      <c r="Y833" s="2">
        <f t="shared" si="437"/>
        <v>0</v>
      </c>
      <c r="Z833" s="11">
        <f t="shared" si="438"/>
        <v>0</v>
      </c>
      <c r="AA833" s="2">
        <f t="shared" si="439"/>
        <v>0</v>
      </c>
      <c r="AB833" s="11">
        <f t="shared" si="440"/>
        <v>0</v>
      </c>
      <c r="AC833" s="2">
        <f t="shared" si="441"/>
        <v>0</v>
      </c>
      <c r="AF833" s="11">
        <f t="shared" si="442"/>
        <v>0</v>
      </c>
      <c r="AG833" s="2">
        <f t="shared" si="443"/>
        <v>0</v>
      </c>
      <c r="AH833" s="2">
        <f t="shared" si="444"/>
        <v>0</v>
      </c>
      <c r="AI833" s="2">
        <f t="shared" si="445"/>
        <v>0</v>
      </c>
      <c r="AJ833" s="2">
        <f t="shared" si="446"/>
        <v>0</v>
      </c>
      <c r="AK833" s="2">
        <f t="shared" si="447"/>
        <v>0</v>
      </c>
      <c r="AL833" s="2">
        <f t="shared" si="448"/>
        <v>0</v>
      </c>
      <c r="AM833" s="11"/>
      <c r="AN833" s="2" t="e">
        <f t="shared" si="457"/>
        <v>#N/A</v>
      </c>
      <c r="AO833" s="2" t="e">
        <f t="shared" si="458"/>
        <v>#N/A</v>
      </c>
      <c r="AP833" s="2" t="e">
        <f t="shared" si="459"/>
        <v>#N/A</v>
      </c>
      <c r="AQ833" s="2" t="e">
        <f t="shared" si="460"/>
        <v>#N/A</v>
      </c>
      <c r="AR833" s="2" t="e">
        <f t="shared" si="461"/>
        <v>#N/A</v>
      </c>
      <c r="AS833" s="2" t="e">
        <f t="shared" si="462"/>
        <v>#DIV/0!</v>
      </c>
      <c r="AT833" s="9" t="e">
        <f t="shared" ca="1" si="463"/>
        <v>#N/A</v>
      </c>
      <c r="AU833" s="9" t="e">
        <f t="shared" ca="1" si="464"/>
        <v>#N/A</v>
      </c>
      <c r="AW833" s="2" t="e">
        <f t="shared" si="449"/>
        <v>#N/A</v>
      </c>
      <c r="AX833" s="2" t="e">
        <f t="shared" si="450"/>
        <v>#N/A</v>
      </c>
      <c r="AY833" s="2" t="e">
        <f t="shared" si="451"/>
        <v>#N/A</v>
      </c>
      <c r="AZ833" s="2" t="e">
        <f t="shared" si="452"/>
        <v>#N/A</v>
      </c>
      <c r="BA833" s="2" t="e">
        <f t="shared" si="453"/>
        <v>#N/A</v>
      </c>
      <c r="BB833" s="2" t="e">
        <f t="shared" si="454"/>
        <v>#DIV/0!</v>
      </c>
      <c r="BC833" s="9" t="e">
        <f t="shared" ca="1" si="455"/>
        <v>#N/A</v>
      </c>
      <c r="BD833" s="9" t="e">
        <f t="shared" ca="1" si="456"/>
        <v>#N/A</v>
      </c>
    </row>
    <row r="834" spans="1:56" ht="15" x14ac:dyDescent="0.25">
      <c r="A834"/>
      <c r="B834"/>
      <c r="C834"/>
      <c r="D834"/>
      <c r="E834"/>
      <c r="F834"/>
      <c r="G834"/>
      <c r="H834"/>
      <c r="I834"/>
      <c r="J834"/>
      <c r="K834"/>
      <c r="L834" s="64"/>
      <c r="M834" s="64"/>
      <c r="N834" s="16"/>
      <c r="O834" s="11"/>
      <c r="P834" s="11"/>
      <c r="Q834" s="11"/>
      <c r="R834" s="11"/>
      <c r="S834" s="11"/>
      <c r="T834" s="11"/>
      <c r="U834" s="11">
        <f t="shared" si="465"/>
        <v>0</v>
      </c>
      <c r="V834" s="2">
        <f t="shared" si="466"/>
        <v>0</v>
      </c>
      <c r="W834" s="11">
        <f t="shared" si="435"/>
        <v>0</v>
      </c>
      <c r="X834" s="2">
        <f t="shared" si="436"/>
        <v>0</v>
      </c>
      <c r="Y834" s="2">
        <f t="shared" si="437"/>
        <v>0</v>
      </c>
      <c r="Z834" s="11">
        <f t="shared" si="438"/>
        <v>0</v>
      </c>
      <c r="AA834" s="2">
        <f t="shared" si="439"/>
        <v>0</v>
      </c>
      <c r="AB834" s="11">
        <f t="shared" si="440"/>
        <v>0</v>
      </c>
      <c r="AC834" s="2">
        <f t="shared" si="441"/>
        <v>0</v>
      </c>
      <c r="AF834" s="11">
        <f t="shared" si="442"/>
        <v>0</v>
      </c>
      <c r="AG834" s="2">
        <f t="shared" si="443"/>
        <v>0</v>
      </c>
      <c r="AH834" s="2">
        <f t="shared" si="444"/>
        <v>0</v>
      </c>
      <c r="AI834" s="2">
        <f t="shared" si="445"/>
        <v>0</v>
      </c>
      <c r="AJ834" s="2">
        <f t="shared" si="446"/>
        <v>0</v>
      </c>
      <c r="AK834" s="2">
        <f t="shared" si="447"/>
        <v>0</v>
      </c>
      <c r="AL834" s="2">
        <f t="shared" si="448"/>
        <v>0</v>
      </c>
      <c r="AM834" s="11"/>
      <c r="AN834" s="2" t="e">
        <f t="shared" si="457"/>
        <v>#N/A</v>
      </c>
      <c r="AO834" s="2" t="e">
        <f t="shared" si="458"/>
        <v>#N/A</v>
      </c>
      <c r="AP834" s="2" t="e">
        <f t="shared" si="459"/>
        <v>#N/A</v>
      </c>
      <c r="AQ834" s="2" t="e">
        <f t="shared" si="460"/>
        <v>#N/A</v>
      </c>
      <c r="AR834" s="2" t="e">
        <f t="shared" si="461"/>
        <v>#N/A</v>
      </c>
      <c r="AS834" s="2" t="e">
        <f t="shared" si="462"/>
        <v>#DIV/0!</v>
      </c>
      <c r="AT834" s="9" t="e">
        <f t="shared" ca="1" si="463"/>
        <v>#N/A</v>
      </c>
      <c r="AU834" s="9" t="e">
        <f t="shared" ca="1" si="464"/>
        <v>#N/A</v>
      </c>
      <c r="AW834" s="2" t="e">
        <f t="shared" si="449"/>
        <v>#N/A</v>
      </c>
      <c r="AX834" s="2" t="e">
        <f t="shared" si="450"/>
        <v>#N/A</v>
      </c>
      <c r="AY834" s="2" t="e">
        <f t="shared" si="451"/>
        <v>#N/A</v>
      </c>
      <c r="AZ834" s="2" t="e">
        <f t="shared" si="452"/>
        <v>#N/A</v>
      </c>
      <c r="BA834" s="2" t="e">
        <f t="shared" si="453"/>
        <v>#N/A</v>
      </c>
      <c r="BB834" s="2" t="e">
        <f t="shared" si="454"/>
        <v>#DIV/0!</v>
      </c>
      <c r="BC834" s="9" t="e">
        <f t="shared" ca="1" si="455"/>
        <v>#N/A</v>
      </c>
      <c r="BD834" s="9" t="e">
        <f t="shared" ca="1" si="456"/>
        <v>#N/A</v>
      </c>
    </row>
    <row r="835" spans="1:56" ht="15" x14ac:dyDescent="0.25">
      <c r="A835"/>
      <c r="B835"/>
      <c r="C835"/>
      <c r="D835"/>
      <c r="E835"/>
      <c r="F835"/>
      <c r="G835"/>
      <c r="H835"/>
      <c r="I835"/>
      <c r="J835"/>
      <c r="K835"/>
      <c r="L835" s="64"/>
      <c r="M835" s="64"/>
      <c r="N835" s="16"/>
      <c r="O835" s="11"/>
      <c r="P835" s="11"/>
      <c r="Q835" s="11"/>
      <c r="R835" s="11"/>
      <c r="S835" s="11"/>
      <c r="T835" s="11"/>
      <c r="U835" s="11">
        <f t="shared" si="465"/>
        <v>0</v>
      </c>
      <c r="V835" s="2">
        <f t="shared" si="466"/>
        <v>0</v>
      </c>
      <c r="W835" s="11">
        <f t="shared" si="435"/>
        <v>0</v>
      </c>
      <c r="X835" s="2">
        <f t="shared" si="436"/>
        <v>0</v>
      </c>
      <c r="Y835" s="2">
        <f t="shared" si="437"/>
        <v>0</v>
      </c>
      <c r="Z835" s="11">
        <f t="shared" si="438"/>
        <v>0</v>
      </c>
      <c r="AA835" s="2">
        <f t="shared" si="439"/>
        <v>0</v>
      </c>
      <c r="AB835" s="11">
        <f t="shared" si="440"/>
        <v>0</v>
      </c>
      <c r="AC835" s="2">
        <f t="shared" si="441"/>
        <v>0</v>
      </c>
      <c r="AF835" s="11">
        <f t="shared" si="442"/>
        <v>0</v>
      </c>
      <c r="AG835" s="2">
        <f t="shared" si="443"/>
        <v>0</v>
      </c>
      <c r="AH835" s="2">
        <f t="shared" si="444"/>
        <v>0</v>
      </c>
      <c r="AI835" s="2">
        <f t="shared" si="445"/>
        <v>0</v>
      </c>
      <c r="AJ835" s="2">
        <f t="shared" si="446"/>
        <v>0</v>
      </c>
      <c r="AK835" s="2">
        <f t="shared" si="447"/>
        <v>0</v>
      </c>
      <c r="AL835" s="2">
        <f t="shared" si="448"/>
        <v>0</v>
      </c>
      <c r="AM835" s="11"/>
      <c r="AN835" s="2" t="e">
        <f t="shared" si="457"/>
        <v>#N/A</v>
      </c>
      <c r="AO835" s="2" t="e">
        <f t="shared" si="458"/>
        <v>#N/A</v>
      </c>
      <c r="AP835" s="2" t="e">
        <f t="shared" si="459"/>
        <v>#N/A</v>
      </c>
      <c r="AQ835" s="2" t="e">
        <f t="shared" si="460"/>
        <v>#N/A</v>
      </c>
      <c r="AR835" s="2" t="e">
        <f t="shared" si="461"/>
        <v>#N/A</v>
      </c>
      <c r="AS835" s="2" t="e">
        <f t="shared" si="462"/>
        <v>#DIV/0!</v>
      </c>
      <c r="AT835" s="9" t="e">
        <f t="shared" ca="1" si="463"/>
        <v>#N/A</v>
      </c>
      <c r="AU835" s="9" t="e">
        <f t="shared" ca="1" si="464"/>
        <v>#N/A</v>
      </c>
      <c r="AW835" s="2" t="e">
        <f t="shared" si="449"/>
        <v>#N/A</v>
      </c>
      <c r="AX835" s="2" t="e">
        <f t="shared" si="450"/>
        <v>#N/A</v>
      </c>
      <c r="AY835" s="2" t="e">
        <f t="shared" si="451"/>
        <v>#N/A</v>
      </c>
      <c r="AZ835" s="2" t="e">
        <f t="shared" si="452"/>
        <v>#N/A</v>
      </c>
      <c r="BA835" s="2" t="e">
        <f t="shared" si="453"/>
        <v>#N/A</v>
      </c>
      <c r="BB835" s="2" t="e">
        <f t="shared" si="454"/>
        <v>#DIV/0!</v>
      </c>
      <c r="BC835" s="9" t="e">
        <f t="shared" ca="1" si="455"/>
        <v>#N/A</v>
      </c>
      <c r="BD835" s="9" t="e">
        <f t="shared" ca="1" si="456"/>
        <v>#N/A</v>
      </c>
    </row>
    <row r="836" spans="1:56" ht="15" x14ac:dyDescent="0.25">
      <c r="A836"/>
      <c r="B836"/>
      <c r="C836"/>
      <c r="D836"/>
      <c r="E836"/>
      <c r="F836"/>
      <c r="G836"/>
      <c r="H836"/>
      <c r="I836"/>
      <c r="J836"/>
      <c r="K836"/>
      <c r="L836" s="64"/>
      <c r="M836" s="64"/>
      <c r="N836" s="16"/>
      <c r="O836" s="11"/>
      <c r="P836" s="11"/>
      <c r="Q836" s="11"/>
      <c r="R836" s="11"/>
      <c r="S836" s="11"/>
      <c r="T836" s="11"/>
      <c r="U836" s="11">
        <f t="shared" si="465"/>
        <v>0</v>
      </c>
      <c r="V836" s="2">
        <f t="shared" si="466"/>
        <v>0</v>
      </c>
      <c r="W836" s="11">
        <f t="shared" ref="W836:W899" si="467">O836-O836</f>
        <v>0</v>
      </c>
      <c r="X836" s="2">
        <f t="shared" ref="X836:X899" si="468">IF(O836&gt;0,P836-(O836*$X$63/$W$63), P836)</f>
        <v>0</v>
      </c>
      <c r="Y836" s="2">
        <f t="shared" ref="Y836:Y899" si="469">IF(O836&gt;0,Q836-(O836*$Y$63/$W$63),Q836)</f>
        <v>0</v>
      </c>
      <c r="Z836" s="11">
        <f t="shared" ref="Z836:Z899" si="470">R836</f>
        <v>0</v>
      </c>
      <c r="AA836" s="2">
        <f t="shared" ref="AA836:AA899" si="471">IF(O836&gt;0,S836-(O836*$AA$63/$W$63),S836)</f>
        <v>0</v>
      </c>
      <c r="AB836" s="11">
        <f t="shared" ref="AB836:AB899" si="472">T836</f>
        <v>0</v>
      </c>
      <c r="AC836" s="2">
        <f t="shared" ref="AC836:AC899" si="473">IF(O836&gt;0,U836-(O836*$AC$63/$W$63),U836)</f>
        <v>0</v>
      </c>
      <c r="AF836" s="11">
        <f t="shared" ref="AF836:AF899" si="474">W836</f>
        <v>0</v>
      </c>
      <c r="AG836" s="2">
        <f t="shared" ref="AG836:AG899" si="475">IF(O836&gt;0, X836-(O836*$AG$63/$AF$63), X836)</f>
        <v>0</v>
      </c>
      <c r="AH836" s="2">
        <f t="shared" ref="AH836:AH899" si="476">IF(O836&gt;0, Y836-(O836*$AH$63/$AF$63), Y836)</f>
        <v>0</v>
      </c>
      <c r="AI836" s="2">
        <f t="shared" ref="AI836:AI899" si="477">IF(O836&gt;0, Z836-(O836*$AI$63/$AF$63), Z836)</f>
        <v>0</v>
      </c>
      <c r="AJ836" s="2">
        <f t="shared" ref="AJ836:AJ899" si="478">IF(O836&gt;0, AA836-(O836*$AJ$63/$AF$63), AA836)</f>
        <v>0</v>
      </c>
      <c r="AK836" s="2">
        <f t="shared" ref="AK836:AK899" si="479">IF(P836&gt;0, AB836-(P836*$AK$63/$AG$63), AB836)</f>
        <v>0</v>
      </c>
      <c r="AL836" s="2">
        <f t="shared" ref="AL836:AL899" si="480">IF(O836&gt;0, AC836-(O836*$AL$63/$AF$63), AC836)</f>
        <v>0</v>
      </c>
      <c r="AM836" s="11"/>
      <c r="AN836" s="2" t="e">
        <f t="shared" si="457"/>
        <v>#N/A</v>
      </c>
      <c r="AO836" s="2" t="e">
        <f t="shared" si="458"/>
        <v>#N/A</v>
      </c>
      <c r="AP836" s="2" t="e">
        <f t="shared" si="459"/>
        <v>#N/A</v>
      </c>
      <c r="AQ836" s="2" t="e">
        <f t="shared" si="460"/>
        <v>#N/A</v>
      </c>
      <c r="AR836" s="2" t="e">
        <f t="shared" si="461"/>
        <v>#N/A</v>
      </c>
      <c r="AS836" s="2" t="e">
        <f t="shared" si="462"/>
        <v>#DIV/0!</v>
      </c>
      <c r="AT836" s="9" t="e">
        <f t="shared" ca="1" si="463"/>
        <v>#N/A</v>
      </c>
      <c r="AU836" s="9" t="e">
        <f t="shared" ca="1" si="464"/>
        <v>#N/A</v>
      </c>
      <c r="AW836" s="2" t="e">
        <f t="shared" si="449"/>
        <v>#N/A</v>
      </c>
      <c r="AX836" s="2" t="e">
        <f t="shared" si="450"/>
        <v>#N/A</v>
      </c>
      <c r="AY836" s="2" t="e">
        <f t="shared" si="451"/>
        <v>#N/A</v>
      </c>
      <c r="AZ836" s="2" t="e">
        <f t="shared" si="452"/>
        <v>#N/A</v>
      </c>
      <c r="BA836" s="2" t="e">
        <f t="shared" si="453"/>
        <v>#N/A</v>
      </c>
      <c r="BB836" s="2" t="e">
        <f t="shared" si="454"/>
        <v>#DIV/0!</v>
      </c>
      <c r="BC836" s="9" t="e">
        <f t="shared" ca="1" si="455"/>
        <v>#N/A</v>
      </c>
      <c r="BD836" s="9" t="e">
        <f t="shared" ca="1" si="456"/>
        <v>#N/A</v>
      </c>
    </row>
    <row r="837" spans="1:56" ht="15" x14ac:dyDescent="0.25">
      <c r="A837"/>
      <c r="B837"/>
      <c r="C837"/>
      <c r="D837"/>
      <c r="E837"/>
      <c r="F837"/>
      <c r="G837"/>
      <c r="H837"/>
      <c r="I837"/>
      <c r="J837"/>
      <c r="K837"/>
      <c r="L837" s="64"/>
      <c r="M837" s="64"/>
      <c r="N837" s="16"/>
      <c r="O837" s="11"/>
      <c r="P837" s="11"/>
      <c r="Q837" s="11"/>
      <c r="R837" s="11"/>
      <c r="S837" s="11"/>
      <c r="T837" s="11"/>
      <c r="U837" s="11">
        <f t="shared" si="465"/>
        <v>0</v>
      </c>
      <c r="V837" s="2">
        <f t="shared" si="466"/>
        <v>0</v>
      </c>
      <c r="W837" s="11">
        <f t="shared" si="467"/>
        <v>0</v>
      </c>
      <c r="X837" s="2">
        <f t="shared" si="468"/>
        <v>0</v>
      </c>
      <c r="Y837" s="2">
        <f t="shared" si="469"/>
        <v>0</v>
      </c>
      <c r="Z837" s="11">
        <f t="shared" si="470"/>
        <v>0</v>
      </c>
      <c r="AA837" s="2">
        <f t="shared" si="471"/>
        <v>0</v>
      </c>
      <c r="AB837" s="11">
        <f t="shared" si="472"/>
        <v>0</v>
      </c>
      <c r="AC837" s="2">
        <f t="shared" si="473"/>
        <v>0</v>
      </c>
      <c r="AF837" s="11">
        <f t="shared" si="474"/>
        <v>0</v>
      </c>
      <c r="AG837" s="2">
        <f t="shared" si="475"/>
        <v>0</v>
      </c>
      <c r="AH837" s="2">
        <f t="shared" si="476"/>
        <v>0</v>
      </c>
      <c r="AI837" s="2">
        <f t="shared" si="477"/>
        <v>0</v>
      </c>
      <c r="AJ837" s="2">
        <f t="shared" si="478"/>
        <v>0</v>
      </c>
      <c r="AK837" s="2">
        <f t="shared" si="479"/>
        <v>0</v>
      </c>
      <c r="AL837" s="2">
        <f t="shared" si="480"/>
        <v>0</v>
      </c>
      <c r="AM837" s="11"/>
      <c r="AN837" s="2" t="e">
        <f t="shared" si="457"/>
        <v>#N/A</v>
      </c>
      <c r="AO837" s="2" t="e">
        <f t="shared" si="458"/>
        <v>#N/A</v>
      </c>
      <c r="AP837" s="2" t="e">
        <f t="shared" si="459"/>
        <v>#N/A</v>
      </c>
      <c r="AQ837" s="2" t="e">
        <f t="shared" si="460"/>
        <v>#N/A</v>
      </c>
      <c r="AR837" s="2" t="e">
        <f t="shared" si="461"/>
        <v>#N/A</v>
      </c>
      <c r="AS837" s="2" t="e">
        <f t="shared" si="462"/>
        <v>#DIV/0!</v>
      </c>
      <c r="AT837" s="9" t="e">
        <f t="shared" ca="1" si="463"/>
        <v>#N/A</v>
      </c>
      <c r="AU837" s="9" t="e">
        <f t="shared" ca="1" si="464"/>
        <v>#N/A</v>
      </c>
      <c r="AW837" s="2" t="e">
        <f t="shared" si="449"/>
        <v>#N/A</v>
      </c>
      <c r="AX837" s="2" t="e">
        <f t="shared" si="450"/>
        <v>#N/A</v>
      </c>
      <c r="AY837" s="2" t="e">
        <f t="shared" si="451"/>
        <v>#N/A</v>
      </c>
      <c r="AZ837" s="2" t="e">
        <f t="shared" si="452"/>
        <v>#N/A</v>
      </c>
      <c r="BA837" s="2" t="e">
        <f t="shared" si="453"/>
        <v>#N/A</v>
      </c>
      <c r="BB837" s="2" t="e">
        <f t="shared" si="454"/>
        <v>#DIV/0!</v>
      </c>
      <c r="BC837" s="9" t="e">
        <f t="shared" ca="1" si="455"/>
        <v>#N/A</v>
      </c>
      <c r="BD837" s="9" t="e">
        <f t="shared" ca="1" si="456"/>
        <v>#N/A</v>
      </c>
    </row>
    <row r="838" spans="1:56" ht="15" x14ac:dyDescent="0.25">
      <c r="A838"/>
      <c r="B838"/>
      <c r="C838"/>
      <c r="D838"/>
      <c r="E838"/>
      <c r="F838"/>
      <c r="G838"/>
      <c r="H838"/>
      <c r="I838"/>
      <c r="J838"/>
      <c r="K838"/>
      <c r="L838" s="64"/>
      <c r="M838" s="64"/>
      <c r="N838" s="16"/>
      <c r="O838" s="11"/>
      <c r="P838" s="11"/>
      <c r="Q838" s="11"/>
      <c r="R838" s="11"/>
      <c r="S838" s="11"/>
      <c r="T838" s="11"/>
      <c r="U838" s="11">
        <f t="shared" si="465"/>
        <v>0</v>
      </c>
      <c r="V838" s="2">
        <f t="shared" si="466"/>
        <v>0</v>
      </c>
      <c r="W838" s="11">
        <f t="shared" si="467"/>
        <v>0</v>
      </c>
      <c r="X838" s="2">
        <f t="shared" si="468"/>
        <v>0</v>
      </c>
      <c r="Y838" s="2">
        <f t="shared" si="469"/>
        <v>0</v>
      </c>
      <c r="Z838" s="11">
        <f t="shared" si="470"/>
        <v>0</v>
      </c>
      <c r="AA838" s="2">
        <f t="shared" si="471"/>
        <v>0</v>
      </c>
      <c r="AB838" s="11">
        <f t="shared" si="472"/>
        <v>0</v>
      </c>
      <c r="AC838" s="2">
        <f t="shared" si="473"/>
        <v>0</v>
      </c>
      <c r="AF838" s="11">
        <f t="shared" si="474"/>
        <v>0</v>
      </c>
      <c r="AG838" s="2">
        <f t="shared" si="475"/>
        <v>0</v>
      </c>
      <c r="AH838" s="2">
        <f t="shared" si="476"/>
        <v>0</v>
      </c>
      <c r="AI838" s="2">
        <f t="shared" si="477"/>
        <v>0</v>
      </c>
      <c r="AJ838" s="2">
        <f t="shared" si="478"/>
        <v>0</v>
      </c>
      <c r="AK838" s="2">
        <f t="shared" si="479"/>
        <v>0</v>
      </c>
      <c r="AL838" s="2">
        <f t="shared" si="480"/>
        <v>0</v>
      </c>
      <c r="AM838" s="11"/>
      <c r="AN838" s="2" t="e">
        <f t="shared" si="457"/>
        <v>#N/A</v>
      </c>
      <c r="AO838" s="2" t="e">
        <f t="shared" si="458"/>
        <v>#N/A</v>
      </c>
      <c r="AP838" s="2" t="e">
        <f t="shared" si="459"/>
        <v>#N/A</v>
      </c>
      <c r="AQ838" s="2" t="e">
        <f t="shared" si="460"/>
        <v>#N/A</v>
      </c>
      <c r="AR838" s="2" t="e">
        <f t="shared" si="461"/>
        <v>#N/A</v>
      </c>
      <c r="AS838" s="2" t="e">
        <f t="shared" si="462"/>
        <v>#DIV/0!</v>
      </c>
      <c r="AT838" s="9" t="e">
        <f t="shared" ca="1" si="463"/>
        <v>#N/A</v>
      </c>
      <c r="AU838" s="9" t="e">
        <f t="shared" ca="1" si="464"/>
        <v>#N/A</v>
      </c>
      <c r="AW838" s="2" t="e">
        <f t="shared" si="449"/>
        <v>#N/A</v>
      </c>
      <c r="AX838" s="2" t="e">
        <f t="shared" si="450"/>
        <v>#N/A</v>
      </c>
      <c r="AY838" s="2" t="e">
        <f t="shared" si="451"/>
        <v>#N/A</v>
      </c>
      <c r="AZ838" s="2" t="e">
        <f t="shared" si="452"/>
        <v>#N/A</v>
      </c>
      <c r="BA838" s="2" t="e">
        <f t="shared" si="453"/>
        <v>#N/A</v>
      </c>
      <c r="BB838" s="2" t="e">
        <f t="shared" si="454"/>
        <v>#DIV/0!</v>
      </c>
      <c r="BC838" s="9" t="e">
        <f t="shared" ca="1" si="455"/>
        <v>#N/A</v>
      </c>
      <c r="BD838" s="9" t="e">
        <f t="shared" ca="1" si="456"/>
        <v>#N/A</v>
      </c>
    </row>
    <row r="839" spans="1:56" ht="15" x14ac:dyDescent="0.25">
      <c r="A839"/>
      <c r="B839"/>
      <c r="C839"/>
      <c r="D839"/>
      <c r="E839"/>
      <c r="F839"/>
      <c r="G839"/>
      <c r="H839"/>
      <c r="I839"/>
      <c r="J839"/>
      <c r="K839"/>
      <c r="L839" s="64"/>
      <c r="M839" s="64"/>
      <c r="N839" s="16"/>
      <c r="O839" s="11"/>
      <c r="P839" s="11"/>
      <c r="Q839" s="11"/>
      <c r="R839" s="11"/>
      <c r="S839" s="11"/>
      <c r="T839" s="11"/>
      <c r="U839" s="11">
        <f t="shared" si="465"/>
        <v>0</v>
      </c>
      <c r="V839" s="2">
        <f t="shared" si="466"/>
        <v>0</v>
      </c>
      <c r="W839" s="11">
        <f t="shared" si="467"/>
        <v>0</v>
      </c>
      <c r="X839" s="2">
        <f t="shared" si="468"/>
        <v>0</v>
      </c>
      <c r="Y839" s="2">
        <f t="shared" si="469"/>
        <v>0</v>
      </c>
      <c r="Z839" s="11">
        <f t="shared" si="470"/>
        <v>0</v>
      </c>
      <c r="AA839" s="2">
        <f t="shared" si="471"/>
        <v>0</v>
      </c>
      <c r="AB839" s="11">
        <f t="shared" si="472"/>
        <v>0</v>
      </c>
      <c r="AC839" s="2">
        <f t="shared" si="473"/>
        <v>0</v>
      </c>
      <c r="AF839" s="11">
        <f t="shared" si="474"/>
        <v>0</v>
      </c>
      <c r="AG839" s="2">
        <f t="shared" si="475"/>
        <v>0</v>
      </c>
      <c r="AH839" s="2">
        <f t="shared" si="476"/>
        <v>0</v>
      </c>
      <c r="AI839" s="2">
        <f t="shared" si="477"/>
        <v>0</v>
      </c>
      <c r="AJ839" s="2">
        <f t="shared" si="478"/>
        <v>0</v>
      </c>
      <c r="AK839" s="2">
        <f t="shared" si="479"/>
        <v>0</v>
      </c>
      <c r="AL839" s="2">
        <f t="shared" si="480"/>
        <v>0</v>
      </c>
      <c r="AM839" s="11"/>
      <c r="AN839" s="2" t="e">
        <f t="shared" si="457"/>
        <v>#N/A</v>
      </c>
      <c r="AO839" s="2" t="e">
        <f t="shared" si="458"/>
        <v>#N/A</v>
      </c>
      <c r="AP839" s="2" t="e">
        <f t="shared" si="459"/>
        <v>#N/A</v>
      </c>
      <c r="AQ839" s="2" t="e">
        <f t="shared" si="460"/>
        <v>#N/A</v>
      </c>
      <c r="AR839" s="2" t="e">
        <f t="shared" si="461"/>
        <v>#N/A</v>
      </c>
      <c r="AS839" s="2" t="e">
        <f t="shared" si="462"/>
        <v>#DIV/0!</v>
      </c>
      <c r="AT839" s="9" t="e">
        <f t="shared" ca="1" si="463"/>
        <v>#N/A</v>
      </c>
      <c r="AU839" s="9" t="e">
        <f t="shared" ca="1" si="464"/>
        <v>#N/A</v>
      </c>
      <c r="AW839" s="2" t="e">
        <f t="shared" si="449"/>
        <v>#N/A</v>
      </c>
      <c r="AX839" s="2" t="e">
        <f t="shared" si="450"/>
        <v>#N/A</v>
      </c>
      <c r="AY839" s="2" t="e">
        <f t="shared" si="451"/>
        <v>#N/A</v>
      </c>
      <c r="AZ839" s="2" t="e">
        <f t="shared" si="452"/>
        <v>#N/A</v>
      </c>
      <c r="BA839" s="2" t="e">
        <f t="shared" si="453"/>
        <v>#N/A</v>
      </c>
      <c r="BB839" s="2" t="e">
        <f t="shared" si="454"/>
        <v>#DIV/0!</v>
      </c>
      <c r="BC839" s="9" t="e">
        <f t="shared" ca="1" si="455"/>
        <v>#N/A</v>
      </c>
      <c r="BD839" s="9" t="e">
        <f t="shared" ca="1" si="456"/>
        <v>#N/A</v>
      </c>
    </row>
    <row r="840" spans="1:56" ht="15" x14ac:dyDescent="0.25">
      <c r="A840"/>
      <c r="B840"/>
      <c r="C840"/>
      <c r="D840"/>
      <c r="E840"/>
      <c r="F840"/>
      <c r="G840"/>
      <c r="H840"/>
      <c r="I840"/>
      <c r="J840"/>
      <c r="K840"/>
      <c r="L840" s="64"/>
      <c r="M840" s="64"/>
      <c r="N840" s="16"/>
      <c r="O840" s="11"/>
      <c r="P840" s="11"/>
      <c r="Q840" s="11"/>
      <c r="R840" s="11"/>
      <c r="S840" s="11"/>
      <c r="T840" s="11"/>
      <c r="U840" s="11">
        <f t="shared" si="465"/>
        <v>0</v>
      </c>
      <c r="V840" s="2">
        <f t="shared" si="466"/>
        <v>0</v>
      </c>
      <c r="W840" s="11">
        <f t="shared" si="467"/>
        <v>0</v>
      </c>
      <c r="X840" s="2">
        <f t="shared" si="468"/>
        <v>0</v>
      </c>
      <c r="Y840" s="2">
        <f t="shared" si="469"/>
        <v>0</v>
      </c>
      <c r="Z840" s="11">
        <f t="shared" si="470"/>
        <v>0</v>
      </c>
      <c r="AA840" s="2">
        <f t="shared" si="471"/>
        <v>0</v>
      </c>
      <c r="AB840" s="11">
        <f t="shared" si="472"/>
        <v>0</v>
      </c>
      <c r="AC840" s="2">
        <f t="shared" si="473"/>
        <v>0</v>
      </c>
      <c r="AF840" s="11">
        <f t="shared" si="474"/>
        <v>0</v>
      </c>
      <c r="AG840" s="2">
        <f t="shared" si="475"/>
        <v>0</v>
      </c>
      <c r="AH840" s="2">
        <f t="shared" si="476"/>
        <v>0</v>
      </c>
      <c r="AI840" s="2">
        <f t="shared" si="477"/>
        <v>0</v>
      </c>
      <c r="AJ840" s="2">
        <f t="shared" si="478"/>
        <v>0</v>
      </c>
      <c r="AK840" s="2">
        <f t="shared" si="479"/>
        <v>0</v>
      </c>
      <c r="AL840" s="2">
        <f t="shared" si="480"/>
        <v>0</v>
      </c>
      <c r="AM840" s="11"/>
      <c r="AN840" s="2" t="e">
        <f t="shared" si="457"/>
        <v>#N/A</v>
      </c>
      <c r="AO840" s="2" t="e">
        <f t="shared" si="458"/>
        <v>#N/A</v>
      </c>
      <c r="AP840" s="2" t="e">
        <f t="shared" si="459"/>
        <v>#N/A</v>
      </c>
      <c r="AQ840" s="2" t="e">
        <f t="shared" si="460"/>
        <v>#N/A</v>
      </c>
      <c r="AR840" s="2" t="e">
        <f t="shared" si="461"/>
        <v>#N/A</v>
      </c>
      <c r="AS840" s="2" t="e">
        <f t="shared" si="462"/>
        <v>#DIV/0!</v>
      </c>
      <c r="AT840" s="9" t="e">
        <f t="shared" ca="1" si="463"/>
        <v>#N/A</v>
      </c>
      <c r="AU840" s="9" t="e">
        <f t="shared" ca="1" si="464"/>
        <v>#N/A</v>
      </c>
      <c r="AW840" s="2" t="e">
        <f t="shared" si="449"/>
        <v>#N/A</v>
      </c>
      <c r="AX840" s="2" t="e">
        <f t="shared" si="450"/>
        <v>#N/A</v>
      </c>
      <c r="AY840" s="2" t="e">
        <f t="shared" si="451"/>
        <v>#N/A</v>
      </c>
      <c r="AZ840" s="2" t="e">
        <f t="shared" si="452"/>
        <v>#N/A</v>
      </c>
      <c r="BA840" s="2" t="e">
        <f t="shared" si="453"/>
        <v>#N/A</v>
      </c>
      <c r="BB840" s="2" t="e">
        <f t="shared" si="454"/>
        <v>#DIV/0!</v>
      </c>
      <c r="BC840" s="9" t="e">
        <f t="shared" ca="1" si="455"/>
        <v>#N/A</v>
      </c>
      <c r="BD840" s="9" t="e">
        <f t="shared" ca="1" si="456"/>
        <v>#N/A</v>
      </c>
    </row>
    <row r="841" spans="1:56" ht="15" x14ac:dyDescent="0.25">
      <c r="A841"/>
      <c r="B841"/>
      <c r="C841"/>
      <c r="D841"/>
      <c r="E841"/>
      <c r="F841"/>
      <c r="G841"/>
      <c r="H841"/>
      <c r="I841"/>
      <c r="J841"/>
      <c r="K841"/>
      <c r="L841" s="64"/>
      <c r="M841" s="64"/>
      <c r="N841" s="16"/>
      <c r="O841" s="11"/>
      <c r="P841" s="11"/>
      <c r="Q841" s="11"/>
      <c r="R841" s="11"/>
      <c r="S841" s="11"/>
      <c r="T841" s="11"/>
      <c r="U841" s="11">
        <f t="shared" si="465"/>
        <v>0</v>
      </c>
      <c r="V841" s="2">
        <f t="shared" si="466"/>
        <v>0</v>
      </c>
      <c r="W841" s="11">
        <f t="shared" si="467"/>
        <v>0</v>
      </c>
      <c r="X841" s="2">
        <f t="shared" si="468"/>
        <v>0</v>
      </c>
      <c r="Y841" s="2">
        <f t="shared" si="469"/>
        <v>0</v>
      </c>
      <c r="Z841" s="11">
        <f t="shared" si="470"/>
        <v>0</v>
      </c>
      <c r="AA841" s="2">
        <f t="shared" si="471"/>
        <v>0</v>
      </c>
      <c r="AB841" s="11">
        <f t="shared" si="472"/>
        <v>0</v>
      </c>
      <c r="AC841" s="2">
        <f t="shared" si="473"/>
        <v>0</v>
      </c>
      <c r="AF841" s="11">
        <f t="shared" si="474"/>
        <v>0</v>
      </c>
      <c r="AG841" s="2">
        <f t="shared" si="475"/>
        <v>0</v>
      </c>
      <c r="AH841" s="2">
        <f t="shared" si="476"/>
        <v>0</v>
      </c>
      <c r="AI841" s="2">
        <f t="shared" si="477"/>
        <v>0</v>
      </c>
      <c r="AJ841" s="2">
        <f t="shared" si="478"/>
        <v>0</v>
      </c>
      <c r="AK841" s="2">
        <f t="shared" si="479"/>
        <v>0</v>
      </c>
      <c r="AL841" s="2">
        <f t="shared" si="480"/>
        <v>0</v>
      </c>
      <c r="AM841" s="11"/>
      <c r="AN841" s="2" t="e">
        <f t="shared" si="457"/>
        <v>#N/A</v>
      </c>
      <c r="AO841" s="2" t="e">
        <f t="shared" si="458"/>
        <v>#N/A</v>
      </c>
      <c r="AP841" s="2" t="e">
        <f t="shared" si="459"/>
        <v>#N/A</v>
      </c>
      <c r="AQ841" s="2" t="e">
        <f t="shared" si="460"/>
        <v>#N/A</v>
      </c>
      <c r="AR841" s="2" t="e">
        <f t="shared" si="461"/>
        <v>#N/A</v>
      </c>
      <c r="AS841" s="2" t="e">
        <f t="shared" si="462"/>
        <v>#DIV/0!</v>
      </c>
      <c r="AT841" s="9" t="e">
        <f t="shared" ca="1" si="463"/>
        <v>#N/A</v>
      </c>
      <c r="AU841" s="9" t="e">
        <f t="shared" ca="1" si="464"/>
        <v>#N/A</v>
      </c>
      <c r="AW841" s="2" t="e">
        <f t="shared" si="449"/>
        <v>#N/A</v>
      </c>
      <c r="AX841" s="2" t="e">
        <f t="shared" si="450"/>
        <v>#N/A</v>
      </c>
      <c r="AY841" s="2" t="e">
        <f t="shared" si="451"/>
        <v>#N/A</v>
      </c>
      <c r="AZ841" s="2" t="e">
        <f t="shared" si="452"/>
        <v>#N/A</v>
      </c>
      <c r="BA841" s="2" t="e">
        <f t="shared" si="453"/>
        <v>#N/A</v>
      </c>
      <c r="BB841" s="2" t="e">
        <f t="shared" si="454"/>
        <v>#DIV/0!</v>
      </c>
      <c r="BC841" s="9" t="e">
        <f t="shared" ca="1" si="455"/>
        <v>#N/A</v>
      </c>
      <c r="BD841" s="9" t="e">
        <f t="shared" ca="1" si="456"/>
        <v>#N/A</v>
      </c>
    </row>
    <row r="842" spans="1:56" ht="15" x14ac:dyDescent="0.25">
      <c r="A842"/>
      <c r="B842"/>
      <c r="C842"/>
      <c r="D842"/>
      <c r="E842"/>
      <c r="F842"/>
      <c r="G842"/>
      <c r="H842"/>
      <c r="I842"/>
      <c r="J842"/>
      <c r="K842"/>
      <c r="L842" s="64"/>
      <c r="M842" s="64"/>
      <c r="N842" s="16"/>
      <c r="O842" s="11"/>
      <c r="P842" s="11"/>
      <c r="Q842" s="11"/>
      <c r="R842" s="11"/>
      <c r="S842" s="11"/>
      <c r="T842" s="11"/>
      <c r="U842" s="11">
        <f t="shared" si="465"/>
        <v>0</v>
      </c>
      <c r="V842" s="2">
        <f t="shared" si="466"/>
        <v>0</v>
      </c>
      <c r="W842" s="11">
        <f t="shared" si="467"/>
        <v>0</v>
      </c>
      <c r="X842" s="2">
        <f t="shared" si="468"/>
        <v>0</v>
      </c>
      <c r="Y842" s="2">
        <f t="shared" si="469"/>
        <v>0</v>
      </c>
      <c r="Z842" s="11">
        <f t="shared" si="470"/>
        <v>0</v>
      </c>
      <c r="AA842" s="2">
        <f t="shared" si="471"/>
        <v>0</v>
      </c>
      <c r="AB842" s="11">
        <f t="shared" si="472"/>
        <v>0</v>
      </c>
      <c r="AC842" s="2">
        <f t="shared" si="473"/>
        <v>0</v>
      </c>
      <c r="AF842" s="11">
        <f t="shared" si="474"/>
        <v>0</v>
      </c>
      <c r="AG842" s="2">
        <f t="shared" si="475"/>
        <v>0</v>
      </c>
      <c r="AH842" s="2">
        <f t="shared" si="476"/>
        <v>0</v>
      </c>
      <c r="AI842" s="2">
        <f t="shared" si="477"/>
        <v>0</v>
      </c>
      <c r="AJ842" s="2">
        <f t="shared" si="478"/>
        <v>0</v>
      </c>
      <c r="AK842" s="2">
        <f t="shared" si="479"/>
        <v>0</v>
      </c>
      <c r="AL842" s="2">
        <f t="shared" si="480"/>
        <v>0</v>
      </c>
      <c r="AM842" s="11"/>
      <c r="AN842" s="2" t="e">
        <f t="shared" si="457"/>
        <v>#N/A</v>
      </c>
      <c r="AO842" s="2" t="e">
        <f t="shared" si="458"/>
        <v>#N/A</v>
      </c>
      <c r="AP842" s="2" t="e">
        <f t="shared" si="459"/>
        <v>#N/A</v>
      </c>
      <c r="AQ842" s="2" t="e">
        <f t="shared" si="460"/>
        <v>#N/A</v>
      </c>
      <c r="AR842" s="2" t="e">
        <f t="shared" si="461"/>
        <v>#N/A</v>
      </c>
      <c r="AS842" s="2" t="e">
        <f t="shared" si="462"/>
        <v>#DIV/0!</v>
      </c>
      <c r="AT842" s="9" t="e">
        <f t="shared" ca="1" si="463"/>
        <v>#N/A</v>
      </c>
      <c r="AU842" s="9" t="e">
        <f t="shared" ca="1" si="464"/>
        <v>#N/A</v>
      </c>
      <c r="AW842" s="2" t="e">
        <f t="shared" si="449"/>
        <v>#N/A</v>
      </c>
      <c r="AX842" s="2" t="e">
        <f t="shared" si="450"/>
        <v>#N/A</v>
      </c>
      <c r="AY842" s="2" t="e">
        <f t="shared" si="451"/>
        <v>#N/A</v>
      </c>
      <c r="AZ842" s="2" t="e">
        <f t="shared" si="452"/>
        <v>#N/A</v>
      </c>
      <c r="BA842" s="2" t="e">
        <f t="shared" si="453"/>
        <v>#N/A</v>
      </c>
      <c r="BB842" s="2" t="e">
        <f t="shared" si="454"/>
        <v>#DIV/0!</v>
      </c>
      <c r="BC842" s="9" t="e">
        <f t="shared" ca="1" si="455"/>
        <v>#N/A</v>
      </c>
      <c r="BD842" s="9" t="e">
        <f t="shared" ca="1" si="456"/>
        <v>#N/A</v>
      </c>
    </row>
    <row r="843" spans="1:56" ht="15" x14ac:dyDescent="0.25">
      <c r="A843"/>
      <c r="B843"/>
      <c r="C843"/>
      <c r="D843"/>
      <c r="E843"/>
      <c r="F843"/>
      <c r="G843"/>
      <c r="H843"/>
      <c r="I843"/>
      <c r="J843"/>
      <c r="K843"/>
      <c r="L843" s="64"/>
      <c r="M843" s="64"/>
      <c r="N843" s="16"/>
      <c r="O843" s="11"/>
      <c r="P843" s="11"/>
      <c r="Q843" s="11"/>
      <c r="R843" s="11"/>
      <c r="S843" s="11"/>
      <c r="T843" s="11"/>
      <c r="U843" s="11">
        <f t="shared" si="465"/>
        <v>0</v>
      </c>
      <c r="V843" s="2">
        <f t="shared" si="466"/>
        <v>0</v>
      </c>
      <c r="W843" s="11">
        <f t="shared" si="467"/>
        <v>0</v>
      </c>
      <c r="X843" s="2">
        <f t="shared" si="468"/>
        <v>0</v>
      </c>
      <c r="Y843" s="2">
        <f t="shared" si="469"/>
        <v>0</v>
      </c>
      <c r="Z843" s="11">
        <f t="shared" si="470"/>
        <v>0</v>
      </c>
      <c r="AA843" s="2">
        <f t="shared" si="471"/>
        <v>0</v>
      </c>
      <c r="AB843" s="11">
        <f t="shared" si="472"/>
        <v>0</v>
      </c>
      <c r="AC843" s="2">
        <f t="shared" si="473"/>
        <v>0</v>
      </c>
      <c r="AF843" s="11">
        <f t="shared" si="474"/>
        <v>0</v>
      </c>
      <c r="AG843" s="2">
        <f t="shared" si="475"/>
        <v>0</v>
      </c>
      <c r="AH843" s="2">
        <f t="shared" si="476"/>
        <v>0</v>
      </c>
      <c r="AI843" s="2">
        <f t="shared" si="477"/>
        <v>0</v>
      </c>
      <c r="AJ843" s="2">
        <f t="shared" si="478"/>
        <v>0</v>
      </c>
      <c r="AK843" s="2">
        <f t="shared" si="479"/>
        <v>0</v>
      </c>
      <c r="AL843" s="2">
        <f t="shared" si="480"/>
        <v>0</v>
      </c>
      <c r="AM843" s="11"/>
      <c r="AN843" s="2" t="e">
        <f t="shared" si="457"/>
        <v>#N/A</v>
      </c>
      <c r="AO843" s="2" t="e">
        <f t="shared" si="458"/>
        <v>#N/A</v>
      </c>
      <c r="AP843" s="2" t="e">
        <f t="shared" si="459"/>
        <v>#N/A</v>
      </c>
      <c r="AQ843" s="2" t="e">
        <f t="shared" si="460"/>
        <v>#N/A</v>
      </c>
      <c r="AR843" s="2" t="e">
        <f t="shared" si="461"/>
        <v>#N/A</v>
      </c>
      <c r="AS843" s="2" t="e">
        <f t="shared" si="462"/>
        <v>#DIV/0!</v>
      </c>
      <c r="AT843" s="9" t="e">
        <f t="shared" ca="1" si="463"/>
        <v>#N/A</v>
      </c>
      <c r="AU843" s="9" t="e">
        <f t="shared" ca="1" si="464"/>
        <v>#N/A</v>
      </c>
      <c r="AW843" s="2" t="e">
        <f t="shared" si="449"/>
        <v>#N/A</v>
      </c>
      <c r="AX843" s="2" t="e">
        <f t="shared" si="450"/>
        <v>#N/A</v>
      </c>
      <c r="AY843" s="2" t="e">
        <f t="shared" si="451"/>
        <v>#N/A</v>
      </c>
      <c r="AZ843" s="2" t="e">
        <f t="shared" si="452"/>
        <v>#N/A</v>
      </c>
      <c r="BA843" s="2" t="e">
        <f t="shared" si="453"/>
        <v>#N/A</v>
      </c>
      <c r="BB843" s="2" t="e">
        <f t="shared" si="454"/>
        <v>#DIV/0!</v>
      </c>
      <c r="BC843" s="9" t="e">
        <f t="shared" ca="1" si="455"/>
        <v>#N/A</v>
      </c>
      <c r="BD843" s="9" t="e">
        <f t="shared" ca="1" si="456"/>
        <v>#N/A</v>
      </c>
    </row>
    <row r="844" spans="1:56" ht="15" x14ac:dyDescent="0.25">
      <c r="A844"/>
      <c r="B844"/>
      <c r="C844"/>
      <c r="D844"/>
      <c r="E844"/>
      <c r="F844"/>
      <c r="G844"/>
      <c r="H844"/>
      <c r="I844"/>
      <c r="J844"/>
      <c r="K844"/>
      <c r="L844" s="64"/>
      <c r="M844" s="64"/>
      <c r="N844" s="16"/>
      <c r="O844" s="11"/>
      <c r="P844" s="11"/>
      <c r="Q844" s="11"/>
      <c r="R844" s="11"/>
      <c r="S844" s="11"/>
      <c r="T844" s="11"/>
      <c r="U844" s="11">
        <f t="shared" si="465"/>
        <v>0</v>
      </c>
      <c r="V844" s="2">
        <f t="shared" si="466"/>
        <v>0</v>
      </c>
      <c r="W844" s="11">
        <f t="shared" si="467"/>
        <v>0</v>
      </c>
      <c r="X844" s="2">
        <f t="shared" si="468"/>
        <v>0</v>
      </c>
      <c r="Y844" s="2">
        <f t="shared" si="469"/>
        <v>0</v>
      </c>
      <c r="Z844" s="11">
        <f t="shared" si="470"/>
        <v>0</v>
      </c>
      <c r="AA844" s="2">
        <f t="shared" si="471"/>
        <v>0</v>
      </c>
      <c r="AB844" s="11">
        <f t="shared" si="472"/>
        <v>0</v>
      </c>
      <c r="AC844" s="2">
        <f t="shared" si="473"/>
        <v>0</v>
      </c>
      <c r="AF844" s="11">
        <f t="shared" si="474"/>
        <v>0</v>
      </c>
      <c r="AG844" s="2">
        <f t="shared" si="475"/>
        <v>0</v>
      </c>
      <c r="AH844" s="2">
        <f t="shared" si="476"/>
        <v>0</v>
      </c>
      <c r="AI844" s="2">
        <f t="shared" si="477"/>
        <v>0</v>
      </c>
      <c r="AJ844" s="2">
        <f t="shared" si="478"/>
        <v>0</v>
      </c>
      <c r="AK844" s="2">
        <f t="shared" si="479"/>
        <v>0</v>
      </c>
      <c r="AL844" s="2">
        <f t="shared" si="480"/>
        <v>0</v>
      </c>
      <c r="AM844" s="11"/>
      <c r="AN844" s="2" t="e">
        <f t="shared" si="457"/>
        <v>#N/A</v>
      </c>
      <c r="AO844" s="2" t="e">
        <f t="shared" si="458"/>
        <v>#N/A</v>
      </c>
      <c r="AP844" s="2" t="e">
        <f t="shared" si="459"/>
        <v>#N/A</v>
      </c>
      <c r="AQ844" s="2" t="e">
        <f t="shared" si="460"/>
        <v>#N/A</v>
      </c>
      <c r="AR844" s="2" t="e">
        <f t="shared" si="461"/>
        <v>#N/A</v>
      </c>
      <c r="AS844" s="2" t="e">
        <f t="shared" si="462"/>
        <v>#DIV/0!</v>
      </c>
      <c r="AT844" s="9" t="e">
        <f t="shared" ca="1" si="463"/>
        <v>#N/A</v>
      </c>
      <c r="AU844" s="9" t="e">
        <f t="shared" ca="1" si="464"/>
        <v>#N/A</v>
      </c>
      <c r="AW844" s="2" t="e">
        <f t="shared" si="449"/>
        <v>#N/A</v>
      </c>
      <c r="AX844" s="2" t="e">
        <f t="shared" si="450"/>
        <v>#N/A</v>
      </c>
      <c r="AY844" s="2" t="e">
        <f t="shared" si="451"/>
        <v>#N/A</v>
      </c>
      <c r="AZ844" s="2" t="e">
        <f t="shared" si="452"/>
        <v>#N/A</v>
      </c>
      <c r="BA844" s="2" t="e">
        <f t="shared" si="453"/>
        <v>#N/A</v>
      </c>
      <c r="BB844" s="2" t="e">
        <f t="shared" si="454"/>
        <v>#DIV/0!</v>
      </c>
      <c r="BC844" s="9" t="e">
        <f t="shared" ca="1" si="455"/>
        <v>#N/A</v>
      </c>
      <c r="BD844" s="9" t="e">
        <f t="shared" ca="1" si="456"/>
        <v>#N/A</v>
      </c>
    </row>
    <row r="845" spans="1:56" ht="15" x14ac:dyDescent="0.25">
      <c r="A845"/>
      <c r="B845"/>
      <c r="C845"/>
      <c r="D845"/>
      <c r="E845"/>
      <c r="F845"/>
      <c r="G845"/>
      <c r="H845"/>
      <c r="I845"/>
      <c r="J845"/>
      <c r="K845"/>
      <c r="L845" s="64"/>
      <c r="M845" s="64"/>
      <c r="N845" s="16"/>
      <c r="O845" s="11"/>
      <c r="P845" s="11"/>
      <c r="Q845" s="11"/>
      <c r="R845" s="11"/>
      <c r="S845" s="11"/>
      <c r="T845" s="11"/>
      <c r="U845" s="11">
        <f t="shared" si="465"/>
        <v>0</v>
      </c>
      <c r="V845" s="2">
        <f t="shared" si="466"/>
        <v>0</v>
      </c>
      <c r="W845" s="11">
        <f t="shared" si="467"/>
        <v>0</v>
      </c>
      <c r="X845" s="2">
        <f t="shared" si="468"/>
        <v>0</v>
      </c>
      <c r="Y845" s="2">
        <f t="shared" si="469"/>
        <v>0</v>
      </c>
      <c r="Z845" s="11">
        <f t="shared" si="470"/>
        <v>0</v>
      </c>
      <c r="AA845" s="2">
        <f t="shared" si="471"/>
        <v>0</v>
      </c>
      <c r="AB845" s="11">
        <f t="shared" si="472"/>
        <v>0</v>
      </c>
      <c r="AC845" s="2">
        <f t="shared" si="473"/>
        <v>0</v>
      </c>
      <c r="AF845" s="11">
        <f t="shared" si="474"/>
        <v>0</v>
      </c>
      <c r="AG845" s="2">
        <f t="shared" si="475"/>
        <v>0</v>
      </c>
      <c r="AH845" s="2">
        <f t="shared" si="476"/>
        <v>0</v>
      </c>
      <c r="AI845" s="2">
        <f t="shared" si="477"/>
        <v>0</v>
      </c>
      <c r="AJ845" s="2">
        <f t="shared" si="478"/>
        <v>0</v>
      </c>
      <c r="AK845" s="2">
        <f t="shared" si="479"/>
        <v>0</v>
      </c>
      <c r="AL845" s="2">
        <f t="shared" si="480"/>
        <v>0</v>
      </c>
      <c r="AM845" s="11"/>
      <c r="AN845" s="2" t="e">
        <f t="shared" si="457"/>
        <v>#N/A</v>
      </c>
      <c r="AO845" s="2" t="e">
        <f t="shared" si="458"/>
        <v>#N/A</v>
      </c>
      <c r="AP845" s="2" t="e">
        <f t="shared" si="459"/>
        <v>#N/A</v>
      </c>
      <c r="AQ845" s="2" t="e">
        <f t="shared" si="460"/>
        <v>#N/A</v>
      </c>
      <c r="AR845" s="2" t="e">
        <f t="shared" si="461"/>
        <v>#N/A</v>
      </c>
      <c r="AS845" s="2" t="e">
        <f t="shared" si="462"/>
        <v>#DIV/0!</v>
      </c>
      <c r="AT845" s="9" t="e">
        <f t="shared" ca="1" si="463"/>
        <v>#N/A</v>
      </c>
      <c r="AU845" s="9" t="e">
        <f t="shared" ca="1" si="464"/>
        <v>#N/A</v>
      </c>
      <c r="AW845" s="2" t="e">
        <f t="shared" si="449"/>
        <v>#N/A</v>
      </c>
      <c r="AX845" s="2" t="e">
        <f t="shared" si="450"/>
        <v>#N/A</v>
      </c>
      <c r="AY845" s="2" t="e">
        <f t="shared" si="451"/>
        <v>#N/A</v>
      </c>
      <c r="AZ845" s="2" t="e">
        <f t="shared" si="452"/>
        <v>#N/A</v>
      </c>
      <c r="BA845" s="2" t="e">
        <f t="shared" si="453"/>
        <v>#N/A</v>
      </c>
      <c r="BB845" s="2" t="e">
        <f t="shared" si="454"/>
        <v>#DIV/0!</v>
      </c>
      <c r="BC845" s="9" t="e">
        <f t="shared" ca="1" si="455"/>
        <v>#N/A</v>
      </c>
      <c r="BD845" s="9" t="e">
        <f t="shared" ca="1" si="456"/>
        <v>#N/A</v>
      </c>
    </row>
    <row r="846" spans="1:56" ht="15" x14ac:dyDescent="0.25">
      <c r="A846"/>
      <c r="B846"/>
      <c r="C846"/>
      <c r="D846"/>
      <c r="E846"/>
      <c r="F846"/>
      <c r="G846"/>
      <c r="H846"/>
      <c r="I846"/>
      <c r="J846"/>
      <c r="K846"/>
      <c r="L846" s="64"/>
      <c r="M846" s="64"/>
      <c r="N846" s="16"/>
      <c r="O846" s="11"/>
      <c r="P846" s="11"/>
      <c r="Q846" s="11"/>
      <c r="R846" s="11"/>
      <c r="S846" s="11"/>
      <c r="T846" s="11"/>
      <c r="U846" s="11">
        <f t="shared" si="465"/>
        <v>0</v>
      </c>
      <c r="V846" s="2">
        <f t="shared" si="466"/>
        <v>0</v>
      </c>
      <c r="W846" s="11">
        <f t="shared" si="467"/>
        <v>0</v>
      </c>
      <c r="X846" s="2">
        <f t="shared" si="468"/>
        <v>0</v>
      </c>
      <c r="Y846" s="2">
        <f t="shared" si="469"/>
        <v>0</v>
      </c>
      <c r="Z846" s="11">
        <f t="shared" si="470"/>
        <v>0</v>
      </c>
      <c r="AA846" s="2">
        <f t="shared" si="471"/>
        <v>0</v>
      </c>
      <c r="AB846" s="11">
        <f t="shared" si="472"/>
        <v>0</v>
      </c>
      <c r="AC846" s="2">
        <f t="shared" si="473"/>
        <v>0</v>
      </c>
      <c r="AF846" s="11">
        <f t="shared" si="474"/>
        <v>0</v>
      </c>
      <c r="AG846" s="2">
        <f t="shared" si="475"/>
        <v>0</v>
      </c>
      <c r="AH846" s="2">
        <f t="shared" si="476"/>
        <v>0</v>
      </c>
      <c r="AI846" s="2">
        <f t="shared" si="477"/>
        <v>0</v>
      </c>
      <c r="AJ846" s="2">
        <f t="shared" si="478"/>
        <v>0</v>
      </c>
      <c r="AK846" s="2">
        <f t="shared" si="479"/>
        <v>0</v>
      </c>
      <c r="AL846" s="2">
        <f t="shared" si="480"/>
        <v>0</v>
      </c>
      <c r="AM846" s="11"/>
      <c r="AN846" s="2" t="e">
        <f t="shared" si="457"/>
        <v>#N/A</v>
      </c>
      <c r="AO846" s="2" t="e">
        <f t="shared" si="458"/>
        <v>#N/A</v>
      </c>
      <c r="AP846" s="2" t="e">
        <f t="shared" si="459"/>
        <v>#N/A</v>
      </c>
      <c r="AQ846" s="2" t="e">
        <f t="shared" si="460"/>
        <v>#N/A</v>
      </c>
      <c r="AR846" s="2" t="e">
        <f t="shared" si="461"/>
        <v>#N/A</v>
      </c>
      <c r="AS846" s="2" t="e">
        <f t="shared" si="462"/>
        <v>#DIV/0!</v>
      </c>
      <c r="AT846" s="9" t="e">
        <f t="shared" ca="1" si="463"/>
        <v>#N/A</v>
      </c>
      <c r="AU846" s="9" t="e">
        <f t="shared" ca="1" si="464"/>
        <v>#N/A</v>
      </c>
      <c r="AW846" s="2" t="e">
        <f t="shared" si="449"/>
        <v>#N/A</v>
      </c>
      <c r="AX846" s="2" t="e">
        <f t="shared" si="450"/>
        <v>#N/A</v>
      </c>
      <c r="AY846" s="2" t="e">
        <f t="shared" si="451"/>
        <v>#N/A</v>
      </c>
      <c r="AZ846" s="2" t="e">
        <f t="shared" si="452"/>
        <v>#N/A</v>
      </c>
      <c r="BA846" s="2" t="e">
        <f t="shared" si="453"/>
        <v>#N/A</v>
      </c>
      <c r="BB846" s="2" t="e">
        <f t="shared" si="454"/>
        <v>#DIV/0!</v>
      </c>
      <c r="BC846" s="9" t="e">
        <f t="shared" ca="1" si="455"/>
        <v>#N/A</v>
      </c>
      <c r="BD846" s="9" t="e">
        <f t="shared" ca="1" si="456"/>
        <v>#N/A</v>
      </c>
    </row>
    <row r="847" spans="1:56" ht="15" x14ac:dyDescent="0.25">
      <c r="A847"/>
      <c r="B847"/>
      <c r="C847"/>
      <c r="D847"/>
      <c r="E847"/>
      <c r="F847"/>
      <c r="G847"/>
      <c r="H847"/>
      <c r="I847"/>
      <c r="J847"/>
      <c r="K847"/>
      <c r="L847" s="64"/>
      <c r="M847" s="64"/>
      <c r="N847" s="16"/>
      <c r="O847" s="11"/>
      <c r="P847" s="11"/>
      <c r="Q847" s="11"/>
      <c r="R847" s="11"/>
      <c r="S847" s="11"/>
      <c r="T847" s="11"/>
      <c r="U847" s="11">
        <f t="shared" si="465"/>
        <v>0</v>
      </c>
      <c r="V847" s="2">
        <f t="shared" si="466"/>
        <v>0</v>
      </c>
      <c r="W847" s="11">
        <f t="shared" si="467"/>
        <v>0</v>
      </c>
      <c r="X847" s="2">
        <f t="shared" si="468"/>
        <v>0</v>
      </c>
      <c r="Y847" s="2">
        <f t="shared" si="469"/>
        <v>0</v>
      </c>
      <c r="Z847" s="11">
        <f t="shared" si="470"/>
        <v>0</v>
      </c>
      <c r="AA847" s="2">
        <f t="shared" si="471"/>
        <v>0</v>
      </c>
      <c r="AB847" s="11">
        <f t="shared" si="472"/>
        <v>0</v>
      </c>
      <c r="AC847" s="2">
        <f t="shared" si="473"/>
        <v>0</v>
      </c>
      <c r="AF847" s="11">
        <f t="shared" si="474"/>
        <v>0</v>
      </c>
      <c r="AG847" s="2">
        <f t="shared" si="475"/>
        <v>0</v>
      </c>
      <c r="AH847" s="2">
        <f t="shared" si="476"/>
        <v>0</v>
      </c>
      <c r="AI847" s="2">
        <f t="shared" si="477"/>
        <v>0</v>
      </c>
      <c r="AJ847" s="2">
        <f t="shared" si="478"/>
        <v>0</v>
      </c>
      <c r="AK847" s="2">
        <f t="shared" si="479"/>
        <v>0</v>
      </c>
      <c r="AL847" s="2">
        <f t="shared" si="480"/>
        <v>0</v>
      </c>
      <c r="AM847" s="11"/>
      <c r="AN847" s="2" t="e">
        <f t="shared" si="457"/>
        <v>#N/A</v>
      </c>
      <c r="AO847" s="2" t="e">
        <f t="shared" si="458"/>
        <v>#N/A</v>
      </c>
      <c r="AP847" s="2" t="e">
        <f t="shared" si="459"/>
        <v>#N/A</v>
      </c>
      <c r="AQ847" s="2" t="e">
        <f t="shared" si="460"/>
        <v>#N/A</v>
      </c>
      <c r="AR847" s="2" t="e">
        <f t="shared" si="461"/>
        <v>#N/A</v>
      </c>
      <c r="AS847" s="2" t="e">
        <f t="shared" si="462"/>
        <v>#DIV/0!</v>
      </c>
      <c r="AT847" s="9" t="e">
        <f t="shared" ca="1" si="463"/>
        <v>#N/A</v>
      </c>
      <c r="AU847" s="9" t="e">
        <f t="shared" ca="1" si="464"/>
        <v>#N/A</v>
      </c>
      <c r="AW847" s="2" t="e">
        <f t="shared" si="449"/>
        <v>#N/A</v>
      </c>
      <c r="AX847" s="2" t="e">
        <f t="shared" si="450"/>
        <v>#N/A</v>
      </c>
      <c r="AY847" s="2" t="e">
        <f t="shared" si="451"/>
        <v>#N/A</v>
      </c>
      <c r="AZ847" s="2" t="e">
        <f t="shared" si="452"/>
        <v>#N/A</v>
      </c>
      <c r="BA847" s="2" t="e">
        <f t="shared" si="453"/>
        <v>#N/A</v>
      </c>
      <c r="BB847" s="2" t="e">
        <f t="shared" si="454"/>
        <v>#DIV/0!</v>
      </c>
      <c r="BC847" s="9" t="e">
        <f t="shared" ca="1" si="455"/>
        <v>#N/A</v>
      </c>
      <c r="BD847" s="9" t="e">
        <f t="shared" ca="1" si="456"/>
        <v>#N/A</v>
      </c>
    </row>
    <row r="848" spans="1:56" ht="15" x14ac:dyDescent="0.25">
      <c r="A848"/>
      <c r="B848"/>
      <c r="C848"/>
      <c r="D848"/>
      <c r="E848"/>
      <c r="F848"/>
      <c r="G848"/>
      <c r="H848"/>
      <c r="I848"/>
      <c r="J848"/>
      <c r="K848"/>
      <c r="L848" s="64"/>
      <c r="M848" s="64"/>
      <c r="N848" s="16"/>
      <c r="O848" s="11"/>
      <c r="P848" s="11"/>
      <c r="Q848" s="11"/>
      <c r="R848" s="11"/>
      <c r="S848" s="11"/>
      <c r="T848" s="11"/>
      <c r="U848" s="11">
        <f t="shared" si="465"/>
        <v>0</v>
      </c>
      <c r="V848" s="2">
        <f t="shared" si="466"/>
        <v>0</v>
      </c>
      <c r="W848" s="11">
        <f t="shared" si="467"/>
        <v>0</v>
      </c>
      <c r="X848" s="2">
        <f t="shared" si="468"/>
        <v>0</v>
      </c>
      <c r="Y848" s="2">
        <f t="shared" si="469"/>
        <v>0</v>
      </c>
      <c r="Z848" s="11">
        <f t="shared" si="470"/>
        <v>0</v>
      </c>
      <c r="AA848" s="2">
        <f t="shared" si="471"/>
        <v>0</v>
      </c>
      <c r="AB848" s="11">
        <f t="shared" si="472"/>
        <v>0</v>
      </c>
      <c r="AC848" s="2">
        <f t="shared" si="473"/>
        <v>0</v>
      </c>
      <c r="AF848" s="11">
        <f t="shared" si="474"/>
        <v>0</v>
      </c>
      <c r="AG848" s="2">
        <f t="shared" si="475"/>
        <v>0</v>
      </c>
      <c r="AH848" s="2">
        <f t="shared" si="476"/>
        <v>0</v>
      </c>
      <c r="AI848" s="2">
        <f t="shared" si="477"/>
        <v>0</v>
      </c>
      <c r="AJ848" s="2">
        <f t="shared" si="478"/>
        <v>0</v>
      </c>
      <c r="AK848" s="2">
        <f t="shared" si="479"/>
        <v>0</v>
      </c>
      <c r="AL848" s="2">
        <f t="shared" si="480"/>
        <v>0</v>
      </c>
      <c r="AM848" s="11"/>
      <c r="AN848" s="2" t="e">
        <f t="shared" si="457"/>
        <v>#N/A</v>
      </c>
      <c r="AO848" s="2" t="e">
        <f t="shared" si="458"/>
        <v>#N/A</v>
      </c>
      <c r="AP848" s="2" t="e">
        <f t="shared" si="459"/>
        <v>#N/A</v>
      </c>
      <c r="AQ848" s="2" t="e">
        <f t="shared" si="460"/>
        <v>#N/A</v>
      </c>
      <c r="AR848" s="2" t="e">
        <f t="shared" si="461"/>
        <v>#N/A</v>
      </c>
      <c r="AS848" s="2" t="e">
        <f t="shared" si="462"/>
        <v>#DIV/0!</v>
      </c>
      <c r="AT848" s="9" t="e">
        <f t="shared" ca="1" si="463"/>
        <v>#N/A</v>
      </c>
      <c r="AU848" s="9" t="e">
        <f t="shared" ca="1" si="464"/>
        <v>#N/A</v>
      </c>
      <c r="AW848" s="2" t="e">
        <f t="shared" si="449"/>
        <v>#N/A</v>
      </c>
      <c r="AX848" s="2" t="e">
        <f t="shared" si="450"/>
        <v>#N/A</v>
      </c>
      <c r="AY848" s="2" t="e">
        <f t="shared" si="451"/>
        <v>#N/A</v>
      </c>
      <c r="AZ848" s="2" t="e">
        <f t="shared" si="452"/>
        <v>#N/A</v>
      </c>
      <c r="BA848" s="2" t="e">
        <f t="shared" si="453"/>
        <v>#N/A</v>
      </c>
      <c r="BB848" s="2" t="e">
        <f t="shared" si="454"/>
        <v>#DIV/0!</v>
      </c>
      <c r="BC848" s="9" t="e">
        <f t="shared" ca="1" si="455"/>
        <v>#N/A</v>
      </c>
      <c r="BD848" s="9" t="e">
        <f t="shared" ca="1" si="456"/>
        <v>#N/A</v>
      </c>
    </row>
    <row r="849" spans="1:56" ht="15" x14ac:dyDescent="0.25">
      <c r="A849"/>
      <c r="B849"/>
      <c r="C849"/>
      <c r="D849"/>
      <c r="E849"/>
      <c r="F849"/>
      <c r="G849"/>
      <c r="H849"/>
      <c r="I849"/>
      <c r="J849"/>
      <c r="K849"/>
      <c r="L849" s="64"/>
      <c r="M849" s="64"/>
      <c r="N849" s="16"/>
      <c r="O849" s="11"/>
      <c r="P849" s="11"/>
      <c r="Q849" s="11"/>
      <c r="R849" s="11"/>
      <c r="S849" s="11"/>
      <c r="T849" s="11"/>
      <c r="U849" s="11">
        <f t="shared" si="465"/>
        <v>0</v>
      </c>
      <c r="V849" s="2">
        <f t="shared" si="466"/>
        <v>0</v>
      </c>
      <c r="W849" s="11">
        <f t="shared" si="467"/>
        <v>0</v>
      </c>
      <c r="X849" s="2">
        <f t="shared" si="468"/>
        <v>0</v>
      </c>
      <c r="Y849" s="2">
        <f t="shared" si="469"/>
        <v>0</v>
      </c>
      <c r="Z849" s="11">
        <f t="shared" si="470"/>
        <v>0</v>
      </c>
      <c r="AA849" s="2">
        <f t="shared" si="471"/>
        <v>0</v>
      </c>
      <c r="AB849" s="11">
        <f t="shared" si="472"/>
        <v>0</v>
      </c>
      <c r="AC849" s="2">
        <f t="shared" si="473"/>
        <v>0</v>
      </c>
      <c r="AF849" s="11">
        <f t="shared" si="474"/>
        <v>0</v>
      </c>
      <c r="AG849" s="2">
        <f t="shared" si="475"/>
        <v>0</v>
      </c>
      <c r="AH849" s="2">
        <f t="shared" si="476"/>
        <v>0</v>
      </c>
      <c r="AI849" s="2">
        <f t="shared" si="477"/>
        <v>0</v>
      </c>
      <c r="AJ849" s="2">
        <f t="shared" si="478"/>
        <v>0</v>
      </c>
      <c r="AK849" s="2">
        <f t="shared" si="479"/>
        <v>0</v>
      </c>
      <c r="AL849" s="2">
        <f t="shared" si="480"/>
        <v>0</v>
      </c>
      <c r="AM849" s="11"/>
      <c r="AN849" s="2" t="e">
        <f t="shared" si="457"/>
        <v>#N/A</v>
      </c>
      <c r="AO849" s="2" t="e">
        <f t="shared" si="458"/>
        <v>#N/A</v>
      </c>
      <c r="AP849" s="2" t="e">
        <f t="shared" si="459"/>
        <v>#N/A</v>
      </c>
      <c r="AQ849" s="2" t="e">
        <f t="shared" si="460"/>
        <v>#N/A</v>
      </c>
      <c r="AR849" s="2" t="e">
        <f t="shared" si="461"/>
        <v>#N/A</v>
      </c>
      <c r="AS849" s="2" t="e">
        <f t="shared" si="462"/>
        <v>#DIV/0!</v>
      </c>
      <c r="AT849" s="9" t="e">
        <f t="shared" ca="1" si="463"/>
        <v>#N/A</v>
      </c>
      <c r="AU849" s="9" t="e">
        <f t="shared" ca="1" si="464"/>
        <v>#N/A</v>
      </c>
      <c r="AW849" s="2" t="e">
        <f t="shared" si="449"/>
        <v>#N/A</v>
      </c>
      <c r="AX849" s="2" t="e">
        <f t="shared" si="450"/>
        <v>#N/A</v>
      </c>
      <c r="AY849" s="2" t="e">
        <f t="shared" si="451"/>
        <v>#N/A</v>
      </c>
      <c r="AZ849" s="2" t="e">
        <f t="shared" si="452"/>
        <v>#N/A</v>
      </c>
      <c r="BA849" s="2" t="e">
        <f t="shared" si="453"/>
        <v>#N/A</v>
      </c>
      <c r="BB849" s="2" t="e">
        <f t="shared" si="454"/>
        <v>#DIV/0!</v>
      </c>
      <c r="BC849" s="9" t="e">
        <f t="shared" ca="1" si="455"/>
        <v>#N/A</v>
      </c>
      <c r="BD849" s="9" t="e">
        <f t="shared" ca="1" si="456"/>
        <v>#N/A</v>
      </c>
    </row>
    <row r="850" spans="1:56" ht="15" x14ac:dyDescent="0.25">
      <c r="A850"/>
      <c r="B850"/>
      <c r="C850"/>
      <c r="D850"/>
      <c r="E850"/>
      <c r="F850"/>
      <c r="G850"/>
      <c r="H850"/>
      <c r="I850"/>
      <c r="J850"/>
      <c r="K850"/>
      <c r="L850" s="64"/>
      <c r="M850" s="64"/>
      <c r="N850" s="16"/>
      <c r="O850" s="11"/>
      <c r="P850" s="11"/>
      <c r="Q850" s="11"/>
      <c r="R850" s="11"/>
      <c r="S850" s="11"/>
      <c r="T850" s="11"/>
      <c r="U850" s="11">
        <f t="shared" si="465"/>
        <v>0</v>
      </c>
      <c r="V850" s="2">
        <f t="shared" si="466"/>
        <v>0</v>
      </c>
      <c r="W850" s="11">
        <f t="shared" si="467"/>
        <v>0</v>
      </c>
      <c r="X850" s="2">
        <f t="shared" si="468"/>
        <v>0</v>
      </c>
      <c r="Y850" s="2">
        <f t="shared" si="469"/>
        <v>0</v>
      </c>
      <c r="Z850" s="11">
        <f t="shared" si="470"/>
        <v>0</v>
      </c>
      <c r="AA850" s="2">
        <f t="shared" si="471"/>
        <v>0</v>
      </c>
      <c r="AB850" s="11">
        <f t="shared" si="472"/>
        <v>0</v>
      </c>
      <c r="AC850" s="2">
        <f t="shared" si="473"/>
        <v>0</v>
      </c>
      <c r="AF850" s="11">
        <f t="shared" si="474"/>
        <v>0</v>
      </c>
      <c r="AG850" s="2">
        <f t="shared" si="475"/>
        <v>0</v>
      </c>
      <c r="AH850" s="2">
        <f t="shared" si="476"/>
        <v>0</v>
      </c>
      <c r="AI850" s="2">
        <f t="shared" si="477"/>
        <v>0</v>
      </c>
      <c r="AJ850" s="2">
        <f t="shared" si="478"/>
        <v>0</v>
      </c>
      <c r="AK850" s="2">
        <f t="shared" si="479"/>
        <v>0</v>
      </c>
      <c r="AL850" s="2">
        <f t="shared" si="480"/>
        <v>0</v>
      </c>
      <c r="AM850" s="11"/>
      <c r="AN850" s="2" t="e">
        <f t="shared" si="457"/>
        <v>#N/A</v>
      </c>
      <c r="AO850" s="2" t="e">
        <f t="shared" si="458"/>
        <v>#N/A</v>
      </c>
      <c r="AP850" s="2" t="e">
        <f t="shared" si="459"/>
        <v>#N/A</v>
      </c>
      <c r="AQ850" s="2" t="e">
        <f t="shared" si="460"/>
        <v>#N/A</v>
      </c>
      <c r="AR850" s="2" t="e">
        <f t="shared" si="461"/>
        <v>#N/A</v>
      </c>
      <c r="AS850" s="2" t="e">
        <f t="shared" si="462"/>
        <v>#DIV/0!</v>
      </c>
      <c r="AT850" s="9" t="e">
        <f t="shared" ca="1" si="463"/>
        <v>#N/A</v>
      </c>
      <c r="AU850" s="9" t="e">
        <f t="shared" ca="1" si="464"/>
        <v>#N/A</v>
      </c>
      <c r="AW850" s="2" t="e">
        <f t="shared" si="449"/>
        <v>#N/A</v>
      </c>
      <c r="AX850" s="2" t="e">
        <f t="shared" si="450"/>
        <v>#N/A</v>
      </c>
      <c r="AY850" s="2" t="e">
        <f t="shared" si="451"/>
        <v>#N/A</v>
      </c>
      <c r="AZ850" s="2" t="e">
        <f t="shared" si="452"/>
        <v>#N/A</v>
      </c>
      <c r="BA850" s="2" t="e">
        <f t="shared" si="453"/>
        <v>#N/A</v>
      </c>
      <c r="BB850" s="2" t="e">
        <f t="shared" si="454"/>
        <v>#DIV/0!</v>
      </c>
      <c r="BC850" s="9" t="e">
        <f t="shared" ca="1" si="455"/>
        <v>#N/A</v>
      </c>
      <c r="BD850" s="9" t="e">
        <f t="shared" ca="1" si="456"/>
        <v>#N/A</v>
      </c>
    </row>
    <row r="851" spans="1:56" ht="15" x14ac:dyDescent="0.25">
      <c r="A851"/>
      <c r="B851"/>
      <c r="C851"/>
      <c r="D851"/>
      <c r="E851"/>
      <c r="F851"/>
      <c r="G851"/>
      <c r="H851"/>
      <c r="I851"/>
      <c r="J851"/>
      <c r="K851"/>
      <c r="L851" s="64"/>
      <c r="M851" s="64"/>
      <c r="N851" s="16"/>
      <c r="O851" s="11"/>
      <c r="P851" s="11"/>
      <c r="Q851" s="11"/>
      <c r="R851" s="11"/>
      <c r="S851" s="11"/>
      <c r="T851" s="11"/>
      <c r="U851" s="11">
        <f t="shared" si="465"/>
        <v>0</v>
      </c>
      <c r="V851" s="2">
        <f t="shared" si="466"/>
        <v>0</v>
      </c>
      <c r="W851" s="11">
        <f t="shared" si="467"/>
        <v>0</v>
      </c>
      <c r="X851" s="2">
        <f t="shared" si="468"/>
        <v>0</v>
      </c>
      <c r="Y851" s="2">
        <f t="shared" si="469"/>
        <v>0</v>
      </c>
      <c r="Z851" s="11">
        <f t="shared" si="470"/>
        <v>0</v>
      </c>
      <c r="AA851" s="2">
        <f t="shared" si="471"/>
        <v>0</v>
      </c>
      <c r="AB851" s="11">
        <f t="shared" si="472"/>
        <v>0</v>
      </c>
      <c r="AC851" s="2">
        <f t="shared" si="473"/>
        <v>0</v>
      </c>
      <c r="AF851" s="11">
        <f t="shared" si="474"/>
        <v>0</v>
      </c>
      <c r="AG851" s="2">
        <f t="shared" si="475"/>
        <v>0</v>
      </c>
      <c r="AH851" s="2">
        <f t="shared" si="476"/>
        <v>0</v>
      </c>
      <c r="AI851" s="2">
        <f t="shared" si="477"/>
        <v>0</v>
      </c>
      <c r="AJ851" s="2">
        <f t="shared" si="478"/>
        <v>0</v>
      </c>
      <c r="AK851" s="2">
        <f t="shared" si="479"/>
        <v>0</v>
      </c>
      <c r="AL851" s="2">
        <f t="shared" si="480"/>
        <v>0</v>
      </c>
      <c r="AM851" s="11"/>
      <c r="AN851" s="2" t="e">
        <f t="shared" si="457"/>
        <v>#N/A</v>
      </c>
      <c r="AO851" s="2" t="e">
        <f t="shared" si="458"/>
        <v>#N/A</v>
      </c>
      <c r="AP851" s="2" t="e">
        <f t="shared" si="459"/>
        <v>#N/A</v>
      </c>
      <c r="AQ851" s="2" t="e">
        <f t="shared" si="460"/>
        <v>#N/A</v>
      </c>
      <c r="AR851" s="2" t="e">
        <f t="shared" si="461"/>
        <v>#N/A</v>
      </c>
      <c r="AS851" s="2" t="e">
        <f t="shared" si="462"/>
        <v>#DIV/0!</v>
      </c>
      <c r="AT851" s="9" t="e">
        <f t="shared" ca="1" si="463"/>
        <v>#N/A</v>
      </c>
      <c r="AU851" s="9" t="e">
        <f t="shared" ca="1" si="464"/>
        <v>#N/A</v>
      </c>
      <c r="AW851" s="2" t="e">
        <f t="shared" si="449"/>
        <v>#N/A</v>
      </c>
      <c r="AX851" s="2" t="e">
        <f t="shared" si="450"/>
        <v>#N/A</v>
      </c>
      <c r="AY851" s="2" t="e">
        <f t="shared" si="451"/>
        <v>#N/A</v>
      </c>
      <c r="AZ851" s="2" t="e">
        <f t="shared" si="452"/>
        <v>#N/A</v>
      </c>
      <c r="BA851" s="2" t="e">
        <f t="shared" si="453"/>
        <v>#N/A</v>
      </c>
      <c r="BB851" s="2" t="e">
        <f t="shared" si="454"/>
        <v>#DIV/0!</v>
      </c>
      <c r="BC851" s="9" t="e">
        <f t="shared" ca="1" si="455"/>
        <v>#N/A</v>
      </c>
      <c r="BD851" s="9" t="e">
        <f t="shared" ca="1" si="456"/>
        <v>#N/A</v>
      </c>
    </row>
    <row r="852" spans="1:56" ht="15" x14ac:dyDescent="0.25">
      <c r="A852"/>
      <c r="B852"/>
      <c r="C852"/>
      <c r="D852"/>
      <c r="E852"/>
      <c r="F852"/>
      <c r="G852"/>
      <c r="H852"/>
      <c r="I852"/>
      <c r="J852"/>
      <c r="K852"/>
      <c r="L852" s="64"/>
      <c r="M852" s="64"/>
      <c r="N852" s="16"/>
      <c r="O852" s="11"/>
      <c r="P852" s="11"/>
      <c r="Q852" s="11"/>
      <c r="R852" s="11"/>
      <c r="S852" s="11"/>
      <c r="T852" s="11"/>
      <c r="U852" s="11">
        <f t="shared" si="465"/>
        <v>0</v>
      </c>
      <c r="V852" s="2">
        <f t="shared" si="466"/>
        <v>0</v>
      </c>
      <c r="W852" s="11">
        <f t="shared" si="467"/>
        <v>0</v>
      </c>
      <c r="X852" s="2">
        <f t="shared" si="468"/>
        <v>0</v>
      </c>
      <c r="Y852" s="2">
        <f t="shared" si="469"/>
        <v>0</v>
      </c>
      <c r="Z852" s="11">
        <f t="shared" si="470"/>
        <v>0</v>
      </c>
      <c r="AA852" s="2">
        <f t="shared" si="471"/>
        <v>0</v>
      </c>
      <c r="AB852" s="11">
        <f t="shared" si="472"/>
        <v>0</v>
      </c>
      <c r="AC852" s="2">
        <f t="shared" si="473"/>
        <v>0</v>
      </c>
      <c r="AF852" s="11">
        <f t="shared" si="474"/>
        <v>0</v>
      </c>
      <c r="AG852" s="2">
        <f t="shared" si="475"/>
        <v>0</v>
      </c>
      <c r="AH852" s="2">
        <f t="shared" si="476"/>
        <v>0</v>
      </c>
      <c r="AI852" s="2">
        <f t="shared" si="477"/>
        <v>0</v>
      </c>
      <c r="AJ852" s="2">
        <f t="shared" si="478"/>
        <v>0</v>
      </c>
      <c r="AK852" s="2">
        <f t="shared" si="479"/>
        <v>0</v>
      </c>
      <c r="AL852" s="2">
        <f t="shared" si="480"/>
        <v>0</v>
      </c>
      <c r="AM852" s="11"/>
      <c r="AN852" s="2" t="e">
        <f t="shared" si="457"/>
        <v>#N/A</v>
      </c>
      <c r="AO852" s="2" t="e">
        <f t="shared" si="458"/>
        <v>#N/A</v>
      </c>
      <c r="AP852" s="2" t="e">
        <f t="shared" si="459"/>
        <v>#N/A</v>
      </c>
      <c r="AQ852" s="2" t="e">
        <f t="shared" si="460"/>
        <v>#N/A</v>
      </c>
      <c r="AR852" s="2" t="e">
        <f t="shared" si="461"/>
        <v>#N/A</v>
      </c>
      <c r="AS852" s="2" t="e">
        <f t="shared" si="462"/>
        <v>#DIV/0!</v>
      </c>
      <c r="AT852" s="9" t="e">
        <f t="shared" ca="1" si="463"/>
        <v>#N/A</v>
      </c>
      <c r="AU852" s="9" t="e">
        <f t="shared" ca="1" si="464"/>
        <v>#N/A</v>
      </c>
      <c r="AW852" s="2" t="e">
        <f t="shared" si="449"/>
        <v>#N/A</v>
      </c>
      <c r="AX852" s="2" t="e">
        <f t="shared" si="450"/>
        <v>#N/A</v>
      </c>
      <c r="AY852" s="2" t="e">
        <f t="shared" si="451"/>
        <v>#N/A</v>
      </c>
      <c r="AZ852" s="2" t="e">
        <f t="shared" si="452"/>
        <v>#N/A</v>
      </c>
      <c r="BA852" s="2" t="e">
        <f t="shared" si="453"/>
        <v>#N/A</v>
      </c>
      <c r="BB852" s="2" t="e">
        <f t="shared" si="454"/>
        <v>#DIV/0!</v>
      </c>
      <c r="BC852" s="9" t="e">
        <f t="shared" ca="1" si="455"/>
        <v>#N/A</v>
      </c>
      <c r="BD852" s="9" t="e">
        <f t="shared" ca="1" si="456"/>
        <v>#N/A</v>
      </c>
    </row>
    <row r="853" spans="1:56" ht="15" x14ac:dyDescent="0.25">
      <c r="A853"/>
      <c r="B853"/>
      <c r="C853"/>
      <c r="D853"/>
      <c r="E853"/>
      <c r="F853"/>
      <c r="G853"/>
      <c r="H853"/>
      <c r="I853"/>
      <c r="J853"/>
      <c r="K853"/>
      <c r="L853" s="64"/>
      <c r="M853" s="64"/>
      <c r="N853" s="16"/>
      <c r="O853" s="11"/>
      <c r="P853" s="11"/>
      <c r="Q853" s="11"/>
      <c r="R853" s="11"/>
      <c r="S853" s="11"/>
      <c r="T853" s="11"/>
      <c r="U853" s="11">
        <f t="shared" si="465"/>
        <v>0</v>
      </c>
      <c r="V853" s="2">
        <f t="shared" si="466"/>
        <v>0</v>
      </c>
      <c r="W853" s="11">
        <f t="shared" si="467"/>
        <v>0</v>
      </c>
      <c r="X853" s="2">
        <f t="shared" si="468"/>
        <v>0</v>
      </c>
      <c r="Y853" s="2">
        <f t="shared" si="469"/>
        <v>0</v>
      </c>
      <c r="Z853" s="11">
        <f t="shared" si="470"/>
        <v>0</v>
      </c>
      <c r="AA853" s="2">
        <f t="shared" si="471"/>
        <v>0</v>
      </c>
      <c r="AB853" s="11">
        <f t="shared" si="472"/>
        <v>0</v>
      </c>
      <c r="AC853" s="2">
        <f t="shared" si="473"/>
        <v>0</v>
      </c>
      <c r="AF853" s="11">
        <f t="shared" si="474"/>
        <v>0</v>
      </c>
      <c r="AG853" s="2">
        <f t="shared" si="475"/>
        <v>0</v>
      </c>
      <c r="AH853" s="2">
        <f t="shared" si="476"/>
        <v>0</v>
      </c>
      <c r="AI853" s="2">
        <f t="shared" si="477"/>
        <v>0</v>
      </c>
      <c r="AJ853" s="2">
        <f t="shared" si="478"/>
        <v>0</v>
      </c>
      <c r="AK853" s="2">
        <f t="shared" si="479"/>
        <v>0</v>
      </c>
      <c r="AL853" s="2">
        <f t="shared" si="480"/>
        <v>0</v>
      </c>
      <c r="AM853" s="11"/>
      <c r="AN853" s="2" t="e">
        <f t="shared" si="457"/>
        <v>#N/A</v>
      </c>
      <c r="AO853" s="2" t="e">
        <f t="shared" si="458"/>
        <v>#N/A</v>
      </c>
      <c r="AP853" s="2" t="e">
        <f t="shared" si="459"/>
        <v>#N/A</v>
      </c>
      <c r="AQ853" s="2" t="e">
        <f t="shared" si="460"/>
        <v>#N/A</v>
      </c>
      <c r="AR853" s="2" t="e">
        <f t="shared" si="461"/>
        <v>#N/A</v>
      </c>
      <c r="AS853" s="2" t="e">
        <f t="shared" si="462"/>
        <v>#DIV/0!</v>
      </c>
      <c r="AT853" s="9" t="e">
        <f t="shared" ca="1" si="463"/>
        <v>#N/A</v>
      </c>
      <c r="AU853" s="9" t="e">
        <f t="shared" ca="1" si="464"/>
        <v>#N/A</v>
      </c>
      <c r="AW853" s="2" t="e">
        <f t="shared" si="449"/>
        <v>#N/A</v>
      </c>
      <c r="AX853" s="2" t="e">
        <f t="shared" si="450"/>
        <v>#N/A</v>
      </c>
      <c r="AY853" s="2" t="e">
        <f t="shared" si="451"/>
        <v>#N/A</v>
      </c>
      <c r="AZ853" s="2" t="e">
        <f t="shared" si="452"/>
        <v>#N/A</v>
      </c>
      <c r="BA853" s="2" t="e">
        <f t="shared" si="453"/>
        <v>#N/A</v>
      </c>
      <c r="BB853" s="2" t="e">
        <f t="shared" si="454"/>
        <v>#DIV/0!</v>
      </c>
      <c r="BC853" s="9" t="e">
        <f t="shared" ca="1" si="455"/>
        <v>#N/A</v>
      </c>
      <c r="BD853" s="9" t="e">
        <f t="shared" ca="1" si="456"/>
        <v>#N/A</v>
      </c>
    </row>
    <row r="854" spans="1:56" ht="15" x14ac:dyDescent="0.25">
      <c r="A854"/>
      <c r="B854"/>
      <c r="C854"/>
      <c r="D854"/>
      <c r="E854"/>
      <c r="F854"/>
      <c r="G854"/>
      <c r="H854"/>
      <c r="I854"/>
      <c r="J854"/>
      <c r="K854"/>
      <c r="L854" s="64"/>
      <c r="M854" s="64"/>
      <c r="N854" s="16"/>
      <c r="O854" s="11"/>
      <c r="P854" s="11"/>
      <c r="Q854" s="11"/>
      <c r="R854" s="11"/>
      <c r="S854" s="11"/>
      <c r="T854" s="11"/>
      <c r="U854" s="11">
        <f t="shared" si="465"/>
        <v>0</v>
      </c>
      <c r="V854" s="2">
        <f t="shared" si="466"/>
        <v>0</v>
      </c>
      <c r="W854" s="11">
        <f t="shared" si="467"/>
        <v>0</v>
      </c>
      <c r="X854" s="2">
        <f t="shared" si="468"/>
        <v>0</v>
      </c>
      <c r="Y854" s="2">
        <f t="shared" si="469"/>
        <v>0</v>
      </c>
      <c r="Z854" s="11">
        <f t="shared" si="470"/>
        <v>0</v>
      </c>
      <c r="AA854" s="2">
        <f t="shared" si="471"/>
        <v>0</v>
      </c>
      <c r="AB854" s="11">
        <f t="shared" si="472"/>
        <v>0</v>
      </c>
      <c r="AC854" s="2">
        <f t="shared" si="473"/>
        <v>0</v>
      </c>
      <c r="AF854" s="11">
        <f t="shared" si="474"/>
        <v>0</v>
      </c>
      <c r="AG854" s="2">
        <f t="shared" si="475"/>
        <v>0</v>
      </c>
      <c r="AH854" s="2">
        <f t="shared" si="476"/>
        <v>0</v>
      </c>
      <c r="AI854" s="2">
        <f t="shared" si="477"/>
        <v>0</v>
      </c>
      <c r="AJ854" s="2">
        <f t="shared" si="478"/>
        <v>0</v>
      </c>
      <c r="AK854" s="2">
        <f t="shared" si="479"/>
        <v>0</v>
      </c>
      <c r="AL854" s="2">
        <f t="shared" si="480"/>
        <v>0</v>
      </c>
      <c r="AM854" s="11"/>
      <c r="AN854" s="2" t="e">
        <f t="shared" si="457"/>
        <v>#N/A</v>
      </c>
      <c r="AO854" s="2" t="e">
        <f t="shared" si="458"/>
        <v>#N/A</v>
      </c>
      <c r="AP854" s="2" t="e">
        <f t="shared" si="459"/>
        <v>#N/A</v>
      </c>
      <c r="AQ854" s="2" t="e">
        <f t="shared" si="460"/>
        <v>#N/A</v>
      </c>
      <c r="AR854" s="2" t="e">
        <f t="shared" si="461"/>
        <v>#N/A</v>
      </c>
      <c r="AS854" s="2" t="e">
        <f t="shared" si="462"/>
        <v>#DIV/0!</v>
      </c>
      <c r="AT854" s="9" t="e">
        <f t="shared" ca="1" si="463"/>
        <v>#N/A</v>
      </c>
      <c r="AU854" s="9" t="e">
        <f t="shared" ca="1" si="464"/>
        <v>#N/A</v>
      </c>
      <c r="AW854" s="2" t="e">
        <f t="shared" si="449"/>
        <v>#N/A</v>
      </c>
      <c r="AX854" s="2" t="e">
        <f t="shared" si="450"/>
        <v>#N/A</v>
      </c>
      <c r="AY854" s="2" t="e">
        <f t="shared" si="451"/>
        <v>#N/A</v>
      </c>
      <c r="AZ854" s="2" t="e">
        <f t="shared" si="452"/>
        <v>#N/A</v>
      </c>
      <c r="BA854" s="2" t="e">
        <f t="shared" si="453"/>
        <v>#N/A</v>
      </c>
      <c r="BB854" s="2" t="e">
        <f t="shared" si="454"/>
        <v>#DIV/0!</v>
      </c>
      <c r="BC854" s="9" t="e">
        <f t="shared" ca="1" si="455"/>
        <v>#N/A</v>
      </c>
      <c r="BD854" s="9" t="e">
        <f t="shared" ca="1" si="456"/>
        <v>#N/A</v>
      </c>
    </row>
    <row r="855" spans="1:56" ht="15" x14ac:dyDescent="0.25">
      <c r="A855"/>
      <c r="B855"/>
      <c r="C855"/>
      <c r="D855"/>
      <c r="E855"/>
      <c r="F855"/>
      <c r="G855"/>
      <c r="H855"/>
      <c r="I855"/>
      <c r="J855"/>
      <c r="K855"/>
      <c r="L855" s="64"/>
      <c r="M855" s="64"/>
      <c r="N855" s="16"/>
      <c r="O855" s="11"/>
      <c r="P855" s="11"/>
      <c r="Q855" s="11"/>
      <c r="R855" s="11"/>
      <c r="S855" s="11"/>
      <c r="T855" s="11"/>
      <c r="U855" s="11">
        <f t="shared" si="465"/>
        <v>0</v>
      </c>
      <c r="V855" s="2">
        <f t="shared" si="466"/>
        <v>0</v>
      </c>
      <c r="W855" s="11">
        <f t="shared" si="467"/>
        <v>0</v>
      </c>
      <c r="X855" s="2">
        <f t="shared" si="468"/>
        <v>0</v>
      </c>
      <c r="Y855" s="2">
        <f t="shared" si="469"/>
        <v>0</v>
      </c>
      <c r="Z855" s="11">
        <f t="shared" si="470"/>
        <v>0</v>
      </c>
      <c r="AA855" s="2">
        <f t="shared" si="471"/>
        <v>0</v>
      </c>
      <c r="AB855" s="11">
        <f t="shared" si="472"/>
        <v>0</v>
      </c>
      <c r="AC855" s="2">
        <f t="shared" si="473"/>
        <v>0</v>
      </c>
      <c r="AF855" s="11">
        <f t="shared" si="474"/>
        <v>0</v>
      </c>
      <c r="AG855" s="2">
        <f t="shared" si="475"/>
        <v>0</v>
      </c>
      <c r="AH855" s="2">
        <f t="shared" si="476"/>
        <v>0</v>
      </c>
      <c r="AI855" s="2">
        <f t="shared" si="477"/>
        <v>0</v>
      </c>
      <c r="AJ855" s="2">
        <f t="shared" si="478"/>
        <v>0</v>
      </c>
      <c r="AK855" s="2">
        <f t="shared" si="479"/>
        <v>0</v>
      </c>
      <c r="AL855" s="2">
        <f t="shared" si="480"/>
        <v>0</v>
      </c>
      <c r="AM855" s="11"/>
      <c r="AN855" s="2" t="e">
        <f t="shared" si="457"/>
        <v>#N/A</v>
      </c>
      <c r="AO855" s="2" t="e">
        <f t="shared" si="458"/>
        <v>#N/A</v>
      </c>
      <c r="AP855" s="2" t="e">
        <f t="shared" si="459"/>
        <v>#N/A</v>
      </c>
      <c r="AQ855" s="2" t="e">
        <f t="shared" si="460"/>
        <v>#N/A</v>
      </c>
      <c r="AR855" s="2" t="e">
        <f t="shared" si="461"/>
        <v>#N/A</v>
      </c>
      <c r="AS855" s="2" t="e">
        <f t="shared" si="462"/>
        <v>#DIV/0!</v>
      </c>
      <c r="AT855" s="9" t="e">
        <f t="shared" ca="1" si="463"/>
        <v>#N/A</v>
      </c>
      <c r="AU855" s="9" t="e">
        <f t="shared" ca="1" si="464"/>
        <v>#N/A</v>
      </c>
      <c r="AW855" s="2" t="e">
        <f t="shared" ref="AW855:AW918" si="481">IF(AND(AL855&gt;0, AJ855&gt;0), AL855/AJ855, #N/A)</f>
        <v>#N/A</v>
      </c>
      <c r="AX855" s="2" t="e">
        <f t="shared" ref="AX855:AX918" si="482">$B$8*((AW855/$B$10)^$B$11)</f>
        <v>#N/A</v>
      </c>
      <c r="AY855" s="2" t="e">
        <f t="shared" ref="AY855:AY918" si="483">AX855*AI855</f>
        <v>#N/A</v>
      </c>
      <c r="AZ855" s="2" t="e">
        <f t="shared" ref="AZ855:AZ918" si="484">AK855-AY855</f>
        <v>#N/A</v>
      </c>
      <c r="BA855" s="2" t="e">
        <f t="shared" ref="BA855:BA918" si="485">(AZ855/AJ855)/((AW855/$B$10)^$B$12)</f>
        <v>#N/A</v>
      </c>
      <c r="BB855" s="2" t="e">
        <f t="shared" ref="BB855:BB918" si="486">(AH855/AJ855)/((AW855/$B$10)^$B$13)</f>
        <v>#DIV/0!</v>
      </c>
      <c r="BC855" s="9" t="e">
        <f t="shared" ref="BC855:BC918" ca="1" si="487">IF(AND(BA855&lt;$P$3,BA855&gt;$P$4),BA855,"rejected")</f>
        <v>#N/A</v>
      </c>
      <c r="BD855" s="9" t="e">
        <f t="shared" ref="BD855:BD918" ca="1" si="488">IF(AND(BA855&lt;$P$3,BA855&gt;$P$4),BA855,#N/A)</f>
        <v>#N/A</v>
      </c>
    </row>
    <row r="856" spans="1:56" ht="15" x14ac:dyDescent="0.25">
      <c r="A856"/>
      <c r="B856"/>
      <c r="C856"/>
      <c r="D856"/>
      <c r="E856"/>
      <c r="F856"/>
      <c r="G856"/>
      <c r="H856"/>
      <c r="I856"/>
      <c r="J856"/>
      <c r="K856"/>
      <c r="L856" s="64"/>
      <c r="M856" s="64"/>
      <c r="N856" s="16"/>
      <c r="O856" s="11"/>
      <c r="P856" s="11"/>
      <c r="Q856" s="11"/>
      <c r="R856" s="11"/>
      <c r="S856" s="11"/>
      <c r="T856" s="11"/>
      <c r="U856" s="11">
        <f t="shared" si="465"/>
        <v>0</v>
      </c>
      <c r="V856" s="2">
        <f t="shared" si="466"/>
        <v>0</v>
      </c>
      <c r="W856" s="11">
        <f t="shared" si="467"/>
        <v>0</v>
      </c>
      <c r="X856" s="2">
        <f t="shared" si="468"/>
        <v>0</v>
      </c>
      <c r="Y856" s="2">
        <f t="shared" si="469"/>
        <v>0</v>
      </c>
      <c r="Z856" s="11">
        <f t="shared" si="470"/>
        <v>0</v>
      </c>
      <c r="AA856" s="2">
        <f t="shared" si="471"/>
        <v>0</v>
      </c>
      <c r="AB856" s="11">
        <f t="shared" si="472"/>
        <v>0</v>
      </c>
      <c r="AC856" s="2">
        <f t="shared" si="473"/>
        <v>0</v>
      </c>
      <c r="AF856" s="11">
        <f t="shared" si="474"/>
        <v>0</v>
      </c>
      <c r="AG856" s="2">
        <f t="shared" si="475"/>
        <v>0</v>
      </c>
      <c r="AH856" s="2">
        <f t="shared" si="476"/>
        <v>0</v>
      </c>
      <c r="AI856" s="2">
        <f t="shared" si="477"/>
        <v>0</v>
      </c>
      <c r="AJ856" s="2">
        <f t="shared" si="478"/>
        <v>0</v>
      </c>
      <c r="AK856" s="2">
        <f t="shared" si="479"/>
        <v>0</v>
      </c>
      <c r="AL856" s="2">
        <f t="shared" si="480"/>
        <v>0</v>
      </c>
      <c r="AM856" s="11"/>
      <c r="AN856" s="2" t="e">
        <f t="shared" si="457"/>
        <v>#N/A</v>
      </c>
      <c r="AO856" s="2" t="e">
        <f t="shared" si="458"/>
        <v>#N/A</v>
      </c>
      <c r="AP856" s="2" t="e">
        <f t="shared" si="459"/>
        <v>#N/A</v>
      </c>
      <c r="AQ856" s="2" t="e">
        <f t="shared" si="460"/>
        <v>#N/A</v>
      </c>
      <c r="AR856" s="2" t="e">
        <f t="shared" si="461"/>
        <v>#N/A</v>
      </c>
      <c r="AS856" s="2" t="e">
        <f t="shared" si="462"/>
        <v>#DIV/0!</v>
      </c>
      <c r="AT856" s="9" t="e">
        <f t="shared" ca="1" si="463"/>
        <v>#N/A</v>
      </c>
      <c r="AU856" s="9" t="e">
        <f t="shared" ca="1" si="464"/>
        <v>#N/A</v>
      </c>
      <c r="AW856" s="2" t="e">
        <f t="shared" si="481"/>
        <v>#N/A</v>
      </c>
      <c r="AX856" s="2" t="e">
        <f t="shared" si="482"/>
        <v>#N/A</v>
      </c>
      <c r="AY856" s="2" t="e">
        <f t="shared" si="483"/>
        <v>#N/A</v>
      </c>
      <c r="AZ856" s="2" t="e">
        <f t="shared" si="484"/>
        <v>#N/A</v>
      </c>
      <c r="BA856" s="2" t="e">
        <f t="shared" si="485"/>
        <v>#N/A</v>
      </c>
      <c r="BB856" s="2" t="e">
        <f t="shared" si="486"/>
        <v>#DIV/0!</v>
      </c>
      <c r="BC856" s="9" t="e">
        <f t="shared" ca="1" si="487"/>
        <v>#N/A</v>
      </c>
      <c r="BD856" s="9" t="e">
        <f t="shared" ca="1" si="488"/>
        <v>#N/A</v>
      </c>
    </row>
    <row r="857" spans="1:56" ht="15" x14ac:dyDescent="0.25">
      <c r="A857"/>
      <c r="B857"/>
      <c r="C857"/>
      <c r="D857"/>
      <c r="E857"/>
      <c r="F857"/>
      <c r="G857"/>
      <c r="H857"/>
      <c r="I857"/>
      <c r="J857"/>
      <c r="K857"/>
      <c r="L857" s="64"/>
      <c r="M857" s="64"/>
      <c r="N857" s="16"/>
      <c r="O857" s="11"/>
      <c r="P857" s="11"/>
      <c r="Q857" s="11"/>
      <c r="R857" s="11"/>
      <c r="S857" s="11"/>
      <c r="T857" s="11"/>
      <c r="U857" s="11">
        <f t="shared" si="465"/>
        <v>0</v>
      </c>
      <c r="V857" s="2">
        <f t="shared" si="466"/>
        <v>0</v>
      </c>
      <c r="W857" s="11">
        <f t="shared" si="467"/>
        <v>0</v>
      </c>
      <c r="X857" s="2">
        <f t="shared" si="468"/>
        <v>0</v>
      </c>
      <c r="Y857" s="2">
        <f t="shared" si="469"/>
        <v>0</v>
      </c>
      <c r="Z857" s="11">
        <f t="shared" si="470"/>
        <v>0</v>
      </c>
      <c r="AA857" s="2">
        <f t="shared" si="471"/>
        <v>0</v>
      </c>
      <c r="AB857" s="11">
        <f t="shared" si="472"/>
        <v>0</v>
      </c>
      <c r="AC857" s="2">
        <f t="shared" si="473"/>
        <v>0</v>
      </c>
      <c r="AF857" s="11">
        <f t="shared" si="474"/>
        <v>0</v>
      </c>
      <c r="AG857" s="2">
        <f t="shared" si="475"/>
        <v>0</v>
      </c>
      <c r="AH857" s="2">
        <f t="shared" si="476"/>
        <v>0</v>
      </c>
      <c r="AI857" s="2">
        <f t="shared" si="477"/>
        <v>0</v>
      </c>
      <c r="AJ857" s="2">
        <f t="shared" si="478"/>
        <v>0</v>
      </c>
      <c r="AK857" s="2">
        <f t="shared" si="479"/>
        <v>0</v>
      </c>
      <c r="AL857" s="2">
        <f t="shared" si="480"/>
        <v>0</v>
      </c>
      <c r="AM857" s="11"/>
      <c r="AN857" s="2" t="e">
        <f t="shared" si="457"/>
        <v>#N/A</v>
      </c>
      <c r="AO857" s="2" t="e">
        <f t="shared" si="458"/>
        <v>#N/A</v>
      </c>
      <c r="AP857" s="2" t="e">
        <f t="shared" si="459"/>
        <v>#N/A</v>
      </c>
      <c r="AQ857" s="2" t="e">
        <f t="shared" si="460"/>
        <v>#N/A</v>
      </c>
      <c r="AR857" s="2" t="e">
        <f t="shared" si="461"/>
        <v>#N/A</v>
      </c>
      <c r="AS857" s="2" t="e">
        <f t="shared" si="462"/>
        <v>#DIV/0!</v>
      </c>
      <c r="AT857" s="9" t="e">
        <f t="shared" ca="1" si="463"/>
        <v>#N/A</v>
      </c>
      <c r="AU857" s="9" t="e">
        <f t="shared" ca="1" si="464"/>
        <v>#N/A</v>
      </c>
      <c r="AW857" s="2" t="e">
        <f t="shared" si="481"/>
        <v>#N/A</v>
      </c>
      <c r="AX857" s="2" t="e">
        <f t="shared" si="482"/>
        <v>#N/A</v>
      </c>
      <c r="AY857" s="2" t="e">
        <f t="shared" si="483"/>
        <v>#N/A</v>
      </c>
      <c r="AZ857" s="2" t="e">
        <f t="shared" si="484"/>
        <v>#N/A</v>
      </c>
      <c r="BA857" s="2" t="e">
        <f t="shared" si="485"/>
        <v>#N/A</v>
      </c>
      <c r="BB857" s="2" t="e">
        <f t="shared" si="486"/>
        <v>#DIV/0!</v>
      </c>
      <c r="BC857" s="9" t="e">
        <f t="shared" ca="1" si="487"/>
        <v>#N/A</v>
      </c>
      <c r="BD857" s="9" t="e">
        <f t="shared" ca="1" si="488"/>
        <v>#N/A</v>
      </c>
    </row>
    <row r="858" spans="1:56" ht="15" x14ac:dyDescent="0.25">
      <c r="A858"/>
      <c r="B858"/>
      <c r="C858"/>
      <c r="D858"/>
      <c r="E858"/>
      <c r="F858"/>
      <c r="G858"/>
      <c r="H858"/>
      <c r="I858"/>
      <c r="J858"/>
      <c r="K858"/>
      <c r="L858" s="64"/>
      <c r="M858" s="64"/>
      <c r="N858" s="16"/>
      <c r="O858" s="11"/>
      <c r="P858" s="11"/>
      <c r="Q858" s="11"/>
      <c r="R858" s="11"/>
      <c r="S858" s="11"/>
      <c r="T858" s="11"/>
      <c r="U858" s="11">
        <f t="shared" si="465"/>
        <v>0</v>
      </c>
      <c r="V858" s="2">
        <f t="shared" si="466"/>
        <v>0</v>
      </c>
      <c r="W858" s="11">
        <f t="shared" si="467"/>
        <v>0</v>
      </c>
      <c r="X858" s="2">
        <f t="shared" si="468"/>
        <v>0</v>
      </c>
      <c r="Y858" s="2">
        <f t="shared" si="469"/>
        <v>0</v>
      </c>
      <c r="Z858" s="11">
        <f t="shared" si="470"/>
        <v>0</v>
      </c>
      <c r="AA858" s="2">
        <f t="shared" si="471"/>
        <v>0</v>
      </c>
      <c r="AB858" s="11">
        <f t="shared" si="472"/>
        <v>0</v>
      </c>
      <c r="AC858" s="2">
        <f t="shared" si="473"/>
        <v>0</v>
      </c>
      <c r="AF858" s="11">
        <f t="shared" si="474"/>
        <v>0</v>
      </c>
      <c r="AG858" s="2">
        <f t="shared" si="475"/>
        <v>0</v>
      </c>
      <c r="AH858" s="2">
        <f t="shared" si="476"/>
        <v>0</v>
      </c>
      <c r="AI858" s="2">
        <f t="shared" si="477"/>
        <v>0</v>
      </c>
      <c r="AJ858" s="2">
        <f t="shared" si="478"/>
        <v>0</v>
      </c>
      <c r="AK858" s="2">
        <f t="shared" si="479"/>
        <v>0</v>
      </c>
      <c r="AL858" s="2">
        <f t="shared" si="480"/>
        <v>0</v>
      </c>
      <c r="AM858" s="11"/>
      <c r="AN858" s="2" t="e">
        <f t="shared" si="457"/>
        <v>#N/A</v>
      </c>
      <c r="AO858" s="2" t="e">
        <f t="shared" si="458"/>
        <v>#N/A</v>
      </c>
      <c r="AP858" s="2" t="e">
        <f t="shared" si="459"/>
        <v>#N/A</v>
      </c>
      <c r="AQ858" s="2" t="e">
        <f t="shared" si="460"/>
        <v>#N/A</v>
      </c>
      <c r="AR858" s="2" t="e">
        <f t="shared" si="461"/>
        <v>#N/A</v>
      </c>
      <c r="AS858" s="2" t="e">
        <f t="shared" si="462"/>
        <v>#DIV/0!</v>
      </c>
      <c r="AT858" s="9" t="e">
        <f t="shared" ca="1" si="463"/>
        <v>#N/A</v>
      </c>
      <c r="AU858" s="9" t="e">
        <f t="shared" ca="1" si="464"/>
        <v>#N/A</v>
      </c>
      <c r="AW858" s="2" t="e">
        <f t="shared" si="481"/>
        <v>#N/A</v>
      </c>
      <c r="AX858" s="2" t="e">
        <f t="shared" si="482"/>
        <v>#N/A</v>
      </c>
      <c r="AY858" s="2" t="e">
        <f t="shared" si="483"/>
        <v>#N/A</v>
      </c>
      <c r="AZ858" s="2" t="e">
        <f t="shared" si="484"/>
        <v>#N/A</v>
      </c>
      <c r="BA858" s="2" t="e">
        <f t="shared" si="485"/>
        <v>#N/A</v>
      </c>
      <c r="BB858" s="2" t="e">
        <f t="shared" si="486"/>
        <v>#DIV/0!</v>
      </c>
      <c r="BC858" s="9" t="e">
        <f t="shared" ca="1" si="487"/>
        <v>#N/A</v>
      </c>
      <c r="BD858" s="9" t="e">
        <f t="shared" ca="1" si="488"/>
        <v>#N/A</v>
      </c>
    </row>
    <row r="859" spans="1:56" ht="15" x14ac:dyDescent="0.25">
      <c r="A859"/>
      <c r="B859"/>
      <c r="C859"/>
      <c r="D859"/>
      <c r="E859"/>
      <c r="F859"/>
      <c r="G859"/>
      <c r="H859"/>
      <c r="I859"/>
      <c r="J859"/>
      <c r="K859"/>
      <c r="L859" s="64"/>
      <c r="M859" s="64"/>
      <c r="N859" s="16"/>
      <c r="O859" s="11"/>
      <c r="P859" s="11"/>
      <c r="Q859" s="11"/>
      <c r="R859" s="11"/>
      <c r="S859" s="11"/>
      <c r="T859" s="11"/>
      <c r="U859" s="11">
        <f t="shared" si="465"/>
        <v>0</v>
      </c>
      <c r="V859" s="2">
        <f t="shared" si="466"/>
        <v>0</v>
      </c>
      <c r="W859" s="11">
        <f t="shared" si="467"/>
        <v>0</v>
      </c>
      <c r="X859" s="2">
        <f t="shared" si="468"/>
        <v>0</v>
      </c>
      <c r="Y859" s="2">
        <f t="shared" si="469"/>
        <v>0</v>
      </c>
      <c r="Z859" s="11">
        <f t="shared" si="470"/>
        <v>0</v>
      </c>
      <c r="AA859" s="2">
        <f t="shared" si="471"/>
        <v>0</v>
      </c>
      <c r="AB859" s="11">
        <f t="shared" si="472"/>
        <v>0</v>
      </c>
      <c r="AC859" s="2">
        <f t="shared" si="473"/>
        <v>0</v>
      </c>
      <c r="AF859" s="11">
        <f t="shared" si="474"/>
        <v>0</v>
      </c>
      <c r="AG859" s="2">
        <f t="shared" si="475"/>
        <v>0</v>
      </c>
      <c r="AH859" s="2">
        <f t="shared" si="476"/>
        <v>0</v>
      </c>
      <c r="AI859" s="2">
        <f t="shared" si="477"/>
        <v>0</v>
      </c>
      <c r="AJ859" s="2">
        <f t="shared" si="478"/>
        <v>0</v>
      </c>
      <c r="AK859" s="2">
        <f t="shared" si="479"/>
        <v>0</v>
      </c>
      <c r="AL859" s="2">
        <f t="shared" si="480"/>
        <v>0</v>
      </c>
      <c r="AM859" s="11"/>
      <c r="AN859" s="2" t="e">
        <f t="shared" ref="AN859:AN922" si="489">IF(AND(S859&gt;0,U859&gt;0),U859/S859, #N/A)</f>
        <v>#N/A</v>
      </c>
      <c r="AO859" s="2" t="e">
        <f t="shared" ref="AO859:AO922" si="490">$B$8*((AN859/$B$10)^$B$11)</f>
        <v>#N/A</v>
      </c>
      <c r="AP859" s="2" t="e">
        <f t="shared" ref="AP859:AP922" si="491">AO859*R859</f>
        <v>#N/A</v>
      </c>
      <c r="AQ859" s="2" t="e">
        <f t="shared" ref="AQ859:AQ922" si="492">T859-AP859</f>
        <v>#N/A</v>
      </c>
      <c r="AR859" s="2" t="e">
        <f t="shared" ref="AR859:AR922" si="493">(AQ859/S859)/((AN859/$B$10)^$B$12)</f>
        <v>#N/A</v>
      </c>
      <c r="AS859" s="2" t="e">
        <f t="shared" ref="AS859:AS922" si="494">(Q859/S859)/((AN859/$B$10)^$B$13)</f>
        <v>#DIV/0!</v>
      </c>
      <c r="AT859" s="9" t="e">
        <f t="shared" ref="AT859:AT922" ca="1" si="495">IF(AND(AR859&lt;$M$3,AR859&gt;$M$4),AR859,"rejected")</f>
        <v>#N/A</v>
      </c>
      <c r="AU859" s="9" t="e">
        <f t="shared" ref="AU859:AU922" ca="1" si="496">IF(AND(AR859&lt;$M$3,AR859&gt;$M$4),AR859,#N/A)</f>
        <v>#N/A</v>
      </c>
      <c r="AW859" s="2" t="e">
        <f t="shared" si="481"/>
        <v>#N/A</v>
      </c>
      <c r="AX859" s="2" t="e">
        <f t="shared" si="482"/>
        <v>#N/A</v>
      </c>
      <c r="AY859" s="2" t="e">
        <f t="shared" si="483"/>
        <v>#N/A</v>
      </c>
      <c r="AZ859" s="2" t="e">
        <f t="shared" si="484"/>
        <v>#N/A</v>
      </c>
      <c r="BA859" s="2" t="e">
        <f t="shared" si="485"/>
        <v>#N/A</v>
      </c>
      <c r="BB859" s="2" t="e">
        <f t="shared" si="486"/>
        <v>#DIV/0!</v>
      </c>
      <c r="BC859" s="9" t="e">
        <f t="shared" ca="1" si="487"/>
        <v>#N/A</v>
      </c>
      <c r="BD859" s="9" t="e">
        <f t="shared" ca="1" si="488"/>
        <v>#N/A</v>
      </c>
    </row>
    <row r="860" spans="1:56" ht="15" x14ac:dyDescent="0.25">
      <c r="A860"/>
      <c r="B860"/>
      <c r="C860"/>
      <c r="D860"/>
      <c r="E860"/>
      <c r="F860"/>
      <c r="G860"/>
      <c r="H860"/>
      <c r="I860"/>
      <c r="J860"/>
      <c r="K860"/>
      <c r="L860" s="64"/>
      <c r="M860" s="64"/>
      <c r="N860" s="16"/>
      <c r="O860" s="11"/>
      <c r="P860" s="11"/>
      <c r="Q860" s="11"/>
      <c r="R860" s="11"/>
      <c r="S860" s="11"/>
      <c r="T860" s="11"/>
      <c r="U860" s="11">
        <f t="shared" si="465"/>
        <v>0</v>
      </c>
      <c r="V860" s="2">
        <f t="shared" si="466"/>
        <v>0</v>
      </c>
      <c r="W860" s="11">
        <f t="shared" si="467"/>
        <v>0</v>
      </c>
      <c r="X860" s="2">
        <f t="shared" si="468"/>
        <v>0</v>
      </c>
      <c r="Y860" s="2">
        <f t="shared" si="469"/>
        <v>0</v>
      </c>
      <c r="Z860" s="11">
        <f t="shared" si="470"/>
        <v>0</v>
      </c>
      <c r="AA860" s="2">
        <f t="shared" si="471"/>
        <v>0</v>
      </c>
      <c r="AB860" s="11">
        <f t="shared" si="472"/>
        <v>0</v>
      </c>
      <c r="AC860" s="2">
        <f t="shared" si="473"/>
        <v>0</v>
      </c>
      <c r="AF860" s="11">
        <f t="shared" si="474"/>
        <v>0</v>
      </c>
      <c r="AG860" s="2">
        <f t="shared" si="475"/>
        <v>0</v>
      </c>
      <c r="AH860" s="2">
        <f t="shared" si="476"/>
        <v>0</v>
      </c>
      <c r="AI860" s="2">
        <f t="shared" si="477"/>
        <v>0</v>
      </c>
      <c r="AJ860" s="2">
        <f t="shared" si="478"/>
        <v>0</v>
      </c>
      <c r="AK860" s="2">
        <f t="shared" si="479"/>
        <v>0</v>
      </c>
      <c r="AL860" s="2">
        <f t="shared" si="480"/>
        <v>0</v>
      </c>
      <c r="AM860" s="11"/>
      <c r="AN860" s="2" t="e">
        <f t="shared" si="489"/>
        <v>#N/A</v>
      </c>
      <c r="AO860" s="2" t="e">
        <f t="shared" si="490"/>
        <v>#N/A</v>
      </c>
      <c r="AP860" s="2" t="e">
        <f t="shared" si="491"/>
        <v>#N/A</v>
      </c>
      <c r="AQ860" s="2" t="e">
        <f t="shared" si="492"/>
        <v>#N/A</v>
      </c>
      <c r="AR860" s="2" t="e">
        <f t="shared" si="493"/>
        <v>#N/A</v>
      </c>
      <c r="AS860" s="2" t="e">
        <f t="shared" si="494"/>
        <v>#DIV/0!</v>
      </c>
      <c r="AT860" s="9" t="e">
        <f t="shared" ca="1" si="495"/>
        <v>#N/A</v>
      </c>
      <c r="AU860" s="9" t="e">
        <f t="shared" ca="1" si="496"/>
        <v>#N/A</v>
      </c>
      <c r="AW860" s="2" t="e">
        <f t="shared" si="481"/>
        <v>#N/A</v>
      </c>
      <c r="AX860" s="2" t="e">
        <f t="shared" si="482"/>
        <v>#N/A</v>
      </c>
      <c r="AY860" s="2" t="e">
        <f t="shared" si="483"/>
        <v>#N/A</v>
      </c>
      <c r="AZ860" s="2" t="e">
        <f t="shared" si="484"/>
        <v>#N/A</v>
      </c>
      <c r="BA860" s="2" t="e">
        <f t="shared" si="485"/>
        <v>#N/A</v>
      </c>
      <c r="BB860" s="2" t="e">
        <f t="shared" si="486"/>
        <v>#DIV/0!</v>
      </c>
      <c r="BC860" s="9" t="e">
        <f t="shared" ca="1" si="487"/>
        <v>#N/A</v>
      </c>
      <c r="BD860" s="9" t="e">
        <f t="shared" ca="1" si="488"/>
        <v>#N/A</v>
      </c>
    </row>
    <row r="861" spans="1:56" ht="15" x14ac:dyDescent="0.25">
      <c r="A861"/>
      <c r="B861"/>
      <c r="C861"/>
      <c r="D861"/>
      <c r="E861"/>
      <c r="F861"/>
      <c r="G861"/>
      <c r="H861"/>
      <c r="I861"/>
      <c r="J861"/>
      <c r="K861"/>
      <c r="L861" s="64"/>
      <c r="M861" s="64"/>
      <c r="N861" s="16"/>
      <c r="O861" s="11"/>
      <c r="P861" s="11"/>
      <c r="Q861" s="11"/>
      <c r="R861" s="11"/>
      <c r="S861" s="11"/>
      <c r="T861" s="11"/>
      <c r="U861" s="11">
        <f t="shared" si="465"/>
        <v>0</v>
      </c>
      <c r="V861" s="2">
        <f t="shared" si="466"/>
        <v>0</v>
      </c>
      <c r="W861" s="11">
        <f t="shared" si="467"/>
        <v>0</v>
      </c>
      <c r="X861" s="2">
        <f t="shared" si="468"/>
        <v>0</v>
      </c>
      <c r="Y861" s="2">
        <f t="shared" si="469"/>
        <v>0</v>
      </c>
      <c r="Z861" s="11">
        <f t="shared" si="470"/>
        <v>0</v>
      </c>
      <c r="AA861" s="2">
        <f t="shared" si="471"/>
        <v>0</v>
      </c>
      <c r="AB861" s="11">
        <f t="shared" si="472"/>
        <v>0</v>
      </c>
      <c r="AC861" s="2">
        <f t="shared" si="473"/>
        <v>0</v>
      </c>
      <c r="AF861" s="11">
        <f t="shared" si="474"/>
        <v>0</v>
      </c>
      <c r="AG861" s="2">
        <f t="shared" si="475"/>
        <v>0</v>
      </c>
      <c r="AH861" s="2">
        <f t="shared" si="476"/>
        <v>0</v>
      </c>
      <c r="AI861" s="2">
        <f t="shared" si="477"/>
        <v>0</v>
      </c>
      <c r="AJ861" s="2">
        <f t="shared" si="478"/>
        <v>0</v>
      </c>
      <c r="AK861" s="2">
        <f t="shared" si="479"/>
        <v>0</v>
      </c>
      <c r="AL861" s="2">
        <f t="shared" si="480"/>
        <v>0</v>
      </c>
      <c r="AM861" s="11"/>
      <c r="AN861" s="2" t="e">
        <f t="shared" si="489"/>
        <v>#N/A</v>
      </c>
      <c r="AO861" s="2" t="e">
        <f t="shared" si="490"/>
        <v>#N/A</v>
      </c>
      <c r="AP861" s="2" t="e">
        <f t="shared" si="491"/>
        <v>#N/A</v>
      </c>
      <c r="AQ861" s="2" t="e">
        <f t="shared" si="492"/>
        <v>#N/A</v>
      </c>
      <c r="AR861" s="2" t="e">
        <f t="shared" si="493"/>
        <v>#N/A</v>
      </c>
      <c r="AS861" s="2" t="e">
        <f t="shared" si="494"/>
        <v>#DIV/0!</v>
      </c>
      <c r="AT861" s="9" t="e">
        <f t="shared" ca="1" si="495"/>
        <v>#N/A</v>
      </c>
      <c r="AU861" s="9" t="e">
        <f t="shared" ca="1" si="496"/>
        <v>#N/A</v>
      </c>
      <c r="AW861" s="2" t="e">
        <f t="shared" si="481"/>
        <v>#N/A</v>
      </c>
      <c r="AX861" s="2" t="e">
        <f t="shared" si="482"/>
        <v>#N/A</v>
      </c>
      <c r="AY861" s="2" t="e">
        <f t="shared" si="483"/>
        <v>#N/A</v>
      </c>
      <c r="AZ861" s="2" t="e">
        <f t="shared" si="484"/>
        <v>#N/A</v>
      </c>
      <c r="BA861" s="2" t="e">
        <f t="shared" si="485"/>
        <v>#N/A</v>
      </c>
      <c r="BB861" s="2" t="e">
        <f t="shared" si="486"/>
        <v>#DIV/0!</v>
      </c>
      <c r="BC861" s="9" t="e">
        <f t="shared" ca="1" si="487"/>
        <v>#N/A</v>
      </c>
      <c r="BD861" s="9" t="e">
        <f t="shared" ca="1" si="488"/>
        <v>#N/A</v>
      </c>
    </row>
    <row r="862" spans="1:56" ht="15" x14ac:dyDescent="0.25">
      <c r="A862"/>
      <c r="B862"/>
      <c r="C862"/>
      <c r="D862"/>
      <c r="E862"/>
      <c r="F862"/>
      <c r="G862"/>
      <c r="H862"/>
      <c r="I862"/>
      <c r="J862"/>
      <c r="K862"/>
      <c r="L862" s="64"/>
      <c r="M862" s="64"/>
      <c r="N862" s="16"/>
      <c r="O862" s="11"/>
      <c r="P862" s="11"/>
      <c r="Q862" s="11"/>
      <c r="R862" s="11"/>
      <c r="S862" s="11"/>
      <c r="T862" s="11"/>
      <c r="U862" s="11">
        <f t="shared" si="465"/>
        <v>0</v>
      </c>
      <c r="V862" s="2">
        <f t="shared" si="466"/>
        <v>0</v>
      </c>
      <c r="W862" s="11">
        <f t="shared" si="467"/>
        <v>0</v>
      </c>
      <c r="X862" s="2">
        <f t="shared" si="468"/>
        <v>0</v>
      </c>
      <c r="Y862" s="2">
        <f t="shared" si="469"/>
        <v>0</v>
      </c>
      <c r="Z862" s="11">
        <f t="shared" si="470"/>
        <v>0</v>
      </c>
      <c r="AA862" s="2">
        <f t="shared" si="471"/>
        <v>0</v>
      </c>
      <c r="AB862" s="11">
        <f t="shared" si="472"/>
        <v>0</v>
      </c>
      <c r="AC862" s="2">
        <f t="shared" si="473"/>
        <v>0</v>
      </c>
      <c r="AF862" s="11">
        <f t="shared" si="474"/>
        <v>0</v>
      </c>
      <c r="AG862" s="2">
        <f t="shared" si="475"/>
        <v>0</v>
      </c>
      <c r="AH862" s="2">
        <f t="shared" si="476"/>
        <v>0</v>
      </c>
      <c r="AI862" s="2">
        <f t="shared" si="477"/>
        <v>0</v>
      </c>
      <c r="AJ862" s="2">
        <f t="shared" si="478"/>
        <v>0</v>
      </c>
      <c r="AK862" s="2">
        <f t="shared" si="479"/>
        <v>0</v>
      </c>
      <c r="AL862" s="2">
        <f t="shared" si="480"/>
        <v>0</v>
      </c>
      <c r="AM862" s="11"/>
      <c r="AN862" s="2" t="e">
        <f t="shared" si="489"/>
        <v>#N/A</v>
      </c>
      <c r="AO862" s="2" t="e">
        <f t="shared" si="490"/>
        <v>#N/A</v>
      </c>
      <c r="AP862" s="2" t="e">
        <f t="shared" si="491"/>
        <v>#N/A</v>
      </c>
      <c r="AQ862" s="2" t="e">
        <f t="shared" si="492"/>
        <v>#N/A</v>
      </c>
      <c r="AR862" s="2" t="e">
        <f t="shared" si="493"/>
        <v>#N/A</v>
      </c>
      <c r="AS862" s="2" t="e">
        <f t="shared" si="494"/>
        <v>#DIV/0!</v>
      </c>
      <c r="AT862" s="9" t="e">
        <f t="shared" ca="1" si="495"/>
        <v>#N/A</v>
      </c>
      <c r="AU862" s="9" t="e">
        <f t="shared" ca="1" si="496"/>
        <v>#N/A</v>
      </c>
      <c r="AW862" s="2" t="e">
        <f t="shared" si="481"/>
        <v>#N/A</v>
      </c>
      <c r="AX862" s="2" t="e">
        <f t="shared" si="482"/>
        <v>#N/A</v>
      </c>
      <c r="AY862" s="2" t="e">
        <f t="shared" si="483"/>
        <v>#N/A</v>
      </c>
      <c r="AZ862" s="2" t="e">
        <f t="shared" si="484"/>
        <v>#N/A</v>
      </c>
      <c r="BA862" s="2" t="e">
        <f t="shared" si="485"/>
        <v>#N/A</v>
      </c>
      <c r="BB862" s="2" t="e">
        <f t="shared" si="486"/>
        <v>#DIV/0!</v>
      </c>
      <c r="BC862" s="9" t="e">
        <f t="shared" ca="1" si="487"/>
        <v>#N/A</v>
      </c>
      <c r="BD862" s="9" t="e">
        <f t="shared" ca="1" si="488"/>
        <v>#N/A</v>
      </c>
    </row>
    <row r="863" spans="1:56" ht="15" x14ac:dyDescent="0.25">
      <c r="A863"/>
      <c r="B863"/>
      <c r="C863"/>
      <c r="D863"/>
      <c r="E863"/>
      <c r="F863"/>
      <c r="G863"/>
      <c r="H863"/>
      <c r="I863"/>
      <c r="J863"/>
      <c r="K863"/>
      <c r="L863" s="64"/>
      <c r="M863" s="64"/>
      <c r="N863" s="16"/>
      <c r="O863" s="11"/>
      <c r="P863" s="11"/>
      <c r="Q863" s="11"/>
      <c r="R863" s="11"/>
      <c r="S863" s="11"/>
      <c r="T863" s="11"/>
      <c r="U863" s="11">
        <f t="shared" si="465"/>
        <v>0</v>
      </c>
      <c r="V863" s="2">
        <f t="shared" si="466"/>
        <v>0</v>
      </c>
      <c r="W863" s="11">
        <f t="shared" si="467"/>
        <v>0</v>
      </c>
      <c r="X863" s="2">
        <f t="shared" si="468"/>
        <v>0</v>
      </c>
      <c r="Y863" s="2">
        <f t="shared" si="469"/>
        <v>0</v>
      </c>
      <c r="Z863" s="11">
        <f t="shared" si="470"/>
        <v>0</v>
      </c>
      <c r="AA863" s="2">
        <f t="shared" si="471"/>
        <v>0</v>
      </c>
      <c r="AB863" s="11">
        <f t="shared" si="472"/>
        <v>0</v>
      </c>
      <c r="AC863" s="2">
        <f t="shared" si="473"/>
        <v>0</v>
      </c>
      <c r="AF863" s="11">
        <f t="shared" si="474"/>
        <v>0</v>
      </c>
      <c r="AG863" s="2">
        <f t="shared" si="475"/>
        <v>0</v>
      </c>
      <c r="AH863" s="2">
        <f t="shared" si="476"/>
        <v>0</v>
      </c>
      <c r="AI863" s="2">
        <f t="shared" si="477"/>
        <v>0</v>
      </c>
      <c r="AJ863" s="2">
        <f t="shared" si="478"/>
        <v>0</v>
      </c>
      <c r="AK863" s="2">
        <f t="shared" si="479"/>
        <v>0</v>
      </c>
      <c r="AL863" s="2">
        <f t="shared" si="480"/>
        <v>0</v>
      </c>
      <c r="AM863" s="11"/>
      <c r="AN863" s="2" t="e">
        <f t="shared" si="489"/>
        <v>#N/A</v>
      </c>
      <c r="AO863" s="2" t="e">
        <f t="shared" si="490"/>
        <v>#N/A</v>
      </c>
      <c r="AP863" s="2" t="e">
        <f t="shared" si="491"/>
        <v>#N/A</v>
      </c>
      <c r="AQ863" s="2" t="e">
        <f t="shared" si="492"/>
        <v>#N/A</v>
      </c>
      <c r="AR863" s="2" t="e">
        <f t="shared" si="493"/>
        <v>#N/A</v>
      </c>
      <c r="AS863" s="2" t="e">
        <f t="shared" si="494"/>
        <v>#DIV/0!</v>
      </c>
      <c r="AT863" s="9" t="e">
        <f t="shared" ca="1" si="495"/>
        <v>#N/A</v>
      </c>
      <c r="AU863" s="9" t="e">
        <f t="shared" ca="1" si="496"/>
        <v>#N/A</v>
      </c>
      <c r="AW863" s="2" t="e">
        <f t="shared" si="481"/>
        <v>#N/A</v>
      </c>
      <c r="AX863" s="2" t="e">
        <f t="shared" si="482"/>
        <v>#N/A</v>
      </c>
      <c r="AY863" s="2" t="e">
        <f t="shared" si="483"/>
        <v>#N/A</v>
      </c>
      <c r="AZ863" s="2" t="e">
        <f t="shared" si="484"/>
        <v>#N/A</v>
      </c>
      <c r="BA863" s="2" t="e">
        <f t="shared" si="485"/>
        <v>#N/A</v>
      </c>
      <c r="BB863" s="2" t="e">
        <f t="shared" si="486"/>
        <v>#DIV/0!</v>
      </c>
      <c r="BC863" s="9" t="e">
        <f t="shared" ca="1" si="487"/>
        <v>#N/A</v>
      </c>
      <c r="BD863" s="9" t="e">
        <f t="shared" ca="1" si="488"/>
        <v>#N/A</v>
      </c>
    </row>
    <row r="864" spans="1:56" ht="15" x14ac:dyDescent="0.25">
      <c r="A864"/>
      <c r="B864"/>
      <c r="C864"/>
      <c r="D864"/>
      <c r="E864"/>
      <c r="F864"/>
      <c r="G864"/>
      <c r="H864"/>
      <c r="I864"/>
      <c r="J864"/>
      <c r="K864"/>
      <c r="L864" s="64"/>
      <c r="M864" s="64"/>
      <c r="N864" s="16"/>
      <c r="O864" s="11"/>
      <c r="P864" s="11"/>
      <c r="Q864" s="11"/>
      <c r="R864" s="11"/>
      <c r="S864" s="11"/>
      <c r="T864" s="11"/>
      <c r="U864" s="11">
        <f t="shared" si="465"/>
        <v>0</v>
      </c>
      <c r="V864" s="2">
        <f t="shared" si="466"/>
        <v>0</v>
      </c>
      <c r="W864" s="11">
        <f t="shared" si="467"/>
        <v>0</v>
      </c>
      <c r="X864" s="2">
        <f t="shared" si="468"/>
        <v>0</v>
      </c>
      <c r="Y864" s="2">
        <f t="shared" si="469"/>
        <v>0</v>
      </c>
      <c r="Z864" s="11">
        <f t="shared" si="470"/>
        <v>0</v>
      </c>
      <c r="AA864" s="2">
        <f t="shared" si="471"/>
        <v>0</v>
      </c>
      <c r="AB864" s="11">
        <f t="shared" si="472"/>
        <v>0</v>
      </c>
      <c r="AC864" s="2">
        <f t="shared" si="473"/>
        <v>0</v>
      </c>
      <c r="AF864" s="11">
        <f t="shared" si="474"/>
        <v>0</v>
      </c>
      <c r="AG864" s="2">
        <f t="shared" si="475"/>
        <v>0</v>
      </c>
      <c r="AH864" s="2">
        <f t="shared" si="476"/>
        <v>0</v>
      </c>
      <c r="AI864" s="2">
        <f t="shared" si="477"/>
        <v>0</v>
      </c>
      <c r="AJ864" s="2">
        <f t="shared" si="478"/>
        <v>0</v>
      </c>
      <c r="AK864" s="2">
        <f t="shared" si="479"/>
        <v>0</v>
      </c>
      <c r="AL864" s="2">
        <f t="shared" si="480"/>
        <v>0</v>
      </c>
      <c r="AM864" s="11"/>
      <c r="AN864" s="2" t="e">
        <f t="shared" si="489"/>
        <v>#N/A</v>
      </c>
      <c r="AO864" s="2" t="e">
        <f t="shared" si="490"/>
        <v>#N/A</v>
      </c>
      <c r="AP864" s="2" t="e">
        <f t="shared" si="491"/>
        <v>#N/A</v>
      </c>
      <c r="AQ864" s="2" t="e">
        <f t="shared" si="492"/>
        <v>#N/A</v>
      </c>
      <c r="AR864" s="2" t="e">
        <f t="shared" si="493"/>
        <v>#N/A</v>
      </c>
      <c r="AS864" s="2" t="e">
        <f t="shared" si="494"/>
        <v>#DIV/0!</v>
      </c>
      <c r="AT864" s="9" t="e">
        <f t="shared" ca="1" si="495"/>
        <v>#N/A</v>
      </c>
      <c r="AU864" s="9" t="e">
        <f t="shared" ca="1" si="496"/>
        <v>#N/A</v>
      </c>
      <c r="AW864" s="2" t="e">
        <f t="shared" si="481"/>
        <v>#N/A</v>
      </c>
      <c r="AX864" s="2" t="e">
        <f t="shared" si="482"/>
        <v>#N/A</v>
      </c>
      <c r="AY864" s="2" t="e">
        <f t="shared" si="483"/>
        <v>#N/A</v>
      </c>
      <c r="AZ864" s="2" t="e">
        <f t="shared" si="484"/>
        <v>#N/A</v>
      </c>
      <c r="BA864" s="2" t="e">
        <f t="shared" si="485"/>
        <v>#N/A</v>
      </c>
      <c r="BB864" s="2" t="e">
        <f t="shared" si="486"/>
        <v>#DIV/0!</v>
      </c>
      <c r="BC864" s="9" t="e">
        <f t="shared" ca="1" si="487"/>
        <v>#N/A</v>
      </c>
      <c r="BD864" s="9" t="e">
        <f t="shared" ca="1" si="488"/>
        <v>#N/A</v>
      </c>
    </row>
    <row r="865" spans="1:56" ht="15" x14ac:dyDescent="0.25">
      <c r="A865"/>
      <c r="B865"/>
      <c r="C865"/>
      <c r="D865"/>
      <c r="E865"/>
      <c r="F865"/>
      <c r="G865"/>
      <c r="H865"/>
      <c r="I865"/>
      <c r="J865"/>
      <c r="K865"/>
      <c r="L865" s="64"/>
      <c r="M865" s="64"/>
      <c r="N865" s="16"/>
      <c r="O865" s="11"/>
      <c r="P865" s="11"/>
      <c r="Q865" s="11"/>
      <c r="R865" s="11"/>
      <c r="S865" s="11"/>
      <c r="T865" s="11"/>
      <c r="U865" s="11">
        <f t="shared" si="465"/>
        <v>0</v>
      </c>
      <c r="V865" s="2">
        <f t="shared" si="466"/>
        <v>0</v>
      </c>
      <c r="W865" s="11">
        <f t="shared" si="467"/>
        <v>0</v>
      </c>
      <c r="X865" s="2">
        <f t="shared" si="468"/>
        <v>0</v>
      </c>
      <c r="Y865" s="2">
        <f t="shared" si="469"/>
        <v>0</v>
      </c>
      <c r="Z865" s="11">
        <f t="shared" si="470"/>
        <v>0</v>
      </c>
      <c r="AA865" s="2">
        <f t="shared" si="471"/>
        <v>0</v>
      </c>
      <c r="AB865" s="11">
        <f t="shared" si="472"/>
        <v>0</v>
      </c>
      <c r="AC865" s="2">
        <f t="shared" si="473"/>
        <v>0</v>
      </c>
      <c r="AF865" s="11">
        <f t="shared" si="474"/>
        <v>0</v>
      </c>
      <c r="AG865" s="2">
        <f t="shared" si="475"/>
        <v>0</v>
      </c>
      <c r="AH865" s="2">
        <f t="shared" si="476"/>
        <v>0</v>
      </c>
      <c r="AI865" s="2">
        <f t="shared" si="477"/>
        <v>0</v>
      </c>
      <c r="AJ865" s="2">
        <f t="shared" si="478"/>
        <v>0</v>
      </c>
      <c r="AK865" s="2">
        <f t="shared" si="479"/>
        <v>0</v>
      </c>
      <c r="AL865" s="2">
        <f t="shared" si="480"/>
        <v>0</v>
      </c>
      <c r="AM865" s="11"/>
      <c r="AN865" s="2" t="e">
        <f t="shared" si="489"/>
        <v>#N/A</v>
      </c>
      <c r="AO865" s="2" t="e">
        <f t="shared" si="490"/>
        <v>#N/A</v>
      </c>
      <c r="AP865" s="2" t="e">
        <f t="shared" si="491"/>
        <v>#N/A</v>
      </c>
      <c r="AQ865" s="2" t="e">
        <f t="shared" si="492"/>
        <v>#N/A</v>
      </c>
      <c r="AR865" s="2" t="e">
        <f t="shared" si="493"/>
        <v>#N/A</v>
      </c>
      <c r="AS865" s="2" t="e">
        <f t="shared" si="494"/>
        <v>#DIV/0!</v>
      </c>
      <c r="AT865" s="9" t="e">
        <f t="shared" ca="1" si="495"/>
        <v>#N/A</v>
      </c>
      <c r="AU865" s="9" t="e">
        <f t="shared" ca="1" si="496"/>
        <v>#N/A</v>
      </c>
      <c r="AW865" s="2" t="e">
        <f t="shared" si="481"/>
        <v>#N/A</v>
      </c>
      <c r="AX865" s="2" t="e">
        <f t="shared" si="482"/>
        <v>#N/A</v>
      </c>
      <c r="AY865" s="2" t="e">
        <f t="shared" si="483"/>
        <v>#N/A</v>
      </c>
      <c r="AZ865" s="2" t="e">
        <f t="shared" si="484"/>
        <v>#N/A</v>
      </c>
      <c r="BA865" s="2" t="e">
        <f t="shared" si="485"/>
        <v>#N/A</v>
      </c>
      <c r="BB865" s="2" t="e">
        <f t="shared" si="486"/>
        <v>#DIV/0!</v>
      </c>
      <c r="BC865" s="9" t="e">
        <f t="shared" ca="1" si="487"/>
        <v>#N/A</v>
      </c>
      <c r="BD865" s="9" t="e">
        <f t="shared" ca="1" si="488"/>
        <v>#N/A</v>
      </c>
    </row>
    <row r="866" spans="1:56" ht="15" x14ac:dyDescent="0.25">
      <c r="A866"/>
      <c r="B866"/>
      <c r="C866"/>
      <c r="D866"/>
      <c r="E866"/>
      <c r="F866"/>
      <c r="G866"/>
      <c r="H866"/>
      <c r="I866"/>
      <c r="J866"/>
      <c r="K866"/>
      <c r="L866" s="64"/>
      <c r="M866" s="64"/>
      <c r="N866" s="16"/>
      <c r="O866" s="11"/>
      <c r="P866" s="11"/>
      <c r="Q866" s="11"/>
      <c r="R866" s="11"/>
      <c r="S866" s="11"/>
      <c r="T866" s="11"/>
      <c r="U866" s="11">
        <f t="shared" ref="U866:U929" si="497">M866</f>
        <v>0</v>
      </c>
      <c r="V866" s="2">
        <f t="shared" ref="V866:V929" si="498">IF(M866&gt;0,N866-(M866*$X$63/$W$63), N866)</f>
        <v>0</v>
      </c>
      <c r="W866" s="11">
        <f t="shared" si="467"/>
        <v>0</v>
      </c>
      <c r="X866" s="2">
        <f t="shared" si="468"/>
        <v>0</v>
      </c>
      <c r="Y866" s="2">
        <f t="shared" si="469"/>
        <v>0</v>
      </c>
      <c r="Z866" s="11">
        <f t="shared" si="470"/>
        <v>0</v>
      </c>
      <c r="AA866" s="2">
        <f t="shared" si="471"/>
        <v>0</v>
      </c>
      <c r="AB866" s="11">
        <f t="shared" si="472"/>
        <v>0</v>
      </c>
      <c r="AC866" s="2">
        <f t="shared" si="473"/>
        <v>0</v>
      </c>
      <c r="AF866" s="11">
        <f t="shared" si="474"/>
        <v>0</v>
      </c>
      <c r="AG866" s="2">
        <f t="shared" si="475"/>
        <v>0</v>
      </c>
      <c r="AH866" s="2">
        <f t="shared" si="476"/>
        <v>0</v>
      </c>
      <c r="AI866" s="2">
        <f t="shared" si="477"/>
        <v>0</v>
      </c>
      <c r="AJ866" s="2">
        <f t="shared" si="478"/>
        <v>0</v>
      </c>
      <c r="AK866" s="2">
        <f t="shared" si="479"/>
        <v>0</v>
      </c>
      <c r="AL866" s="2">
        <f t="shared" si="480"/>
        <v>0</v>
      </c>
      <c r="AM866" s="11"/>
      <c r="AN866" s="2" t="e">
        <f t="shared" si="489"/>
        <v>#N/A</v>
      </c>
      <c r="AO866" s="2" t="e">
        <f t="shared" si="490"/>
        <v>#N/A</v>
      </c>
      <c r="AP866" s="2" t="e">
        <f t="shared" si="491"/>
        <v>#N/A</v>
      </c>
      <c r="AQ866" s="2" t="e">
        <f t="shared" si="492"/>
        <v>#N/A</v>
      </c>
      <c r="AR866" s="2" t="e">
        <f t="shared" si="493"/>
        <v>#N/A</v>
      </c>
      <c r="AS866" s="2" t="e">
        <f t="shared" si="494"/>
        <v>#DIV/0!</v>
      </c>
      <c r="AT866" s="9" t="e">
        <f t="shared" ca="1" si="495"/>
        <v>#N/A</v>
      </c>
      <c r="AU866" s="9" t="e">
        <f t="shared" ca="1" si="496"/>
        <v>#N/A</v>
      </c>
      <c r="AW866" s="2" t="e">
        <f t="shared" si="481"/>
        <v>#N/A</v>
      </c>
      <c r="AX866" s="2" t="e">
        <f t="shared" si="482"/>
        <v>#N/A</v>
      </c>
      <c r="AY866" s="2" t="e">
        <f t="shared" si="483"/>
        <v>#N/A</v>
      </c>
      <c r="AZ866" s="2" t="e">
        <f t="shared" si="484"/>
        <v>#N/A</v>
      </c>
      <c r="BA866" s="2" t="e">
        <f t="shared" si="485"/>
        <v>#N/A</v>
      </c>
      <c r="BB866" s="2" t="e">
        <f t="shared" si="486"/>
        <v>#DIV/0!</v>
      </c>
      <c r="BC866" s="9" t="e">
        <f t="shared" ca="1" si="487"/>
        <v>#N/A</v>
      </c>
      <c r="BD866" s="9" t="e">
        <f t="shared" ca="1" si="488"/>
        <v>#N/A</v>
      </c>
    </row>
    <row r="867" spans="1:56" ht="15" x14ac:dyDescent="0.25">
      <c r="A867"/>
      <c r="B867"/>
      <c r="C867"/>
      <c r="D867"/>
      <c r="E867"/>
      <c r="F867"/>
      <c r="G867"/>
      <c r="H867"/>
      <c r="I867"/>
      <c r="J867"/>
      <c r="K867"/>
      <c r="L867" s="64"/>
      <c r="M867" s="64"/>
      <c r="N867" s="16"/>
      <c r="O867" s="11"/>
      <c r="P867" s="11"/>
      <c r="Q867" s="11"/>
      <c r="R867" s="11"/>
      <c r="S867" s="11"/>
      <c r="T867" s="11"/>
      <c r="U867" s="11">
        <f t="shared" si="497"/>
        <v>0</v>
      </c>
      <c r="V867" s="2">
        <f t="shared" si="498"/>
        <v>0</v>
      </c>
      <c r="W867" s="11">
        <f t="shared" si="467"/>
        <v>0</v>
      </c>
      <c r="X867" s="2">
        <f t="shared" si="468"/>
        <v>0</v>
      </c>
      <c r="Y867" s="2">
        <f t="shared" si="469"/>
        <v>0</v>
      </c>
      <c r="Z867" s="11">
        <f t="shared" si="470"/>
        <v>0</v>
      </c>
      <c r="AA867" s="2">
        <f t="shared" si="471"/>
        <v>0</v>
      </c>
      <c r="AB867" s="11">
        <f t="shared" si="472"/>
        <v>0</v>
      </c>
      <c r="AC867" s="2">
        <f t="shared" si="473"/>
        <v>0</v>
      </c>
      <c r="AF867" s="11">
        <f t="shared" si="474"/>
        <v>0</v>
      </c>
      <c r="AG867" s="2">
        <f t="shared" si="475"/>
        <v>0</v>
      </c>
      <c r="AH867" s="2">
        <f t="shared" si="476"/>
        <v>0</v>
      </c>
      <c r="AI867" s="2">
        <f t="shared" si="477"/>
        <v>0</v>
      </c>
      <c r="AJ867" s="2">
        <f t="shared" si="478"/>
        <v>0</v>
      </c>
      <c r="AK867" s="2">
        <f t="shared" si="479"/>
        <v>0</v>
      </c>
      <c r="AL867" s="2">
        <f t="shared" si="480"/>
        <v>0</v>
      </c>
      <c r="AM867" s="11"/>
      <c r="AN867" s="2" t="e">
        <f t="shared" si="489"/>
        <v>#N/A</v>
      </c>
      <c r="AO867" s="2" t="e">
        <f t="shared" si="490"/>
        <v>#N/A</v>
      </c>
      <c r="AP867" s="2" t="e">
        <f t="shared" si="491"/>
        <v>#N/A</v>
      </c>
      <c r="AQ867" s="2" t="e">
        <f t="shared" si="492"/>
        <v>#N/A</v>
      </c>
      <c r="AR867" s="2" t="e">
        <f t="shared" si="493"/>
        <v>#N/A</v>
      </c>
      <c r="AS867" s="2" t="e">
        <f t="shared" si="494"/>
        <v>#DIV/0!</v>
      </c>
      <c r="AT867" s="9" t="e">
        <f t="shared" ca="1" si="495"/>
        <v>#N/A</v>
      </c>
      <c r="AU867" s="9" t="e">
        <f t="shared" ca="1" si="496"/>
        <v>#N/A</v>
      </c>
      <c r="AW867" s="2" t="e">
        <f t="shared" si="481"/>
        <v>#N/A</v>
      </c>
      <c r="AX867" s="2" t="e">
        <f t="shared" si="482"/>
        <v>#N/A</v>
      </c>
      <c r="AY867" s="2" t="e">
        <f t="shared" si="483"/>
        <v>#N/A</v>
      </c>
      <c r="AZ867" s="2" t="e">
        <f t="shared" si="484"/>
        <v>#N/A</v>
      </c>
      <c r="BA867" s="2" t="e">
        <f t="shared" si="485"/>
        <v>#N/A</v>
      </c>
      <c r="BB867" s="2" t="e">
        <f t="shared" si="486"/>
        <v>#DIV/0!</v>
      </c>
      <c r="BC867" s="9" t="e">
        <f t="shared" ca="1" si="487"/>
        <v>#N/A</v>
      </c>
      <c r="BD867" s="9" t="e">
        <f t="shared" ca="1" si="488"/>
        <v>#N/A</v>
      </c>
    </row>
    <row r="868" spans="1:56" ht="15" x14ac:dyDescent="0.25">
      <c r="A868"/>
      <c r="B868"/>
      <c r="C868"/>
      <c r="D868"/>
      <c r="E868"/>
      <c r="F868"/>
      <c r="G868"/>
      <c r="H868"/>
      <c r="I868"/>
      <c r="J868"/>
      <c r="K868"/>
      <c r="L868" s="64"/>
      <c r="M868" s="64"/>
      <c r="N868" s="16"/>
      <c r="O868" s="11"/>
      <c r="P868" s="11"/>
      <c r="Q868" s="11"/>
      <c r="R868" s="11"/>
      <c r="S868" s="11"/>
      <c r="T868" s="11"/>
      <c r="U868" s="11">
        <f t="shared" si="497"/>
        <v>0</v>
      </c>
      <c r="V868" s="2">
        <f t="shared" si="498"/>
        <v>0</v>
      </c>
      <c r="W868" s="11">
        <f t="shared" si="467"/>
        <v>0</v>
      </c>
      <c r="X868" s="2">
        <f t="shared" si="468"/>
        <v>0</v>
      </c>
      <c r="Y868" s="2">
        <f t="shared" si="469"/>
        <v>0</v>
      </c>
      <c r="Z868" s="11">
        <f t="shared" si="470"/>
        <v>0</v>
      </c>
      <c r="AA868" s="2">
        <f t="shared" si="471"/>
        <v>0</v>
      </c>
      <c r="AB868" s="11">
        <f t="shared" si="472"/>
        <v>0</v>
      </c>
      <c r="AC868" s="2">
        <f t="shared" si="473"/>
        <v>0</v>
      </c>
      <c r="AF868" s="11">
        <f t="shared" si="474"/>
        <v>0</v>
      </c>
      <c r="AG868" s="2">
        <f t="shared" si="475"/>
        <v>0</v>
      </c>
      <c r="AH868" s="2">
        <f t="shared" si="476"/>
        <v>0</v>
      </c>
      <c r="AI868" s="2">
        <f t="shared" si="477"/>
        <v>0</v>
      </c>
      <c r="AJ868" s="2">
        <f t="shared" si="478"/>
        <v>0</v>
      </c>
      <c r="AK868" s="2">
        <f t="shared" si="479"/>
        <v>0</v>
      </c>
      <c r="AL868" s="2">
        <f t="shared" si="480"/>
        <v>0</v>
      </c>
      <c r="AM868" s="11"/>
      <c r="AN868" s="2" t="e">
        <f t="shared" si="489"/>
        <v>#N/A</v>
      </c>
      <c r="AO868" s="2" t="e">
        <f t="shared" si="490"/>
        <v>#N/A</v>
      </c>
      <c r="AP868" s="2" t="e">
        <f t="shared" si="491"/>
        <v>#N/A</v>
      </c>
      <c r="AQ868" s="2" t="e">
        <f t="shared" si="492"/>
        <v>#N/A</v>
      </c>
      <c r="AR868" s="2" t="e">
        <f t="shared" si="493"/>
        <v>#N/A</v>
      </c>
      <c r="AS868" s="2" t="e">
        <f t="shared" si="494"/>
        <v>#DIV/0!</v>
      </c>
      <c r="AT868" s="9" t="e">
        <f t="shared" ca="1" si="495"/>
        <v>#N/A</v>
      </c>
      <c r="AU868" s="9" t="e">
        <f t="shared" ca="1" si="496"/>
        <v>#N/A</v>
      </c>
      <c r="AW868" s="2" t="e">
        <f t="shared" si="481"/>
        <v>#N/A</v>
      </c>
      <c r="AX868" s="2" t="e">
        <f t="shared" si="482"/>
        <v>#N/A</v>
      </c>
      <c r="AY868" s="2" t="e">
        <f t="shared" si="483"/>
        <v>#N/A</v>
      </c>
      <c r="AZ868" s="2" t="e">
        <f t="shared" si="484"/>
        <v>#N/A</v>
      </c>
      <c r="BA868" s="2" t="e">
        <f t="shared" si="485"/>
        <v>#N/A</v>
      </c>
      <c r="BB868" s="2" t="e">
        <f t="shared" si="486"/>
        <v>#DIV/0!</v>
      </c>
      <c r="BC868" s="9" t="e">
        <f t="shared" ca="1" si="487"/>
        <v>#N/A</v>
      </c>
      <c r="BD868" s="9" t="e">
        <f t="shared" ca="1" si="488"/>
        <v>#N/A</v>
      </c>
    </row>
    <row r="869" spans="1:56" ht="15" x14ac:dyDescent="0.25">
      <c r="A869"/>
      <c r="B869"/>
      <c r="C869"/>
      <c r="D869"/>
      <c r="E869"/>
      <c r="F869"/>
      <c r="G869"/>
      <c r="H869"/>
      <c r="I869"/>
      <c r="J869"/>
      <c r="K869"/>
      <c r="L869" s="64"/>
      <c r="M869" s="64"/>
      <c r="N869" s="16"/>
      <c r="O869" s="11"/>
      <c r="P869" s="11"/>
      <c r="Q869" s="11"/>
      <c r="R869" s="11"/>
      <c r="S869" s="11"/>
      <c r="T869" s="11"/>
      <c r="U869" s="11">
        <f t="shared" si="497"/>
        <v>0</v>
      </c>
      <c r="V869" s="2">
        <f t="shared" si="498"/>
        <v>0</v>
      </c>
      <c r="W869" s="11">
        <f t="shared" si="467"/>
        <v>0</v>
      </c>
      <c r="X869" s="2">
        <f t="shared" si="468"/>
        <v>0</v>
      </c>
      <c r="Y869" s="2">
        <f t="shared" si="469"/>
        <v>0</v>
      </c>
      <c r="Z869" s="11">
        <f t="shared" si="470"/>
        <v>0</v>
      </c>
      <c r="AA869" s="2">
        <f t="shared" si="471"/>
        <v>0</v>
      </c>
      <c r="AB869" s="11">
        <f t="shared" si="472"/>
        <v>0</v>
      </c>
      <c r="AC869" s="2">
        <f t="shared" si="473"/>
        <v>0</v>
      </c>
      <c r="AF869" s="11">
        <f t="shared" si="474"/>
        <v>0</v>
      </c>
      <c r="AG869" s="2">
        <f t="shared" si="475"/>
        <v>0</v>
      </c>
      <c r="AH869" s="2">
        <f t="shared" si="476"/>
        <v>0</v>
      </c>
      <c r="AI869" s="2">
        <f t="shared" si="477"/>
        <v>0</v>
      </c>
      <c r="AJ869" s="2">
        <f t="shared" si="478"/>
        <v>0</v>
      </c>
      <c r="AK869" s="2">
        <f t="shared" si="479"/>
        <v>0</v>
      </c>
      <c r="AL869" s="2">
        <f t="shared" si="480"/>
        <v>0</v>
      </c>
      <c r="AM869" s="11"/>
      <c r="AN869" s="2" t="e">
        <f t="shared" si="489"/>
        <v>#N/A</v>
      </c>
      <c r="AO869" s="2" t="e">
        <f t="shared" si="490"/>
        <v>#N/A</v>
      </c>
      <c r="AP869" s="2" t="e">
        <f t="shared" si="491"/>
        <v>#N/A</v>
      </c>
      <c r="AQ869" s="2" t="e">
        <f t="shared" si="492"/>
        <v>#N/A</v>
      </c>
      <c r="AR869" s="2" t="e">
        <f t="shared" si="493"/>
        <v>#N/A</v>
      </c>
      <c r="AS869" s="2" t="e">
        <f t="shared" si="494"/>
        <v>#DIV/0!</v>
      </c>
      <c r="AT869" s="9" t="e">
        <f t="shared" ca="1" si="495"/>
        <v>#N/A</v>
      </c>
      <c r="AU869" s="9" t="e">
        <f t="shared" ca="1" si="496"/>
        <v>#N/A</v>
      </c>
      <c r="AW869" s="2" t="e">
        <f t="shared" si="481"/>
        <v>#N/A</v>
      </c>
      <c r="AX869" s="2" t="e">
        <f t="shared" si="482"/>
        <v>#N/A</v>
      </c>
      <c r="AY869" s="2" t="e">
        <f t="shared" si="483"/>
        <v>#N/A</v>
      </c>
      <c r="AZ869" s="2" t="e">
        <f t="shared" si="484"/>
        <v>#N/A</v>
      </c>
      <c r="BA869" s="2" t="e">
        <f t="shared" si="485"/>
        <v>#N/A</v>
      </c>
      <c r="BB869" s="2" t="e">
        <f t="shared" si="486"/>
        <v>#DIV/0!</v>
      </c>
      <c r="BC869" s="9" t="e">
        <f t="shared" ca="1" si="487"/>
        <v>#N/A</v>
      </c>
      <c r="BD869" s="9" t="e">
        <f t="shared" ca="1" si="488"/>
        <v>#N/A</v>
      </c>
    </row>
    <row r="870" spans="1:56" ht="15" x14ac:dyDescent="0.25">
      <c r="A870"/>
      <c r="B870"/>
      <c r="C870"/>
      <c r="D870"/>
      <c r="E870"/>
      <c r="F870"/>
      <c r="G870"/>
      <c r="H870"/>
      <c r="I870"/>
      <c r="J870"/>
      <c r="K870"/>
      <c r="L870" s="64"/>
      <c r="M870" s="64"/>
      <c r="N870" s="16"/>
      <c r="O870" s="11"/>
      <c r="P870" s="11"/>
      <c r="Q870" s="11"/>
      <c r="R870" s="11"/>
      <c r="S870" s="11"/>
      <c r="T870" s="11"/>
      <c r="U870" s="11">
        <f t="shared" si="497"/>
        <v>0</v>
      </c>
      <c r="V870" s="2">
        <f t="shared" si="498"/>
        <v>0</v>
      </c>
      <c r="W870" s="11">
        <f t="shared" si="467"/>
        <v>0</v>
      </c>
      <c r="X870" s="2">
        <f t="shared" si="468"/>
        <v>0</v>
      </c>
      <c r="Y870" s="2">
        <f t="shared" si="469"/>
        <v>0</v>
      </c>
      <c r="Z870" s="11">
        <f t="shared" si="470"/>
        <v>0</v>
      </c>
      <c r="AA870" s="2">
        <f t="shared" si="471"/>
        <v>0</v>
      </c>
      <c r="AB870" s="11">
        <f t="shared" si="472"/>
        <v>0</v>
      </c>
      <c r="AC870" s="2">
        <f t="shared" si="473"/>
        <v>0</v>
      </c>
      <c r="AF870" s="11">
        <f t="shared" si="474"/>
        <v>0</v>
      </c>
      <c r="AG870" s="2">
        <f t="shared" si="475"/>
        <v>0</v>
      </c>
      <c r="AH870" s="2">
        <f t="shared" si="476"/>
        <v>0</v>
      </c>
      <c r="AI870" s="2">
        <f t="shared" si="477"/>
        <v>0</v>
      </c>
      <c r="AJ870" s="2">
        <f t="shared" si="478"/>
        <v>0</v>
      </c>
      <c r="AK870" s="2">
        <f t="shared" si="479"/>
        <v>0</v>
      </c>
      <c r="AL870" s="2">
        <f t="shared" si="480"/>
        <v>0</v>
      </c>
      <c r="AM870" s="11"/>
      <c r="AN870" s="2" t="e">
        <f t="shared" si="489"/>
        <v>#N/A</v>
      </c>
      <c r="AO870" s="2" t="e">
        <f t="shared" si="490"/>
        <v>#N/A</v>
      </c>
      <c r="AP870" s="2" t="e">
        <f t="shared" si="491"/>
        <v>#N/A</v>
      </c>
      <c r="AQ870" s="2" t="e">
        <f t="shared" si="492"/>
        <v>#N/A</v>
      </c>
      <c r="AR870" s="2" t="e">
        <f t="shared" si="493"/>
        <v>#N/A</v>
      </c>
      <c r="AS870" s="2" t="e">
        <f t="shared" si="494"/>
        <v>#DIV/0!</v>
      </c>
      <c r="AT870" s="9" t="e">
        <f t="shared" ca="1" si="495"/>
        <v>#N/A</v>
      </c>
      <c r="AU870" s="9" t="e">
        <f t="shared" ca="1" si="496"/>
        <v>#N/A</v>
      </c>
      <c r="AW870" s="2" t="e">
        <f t="shared" si="481"/>
        <v>#N/A</v>
      </c>
      <c r="AX870" s="2" t="e">
        <f t="shared" si="482"/>
        <v>#N/A</v>
      </c>
      <c r="AY870" s="2" t="e">
        <f t="shared" si="483"/>
        <v>#N/A</v>
      </c>
      <c r="AZ870" s="2" t="e">
        <f t="shared" si="484"/>
        <v>#N/A</v>
      </c>
      <c r="BA870" s="2" t="e">
        <f t="shared" si="485"/>
        <v>#N/A</v>
      </c>
      <c r="BB870" s="2" t="e">
        <f t="shared" si="486"/>
        <v>#DIV/0!</v>
      </c>
      <c r="BC870" s="9" t="e">
        <f t="shared" ca="1" si="487"/>
        <v>#N/A</v>
      </c>
      <c r="BD870" s="9" t="e">
        <f t="shared" ca="1" si="488"/>
        <v>#N/A</v>
      </c>
    </row>
    <row r="871" spans="1:56" ht="15" x14ac:dyDescent="0.25">
      <c r="A871"/>
      <c r="B871"/>
      <c r="C871"/>
      <c r="D871"/>
      <c r="E871"/>
      <c r="F871"/>
      <c r="G871"/>
      <c r="H871"/>
      <c r="I871"/>
      <c r="J871"/>
      <c r="K871"/>
      <c r="L871" s="64"/>
      <c r="M871" s="64"/>
      <c r="N871" s="16"/>
      <c r="O871" s="11"/>
      <c r="P871" s="11"/>
      <c r="Q871" s="11"/>
      <c r="R871" s="11"/>
      <c r="S871" s="11"/>
      <c r="T871" s="11"/>
      <c r="U871" s="11">
        <f t="shared" si="497"/>
        <v>0</v>
      </c>
      <c r="V871" s="2">
        <f t="shared" si="498"/>
        <v>0</v>
      </c>
      <c r="W871" s="11">
        <f t="shared" si="467"/>
        <v>0</v>
      </c>
      <c r="X871" s="2">
        <f t="shared" si="468"/>
        <v>0</v>
      </c>
      <c r="Y871" s="2">
        <f t="shared" si="469"/>
        <v>0</v>
      </c>
      <c r="Z871" s="11">
        <f t="shared" si="470"/>
        <v>0</v>
      </c>
      <c r="AA871" s="2">
        <f t="shared" si="471"/>
        <v>0</v>
      </c>
      <c r="AB871" s="11">
        <f t="shared" si="472"/>
        <v>0</v>
      </c>
      <c r="AC871" s="2">
        <f t="shared" si="473"/>
        <v>0</v>
      </c>
      <c r="AF871" s="11">
        <f t="shared" si="474"/>
        <v>0</v>
      </c>
      <c r="AG871" s="2">
        <f t="shared" si="475"/>
        <v>0</v>
      </c>
      <c r="AH871" s="2">
        <f t="shared" si="476"/>
        <v>0</v>
      </c>
      <c r="AI871" s="2">
        <f t="shared" si="477"/>
        <v>0</v>
      </c>
      <c r="AJ871" s="2">
        <f t="shared" si="478"/>
        <v>0</v>
      </c>
      <c r="AK871" s="2">
        <f t="shared" si="479"/>
        <v>0</v>
      </c>
      <c r="AL871" s="2">
        <f t="shared" si="480"/>
        <v>0</v>
      </c>
      <c r="AM871" s="11"/>
      <c r="AN871" s="2" t="e">
        <f t="shared" si="489"/>
        <v>#N/A</v>
      </c>
      <c r="AO871" s="2" t="e">
        <f t="shared" si="490"/>
        <v>#N/A</v>
      </c>
      <c r="AP871" s="2" t="e">
        <f t="shared" si="491"/>
        <v>#N/A</v>
      </c>
      <c r="AQ871" s="2" t="e">
        <f t="shared" si="492"/>
        <v>#N/A</v>
      </c>
      <c r="AR871" s="2" t="e">
        <f t="shared" si="493"/>
        <v>#N/A</v>
      </c>
      <c r="AS871" s="2" t="e">
        <f t="shared" si="494"/>
        <v>#DIV/0!</v>
      </c>
      <c r="AT871" s="9" t="e">
        <f t="shared" ca="1" si="495"/>
        <v>#N/A</v>
      </c>
      <c r="AU871" s="9" t="e">
        <f t="shared" ca="1" si="496"/>
        <v>#N/A</v>
      </c>
      <c r="AW871" s="2" t="e">
        <f t="shared" si="481"/>
        <v>#N/A</v>
      </c>
      <c r="AX871" s="2" t="e">
        <f t="shared" si="482"/>
        <v>#N/A</v>
      </c>
      <c r="AY871" s="2" t="e">
        <f t="shared" si="483"/>
        <v>#N/A</v>
      </c>
      <c r="AZ871" s="2" t="e">
        <f t="shared" si="484"/>
        <v>#N/A</v>
      </c>
      <c r="BA871" s="2" t="e">
        <f t="shared" si="485"/>
        <v>#N/A</v>
      </c>
      <c r="BB871" s="2" t="e">
        <f t="shared" si="486"/>
        <v>#DIV/0!</v>
      </c>
      <c r="BC871" s="9" t="e">
        <f t="shared" ca="1" si="487"/>
        <v>#N/A</v>
      </c>
      <c r="BD871" s="9" t="e">
        <f t="shared" ca="1" si="488"/>
        <v>#N/A</v>
      </c>
    </row>
    <row r="872" spans="1:56" ht="15" x14ac:dyDescent="0.25">
      <c r="A872"/>
      <c r="B872"/>
      <c r="C872"/>
      <c r="D872"/>
      <c r="E872"/>
      <c r="F872"/>
      <c r="G872"/>
      <c r="H872"/>
      <c r="I872"/>
      <c r="J872"/>
      <c r="K872"/>
      <c r="L872" s="64"/>
      <c r="M872" s="64"/>
      <c r="N872" s="16"/>
      <c r="O872" s="11"/>
      <c r="P872" s="11"/>
      <c r="Q872" s="11"/>
      <c r="R872" s="11"/>
      <c r="S872" s="11"/>
      <c r="T872" s="11"/>
      <c r="U872" s="11">
        <f t="shared" si="497"/>
        <v>0</v>
      </c>
      <c r="V872" s="2">
        <f t="shared" si="498"/>
        <v>0</v>
      </c>
      <c r="W872" s="11">
        <f t="shared" si="467"/>
        <v>0</v>
      </c>
      <c r="X872" s="2">
        <f t="shared" si="468"/>
        <v>0</v>
      </c>
      <c r="Y872" s="2">
        <f t="shared" si="469"/>
        <v>0</v>
      </c>
      <c r="Z872" s="11">
        <f t="shared" si="470"/>
        <v>0</v>
      </c>
      <c r="AA872" s="2">
        <f t="shared" si="471"/>
        <v>0</v>
      </c>
      <c r="AB872" s="11">
        <f t="shared" si="472"/>
        <v>0</v>
      </c>
      <c r="AC872" s="2">
        <f t="shared" si="473"/>
        <v>0</v>
      </c>
      <c r="AF872" s="11">
        <f t="shared" si="474"/>
        <v>0</v>
      </c>
      <c r="AG872" s="2">
        <f t="shared" si="475"/>
        <v>0</v>
      </c>
      <c r="AH872" s="2">
        <f t="shared" si="476"/>
        <v>0</v>
      </c>
      <c r="AI872" s="2">
        <f t="shared" si="477"/>
        <v>0</v>
      </c>
      <c r="AJ872" s="2">
        <f t="shared" si="478"/>
        <v>0</v>
      </c>
      <c r="AK872" s="2">
        <f t="shared" si="479"/>
        <v>0</v>
      </c>
      <c r="AL872" s="2">
        <f t="shared" si="480"/>
        <v>0</v>
      </c>
      <c r="AM872" s="11"/>
      <c r="AN872" s="2" t="e">
        <f t="shared" si="489"/>
        <v>#N/A</v>
      </c>
      <c r="AO872" s="2" t="e">
        <f t="shared" si="490"/>
        <v>#N/A</v>
      </c>
      <c r="AP872" s="2" t="e">
        <f t="shared" si="491"/>
        <v>#N/A</v>
      </c>
      <c r="AQ872" s="2" t="e">
        <f t="shared" si="492"/>
        <v>#N/A</v>
      </c>
      <c r="AR872" s="2" t="e">
        <f t="shared" si="493"/>
        <v>#N/A</v>
      </c>
      <c r="AS872" s="2" t="e">
        <f t="shared" si="494"/>
        <v>#DIV/0!</v>
      </c>
      <c r="AT872" s="9" t="e">
        <f t="shared" ca="1" si="495"/>
        <v>#N/A</v>
      </c>
      <c r="AU872" s="9" t="e">
        <f t="shared" ca="1" si="496"/>
        <v>#N/A</v>
      </c>
      <c r="AW872" s="2" t="e">
        <f t="shared" si="481"/>
        <v>#N/A</v>
      </c>
      <c r="AX872" s="2" t="e">
        <f t="shared" si="482"/>
        <v>#N/A</v>
      </c>
      <c r="AY872" s="2" t="e">
        <f t="shared" si="483"/>
        <v>#N/A</v>
      </c>
      <c r="AZ872" s="2" t="e">
        <f t="shared" si="484"/>
        <v>#N/A</v>
      </c>
      <c r="BA872" s="2" t="e">
        <f t="shared" si="485"/>
        <v>#N/A</v>
      </c>
      <c r="BB872" s="2" t="e">
        <f t="shared" si="486"/>
        <v>#DIV/0!</v>
      </c>
      <c r="BC872" s="9" t="e">
        <f t="shared" ca="1" si="487"/>
        <v>#N/A</v>
      </c>
      <c r="BD872" s="9" t="e">
        <f t="shared" ca="1" si="488"/>
        <v>#N/A</v>
      </c>
    </row>
    <row r="873" spans="1:56" ht="15" x14ac:dyDescent="0.25">
      <c r="A873"/>
      <c r="B873"/>
      <c r="C873"/>
      <c r="D873"/>
      <c r="E873"/>
      <c r="F873"/>
      <c r="G873"/>
      <c r="H873"/>
      <c r="I873"/>
      <c r="J873"/>
      <c r="K873"/>
      <c r="L873" s="64"/>
      <c r="M873" s="64"/>
      <c r="N873" s="16"/>
      <c r="O873" s="11"/>
      <c r="P873" s="11"/>
      <c r="Q873" s="11"/>
      <c r="R873" s="11"/>
      <c r="S873" s="11"/>
      <c r="T873" s="11"/>
      <c r="U873" s="11">
        <f t="shared" si="497"/>
        <v>0</v>
      </c>
      <c r="V873" s="2">
        <f t="shared" si="498"/>
        <v>0</v>
      </c>
      <c r="W873" s="11">
        <f t="shared" si="467"/>
        <v>0</v>
      </c>
      <c r="X873" s="2">
        <f t="shared" si="468"/>
        <v>0</v>
      </c>
      <c r="Y873" s="2">
        <f t="shared" si="469"/>
        <v>0</v>
      </c>
      <c r="Z873" s="11">
        <f t="shared" si="470"/>
        <v>0</v>
      </c>
      <c r="AA873" s="2">
        <f t="shared" si="471"/>
        <v>0</v>
      </c>
      <c r="AB873" s="11">
        <f t="shared" si="472"/>
        <v>0</v>
      </c>
      <c r="AC873" s="2">
        <f t="shared" si="473"/>
        <v>0</v>
      </c>
      <c r="AF873" s="11">
        <f t="shared" si="474"/>
        <v>0</v>
      </c>
      <c r="AG873" s="2">
        <f t="shared" si="475"/>
        <v>0</v>
      </c>
      <c r="AH873" s="2">
        <f t="shared" si="476"/>
        <v>0</v>
      </c>
      <c r="AI873" s="2">
        <f t="shared" si="477"/>
        <v>0</v>
      </c>
      <c r="AJ873" s="2">
        <f t="shared" si="478"/>
        <v>0</v>
      </c>
      <c r="AK873" s="2">
        <f t="shared" si="479"/>
        <v>0</v>
      </c>
      <c r="AL873" s="2">
        <f t="shared" si="480"/>
        <v>0</v>
      </c>
      <c r="AM873" s="11"/>
      <c r="AN873" s="2" t="e">
        <f t="shared" si="489"/>
        <v>#N/A</v>
      </c>
      <c r="AO873" s="2" t="e">
        <f t="shared" si="490"/>
        <v>#N/A</v>
      </c>
      <c r="AP873" s="2" t="e">
        <f t="shared" si="491"/>
        <v>#N/A</v>
      </c>
      <c r="AQ873" s="2" t="e">
        <f t="shared" si="492"/>
        <v>#N/A</v>
      </c>
      <c r="AR873" s="2" t="e">
        <f t="shared" si="493"/>
        <v>#N/A</v>
      </c>
      <c r="AS873" s="2" t="e">
        <f t="shared" si="494"/>
        <v>#DIV/0!</v>
      </c>
      <c r="AT873" s="9" t="e">
        <f t="shared" ca="1" si="495"/>
        <v>#N/A</v>
      </c>
      <c r="AU873" s="9" t="e">
        <f t="shared" ca="1" si="496"/>
        <v>#N/A</v>
      </c>
      <c r="AW873" s="2" t="e">
        <f t="shared" si="481"/>
        <v>#N/A</v>
      </c>
      <c r="AX873" s="2" t="e">
        <f t="shared" si="482"/>
        <v>#N/A</v>
      </c>
      <c r="AY873" s="2" t="e">
        <f t="shared" si="483"/>
        <v>#N/A</v>
      </c>
      <c r="AZ873" s="2" t="e">
        <f t="shared" si="484"/>
        <v>#N/A</v>
      </c>
      <c r="BA873" s="2" t="e">
        <f t="shared" si="485"/>
        <v>#N/A</v>
      </c>
      <c r="BB873" s="2" t="e">
        <f t="shared" si="486"/>
        <v>#DIV/0!</v>
      </c>
      <c r="BC873" s="9" t="e">
        <f t="shared" ca="1" si="487"/>
        <v>#N/A</v>
      </c>
      <c r="BD873" s="9" t="e">
        <f t="shared" ca="1" si="488"/>
        <v>#N/A</v>
      </c>
    </row>
    <row r="874" spans="1:56" ht="15" x14ac:dyDescent="0.25">
      <c r="A874"/>
      <c r="B874"/>
      <c r="C874"/>
      <c r="D874"/>
      <c r="E874"/>
      <c r="F874"/>
      <c r="G874"/>
      <c r="H874"/>
      <c r="I874"/>
      <c r="J874"/>
      <c r="K874"/>
      <c r="L874" s="64"/>
      <c r="M874" s="64"/>
      <c r="N874" s="16"/>
      <c r="O874" s="11"/>
      <c r="P874" s="11"/>
      <c r="Q874" s="11"/>
      <c r="R874" s="11"/>
      <c r="S874" s="11"/>
      <c r="T874" s="11"/>
      <c r="U874" s="11">
        <f t="shared" si="497"/>
        <v>0</v>
      </c>
      <c r="V874" s="2">
        <f t="shared" si="498"/>
        <v>0</v>
      </c>
      <c r="W874" s="11">
        <f t="shared" si="467"/>
        <v>0</v>
      </c>
      <c r="X874" s="2">
        <f t="shared" si="468"/>
        <v>0</v>
      </c>
      <c r="Y874" s="2">
        <f t="shared" si="469"/>
        <v>0</v>
      </c>
      <c r="Z874" s="11">
        <f t="shared" si="470"/>
        <v>0</v>
      </c>
      <c r="AA874" s="2">
        <f t="shared" si="471"/>
        <v>0</v>
      </c>
      <c r="AB874" s="11">
        <f t="shared" si="472"/>
        <v>0</v>
      </c>
      <c r="AC874" s="2">
        <f t="shared" si="473"/>
        <v>0</v>
      </c>
      <c r="AF874" s="11">
        <f t="shared" si="474"/>
        <v>0</v>
      </c>
      <c r="AG874" s="2">
        <f t="shared" si="475"/>
        <v>0</v>
      </c>
      <c r="AH874" s="2">
        <f t="shared" si="476"/>
        <v>0</v>
      </c>
      <c r="AI874" s="2">
        <f t="shared" si="477"/>
        <v>0</v>
      </c>
      <c r="AJ874" s="2">
        <f t="shared" si="478"/>
        <v>0</v>
      </c>
      <c r="AK874" s="2">
        <f t="shared" si="479"/>
        <v>0</v>
      </c>
      <c r="AL874" s="2">
        <f t="shared" si="480"/>
        <v>0</v>
      </c>
      <c r="AM874" s="11"/>
      <c r="AN874" s="2" t="e">
        <f t="shared" si="489"/>
        <v>#N/A</v>
      </c>
      <c r="AO874" s="2" t="e">
        <f t="shared" si="490"/>
        <v>#N/A</v>
      </c>
      <c r="AP874" s="2" t="e">
        <f t="shared" si="491"/>
        <v>#N/A</v>
      </c>
      <c r="AQ874" s="2" t="e">
        <f t="shared" si="492"/>
        <v>#N/A</v>
      </c>
      <c r="AR874" s="2" t="e">
        <f t="shared" si="493"/>
        <v>#N/A</v>
      </c>
      <c r="AS874" s="2" t="e">
        <f t="shared" si="494"/>
        <v>#DIV/0!</v>
      </c>
      <c r="AT874" s="9" t="e">
        <f t="shared" ca="1" si="495"/>
        <v>#N/A</v>
      </c>
      <c r="AU874" s="9" t="e">
        <f t="shared" ca="1" si="496"/>
        <v>#N/A</v>
      </c>
      <c r="AW874" s="2" t="e">
        <f t="shared" si="481"/>
        <v>#N/A</v>
      </c>
      <c r="AX874" s="2" t="e">
        <f t="shared" si="482"/>
        <v>#N/A</v>
      </c>
      <c r="AY874" s="2" t="e">
        <f t="shared" si="483"/>
        <v>#N/A</v>
      </c>
      <c r="AZ874" s="2" t="e">
        <f t="shared" si="484"/>
        <v>#N/A</v>
      </c>
      <c r="BA874" s="2" t="e">
        <f t="shared" si="485"/>
        <v>#N/A</v>
      </c>
      <c r="BB874" s="2" t="e">
        <f t="shared" si="486"/>
        <v>#DIV/0!</v>
      </c>
      <c r="BC874" s="9" t="e">
        <f t="shared" ca="1" si="487"/>
        <v>#N/A</v>
      </c>
      <c r="BD874" s="9" t="e">
        <f t="shared" ca="1" si="488"/>
        <v>#N/A</v>
      </c>
    </row>
    <row r="875" spans="1:56" ht="15" x14ac:dyDescent="0.25">
      <c r="A875"/>
      <c r="B875"/>
      <c r="C875"/>
      <c r="D875"/>
      <c r="E875"/>
      <c r="F875"/>
      <c r="G875"/>
      <c r="H875"/>
      <c r="I875"/>
      <c r="J875"/>
      <c r="K875"/>
      <c r="L875" s="64"/>
      <c r="M875" s="64"/>
      <c r="N875" s="16"/>
      <c r="O875" s="11"/>
      <c r="P875" s="11"/>
      <c r="Q875" s="11"/>
      <c r="R875" s="11"/>
      <c r="S875" s="11"/>
      <c r="T875" s="11"/>
      <c r="U875" s="11">
        <f t="shared" si="497"/>
        <v>0</v>
      </c>
      <c r="V875" s="2">
        <f t="shared" si="498"/>
        <v>0</v>
      </c>
      <c r="W875" s="11">
        <f t="shared" si="467"/>
        <v>0</v>
      </c>
      <c r="X875" s="2">
        <f t="shared" si="468"/>
        <v>0</v>
      </c>
      <c r="Y875" s="2">
        <f t="shared" si="469"/>
        <v>0</v>
      </c>
      <c r="Z875" s="11">
        <f t="shared" si="470"/>
        <v>0</v>
      </c>
      <c r="AA875" s="2">
        <f t="shared" si="471"/>
        <v>0</v>
      </c>
      <c r="AB875" s="11">
        <f t="shared" si="472"/>
        <v>0</v>
      </c>
      <c r="AC875" s="2">
        <f t="shared" si="473"/>
        <v>0</v>
      </c>
      <c r="AF875" s="11">
        <f t="shared" si="474"/>
        <v>0</v>
      </c>
      <c r="AG875" s="2">
        <f t="shared" si="475"/>
        <v>0</v>
      </c>
      <c r="AH875" s="2">
        <f t="shared" si="476"/>
        <v>0</v>
      </c>
      <c r="AI875" s="2">
        <f t="shared" si="477"/>
        <v>0</v>
      </c>
      <c r="AJ875" s="2">
        <f t="shared" si="478"/>
        <v>0</v>
      </c>
      <c r="AK875" s="2">
        <f t="shared" si="479"/>
        <v>0</v>
      </c>
      <c r="AL875" s="2">
        <f t="shared" si="480"/>
        <v>0</v>
      </c>
      <c r="AM875" s="11"/>
      <c r="AN875" s="2" t="e">
        <f t="shared" si="489"/>
        <v>#N/A</v>
      </c>
      <c r="AO875" s="2" t="e">
        <f t="shared" si="490"/>
        <v>#N/A</v>
      </c>
      <c r="AP875" s="2" t="e">
        <f t="shared" si="491"/>
        <v>#N/A</v>
      </c>
      <c r="AQ875" s="2" t="e">
        <f t="shared" si="492"/>
        <v>#N/A</v>
      </c>
      <c r="AR875" s="2" t="e">
        <f t="shared" si="493"/>
        <v>#N/A</v>
      </c>
      <c r="AS875" s="2" t="e">
        <f t="shared" si="494"/>
        <v>#DIV/0!</v>
      </c>
      <c r="AT875" s="9" t="e">
        <f t="shared" ca="1" si="495"/>
        <v>#N/A</v>
      </c>
      <c r="AU875" s="9" t="e">
        <f t="shared" ca="1" si="496"/>
        <v>#N/A</v>
      </c>
      <c r="AW875" s="2" t="e">
        <f t="shared" si="481"/>
        <v>#N/A</v>
      </c>
      <c r="AX875" s="2" t="e">
        <f t="shared" si="482"/>
        <v>#N/A</v>
      </c>
      <c r="AY875" s="2" t="e">
        <f t="shared" si="483"/>
        <v>#N/A</v>
      </c>
      <c r="AZ875" s="2" t="e">
        <f t="shared" si="484"/>
        <v>#N/A</v>
      </c>
      <c r="BA875" s="2" t="e">
        <f t="shared" si="485"/>
        <v>#N/A</v>
      </c>
      <c r="BB875" s="2" t="e">
        <f t="shared" si="486"/>
        <v>#DIV/0!</v>
      </c>
      <c r="BC875" s="9" t="e">
        <f t="shared" ca="1" si="487"/>
        <v>#N/A</v>
      </c>
      <c r="BD875" s="9" t="e">
        <f t="shared" ca="1" si="488"/>
        <v>#N/A</v>
      </c>
    </row>
    <row r="876" spans="1:56" ht="15" x14ac:dyDescent="0.25">
      <c r="A876"/>
      <c r="B876"/>
      <c r="C876"/>
      <c r="D876"/>
      <c r="E876"/>
      <c r="F876"/>
      <c r="G876"/>
      <c r="H876"/>
      <c r="I876"/>
      <c r="J876"/>
      <c r="K876"/>
      <c r="L876" s="64"/>
      <c r="M876" s="64"/>
      <c r="N876" s="16"/>
      <c r="O876" s="11"/>
      <c r="P876" s="11"/>
      <c r="Q876" s="11"/>
      <c r="R876" s="11"/>
      <c r="S876" s="11"/>
      <c r="T876" s="11"/>
      <c r="U876" s="11">
        <f t="shared" si="497"/>
        <v>0</v>
      </c>
      <c r="V876" s="2">
        <f t="shared" si="498"/>
        <v>0</v>
      </c>
      <c r="W876" s="11">
        <f t="shared" si="467"/>
        <v>0</v>
      </c>
      <c r="X876" s="2">
        <f t="shared" si="468"/>
        <v>0</v>
      </c>
      <c r="Y876" s="2">
        <f t="shared" si="469"/>
        <v>0</v>
      </c>
      <c r="Z876" s="11">
        <f t="shared" si="470"/>
        <v>0</v>
      </c>
      <c r="AA876" s="2">
        <f t="shared" si="471"/>
        <v>0</v>
      </c>
      <c r="AB876" s="11">
        <f t="shared" si="472"/>
        <v>0</v>
      </c>
      <c r="AC876" s="2">
        <f t="shared" si="473"/>
        <v>0</v>
      </c>
      <c r="AF876" s="11">
        <f t="shared" si="474"/>
        <v>0</v>
      </c>
      <c r="AG876" s="2">
        <f t="shared" si="475"/>
        <v>0</v>
      </c>
      <c r="AH876" s="2">
        <f t="shared" si="476"/>
        <v>0</v>
      </c>
      <c r="AI876" s="2">
        <f t="shared" si="477"/>
        <v>0</v>
      </c>
      <c r="AJ876" s="2">
        <f t="shared" si="478"/>
        <v>0</v>
      </c>
      <c r="AK876" s="2">
        <f t="shared" si="479"/>
        <v>0</v>
      </c>
      <c r="AL876" s="2">
        <f t="shared" si="480"/>
        <v>0</v>
      </c>
      <c r="AM876" s="11"/>
      <c r="AN876" s="2" t="e">
        <f t="shared" si="489"/>
        <v>#N/A</v>
      </c>
      <c r="AO876" s="2" t="e">
        <f t="shared" si="490"/>
        <v>#N/A</v>
      </c>
      <c r="AP876" s="2" t="e">
        <f t="shared" si="491"/>
        <v>#N/A</v>
      </c>
      <c r="AQ876" s="2" t="e">
        <f t="shared" si="492"/>
        <v>#N/A</v>
      </c>
      <c r="AR876" s="2" t="e">
        <f t="shared" si="493"/>
        <v>#N/A</v>
      </c>
      <c r="AS876" s="2" t="e">
        <f t="shared" si="494"/>
        <v>#DIV/0!</v>
      </c>
      <c r="AT876" s="9" t="e">
        <f t="shared" ca="1" si="495"/>
        <v>#N/A</v>
      </c>
      <c r="AU876" s="9" t="e">
        <f t="shared" ca="1" si="496"/>
        <v>#N/A</v>
      </c>
      <c r="AW876" s="2" t="e">
        <f t="shared" si="481"/>
        <v>#N/A</v>
      </c>
      <c r="AX876" s="2" t="e">
        <f t="shared" si="482"/>
        <v>#N/A</v>
      </c>
      <c r="AY876" s="2" t="e">
        <f t="shared" si="483"/>
        <v>#N/A</v>
      </c>
      <c r="AZ876" s="2" t="e">
        <f t="shared" si="484"/>
        <v>#N/A</v>
      </c>
      <c r="BA876" s="2" t="e">
        <f t="shared" si="485"/>
        <v>#N/A</v>
      </c>
      <c r="BB876" s="2" t="e">
        <f t="shared" si="486"/>
        <v>#DIV/0!</v>
      </c>
      <c r="BC876" s="9" t="e">
        <f t="shared" ca="1" si="487"/>
        <v>#N/A</v>
      </c>
      <c r="BD876" s="9" t="e">
        <f t="shared" ca="1" si="488"/>
        <v>#N/A</v>
      </c>
    </row>
    <row r="877" spans="1:56" ht="15" x14ac:dyDescent="0.25">
      <c r="A877"/>
      <c r="B877"/>
      <c r="C877"/>
      <c r="D877"/>
      <c r="E877"/>
      <c r="F877"/>
      <c r="G877"/>
      <c r="H877"/>
      <c r="I877"/>
      <c r="J877"/>
      <c r="K877"/>
      <c r="L877" s="64"/>
      <c r="M877" s="64"/>
      <c r="N877" s="16"/>
      <c r="O877" s="11"/>
      <c r="P877" s="11"/>
      <c r="Q877" s="11"/>
      <c r="R877" s="11"/>
      <c r="S877" s="11"/>
      <c r="T877" s="11"/>
      <c r="U877" s="11">
        <f t="shared" si="497"/>
        <v>0</v>
      </c>
      <c r="V877" s="2">
        <f t="shared" si="498"/>
        <v>0</v>
      </c>
      <c r="W877" s="11">
        <f t="shared" si="467"/>
        <v>0</v>
      </c>
      <c r="X877" s="2">
        <f t="shared" si="468"/>
        <v>0</v>
      </c>
      <c r="Y877" s="2">
        <f t="shared" si="469"/>
        <v>0</v>
      </c>
      <c r="Z877" s="11">
        <f t="shared" si="470"/>
        <v>0</v>
      </c>
      <c r="AA877" s="2">
        <f t="shared" si="471"/>
        <v>0</v>
      </c>
      <c r="AB877" s="11">
        <f t="shared" si="472"/>
        <v>0</v>
      </c>
      <c r="AC877" s="2">
        <f t="shared" si="473"/>
        <v>0</v>
      </c>
      <c r="AF877" s="11">
        <f t="shared" si="474"/>
        <v>0</v>
      </c>
      <c r="AG877" s="2">
        <f t="shared" si="475"/>
        <v>0</v>
      </c>
      <c r="AH877" s="2">
        <f t="shared" si="476"/>
        <v>0</v>
      </c>
      <c r="AI877" s="2">
        <f t="shared" si="477"/>
        <v>0</v>
      </c>
      <c r="AJ877" s="2">
        <f t="shared" si="478"/>
        <v>0</v>
      </c>
      <c r="AK877" s="2">
        <f t="shared" si="479"/>
        <v>0</v>
      </c>
      <c r="AL877" s="2">
        <f t="shared" si="480"/>
        <v>0</v>
      </c>
      <c r="AM877" s="11"/>
      <c r="AN877" s="2" t="e">
        <f t="shared" si="489"/>
        <v>#N/A</v>
      </c>
      <c r="AO877" s="2" t="e">
        <f t="shared" si="490"/>
        <v>#N/A</v>
      </c>
      <c r="AP877" s="2" t="e">
        <f t="shared" si="491"/>
        <v>#N/A</v>
      </c>
      <c r="AQ877" s="2" t="e">
        <f t="shared" si="492"/>
        <v>#N/A</v>
      </c>
      <c r="AR877" s="2" t="e">
        <f t="shared" si="493"/>
        <v>#N/A</v>
      </c>
      <c r="AS877" s="2" t="e">
        <f t="shared" si="494"/>
        <v>#DIV/0!</v>
      </c>
      <c r="AT877" s="9" t="e">
        <f t="shared" ca="1" si="495"/>
        <v>#N/A</v>
      </c>
      <c r="AU877" s="9" t="e">
        <f t="shared" ca="1" si="496"/>
        <v>#N/A</v>
      </c>
      <c r="AW877" s="2" t="e">
        <f t="shared" si="481"/>
        <v>#N/A</v>
      </c>
      <c r="AX877" s="2" t="e">
        <f t="shared" si="482"/>
        <v>#N/A</v>
      </c>
      <c r="AY877" s="2" t="e">
        <f t="shared" si="483"/>
        <v>#N/A</v>
      </c>
      <c r="AZ877" s="2" t="e">
        <f t="shared" si="484"/>
        <v>#N/A</v>
      </c>
      <c r="BA877" s="2" t="e">
        <f t="shared" si="485"/>
        <v>#N/A</v>
      </c>
      <c r="BB877" s="2" t="e">
        <f t="shared" si="486"/>
        <v>#DIV/0!</v>
      </c>
      <c r="BC877" s="9" t="e">
        <f t="shared" ca="1" si="487"/>
        <v>#N/A</v>
      </c>
      <c r="BD877" s="9" t="e">
        <f t="shared" ca="1" si="488"/>
        <v>#N/A</v>
      </c>
    </row>
    <row r="878" spans="1:56" ht="15" x14ac:dyDescent="0.25">
      <c r="A878"/>
      <c r="B878"/>
      <c r="C878"/>
      <c r="D878"/>
      <c r="E878"/>
      <c r="F878"/>
      <c r="G878"/>
      <c r="H878"/>
      <c r="I878"/>
      <c r="J878"/>
      <c r="K878"/>
      <c r="L878" s="64"/>
      <c r="M878" s="64"/>
      <c r="N878" s="16"/>
      <c r="O878" s="11"/>
      <c r="P878" s="11"/>
      <c r="Q878" s="11"/>
      <c r="R878" s="11"/>
      <c r="S878" s="11"/>
      <c r="T878" s="11"/>
      <c r="U878" s="11">
        <f t="shared" si="497"/>
        <v>0</v>
      </c>
      <c r="V878" s="2">
        <f t="shared" si="498"/>
        <v>0</v>
      </c>
      <c r="W878" s="11">
        <f t="shared" si="467"/>
        <v>0</v>
      </c>
      <c r="X878" s="2">
        <f t="shared" si="468"/>
        <v>0</v>
      </c>
      <c r="Y878" s="2">
        <f t="shared" si="469"/>
        <v>0</v>
      </c>
      <c r="Z878" s="11">
        <f t="shared" si="470"/>
        <v>0</v>
      </c>
      <c r="AA878" s="2">
        <f t="shared" si="471"/>
        <v>0</v>
      </c>
      <c r="AB878" s="11">
        <f t="shared" si="472"/>
        <v>0</v>
      </c>
      <c r="AC878" s="2">
        <f t="shared" si="473"/>
        <v>0</v>
      </c>
      <c r="AF878" s="11">
        <f t="shared" si="474"/>
        <v>0</v>
      </c>
      <c r="AG878" s="2">
        <f t="shared" si="475"/>
        <v>0</v>
      </c>
      <c r="AH878" s="2">
        <f t="shared" si="476"/>
        <v>0</v>
      </c>
      <c r="AI878" s="2">
        <f t="shared" si="477"/>
        <v>0</v>
      </c>
      <c r="AJ878" s="2">
        <f t="shared" si="478"/>
        <v>0</v>
      </c>
      <c r="AK878" s="2">
        <f t="shared" si="479"/>
        <v>0</v>
      </c>
      <c r="AL878" s="2">
        <f t="shared" si="480"/>
        <v>0</v>
      </c>
      <c r="AM878" s="11"/>
      <c r="AN878" s="2" t="e">
        <f t="shared" si="489"/>
        <v>#N/A</v>
      </c>
      <c r="AO878" s="2" t="e">
        <f t="shared" si="490"/>
        <v>#N/A</v>
      </c>
      <c r="AP878" s="2" t="e">
        <f t="shared" si="491"/>
        <v>#N/A</v>
      </c>
      <c r="AQ878" s="2" t="e">
        <f t="shared" si="492"/>
        <v>#N/A</v>
      </c>
      <c r="AR878" s="2" t="e">
        <f t="shared" si="493"/>
        <v>#N/A</v>
      </c>
      <c r="AS878" s="2" t="e">
        <f t="shared" si="494"/>
        <v>#DIV/0!</v>
      </c>
      <c r="AT878" s="9" t="e">
        <f t="shared" ca="1" si="495"/>
        <v>#N/A</v>
      </c>
      <c r="AU878" s="9" t="e">
        <f t="shared" ca="1" si="496"/>
        <v>#N/A</v>
      </c>
      <c r="AW878" s="2" t="e">
        <f t="shared" si="481"/>
        <v>#N/A</v>
      </c>
      <c r="AX878" s="2" t="e">
        <f t="shared" si="482"/>
        <v>#N/A</v>
      </c>
      <c r="AY878" s="2" t="e">
        <f t="shared" si="483"/>
        <v>#N/A</v>
      </c>
      <c r="AZ878" s="2" t="e">
        <f t="shared" si="484"/>
        <v>#N/A</v>
      </c>
      <c r="BA878" s="2" t="e">
        <f t="shared" si="485"/>
        <v>#N/A</v>
      </c>
      <c r="BB878" s="2" t="e">
        <f t="shared" si="486"/>
        <v>#DIV/0!</v>
      </c>
      <c r="BC878" s="9" t="e">
        <f t="shared" ca="1" si="487"/>
        <v>#N/A</v>
      </c>
      <c r="BD878" s="9" t="e">
        <f t="shared" ca="1" si="488"/>
        <v>#N/A</v>
      </c>
    </row>
    <row r="879" spans="1:56" ht="15" x14ac:dyDescent="0.25">
      <c r="A879"/>
      <c r="B879"/>
      <c r="C879"/>
      <c r="D879"/>
      <c r="E879"/>
      <c r="F879"/>
      <c r="G879"/>
      <c r="H879"/>
      <c r="I879"/>
      <c r="J879"/>
      <c r="K879"/>
      <c r="L879" s="64"/>
      <c r="M879" s="64"/>
      <c r="N879" s="16"/>
      <c r="O879" s="11"/>
      <c r="P879" s="11"/>
      <c r="Q879" s="11"/>
      <c r="R879" s="11"/>
      <c r="S879" s="11"/>
      <c r="T879" s="11"/>
      <c r="U879" s="11">
        <f t="shared" si="497"/>
        <v>0</v>
      </c>
      <c r="V879" s="2">
        <f t="shared" si="498"/>
        <v>0</v>
      </c>
      <c r="W879" s="11">
        <f t="shared" si="467"/>
        <v>0</v>
      </c>
      <c r="X879" s="2">
        <f t="shared" si="468"/>
        <v>0</v>
      </c>
      <c r="Y879" s="2">
        <f t="shared" si="469"/>
        <v>0</v>
      </c>
      <c r="Z879" s="11">
        <f t="shared" si="470"/>
        <v>0</v>
      </c>
      <c r="AA879" s="2">
        <f t="shared" si="471"/>
        <v>0</v>
      </c>
      <c r="AB879" s="11">
        <f t="shared" si="472"/>
        <v>0</v>
      </c>
      <c r="AC879" s="2">
        <f t="shared" si="473"/>
        <v>0</v>
      </c>
      <c r="AF879" s="11">
        <f t="shared" si="474"/>
        <v>0</v>
      </c>
      <c r="AG879" s="2">
        <f t="shared" si="475"/>
        <v>0</v>
      </c>
      <c r="AH879" s="2">
        <f t="shared" si="476"/>
        <v>0</v>
      </c>
      <c r="AI879" s="2">
        <f t="shared" si="477"/>
        <v>0</v>
      </c>
      <c r="AJ879" s="2">
        <f t="shared" si="478"/>
        <v>0</v>
      </c>
      <c r="AK879" s="2">
        <f t="shared" si="479"/>
        <v>0</v>
      </c>
      <c r="AL879" s="2">
        <f t="shared" si="480"/>
        <v>0</v>
      </c>
      <c r="AM879" s="11"/>
      <c r="AN879" s="2" t="e">
        <f t="shared" si="489"/>
        <v>#N/A</v>
      </c>
      <c r="AO879" s="2" t="e">
        <f t="shared" si="490"/>
        <v>#N/A</v>
      </c>
      <c r="AP879" s="2" t="e">
        <f t="shared" si="491"/>
        <v>#N/A</v>
      </c>
      <c r="AQ879" s="2" t="e">
        <f t="shared" si="492"/>
        <v>#N/A</v>
      </c>
      <c r="AR879" s="2" t="e">
        <f t="shared" si="493"/>
        <v>#N/A</v>
      </c>
      <c r="AS879" s="2" t="e">
        <f t="shared" si="494"/>
        <v>#DIV/0!</v>
      </c>
      <c r="AT879" s="9" t="e">
        <f t="shared" ca="1" si="495"/>
        <v>#N/A</v>
      </c>
      <c r="AU879" s="9" t="e">
        <f t="shared" ca="1" si="496"/>
        <v>#N/A</v>
      </c>
      <c r="AW879" s="2" t="e">
        <f t="shared" si="481"/>
        <v>#N/A</v>
      </c>
      <c r="AX879" s="2" t="e">
        <f t="shared" si="482"/>
        <v>#N/A</v>
      </c>
      <c r="AY879" s="2" t="e">
        <f t="shared" si="483"/>
        <v>#N/A</v>
      </c>
      <c r="AZ879" s="2" t="e">
        <f t="shared" si="484"/>
        <v>#N/A</v>
      </c>
      <c r="BA879" s="2" t="e">
        <f t="shared" si="485"/>
        <v>#N/A</v>
      </c>
      <c r="BB879" s="2" t="e">
        <f t="shared" si="486"/>
        <v>#DIV/0!</v>
      </c>
      <c r="BC879" s="9" t="e">
        <f t="shared" ca="1" si="487"/>
        <v>#N/A</v>
      </c>
      <c r="BD879" s="9" t="e">
        <f t="shared" ca="1" si="488"/>
        <v>#N/A</v>
      </c>
    </row>
    <row r="880" spans="1:56" ht="15" x14ac:dyDescent="0.25">
      <c r="A880"/>
      <c r="B880"/>
      <c r="C880"/>
      <c r="D880"/>
      <c r="E880"/>
      <c r="F880"/>
      <c r="G880"/>
      <c r="H880"/>
      <c r="I880"/>
      <c r="J880"/>
      <c r="K880"/>
      <c r="L880" s="64"/>
      <c r="M880" s="64"/>
      <c r="N880" s="16"/>
      <c r="O880" s="11"/>
      <c r="P880" s="11"/>
      <c r="Q880" s="11"/>
      <c r="R880" s="11"/>
      <c r="S880" s="11"/>
      <c r="T880" s="11"/>
      <c r="U880" s="11">
        <f t="shared" si="497"/>
        <v>0</v>
      </c>
      <c r="V880" s="2">
        <f t="shared" si="498"/>
        <v>0</v>
      </c>
      <c r="W880" s="11">
        <f t="shared" si="467"/>
        <v>0</v>
      </c>
      <c r="X880" s="2">
        <f t="shared" si="468"/>
        <v>0</v>
      </c>
      <c r="Y880" s="2">
        <f t="shared" si="469"/>
        <v>0</v>
      </c>
      <c r="Z880" s="11">
        <f t="shared" si="470"/>
        <v>0</v>
      </c>
      <c r="AA880" s="2">
        <f t="shared" si="471"/>
        <v>0</v>
      </c>
      <c r="AB880" s="11">
        <f t="shared" si="472"/>
        <v>0</v>
      </c>
      <c r="AC880" s="2">
        <f t="shared" si="473"/>
        <v>0</v>
      </c>
      <c r="AF880" s="11">
        <f t="shared" si="474"/>
        <v>0</v>
      </c>
      <c r="AG880" s="2">
        <f t="shared" si="475"/>
        <v>0</v>
      </c>
      <c r="AH880" s="2">
        <f t="shared" si="476"/>
        <v>0</v>
      </c>
      <c r="AI880" s="2">
        <f t="shared" si="477"/>
        <v>0</v>
      </c>
      <c r="AJ880" s="2">
        <f t="shared" si="478"/>
        <v>0</v>
      </c>
      <c r="AK880" s="2">
        <f t="shared" si="479"/>
        <v>0</v>
      </c>
      <c r="AL880" s="2">
        <f t="shared" si="480"/>
        <v>0</v>
      </c>
      <c r="AM880" s="11"/>
      <c r="AN880" s="2" t="e">
        <f t="shared" si="489"/>
        <v>#N/A</v>
      </c>
      <c r="AO880" s="2" t="e">
        <f t="shared" si="490"/>
        <v>#N/A</v>
      </c>
      <c r="AP880" s="2" t="e">
        <f t="shared" si="491"/>
        <v>#N/A</v>
      </c>
      <c r="AQ880" s="2" t="e">
        <f t="shared" si="492"/>
        <v>#N/A</v>
      </c>
      <c r="AR880" s="2" t="e">
        <f t="shared" si="493"/>
        <v>#N/A</v>
      </c>
      <c r="AS880" s="2" t="e">
        <f t="shared" si="494"/>
        <v>#DIV/0!</v>
      </c>
      <c r="AT880" s="9" t="e">
        <f t="shared" ca="1" si="495"/>
        <v>#N/A</v>
      </c>
      <c r="AU880" s="9" t="e">
        <f t="shared" ca="1" si="496"/>
        <v>#N/A</v>
      </c>
      <c r="AW880" s="2" t="e">
        <f t="shared" si="481"/>
        <v>#N/A</v>
      </c>
      <c r="AX880" s="2" t="e">
        <f t="shared" si="482"/>
        <v>#N/A</v>
      </c>
      <c r="AY880" s="2" t="e">
        <f t="shared" si="483"/>
        <v>#N/A</v>
      </c>
      <c r="AZ880" s="2" t="e">
        <f t="shared" si="484"/>
        <v>#N/A</v>
      </c>
      <c r="BA880" s="2" t="e">
        <f t="shared" si="485"/>
        <v>#N/A</v>
      </c>
      <c r="BB880" s="2" t="e">
        <f t="shared" si="486"/>
        <v>#DIV/0!</v>
      </c>
      <c r="BC880" s="9" t="e">
        <f t="shared" ca="1" si="487"/>
        <v>#N/A</v>
      </c>
      <c r="BD880" s="9" t="e">
        <f t="shared" ca="1" si="488"/>
        <v>#N/A</v>
      </c>
    </row>
    <row r="881" spans="1:56" ht="15" x14ac:dyDescent="0.25">
      <c r="A881"/>
      <c r="B881"/>
      <c r="C881"/>
      <c r="D881"/>
      <c r="E881"/>
      <c r="F881"/>
      <c r="G881"/>
      <c r="H881"/>
      <c r="I881"/>
      <c r="J881"/>
      <c r="K881"/>
      <c r="L881" s="64"/>
      <c r="M881" s="64"/>
      <c r="N881" s="16"/>
      <c r="O881" s="11"/>
      <c r="P881" s="11"/>
      <c r="Q881" s="11"/>
      <c r="R881" s="11"/>
      <c r="S881" s="11"/>
      <c r="T881" s="11"/>
      <c r="U881" s="11">
        <f t="shared" si="497"/>
        <v>0</v>
      </c>
      <c r="V881" s="2">
        <f t="shared" si="498"/>
        <v>0</v>
      </c>
      <c r="W881" s="11">
        <f t="shared" si="467"/>
        <v>0</v>
      </c>
      <c r="X881" s="2">
        <f t="shared" si="468"/>
        <v>0</v>
      </c>
      <c r="Y881" s="2">
        <f t="shared" si="469"/>
        <v>0</v>
      </c>
      <c r="Z881" s="11">
        <f t="shared" si="470"/>
        <v>0</v>
      </c>
      <c r="AA881" s="2">
        <f t="shared" si="471"/>
        <v>0</v>
      </c>
      <c r="AB881" s="11">
        <f t="shared" si="472"/>
        <v>0</v>
      </c>
      <c r="AC881" s="2">
        <f t="shared" si="473"/>
        <v>0</v>
      </c>
      <c r="AF881" s="11">
        <f t="shared" si="474"/>
        <v>0</v>
      </c>
      <c r="AG881" s="2">
        <f t="shared" si="475"/>
        <v>0</v>
      </c>
      <c r="AH881" s="2">
        <f t="shared" si="476"/>
        <v>0</v>
      </c>
      <c r="AI881" s="2">
        <f t="shared" si="477"/>
        <v>0</v>
      </c>
      <c r="AJ881" s="2">
        <f t="shared" si="478"/>
        <v>0</v>
      </c>
      <c r="AK881" s="2">
        <f t="shared" si="479"/>
        <v>0</v>
      </c>
      <c r="AL881" s="2">
        <f t="shared" si="480"/>
        <v>0</v>
      </c>
      <c r="AM881" s="11"/>
      <c r="AN881" s="2" t="e">
        <f t="shared" si="489"/>
        <v>#N/A</v>
      </c>
      <c r="AO881" s="2" t="e">
        <f t="shared" si="490"/>
        <v>#N/A</v>
      </c>
      <c r="AP881" s="2" t="e">
        <f t="shared" si="491"/>
        <v>#N/A</v>
      </c>
      <c r="AQ881" s="2" t="e">
        <f t="shared" si="492"/>
        <v>#N/A</v>
      </c>
      <c r="AR881" s="2" t="e">
        <f t="shared" si="493"/>
        <v>#N/A</v>
      </c>
      <c r="AS881" s="2" t="e">
        <f t="shared" si="494"/>
        <v>#DIV/0!</v>
      </c>
      <c r="AT881" s="9" t="e">
        <f t="shared" ca="1" si="495"/>
        <v>#N/A</v>
      </c>
      <c r="AU881" s="9" t="e">
        <f t="shared" ca="1" si="496"/>
        <v>#N/A</v>
      </c>
      <c r="AW881" s="2" t="e">
        <f t="shared" si="481"/>
        <v>#N/A</v>
      </c>
      <c r="AX881" s="2" t="e">
        <f t="shared" si="482"/>
        <v>#N/A</v>
      </c>
      <c r="AY881" s="2" t="e">
        <f t="shared" si="483"/>
        <v>#N/A</v>
      </c>
      <c r="AZ881" s="2" t="e">
        <f t="shared" si="484"/>
        <v>#N/A</v>
      </c>
      <c r="BA881" s="2" t="e">
        <f t="shared" si="485"/>
        <v>#N/A</v>
      </c>
      <c r="BB881" s="2" t="e">
        <f t="shared" si="486"/>
        <v>#DIV/0!</v>
      </c>
      <c r="BC881" s="9" t="e">
        <f t="shared" ca="1" si="487"/>
        <v>#N/A</v>
      </c>
      <c r="BD881" s="9" t="e">
        <f t="shared" ca="1" si="488"/>
        <v>#N/A</v>
      </c>
    </row>
    <row r="882" spans="1:56" ht="15" x14ac:dyDescent="0.25">
      <c r="A882"/>
      <c r="B882"/>
      <c r="C882"/>
      <c r="D882"/>
      <c r="E882"/>
      <c r="F882"/>
      <c r="G882"/>
      <c r="H882"/>
      <c r="I882"/>
      <c r="J882"/>
      <c r="K882"/>
      <c r="L882" s="64"/>
      <c r="M882" s="64"/>
      <c r="N882" s="16"/>
      <c r="O882" s="11"/>
      <c r="P882" s="11"/>
      <c r="Q882" s="11"/>
      <c r="R882" s="11"/>
      <c r="S882" s="11"/>
      <c r="T882" s="11"/>
      <c r="U882" s="11">
        <f t="shared" si="497"/>
        <v>0</v>
      </c>
      <c r="V882" s="2">
        <f t="shared" si="498"/>
        <v>0</v>
      </c>
      <c r="W882" s="11">
        <f t="shared" si="467"/>
        <v>0</v>
      </c>
      <c r="X882" s="2">
        <f t="shared" si="468"/>
        <v>0</v>
      </c>
      <c r="Y882" s="2">
        <f t="shared" si="469"/>
        <v>0</v>
      </c>
      <c r="Z882" s="11">
        <f t="shared" si="470"/>
        <v>0</v>
      </c>
      <c r="AA882" s="2">
        <f t="shared" si="471"/>
        <v>0</v>
      </c>
      <c r="AB882" s="11">
        <f t="shared" si="472"/>
        <v>0</v>
      </c>
      <c r="AC882" s="2">
        <f t="shared" si="473"/>
        <v>0</v>
      </c>
      <c r="AF882" s="11">
        <f t="shared" si="474"/>
        <v>0</v>
      </c>
      <c r="AG882" s="2">
        <f t="shared" si="475"/>
        <v>0</v>
      </c>
      <c r="AH882" s="2">
        <f t="shared" si="476"/>
        <v>0</v>
      </c>
      <c r="AI882" s="2">
        <f t="shared" si="477"/>
        <v>0</v>
      </c>
      <c r="AJ882" s="2">
        <f t="shared" si="478"/>
        <v>0</v>
      </c>
      <c r="AK882" s="2">
        <f t="shared" si="479"/>
        <v>0</v>
      </c>
      <c r="AL882" s="2">
        <f t="shared" si="480"/>
        <v>0</v>
      </c>
      <c r="AM882" s="11"/>
      <c r="AN882" s="2" t="e">
        <f t="shared" si="489"/>
        <v>#N/A</v>
      </c>
      <c r="AO882" s="2" t="e">
        <f t="shared" si="490"/>
        <v>#N/A</v>
      </c>
      <c r="AP882" s="2" t="e">
        <f t="shared" si="491"/>
        <v>#N/A</v>
      </c>
      <c r="AQ882" s="2" t="e">
        <f t="shared" si="492"/>
        <v>#N/A</v>
      </c>
      <c r="AR882" s="2" t="e">
        <f t="shared" si="493"/>
        <v>#N/A</v>
      </c>
      <c r="AS882" s="2" t="e">
        <f t="shared" si="494"/>
        <v>#DIV/0!</v>
      </c>
      <c r="AT882" s="9" t="e">
        <f t="shared" ca="1" si="495"/>
        <v>#N/A</v>
      </c>
      <c r="AU882" s="9" t="e">
        <f t="shared" ca="1" si="496"/>
        <v>#N/A</v>
      </c>
      <c r="AW882" s="2" t="e">
        <f t="shared" si="481"/>
        <v>#N/A</v>
      </c>
      <c r="AX882" s="2" t="e">
        <f t="shared" si="482"/>
        <v>#N/A</v>
      </c>
      <c r="AY882" s="2" t="e">
        <f t="shared" si="483"/>
        <v>#N/A</v>
      </c>
      <c r="AZ882" s="2" t="e">
        <f t="shared" si="484"/>
        <v>#N/A</v>
      </c>
      <c r="BA882" s="2" t="e">
        <f t="shared" si="485"/>
        <v>#N/A</v>
      </c>
      <c r="BB882" s="2" t="e">
        <f t="shared" si="486"/>
        <v>#DIV/0!</v>
      </c>
      <c r="BC882" s="9" t="e">
        <f t="shared" ca="1" si="487"/>
        <v>#N/A</v>
      </c>
      <c r="BD882" s="9" t="e">
        <f t="shared" ca="1" si="488"/>
        <v>#N/A</v>
      </c>
    </row>
    <row r="883" spans="1:56" ht="15" x14ac:dyDescent="0.25">
      <c r="A883"/>
      <c r="B883"/>
      <c r="C883"/>
      <c r="D883"/>
      <c r="E883"/>
      <c r="F883"/>
      <c r="G883"/>
      <c r="H883"/>
      <c r="I883"/>
      <c r="J883"/>
      <c r="K883"/>
      <c r="L883" s="64"/>
      <c r="M883" s="64"/>
      <c r="N883" s="16"/>
      <c r="O883" s="11"/>
      <c r="P883" s="11"/>
      <c r="Q883" s="11"/>
      <c r="R883" s="11"/>
      <c r="S883" s="11"/>
      <c r="T883" s="11"/>
      <c r="U883" s="11">
        <f t="shared" si="497"/>
        <v>0</v>
      </c>
      <c r="V883" s="2">
        <f t="shared" si="498"/>
        <v>0</v>
      </c>
      <c r="W883" s="11">
        <f t="shared" si="467"/>
        <v>0</v>
      </c>
      <c r="X883" s="2">
        <f t="shared" si="468"/>
        <v>0</v>
      </c>
      <c r="Y883" s="2">
        <f t="shared" si="469"/>
        <v>0</v>
      </c>
      <c r="Z883" s="11">
        <f t="shared" si="470"/>
        <v>0</v>
      </c>
      <c r="AA883" s="2">
        <f t="shared" si="471"/>
        <v>0</v>
      </c>
      <c r="AB883" s="11">
        <f t="shared" si="472"/>
        <v>0</v>
      </c>
      <c r="AC883" s="2">
        <f t="shared" si="473"/>
        <v>0</v>
      </c>
      <c r="AF883" s="11">
        <f t="shared" si="474"/>
        <v>0</v>
      </c>
      <c r="AG883" s="2">
        <f t="shared" si="475"/>
        <v>0</v>
      </c>
      <c r="AH883" s="2">
        <f t="shared" si="476"/>
        <v>0</v>
      </c>
      <c r="AI883" s="2">
        <f t="shared" si="477"/>
        <v>0</v>
      </c>
      <c r="AJ883" s="2">
        <f t="shared" si="478"/>
        <v>0</v>
      </c>
      <c r="AK883" s="2">
        <f t="shared" si="479"/>
        <v>0</v>
      </c>
      <c r="AL883" s="2">
        <f t="shared" si="480"/>
        <v>0</v>
      </c>
      <c r="AM883" s="11"/>
      <c r="AN883" s="2" t="e">
        <f t="shared" si="489"/>
        <v>#N/A</v>
      </c>
      <c r="AO883" s="2" t="e">
        <f t="shared" si="490"/>
        <v>#N/A</v>
      </c>
      <c r="AP883" s="2" t="e">
        <f t="shared" si="491"/>
        <v>#N/A</v>
      </c>
      <c r="AQ883" s="2" t="e">
        <f t="shared" si="492"/>
        <v>#N/A</v>
      </c>
      <c r="AR883" s="2" t="e">
        <f t="shared" si="493"/>
        <v>#N/A</v>
      </c>
      <c r="AS883" s="2" t="e">
        <f t="shared" si="494"/>
        <v>#DIV/0!</v>
      </c>
      <c r="AT883" s="9" t="e">
        <f t="shared" ca="1" si="495"/>
        <v>#N/A</v>
      </c>
      <c r="AU883" s="9" t="e">
        <f t="shared" ca="1" si="496"/>
        <v>#N/A</v>
      </c>
      <c r="AW883" s="2" t="e">
        <f t="shared" si="481"/>
        <v>#N/A</v>
      </c>
      <c r="AX883" s="2" t="e">
        <f t="shared" si="482"/>
        <v>#N/A</v>
      </c>
      <c r="AY883" s="2" t="e">
        <f t="shared" si="483"/>
        <v>#N/A</v>
      </c>
      <c r="AZ883" s="2" t="e">
        <f t="shared" si="484"/>
        <v>#N/A</v>
      </c>
      <c r="BA883" s="2" t="e">
        <f t="shared" si="485"/>
        <v>#N/A</v>
      </c>
      <c r="BB883" s="2" t="e">
        <f t="shared" si="486"/>
        <v>#DIV/0!</v>
      </c>
      <c r="BC883" s="9" t="e">
        <f t="shared" ca="1" si="487"/>
        <v>#N/A</v>
      </c>
      <c r="BD883" s="9" t="e">
        <f t="shared" ca="1" si="488"/>
        <v>#N/A</v>
      </c>
    </row>
    <row r="884" spans="1:56" ht="15" x14ac:dyDescent="0.25">
      <c r="A884"/>
      <c r="B884"/>
      <c r="C884"/>
      <c r="D884"/>
      <c r="E884"/>
      <c r="F884"/>
      <c r="G884"/>
      <c r="H884"/>
      <c r="I884"/>
      <c r="J884"/>
      <c r="K884"/>
      <c r="L884" s="64"/>
      <c r="M884" s="64"/>
      <c r="N884" s="16"/>
      <c r="O884" s="11"/>
      <c r="P884" s="11"/>
      <c r="Q884" s="11"/>
      <c r="R884" s="11"/>
      <c r="S884" s="11"/>
      <c r="T884" s="11"/>
      <c r="U884" s="11">
        <f t="shared" si="497"/>
        <v>0</v>
      </c>
      <c r="V884" s="2">
        <f t="shared" si="498"/>
        <v>0</v>
      </c>
      <c r="W884" s="11">
        <f t="shared" si="467"/>
        <v>0</v>
      </c>
      <c r="X884" s="2">
        <f t="shared" si="468"/>
        <v>0</v>
      </c>
      <c r="Y884" s="2">
        <f t="shared" si="469"/>
        <v>0</v>
      </c>
      <c r="Z884" s="11">
        <f t="shared" si="470"/>
        <v>0</v>
      </c>
      <c r="AA884" s="2">
        <f t="shared" si="471"/>
        <v>0</v>
      </c>
      <c r="AB884" s="11">
        <f t="shared" si="472"/>
        <v>0</v>
      </c>
      <c r="AC884" s="2">
        <f t="shared" si="473"/>
        <v>0</v>
      </c>
      <c r="AF884" s="11">
        <f t="shared" si="474"/>
        <v>0</v>
      </c>
      <c r="AG884" s="2">
        <f t="shared" si="475"/>
        <v>0</v>
      </c>
      <c r="AH884" s="2">
        <f t="shared" si="476"/>
        <v>0</v>
      </c>
      <c r="AI884" s="2">
        <f t="shared" si="477"/>
        <v>0</v>
      </c>
      <c r="AJ884" s="2">
        <f t="shared" si="478"/>
        <v>0</v>
      </c>
      <c r="AK884" s="2">
        <f t="shared" si="479"/>
        <v>0</v>
      </c>
      <c r="AL884" s="2">
        <f t="shared" si="480"/>
        <v>0</v>
      </c>
      <c r="AM884" s="11"/>
      <c r="AN884" s="2" t="e">
        <f t="shared" si="489"/>
        <v>#N/A</v>
      </c>
      <c r="AO884" s="2" t="e">
        <f t="shared" si="490"/>
        <v>#N/A</v>
      </c>
      <c r="AP884" s="2" t="e">
        <f t="shared" si="491"/>
        <v>#N/A</v>
      </c>
      <c r="AQ884" s="2" t="e">
        <f t="shared" si="492"/>
        <v>#N/A</v>
      </c>
      <c r="AR884" s="2" t="e">
        <f t="shared" si="493"/>
        <v>#N/A</v>
      </c>
      <c r="AS884" s="2" t="e">
        <f t="shared" si="494"/>
        <v>#DIV/0!</v>
      </c>
      <c r="AT884" s="9" t="e">
        <f t="shared" ca="1" si="495"/>
        <v>#N/A</v>
      </c>
      <c r="AU884" s="9" t="e">
        <f t="shared" ca="1" si="496"/>
        <v>#N/A</v>
      </c>
      <c r="AW884" s="2" t="e">
        <f t="shared" si="481"/>
        <v>#N/A</v>
      </c>
      <c r="AX884" s="2" t="e">
        <f t="shared" si="482"/>
        <v>#N/A</v>
      </c>
      <c r="AY884" s="2" t="e">
        <f t="shared" si="483"/>
        <v>#N/A</v>
      </c>
      <c r="AZ884" s="2" t="e">
        <f t="shared" si="484"/>
        <v>#N/A</v>
      </c>
      <c r="BA884" s="2" t="e">
        <f t="shared" si="485"/>
        <v>#N/A</v>
      </c>
      <c r="BB884" s="2" t="e">
        <f t="shared" si="486"/>
        <v>#DIV/0!</v>
      </c>
      <c r="BC884" s="9" t="e">
        <f t="shared" ca="1" si="487"/>
        <v>#N/A</v>
      </c>
      <c r="BD884" s="9" t="e">
        <f t="shared" ca="1" si="488"/>
        <v>#N/A</v>
      </c>
    </row>
    <row r="885" spans="1:56" ht="15" x14ac:dyDescent="0.25">
      <c r="A885"/>
      <c r="B885"/>
      <c r="C885"/>
      <c r="D885"/>
      <c r="E885"/>
      <c r="F885"/>
      <c r="G885"/>
      <c r="H885"/>
      <c r="I885"/>
      <c r="J885"/>
      <c r="K885"/>
      <c r="L885" s="64"/>
      <c r="M885" s="64"/>
      <c r="N885" s="16"/>
      <c r="O885" s="11"/>
      <c r="P885" s="11"/>
      <c r="Q885" s="11"/>
      <c r="R885" s="11"/>
      <c r="S885" s="11"/>
      <c r="T885" s="11"/>
      <c r="U885" s="11">
        <f t="shared" si="497"/>
        <v>0</v>
      </c>
      <c r="V885" s="2">
        <f t="shared" si="498"/>
        <v>0</v>
      </c>
      <c r="W885" s="11">
        <f t="shared" si="467"/>
        <v>0</v>
      </c>
      <c r="X885" s="2">
        <f t="shared" si="468"/>
        <v>0</v>
      </c>
      <c r="Y885" s="2">
        <f t="shared" si="469"/>
        <v>0</v>
      </c>
      <c r="Z885" s="11">
        <f t="shared" si="470"/>
        <v>0</v>
      </c>
      <c r="AA885" s="2">
        <f t="shared" si="471"/>
        <v>0</v>
      </c>
      <c r="AB885" s="11">
        <f t="shared" si="472"/>
        <v>0</v>
      </c>
      <c r="AC885" s="2">
        <f t="shared" si="473"/>
        <v>0</v>
      </c>
      <c r="AF885" s="11">
        <f t="shared" si="474"/>
        <v>0</v>
      </c>
      <c r="AG885" s="2">
        <f t="shared" si="475"/>
        <v>0</v>
      </c>
      <c r="AH885" s="2">
        <f t="shared" si="476"/>
        <v>0</v>
      </c>
      <c r="AI885" s="2">
        <f t="shared" si="477"/>
        <v>0</v>
      </c>
      <c r="AJ885" s="2">
        <f t="shared" si="478"/>
        <v>0</v>
      </c>
      <c r="AK885" s="2">
        <f t="shared" si="479"/>
        <v>0</v>
      </c>
      <c r="AL885" s="2">
        <f t="shared" si="480"/>
        <v>0</v>
      </c>
      <c r="AM885" s="11"/>
      <c r="AN885" s="2" t="e">
        <f t="shared" si="489"/>
        <v>#N/A</v>
      </c>
      <c r="AO885" s="2" t="e">
        <f t="shared" si="490"/>
        <v>#N/A</v>
      </c>
      <c r="AP885" s="2" t="e">
        <f t="shared" si="491"/>
        <v>#N/A</v>
      </c>
      <c r="AQ885" s="2" t="e">
        <f t="shared" si="492"/>
        <v>#N/A</v>
      </c>
      <c r="AR885" s="2" t="e">
        <f t="shared" si="493"/>
        <v>#N/A</v>
      </c>
      <c r="AS885" s="2" t="e">
        <f t="shared" si="494"/>
        <v>#DIV/0!</v>
      </c>
      <c r="AT885" s="9" t="e">
        <f t="shared" ca="1" si="495"/>
        <v>#N/A</v>
      </c>
      <c r="AU885" s="9" t="e">
        <f t="shared" ca="1" si="496"/>
        <v>#N/A</v>
      </c>
      <c r="AW885" s="2" t="e">
        <f t="shared" si="481"/>
        <v>#N/A</v>
      </c>
      <c r="AX885" s="2" t="e">
        <f t="shared" si="482"/>
        <v>#N/A</v>
      </c>
      <c r="AY885" s="2" t="e">
        <f t="shared" si="483"/>
        <v>#N/A</v>
      </c>
      <c r="AZ885" s="2" t="e">
        <f t="shared" si="484"/>
        <v>#N/A</v>
      </c>
      <c r="BA885" s="2" t="e">
        <f t="shared" si="485"/>
        <v>#N/A</v>
      </c>
      <c r="BB885" s="2" t="e">
        <f t="shared" si="486"/>
        <v>#DIV/0!</v>
      </c>
      <c r="BC885" s="9" t="e">
        <f t="shared" ca="1" si="487"/>
        <v>#N/A</v>
      </c>
      <c r="BD885" s="9" t="e">
        <f t="shared" ca="1" si="488"/>
        <v>#N/A</v>
      </c>
    </row>
    <row r="886" spans="1:56" ht="15" x14ac:dyDescent="0.25">
      <c r="A886"/>
      <c r="B886"/>
      <c r="C886"/>
      <c r="D886"/>
      <c r="E886"/>
      <c r="F886"/>
      <c r="G886"/>
      <c r="H886"/>
      <c r="I886"/>
      <c r="J886"/>
      <c r="K886"/>
      <c r="L886" s="64"/>
      <c r="M886" s="64"/>
      <c r="N886" s="16"/>
      <c r="O886" s="11"/>
      <c r="P886" s="11"/>
      <c r="Q886" s="11"/>
      <c r="R886" s="11"/>
      <c r="S886" s="11"/>
      <c r="T886" s="11"/>
      <c r="U886" s="11">
        <f t="shared" si="497"/>
        <v>0</v>
      </c>
      <c r="V886" s="2">
        <f t="shared" si="498"/>
        <v>0</v>
      </c>
      <c r="W886" s="11">
        <f t="shared" si="467"/>
        <v>0</v>
      </c>
      <c r="X886" s="2">
        <f t="shared" si="468"/>
        <v>0</v>
      </c>
      <c r="Y886" s="2">
        <f t="shared" si="469"/>
        <v>0</v>
      </c>
      <c r="Z886" s="11">
        <f t="shared" si="470"/>
        <v>0</v>
      </c>
      <c r="AA886" s="2">
        <f t="shared" si="471"/>
        <v>0</v>
      </c>
      <c r="AB886" s="11">
        <f t="shared" si="472"/>
        <v>0</v>
      </c>
      <c r="AC886" s="2">
        <f t="shared" si="473"/>
        <v>0</v>
      </c>
      <c r="AF886" s="11">
        <f t="shared" si="474"/>
        <v>0</v>
      </c>
      <c r="AG886" s="2">
        <f t="shared" si="475"/>
        <v>0</v>
      </c>
      <c r="AH886" s="2">
        <f t="shared" si="476"/>
        <v>0</v>
      </c>
      <c r="AI886" s="2">
        <f t="shared" si="477"/>
        <v>0</v>
      </c>
      <c r="AJ886" s="2">
        <f t="shared" si="478"/>
        <v>0</v>
      </c>
      <c r="AK886" s="2">
        <f t="shared" si="479"/>
        <v>0</v>
      </c>
      <c r="AL886" s="2">
        <f t="shared" si="480"/>
        <v>0</v>
      </c>
      <c r="AM886" s="11"/>
      <c r="AN886" s="2" t="e">
        <f t="shared" si="489"/>
        <v>#N/A</v>
      </c>
      <c r="AO886" s="2" t="e">
        <f t="shared" si="490"/>
        <v>#N/A</v>
      </c>
      <c r="AP886" s="2" t="e">
        <f t="shared" si="491"/>
        <v>#N/A</v>
      </c>
      <c r="AQ886" s="2" t="e">
        <f t="shared" si="492"/>
        <v>#N/A</v>
      </c>
      <c r="AR886" s="2" t="e">
        <f t="shared" si="493"/>
        <v>#N/A</v>
      </c>
      <c r="AS886" s="2" t="e">
        <f t="shared" si="494"/>
        <v>#DIV/0!</v>
      </c>
      <c r="AT886" s="9" t="e">
        <f t="shared" ca="1" si="495"/>
        <v>#N/A</v>
      </c>
      <c r="AU886" s="9" t="e">
        <f t="shared" ca="1" si="496"/>
        <v>#N/A</v>
      </c>
      <c r="AW886" s="2" t="e">
        <f t="shared" si="481"/>
        <v>#N/A</v>
      </c>
      <c r="AX886" s="2" t="e">
        <f t="shared" si="482"/>
        <v>#N/A</v>
      </c>
      <c r="AY886" s="2" t="e">
        <f t="shared" si="483"/>
        <v>#N/A</v>
      </c>
      <c r="AZ886" s="2" t="e">
        <f t="shared" si="484"/>
        <v>#N/A</v>
      </c>
      <c r="BA886" s="2" t="e">
        <f t="shared" si="485"/>
        <v>#N/A</v>
      </c>
      <c r="BB886" s="2" t="e">
        <f t="shared" si="486"/>
        <v>#DIV/0!</v>
      </c>
      <c r="BC886" s="9" t="e">
        <f t="shared" ca="1" si="487"/>
        <v>#N/A</v>
      </c>
      <c r="BD886" s="9" t="e">
        <f t="shared" ca="1" si="488"/>
        <v>#N/A</v>
      </c>
    </row>
    <row r="887" spans="1:56" ht="15" x14ac:dyDescent="0.25">
      <c r="A887"/>
      <c r="B887"/>
      <c r="C887"/>
      <c r="D887"/>
      <c r="E887"/>
      <c r="F887"/>
      <c r="G887"/>
      <c r="H887"/>
      <c r="I887"/>
      <c r="J887"/>
      <c r="K887"/>
      <c r="L887" s="64"/>
      <c r="M887" s="64"/>
      <c r="N887" s="16"/>
      <c r="O887" s="11"/>
      <c r="P887" s="11"/>
      <c r="Q887" s="11"/>
      <c r="R887" s="11"/>
      <c r="S887" s="11"/>
      <c r="T887" s="11"/>
      <c r="U887" s="11">
        <f t="shared" si="497"/>
        <v>0</v>
      </c>
      <c r="V887" s="2">
        <f t="shared" si="498"/>
        <v>0</v>
      </c>
      <c r="W887" s="11">
        <f t="shared" si="467"/>
        <v>0</v>
      </c>
      <c r="X887" s="2">
        <f t="shared" si="468"/>
        <v>0</v>
      </c>
      <c r="Y887" s="2">
        <f t="shared" si="469"/>
        <v>0</v>
      </c>
      <c r="Z887" s="11">
        <f t="shared" si="470"/>
        <v>0</v>
      </c>
      <c r="AA887" s="2">
        <f t="shared" si="471"/>
        <v>0</v>
      </c>
      <c r="AB887" s="11">
        <f t="shared" si="472"/>
        <v>0</v>
      </c>
      <c r="AC887" s="2">
        <f t="shared" si="473"/>
        <v>0</v>
      </c>
      <c r="AF887" s="11">
        <f t="shared" si="474"/>
        <v>0</v>
      </c>
      <c r="AG887" s="2">
        <f t="shared" si="475"/>
        <v>0</v>
      </c>
      <c r="AH887" s="2">
        <f t="shared" si="476"/>
        <v>0</v>
      </c>
      <c r="AI887" s="2">
        <f t="shared" si="477"/>
        <v>0</v>
      </c>
      <c r="AJ887" s="2">
        <f t="shared" si="478"/>
        <v>0</v>
      </c>
      <c r="AK887" s="2">
        <f t="shared" si="479"/>
        <v>0</v>
      </c>
      <c r="AL887" s="2">
        <f t="shared" si="480"/>
        <v>0</v>
      </c>
      <c r="AM887" s="11"/>
      <c r="AN887" s="2" t="e">
        <f t="shared" si="489"/>
        <v>#N/A</v>
      </c>
      <c r="AO887" s="2" t="e">
        <f t="shared" si="490"/>
        <v>#N/A</v>
      </c>
      <c r="AP887" s="2" t="e">
        <f t="shared" si="491"/>
        <v>#N/A</v>
      </c>
      <c r="AQ887" s="2" t="e">
        <f t="shared" si="492"/>
        <v>#N/A</v>
      </c>
      <c r="AR887" s="2" t="e">
        <f t="shared" si="493"/>
        <v>#N/A</v>
      </c>
      <c r="AS887" s="2" t="e">
        <f t="shared" si="494"/>
        <v>#DIV/0!</v>
      </c>
      <c r="AT887" s="9" t="e">
        <f t="shared" ca="1" si="495"/>
        <v>#N/A</v>
      </c>
      <c r="AU887" s="9" t="e">
        <f t="shared" ca="1" si="496"/>
        <v>#N/A</v>
      </c>
      <c r="AW887" s="2" t="e">
        <f t="shared" si="481"/>
        <v>#N/A</v>
      </c>
      <c r="AX887" s="2" t="e">
        <f t="shared" si="482"/>
        <v>#N/A</v>
      </c>
      <c r="AY887" s="2" t="e">
        <f t="shared" si="483"/>
        <v>#N/A</v>
      </c>
      <c r="AZ887" s="2" t="e">
        <f t="shared" si="484"/>
        <v>#N/A</v>
      </c>
      <c r="BA887" s="2" t="e">
        <f t="shared" si="485"/>
        <v>#N/A</v>
      </c>
      <c r="BB887" s="2" t="e">
        <f t="shared" si="486"/>
        <v>#DIV/0!</v>
      </c>
      <c r="BC887" s="9" t="e">
        <f t="shared" ca="1" si="487"/>
        <v>#N/A</v>
      </c>
      <c r="BD887" s="9" t="e">
        <f t="shared" ca="1" si="488"/>
        <v>#N/A</v>
      </c>
    </row>
    <row r="888" spans="1:56" ht="15" x14ac:dyDescent="0.25">
      <c r="A888"/>
      <c r="B888"/>
      <c r="C888"/>
      <c r="D888"/>
      <c r="E888"/>
      <c r="F888"/>
      <c r="G888"/>
      <c r="H888"/>
      <c r="I888"/>
      <c r="J888"/>
      <c r="K888"/>
      <c r="L888" s="64"/>
      <c r="M888" s="64"/>
      <c r="N888" s="16"/>
      <c r="O888" s="11"/>
      <c r="P888" s="11"/>
      <c r="Q888" s="11"/>
      <c r="R888" s="11"/>
      <c r="S888" s="11"/>
      <c r="T888" s="11"/>
      <c r="U888" s="11">
        <f t="shared" si="497"/>
        <v>0</v>
      </c>
      <c r="V888" s="2">
        <f t="shared" si="498"/>
        <v>0</v>
      </c>
      <c r="W888" s="11">
        <f t="shared" si="467"/>
        <v>0</v>
      </c>
      <c r="X888" s="2">
        <f t="shared" si="468"/>
        <v>0</v>
      </c>
      <c r="Y888" s="2">
        <f t="shared" si="469"/>
        <v>0</v>
      </c>
      <c r="Z888" s="11">
        <f t="shared" si="470"/>
        <v>0</v>
      </c>
      <c r="AA888" s="2">
        <f t="shared" si="471"/>
        <v>0</v>
      </c>
      <c r="AB888" s="11">
        <f t="shared" si="472"/>
        <v>0</v>
      </c>
      <c r="AC888" s="2">
        <f t="shared" si="473"/>
        <v>0</v>
      </c>
      <c r="AF888" s="11">
        <f t="shared" si="474"/>
        <v>0</v>
      </c>
      <c r="AG888" s="2">
        <f t="shared" si="475"/>
        <v>0</v>
      </c>
      <c r="AH888" s="2">
        <f t="shared" si="476"/>
        <v>0</v>
      </c>
      <c r="AI888" s="2">
        <f t="shared" si="477"/>
        <v>0</v>
      </c>
      <c r="AJ888" s="2">
        <f t="shared" si="478"/>
        <v>0</v>
      </c>
      <c r="AK888" s="2">
        <f t="shared" si="479"/>
        <v>0</v>
      </c>
      <c r="AL888" s="2">
        <f t="shared" si="480"/>
        <v>0</v>
      </c>
      <c r="AM888" s="11"/>
      <c r="AN888" s="2" t="e">
        <f t="shared" si="489"/>
        <v>#N/A</v>
      </c>
      <c r="AO888" s="2" t="e">
        <f t="shared" si="490"/>
        <v>#N/A</v>
      </c>
      <c r="AP888" s="2" t="e">
        <f t="shared" si="491"/>
        <v>#N/A</v>
      </c>
      <c r="AQ888" s="2" t="e">
        <f t="shared" si="492"/>
        <v>#N/A</v>
      </c>
      <c r="AR888" s="2" t="e">
        <f t="shared" si="493"/>
        <v>#N/A</v>
      </c>
      <c r="AS888" s="2" t="e">
        <f t="shared" si="494"/>
        <v>#DIV/0!</v>
      </c>
      <c r="AT888" s="9" t="e">
        <f t="shared" ca="1" si="495"/>
        <v>#N/A</v>
      </c>
      <c r="AU888" s="9" t="e">
        <f t="shared" ca="1" si="496"/>
        <v>#N/A</v>
      </c>
      <c r="AW888" s="2" t="e">
        <f t="shared" si="481"/>
        <v>#N/A</v>
      </c>
      <c r="AX888" s="2" t="e">
        <f t="shared" si="482"/>
        <v>#N/A</v>
      </c>
      <c r="AY888" s="2" t="e">
        <f t="shared" si="483"/>
        <v>#N/A</v>
      </c>
      <c r="AZ888" s="2" t="e">
        <f t="shared" si="484"/>
        <v>#N/A</v>
      </c>
      <c r="BA888" s="2" t="e">
        <f t="shared" si="485"/>
        <v>#N/A</v>
      </c>
      <c r="BB888" s="2" t="e">
        <f t="shared" si="486"/>
        <v>#DIV/0!</v>
      </c>
      <c r="BC888" s="9" t="e">
        <f t="shared" ca="1" si="487"/>
        <v>#N/A</v>
      </c>
      <c r="BD888" s="9" t="e">
        <f t="shared" ca="1" si="488"/>
        <v>#N/A</v>
      </c>
    </row>
    <row r="889" spans="1:56" ht="15" x14ac:dyDescent="0.25">
      <c r="A889"/>
      <c r="B889"/>
      <c r="C889"/>
      <c r="D889"/>
      <c r="E889"/>
      <c r="F889"/>
      <c r="G889"/>
      <c r="H889"/>
      <c r="I889"/>
      <c r="J889"/>
      <c r="K889"/>
      <c r="L889" s="64"/>
      <c r="M889" s="64"/>
      <c r="N889" s="16"/>
      <c r="O889" s="11"/>
      <c r="P889" s="11"/>
      <c r="Q889" s="11"/>
      <c r="R889" s="11"/>
      <c r="S889" s="11"/>
      <c r="T889" s="11"/>
      <c r="U889" s="11">
        <f t="shared" si="497"/>
        <v>0</v>
      </c>
      <c r="V889" s="2">
        <f t="shared" si="498"/>
        <v>0</v>
      </c>
      <c r="W889" s="11">
        <f t="shared" si="467"/>
        <v>0</v>
      </c>
      <c r="X889" s="2">
        <f t="shared" si="468"/>
        <v>0</v>
      </c>
      <c r="Y889" s="2">
        <f t="shared" si="469"/>
        <v>0</v>
      </c>
      <c r="Z889" s="11">
        <f t="shared" si="470"/>
        <v>0</v>
      </c>
      <c r="AA889" s="2">
        <f t="shared" si="471"/>
        <v>0</v>
      </c>
      <c r="AB889" s="11">
        <f t="shared" si="472"/>
        <v>0</v>
      </c>
      <c r="AC889" s="2">
        <f t="shared" si="473"/>
        <v>0</v>
      </c>
      <c r="AF889" s="11">
        <f t="shared" si="474"/>
        <v>0</v>
      </c>
      <c r="AG889" s="2">
        <f t="shared" si="475"/>
        <v>0</v>
      </c>
      <c r="AH889" s="2">
        <f t="shared" si="476"/>
        <v>0</v>
      </c>
      <c r="AI889" s="2">
        <f t="shared" si="477"/>
        <v>0</v>
      </c>
      <c r="AJ889" s="2">
        <f t="shared" si="478"/>
        <v>0</v>
      </c>
      <c r="AK889" s="2">
        <f t="shared" si="479"/>
        <v>0</v>
      </c>
      <c r="AL889" s="2">
        <f t="shared" si="480"/>
        <v>0</v>
      </c>
      <c r="AM889" s="11"/>
      <c r="AN889" s="2" t="e">
        <f t="shared" si="489"/>
        <v>#N/A</v>
      </c>
      <c r="AO889" s="2" t="e">
        <f t="shared" si="490"/>
        <v>#N/A</v>
      </c>
      <c r="AP889" s="2" t="e">
        <f t="shared" si="491"/>
        <v>#N/A</v>
      </c>
      <c r="AQ889" s="2" t="e">
        <f t="shared" si="492"/>
        <v>#N/A</v>
      </c>
      <c r="AR889" s="2" t="e">
        <f t="shared" si="493"/>
        <v>#N/A</v>
      </c>
      <c r="AS889" s="2" t="e">
        <f t="shared" si="494"/>
        <v>#DIV/0!</v>
      </c>
      <c r="AT889" s="9" t="e">
        <f t="shared" ca="1" si="495"/>
        <v>#N/A</v>
      </c>
      <c r="AU889" s="9" t="e">
        <f t="shared" ca="1" si="496"/>
        <v>#N/A</v>
      </c>
      <c r="AW889" s="2" t="e">
        <f t="shared" si="481"/>
        <v>#N/A</v>
      </c>
      <c r="AX889" s="2" t="e">
        <f t="shared" si="482"/>
        <v>#N/A</v>
      </c>
      <c r="AY889" s="2" t="e">
        <f t="shared" si="483"/>
        <v>#N/A</v>
      </c>
      <c r="AZ889" s="2" t="e">
        <f t="shared" si="484"/>
        <v>#N/A</v>
      </c>
      <c r="BA889" s="2" t="e">
        <f t="shared" si="485"/>
        <v>#N/A</v>
      </c>
      <c r="BB889" s="2" t="e">
        <f t="shared" si="486"/>
        <v>#DIV/0!</v>
      </c>
      <c r="BC889" s="9" t="e">
        <f t="shared" ca="1" si="487"/>
        <v>#N/A</v>
      </c>
      <c r="BD889" s="9" t="e">
        <f t="shared" ca="1" si="488"/>
        <v>#N/A</v>
      </c>
    </row>
    <row r="890" spans="1:56" ht="15" x14ac:dyDescent="0.25">
      <c r="A890"/>
      <c r="B890"/>
      <c r="C890"/>
      <c r="D890"/>
      <c r="E890"/>
      <c r="F890"/>
      <c r="G890"/>
      <c r="H890"/>
      <c r="I890"/>
      <c r="J890"/>
      <c r="K890"/>
      <c r="L890" s="64"/>
      <c r="M890" s="64"/>
      <c r="N890" s="16"/>
      <c r="O890" s="11"/>
      <c r="P890" s="11"/>
      <c r="Q890" s="11"/>
      <c r="R890" s="11"/>
      <c r="S890" s="11"/>
      <c r="T890" s="11"/>
      <c r="U890" s="11">
        <f t="shared" si="497"/>
        <v>0</v>
      </c>
      <c r="V890" s="2">
        <f t="shared" si="498"/>
        <v>0</v>
      </c>
      <c r="W890" s="11">
        <f t="shared" si="467"/>
        <v>0</v>
      </c>
      <c r="X890" s="2">
        <f t="shared" si="468"/>
        <v>0</v>
      </c>
      <c r="Y890" s="2">
        <f t="shared" si="469"/>
        <v>0</v>
      </c>
      <c r="Z890" s="11">
        <f t="shared" si="470"/>
        <v>0</v>
      </c>
      <c r="AA890" s="2">
        <f t="shared" si="471"/>
        <v>0</v>
      </c>
      <c r="AB890" s="11">
        <f t="shared" si="472"/>
        <v>0</v>
      </c>
      <c r="AC890" s="2">
        <f t="shared" si="473"/>
        <v>0</v>
      </c>
      <c r="AF890" s="11">
        <f t="shared" si="474"/>
        <v>0</v>
      </c>
      <c r="AG890" s="2">
        <f t="shared" si="475"/>
        <v>0</v>
      </c>
      <c r="AH890" s="2">
        <f t="shared" si="476"/>
        <v>0</v>
      </c>
      <c r="AI890" s="2">
        <f t="shared" si="477"/>
        <v>0</v>
      </c>
      <c r="AJ890" s="2">
        <f t="shared" si="478"/>
        <v>0</v>
      </c>
      <c r="AK890" s="2">
        <f t="shared" si="479"/>
        <v>0</v>
      </c>
      <c r="AL890" s="2">
        <f t="shared" si="480"/>
        <v>0</v>
      </c>
      <c r="AM890" s="11"/>
      <c r="AN890" s="2" t="e">
        <f t="shared" si="489"/>
        <v>#N/A</v>
      </c>
      <c r="AO890" s="2" t="e">
        <f t="shared" si="490"/>
        <v>#N/A</v>
      </c>
      <c r="AP890" s="2" t="e">
        <f t="shared" si="491"/>
        <v>#N/A</v>
      </c>
      <c r="AQ890" s="2" t="e">
        <f t="shared" si="492"/>
        <v>#N/A</v>
      </c>
      <c r="AR890" s="2" t="e">
        <f t="shared" si="493"/>
        <v>#N/A</v>
      </c>
      <c r="AS890" s="2" t="e">
        <f t="shared" si="494"/>
        <v>#DIV/0!</v>
      </c>
      <c r="AT890" s="9" t="e">
        <f t="shared" ca="1" si="495"/>
        <v>#N/A</v>
      </c>
      <c r="AU890" s="9" t="e">
        <f t="shared" ca="1" si="496"/>
        <v>#N/A</v>
      </c>
      <c r="AW890" s="2" t="e">
        <f t="shared" si="481"/>
        <v>#N/A</v>
      </c>
      <c r="AX890" s="2" t="e">
        <f t="shared" si="482"/>
        <v>#N/A</v>
      </c>
      <c r="AY890" s="2" t="e">
        <f t="shared" si="483"/>
        <v>#N/A</v>
      </c>
      <c r="AZ890" s="2" t="e">
        <f t="shared" si="484"/>
        <v>#N/A</v>
      </c>
      <c r="BA890" s="2" t="e">
        <f t="shared" si="485"/>
        <v>#N/A</v>
      </c>
      <c r="BB890" s="2" t="e">
        <f t="shared" si="486"/>
        <v>#DIV/0!</v>
      </c>
      <c r="BC890" s="9" t="e">
        <f t="shared" ca="1" si="487"/>
        <v>#N/A</v>
      </c>
      <c r="BD890" s="9" t="e">
        <f t="shared" ca="1" si="488"/>
        <v>#N/A</v>
      </c>
    </row>
    <row r="891" spans="1:56" ht="15" x14ac:dyDescent="0.25">
      <c r="A891"/>
      <c r="B891"/>
      <c r="C891"/>
      <c r="D891"/>
      <c r="E891"/>
      <c r="F891"/>
      <c r="G891"/>
      <c r="H891"/>
      <c r="I891"/>
      <c r="J891"/>
      <c r="K891"/>
      <c r="L891" s="64"/>
      <c r="M891" s="64"/>
      <c r="N891" s="16"/>
      <c r="O891" s="11"/>
      <c r="P891" s="11"/>
      <c r="Q891" s="11"/>
      <c r="R891" s="11"/>
      <c r="S891" s="11"/>
      <c r="T891" s="11"/>
      <c r="U891" s="11">
        <f t="shared" si="497"/>
        <v>0</v>
      </c>
      <c r="V891" s="2">
        <f t="shared" si="498"/>
        <v>0</v>
      </c>
      <c r="W891" s="11">
        <f t="shared" si="467"/>
        <v>0</v>
      </c>
      <c r="X891" s="2">
        <f t="shared" si="468"/>
        <v>0</v>
      </c>
      <c r="Y891" s="2">
        <f t="shared" si="469"/>
        <v>0</v>
      </c>
      <c r="Z891" s="11">
        <f t="shared" si="470"/>
        <v>0</v>
      </c>
      <c r="AA891" s="2">
        <f t="shared" si="471"/>
        <v>0</v>
      </c>
      <c r="AB891" s="11">
        <f t="shared" si="472"/>
        <v>0</v>
      </c>
      <c r="AC891" s="2">
        <f t="shared" si="473"/>
        <v>0</v>
      </c>
      <c r="AF891" s="11">
        <f t="shared" si="474"/>
        <v>0</v>
      </c>
      <c r="AG891" s="2">
        <f t="shared" si="475"/>
        <v>0</v>
      </c>
      <c r="AH891" s="2">
        <f t="shared" si="476"/>
        <v>0</v>
      </c>
      <c r="AI891" s="2">
        <f t="shared" si="477"/>
        <v>0</v>
      </c>
      <c r="AJ891" s="2">
        <f t="shared" si="478"/>
        <v>0</v>
      </c>
      <c r="AK891" s="2">
        <f t="shared" si="479"/>
        <v>0</v>
      </c>
      <c r="AL891" s="2">
        <f t="shared" si="480"/>
        <v>0</v>
      </c>
      <c r="AM891" s="11"/>
      <c r="AN891" s="2" t="e">
        <f t="shared" si="489"/>
        <v>#N/A</v>
      </c>
      <c r="AO891" s="2" t="e">
        <f t="shared" si="490"/>
        <v>#N/A</v>
      </c>
      <c r="AP891" s="2" t="e">
        <f t="shared" si="491"/>
        <v>#N/A</v>
      </c>
      <c r="AQ891" s="2" t="e">
        <f t="shared" si="492"/>
        <v>#N/A</v>
      </c>
      <c r="AR891" s="2" t="e">
        <f t="shared" si="493"/>
        <v>#N/A</v>
      </c>
      <c r="AS891" s="2" t="e">
        <f t="shared" si="494"/>
        <v>#DIV/0!</v>
      </c>
      <c r="AT891" s="9" t="e">
        <f t="shared" ca="1" si="495"/>
        <v>#N/A</v>
      </c>
      <c r="AU891" s="9" t="e">
        <f t="shared" ca="1" si="496"/>
        <v>#N/A</v>
      </c>
      <c r="AW891" s="2" t="e">
        <f t="shared" si="481"/>
        <v>#N/A</v>
      </c>
      <c r="AX891" s="2" t="e">
        <f t="shared" si="482"/>
        <v>#N/A</v>
      </c>
      <c r="AY891" s="2" t="e">
        <f t="shared" si="483"/>
        <v>#N/A</v>
      </c>
      <c r="AZ891" s="2" t="e">
        <f t="shared" si="484"/>
        <v>#N/A</v>
      </c>
      <c r="BA891" s="2" t="e">
        <f t="shared" si="485"/>
        <v>#N/A</v>
      </c>
      <c r="BB891" s="2" t="e">
        <f t="shared" si="486"/>
        <v>#DIV/0!</v>
      </c>
      <c r="BC891" s="9" t="e">
        <f t="shared" ca="1" si="487"/>
        <v>#N/A</v>
      </c>
      <c r="BD891" s="9" t="e">
        <f t="shared" ca="1" si="488"/>
        <v>#N/A</v>
      </c>
    </row>
    <row r="892" spans="1:56" ht="15" x14ac:dyDescent="0.25">
      <c r="A892"/>
      <c r="B892"/>
      <c r="C892"/>
      <c r="D892"/>
      <c r="E892"/>
      <c r="F892"/>
      <c r="G892"/>
      <c r="H892"/>
      <c r="I892"/>
      <c r="J892"/>
      <c r="K892"/>
      <c r="L892" s="64"/>
      <c r="M892" s="64"/>
      <c r="N892" s="16"/>
      <c r="O892" s="11"/>
      <c r="P892" s="11"/>
      <c r="Q892" s="11"/>
      <c r="R892" s="11"/>
      <c r="S892" s="11"/>
      <c r="T892" s="11"/>
      <c r="U892" s="11">
        <f t="shared" si="497"/>
        <v>0</v>
      </c>
      <c r="V892" s="2">
        <f t="shared" si="498"/>
        <v>0</v>
      </c>
      <c r="W892" s="11">
        <f t="shared" si="467"/>
        <v>0</v>
      </c>
      <c r="X892" s="2">
        <f t="shared" si="468"/>
        <v>0</v>
      </c>
      <c r="Y892" s="2">
        <f t="shared" si="469"/>
        <v>0</v>
      </c>
      <c r="Z892" s="11">
        <f t="shared" si="470"/>
        <v>0</v>
      </c>
      <c r="AA892" s="2">
        <f t="shared" si="471"/>
        <v>0</v>
      </c>
      <c r="AB892" s="11">
        <f t="shared" si="472"/>
        <v>0</v>
      </c>
      <c r="AC892" s="2">
        <f t="shared" si="473"/>
        <v>0</v>
      </c>
      <c r="AF892" s="11">
        <f t="shared" si="474"/>
        <v>0</v>
      </c>
      <c r="AG892" s="2">
        <f t="shared" si="475"/>
        <v>0</v>
      </c>
      <c r="AH892" s="2">
        <f t="shared" si="476"/>
        <v>0</v>
      </c>
      <c r="AI892" s="2">
        <f t="shared" si="477"/>
        <v>0</v>
      </c>
      <c r="AJ892" s="2">
        <f t="shared" si="478"/>
        <v>0</v>
      </c>
      <c r="AK892" s="2">
        <f t="shared" si="479"/>
        <v>0</v>
      </c>
      <c r="AL892" s="2">
        <f t="shared" si="480"/>
        <v>0</v>
      </c>
      <c r="AM892" s="11"/>
      <c r="AN892" s="2" t="e">
        <f t="shared" si="489"/>
        <v>#N/A</v>
      </c>
      <c r="AO892" s="2" t="e">
        <f t="shared" si="490"/>
        <v>#N/A</v>
      </c>
      <c r="AP892" s="2" t="e">
        <f t="shared" si="491"/>
        <v>#N/A</v>
      </c>
      <c r="AQ892" s="2" t="e">
        <f t="shared" si="492"/>
        <v>#N/A</v>
      </c>
      <c r="AR892" s="2" t="e">
        <f t="shared" si="493"/>
        <v>#N/A</v>
      </c>
      <c r="AS892" s="2" t="e">
        <f t="shared" si="494"/>
        <v>#DIV/0!</v>
      </c>
      <c r="AT892" s="9" t="e">
        <f t="shared" ca="1" si="495"/>
        <v>#N/A</v>
      </c>
      <c r="AU892" s="9" t="e">
        <f t="shared" ca="1" si="496"/>
        <v>#N/A</v>
      </c>
      <c r="AW892" s="2" t="e">
        <f t="shared" si="481"/>
        <v>#N/A</v>
      </c>
      <c r="AX892" s="2" t="e">
        <f t="shared" si="482"/>
        <v>#N/A</v>
      </c>
      <c r="AY892" s="2" t="e">
        <f t="shared" si="483"/>
        <v>#N/A</v>
      </c>
      <c r="AZ892" s="2" t="e">
        <f t="shared" si="484"/>
        <v>#N/A</v>
      </c>
      <c r="BA892" s="2" t="e">
        <f t="shared" si="485"/>
        <v>#N/A</v>
      </c>
      <c r="BB892" s="2" t="e">
        <f t="shared" si="486"/>
        <v>#DIV/0!</v>
      </c>
      <c r="BC892" s="9" t="e">
        <f t="shared" ca="1" si="487"/>
        <v>#N/A</v>
      </c>
      <c r="BD892" s="9" t="e">
        <f t="shared" ca="1" si="488"/>
        <v>#N/A</v>
      </c>
    </row>
    <row r="893" spans="1:56" ht="15" x14ac:dyDescent="0.25">
      <c r="A893"/>
      <c r="B893"/>
      <c r="C893"/>
      <c r="D893"/>
      <c r="E893"/>
      <c r="F893"/>
      <c r="G893"/>
      <c r="H893"/>
      <c r="I893"/>
      <c r="J893"/>
      <c r="K893"/>
      <c r="L893" s="64"/>
      <c r="M893" s="64"/>
      <c r="N893" s="16"/>
      <c r="O893" s="11"/>
      <c r="P893" s="11"/>
      <c r="Q893" s="11"/>
      <c r="R893" s="11"/>
      <c r="S893" s="11"/>
      <c r="T893" s="11"/>
      <c r="U893" s="11">
        <f t="shared" si="497"/>
        <v>0</v>
      </c>
      <c r="V893" s="2">
        <f t="shared" si="498"/>
        <v>0</v>
      </c>
      <c r="W893" s="11">
        <f t="shared" si="467"/>
        <v>0</v>
      </c>
      <c r="X893" s="2">
        <f t="shared" si="468"/>
        <v>0</v>
      </c>
      <c r="Y893" s="2">
        <f t="shared" si="469"/>
        <v>0</v>
      </c>
      <c r="Z893" s="11">
        <f t="shared" si="470"/>
        <v>0</v>
      </c>
      <c r="AA893" s="2">
        <f t="shared" si="471"/>
        <v>0</v>
      </c>
      <c r="AB893" s="11">
        <f t="shared" si="472"/>
        <v>0</v>
      </c>
      <c r="AC893" s="2">
        <f t="shared" si="473"/>
        <v>0</v>
      </c>
      <c r="AF893" s="11">
        <f t="shared" si="474"/>
        <v>0</v>
      </c>
      <c r="AG893" s="2">
        <f t="shared" si="475"/>
        <v>0</v>
      </c>
      <c r="AH893" s="2">
        <f t="shared" si="476"/>
        <v>0</v>
      </c>
      <c r="AI893" s="2">
        <f t="shared" si="477"/>
        <v>0</v>
      </c>
      <c r="AJ893" s="2">
        <f t="shared" si="478"/>
        <v>0</v>
      </c>
      <c r="AK893" s="2">
        <f t="shared" si="479"/>
        <v>0</v>
      </c>
      <c r="AL893" s="2">
        <f t="shared" si="480"/>
        <v>0</v>
      </c>
      <c r="AM893" s="11"/>
      <c r="AN893" s="2" t="e">
        <f t="shared" si="489"/>
        <v>#N/A</v>
      </c>
      <c r="AO893" s="2" t="e">
        <f t="shared" si="490"/>
        <v>#N/A</v>
      </c>
      <c r="AP893" s="2" t="e">
        <f t="shared" si="491"/>
        <v>#N/A</v>
      </c>
      <c r="AQ893" s="2" t="e">
        <f t="shared" si="492"/>
        <v>#N/A</v>
      </c>
      <c r="AR893" s="2" t="e">
        <f t="shared" si="493"/>
        <v>#N/A</v>
      </c>
      <c r="AS893" s="2" t="e">
        <f t="shared" si="494"/>
        <v>#DIV/0!</v>
      </c>
      <c r="AT893" s="9" t="e">
        <f t="shared" ca="1" si="495"/>
        <v>#N/A</v>
      </c>
      <c r="AU893" s="9" t="e">
        <f t="shared" ca="1" si="496"/>
        <v>#N/A</v>
      </c>
      <c r="AW893" s="2" t="e">
        <f t="shared" si="481"/>
        <v>#N/A</v>
      </c>
      <c r="AX893" s="2" t="e">
        <f t="shared" si="482"/>
        <v>#N/A</v>
      </c>
      <c r="AY893" s="2" t="e">
        <f t="shared" si="483"/>
        <v>#N/A</v>
      </c>
      <c r="AZ893" s="2" t="e">
        <f t="shared" si="484"/>
        <v>#N/A</v>
      </c>
      <c r="BA893" s="2" t="e">
        <f t="shared" si="485"/>
        <v>#N/A</v>
      </c>
      <c r="BB893" s="2" t="e">
        <f t="shared" si="486"/>
        <v>#DIV/0!</v>
      </c>
      <c r="BC893" s="9" t="e">
        <f t="shared" ca="1" si="487"/>
        <v>#N/A</v>
      </c>
      <c r="BD893" s="9" t="e">
        <f t="shared" ca="1" si="488"/>
        <v>#N/A</v>
      </c>
    </row>
    <row r="894" spans="1:56" ht="15" x14ac:dyDescent="0.25">
      <c r="A894"/>
      <c r="B894"/>
      <c r="C894"/>
      <c r="D894"/>
      <c r="E894"/>
      <c r="F894"/>
      <c r="G894"/>
      <c r="H894"/>
      <c r="I894"/>
      <c r="J894"/>
      <c r="K894"/>
      <c r="L894" s="64"/>
      <c r="M894" s="64"/>
      <c r="N894" s="16"/>
      <c r="O894" s="11"/>
      <c r="P894" s="11"/>
      <c r="Q894" s="11"/>
      <c r="R894" s="11"/>
      <c r="S894" s="11"/>
      <c r="T894" s="11"/>
      <c r="U894" s="11">
        <f t="shared" si="497"/>
        <v>0</v>
      </c>
      <c r="V894" s="2">
        <f t="shared" si="498"/>
        <v>0</v>
      </c>
      <c r="W894" s="11">
        <f t="shared" si="467"/>
        <v>0</v>
      </c>
      <c r="X894" s="2">
        <f t="shared" si="468"/>
        <v>0</v>
      </c>
      <c r="Y894" s="2">
        <f t="shared" si="469"/>
        <v>0</v>
      </c>
      <c r="Z894" s="11">
        <f t="shared" si="470"/>
        <v>0</v>
      </c>
      <c r="AA894" s="2">
        <f t="shared" si="471"/>
        <v>0</v>
      </c>
      <c r="AB894" s="11">
        <f t="shared" si="472"/>
        <v>0</v>
      </c>
      <c r="AC894" s="2">
        <f t="shared" si="473"/>
        <v>0</v>
      </c>
      <c r="AF894" s="11">
        <f t="shared" si="474"/>
        <v>0</v>
      </c>
      <c r="AG894" s="2">
        <f t="shared" si="475"/>
        <v>0</v>
      </c>
      <c r="AH894" s="2">
        <f t="shared" si="476"/>
        <v>0</v>
      </c>
      <c r="AI894" s="2">
        <f t="shared" si="477"/>
        <v>0</v>
      </c>
      <c r="AJ894" s="2">
        <f t="shared" si="478"/>
        <v>0</v>
      </c>
      <c r="AK894" s="2">
        <f t="shared" si="479"/>
        <v>0</v>
      </c>
      <c r="AL894" s="2">
        <f t="shared" si="480"/>
        <v>0</v>
      </c>
      <c r="AM894" s="11"/>
      <c r="AN894" s="2" t="e">
        <f t="shared" si="489"/>
        <v>#N/A</v>
      </c>
      <c r="AO894" s="2" t="e">
        <f t="shared" si="490"/>
        <v>#N/A</v>
      </c>
      <c r="AP894" s="2" t="e">
        <f t="shared" si="491"/>
        <v>#N/A</v>
      </c>
      <c r="AQ894" s="2" t="e">
        <f t="shared" si="492"/>
        <v>#N/A</v>
      </c>
      <c r="AR894" s="2" t="e">
        <f t="shared" si="493"/>
        <v>#N/A</v>
      </c>
      <c r="AS894" s="2" t="e">
        <f t="shared" si="494"/>
        <v>#DIV/0!</v>
      </c>
      <c r="AT894" s="9" t="e">
        <f t="shared" ca="1" si="495"/>
        <v>#N/A</v>
      </c>
      <c r="AU894" s="9" t="e">
        <f t="shared" ca="1" si="496"/>
        <v>#N/A</v>
      </c>
      <c r="AW894" s="2" t="e">
        <f t="shared" si="481"/>
        <v>#N/A</v>
      </c>
      <c r="AX894" s="2" t="e">
        <f t="shared" si="482"/>
        <v>#N/A</v>
      </c>
      <c r="AY894" s="2" t="e">
        <f t="shared" si="483"/>
        <v>#N/A</v>
      </c>
      <c r="AZ894" s="2" t="e">
        <f t="shared" si="484"/>
        <v>#N/A</v>
      </c>
      <c r="BA894" s="2" t="e">
        <f t="shared" si="485"/>
        <v>#N/A</v>
      </c>
      <c r="BB894" s="2" t="e">
        <f t="shared" si="486"/>
        <v>#DIV/0!</v>
      </c>
      <c r="BC894" s="9" t="e">
        <f t="shared" ca="1" si="487"/>
        <v>#N/A</v>
      </c>
      <c r="BD894" s="9" t="e">
        <f t="shared" ca="1" si="488"/>
        <v>#N/A</v>
      </c>
    </row>
    <row r="895" spans="1:56" ht="15" x14ac:dyDescent="0.25">
      <c r="A895"/>
      <c r="B895"/>
      <c r="C895"/>
      <c r="D895"/>
      <c r="E895"/>
      <c r="F895"/>
      <c r="G895"/>
      <c r="H895"/>
      <c r="I895"/>
      <c r="J895"/>
      <c r="K895"/>
      <c r="L895" s="64"/>
      <c r="M895" s="64"/>
      <c r="N895" s="16"/>
      <c r="O895" s="11"/>
      <c r="P895" s="11"/>
      <c r="Q895" s="11"/>
      <c r="R895" s="11"/>
      <c r="S895" s="11"/>
      <c r="T895" s="11"/>
      <c r="U895" s="11">
        <f t="shared" si="497"/>
        <v>0</v>
      </c>
      <c r="V895" s="2">
        <f t="shared" si="498"/>
        <v>0</v>
      </c>
      <c r="W895" s="11">
        <f t="shared" si="467"/>
        <v>0</v>
      </c>
      <c r="X895" s="2">
        <f t="shared" si="468"/>
        <v>0</v>
      </c>
      <c r="Y895" s="2">
        <f t="shared" si="469"/>
        <v>0</v>
      </c>
      <c r="Z895" s="11">
        <f t="shared" si="470"/>
        <v>0</v>
      </c>
      <c r="AA895" s="2">
        <f t="shared" si="471"/>
        <v>0</v>
      </c>
      <c r="AB895" s="11">
        <f t="shared" si="472"/>
        <v>0</v>
      </c>
      <c r="AC895" s="2">
        <f t="shared" si="473"/>
        <v>0</v>
      </c>
      <c r="AF895" s="11">
        <f t="shared" si="474"/>
        <v>0</v>
      </c>
      <c r="AG895" s="2">
        <f t="shared" si="475"/>
        <v>0</v>
      </c>
      <c r="AH895" s="2">
        <f t="shared" si="476"/>
        <v>0</v>
      </c>
      <c r="AI895" s="2">
        <f t="shared" si="477"/>
        <v>0</v>
      </c>
      <c r="AJ895" s="2">
        <f t="shared" si="478"/>
        <v>0</v>
      </c>
      <c r="AK895" s="2">
        <f t="shared" si="479"/>
        <v>0</v>
      </c>
      <c r="AL895" s="2">
        <f t="shared" si="480"/>
        <v>0</v>
      </c>
      <c r="AM895" s="11"/>
      <c r="AN895" s="2" t="e">
        <f t="shared" si="489"/>
        <v>#N/A</v>
      </c>
      <c r="AO895" s="2" t="e">
        <f t="shared" si="490"/>
        <v>#N/A</v>
      </c>
      <c r="AP895" s="2" t="e">
        <f t="shared" si="491"/>
        <v>#N/A</v>
      </c>
      <c r="AQ895" s="2" t="e">
        <f t="shared" si="492"/>
        <v>#N/A</v>
      </c>
      <c r="AR895" s="2" t="e">
        <f t="shared" si="493"/>
        <v>#N/A</v>
      </c>
      <c r="AS895" s="2" t="e">
        <f t="shared" si="494"/>
        <v>#DIV/0!</v>
      </c>
      <c r="AT895" s="9" t="e">
        <f t="shared" ca="1" si="495"/>
        <v>#N/A</v>
      </c>
      <c r="AU895" s="9" t="e">
        <f t="shared" ca="1" si="496"/>
        <v>#N/A</v>
      </c>
      <c r="AW895" s="2" t="e">
        <f t="shared" si="481"/>
        <v>#N/A</v>
      </c>
      <c r="AX895" s="2" t="e">
        <f t="shared" si="482"/>
        <v>#N/A</v>
      </c>
      <c r="AY895" s="2" t="e">
        <f t="shared" si="483"/>
        <v>#N/A</v>
      </c>
      <c r="AZ895" s="2" t="e">
        <f t="shared" si="484"/>
        <v>#N/A</v>
      </c>
      <c r="BA895" s="2" t="e">
        <f t="shared" si="485"/>
        <v>#N/A</v>
      </c>
      <c r="BB895" s="2" t="e">
        <f t="shared" si="486"/>
        <v>#DIV/0!</v>
      </c>
      <c r="BC895" s="9" t="e">
        <f t="shared" ca="1" si="487"/>
        <v>#N/A</v>
      </c>
      <c r="BD895" s="9" t="e">
        <f t="shared" ca="1" si="488"/>
        <v>#N/A</v>
      </c>
    </row>
    <row r="896" spans="1:56" ht="15" x14ac:dyDescent="0.25">
      <c r="A896"/>
      <c r="B896"/>
      <c r="C896"/>
      <c r="D896"/>
      <c r="E896"/>
      <c r="F896"/>
      <c r="G896"/>
      <c r="H896"/>
      <c r="I896"/>
      <c r="J896"/>
      <c r="K896"/>
      <c r="L896" s="64"/>
      <c r="M896" s="64"/>
      <c r="N896" s="16"/>
      <c r="O896" s="11"/>
      <c r="P896" s="11"/>
      <c r="Q896" s="11"/>
      <c r="R896" s="11"/>
      <c r="S896" s="11"/>
      <c r="T896" s="11"/>
      <c r="U896" s="11">
        <f t="shared" si="497"/>
        <v>0</v>
      </c>
      <c r="V896" s="2">
        <f t="shared" si="498"/>
        <v>0</v>
      </c>
      <c r="W896" s="11">
        <f t="shared" si="467"/>
        <v>0</v>
      </c>
      <c r="X896" s="2">
        <f t="shared" si="468"/>
        <v>0</v>
      </c>
      <c r="Y896" s="2">
        <f t="shared" si="469"/>
        <v>0</v>
      </c>
      <c r="Z896" s="11">
        <f t="shared" si="470"/>
        <v>0</v>
      </c>
      <c r="AA896" s="2">
        <f t="shared" si="471"/>
        <v>0</v>
      </c>
      <c r="AB896" s="11">
        <f t="shared" si="472"/>
        <v>0</v>
      </c>
      <c r="AC896" s="2">
        <f t="shared" si="473"/>
        <v>0</v>
      </c>
      <c r="AF896" s="11">
        <f t="shared" si="474"/>
        <v>0</v>
      </c>
      <c r="AG896" s="2">
        <f t="shared" si="475"/>
        <v>0</v>
      </c>
      <c r="AH896" s="2">
        <f t="shared" si="476"/>
        <v>0</v>
      </c>
      <c r="AI896" s="2">
        <f t="shared" si="477"/>
        <v>0</v>
      </c>
      <c r="AJ896" s="2">
        <f t="shared" si="478"/>
        <v>0</v>
      </c>
      <c r="AK896" s="2">
        <f t="shared" si="479"/>
        <v>0</v>
      </c>
      <c r="AL896" s="2">
        <f t="shared" si="480"/>
        <v>0</v>
      </c>
      <c r="AM896" s="11"/>
      <c r="AN896" s="2" t="e">
        <f t="shared" si="489"/>
        <v>#N/A</v>
      </c>
      <c r="AO896" s="2" t="e">
        <f t="shared" si="490"/>
        <v>#N/A</v>
      </c>
      <c r="AP896" s="2" t="e">
        <f t="shared" si="491"/>
        <v>#N/A</v>
      </c>
      <c r="AQ896" s="2" t="e">
        <f t="shared" si="492"/>
        <v>#N/A</v>
      </c>
      <c r="AR896" s="2" t="e">
        <f t="shared" si="493"/>
        <v>#N/A</v>
      </c>
      <c r="AS896" s="2" t="e">
        <f t="shared" si="494"/>
        <v>#DIV/0!</v>
      </c>
      <c r="AT896" s="9" t="e">
        <f t="shared" ca="1" si="495"/>
        <v>#N/A</v>
      </c>
      <c r="AU896" s="9" t="e">
        <f t="shared" ca="1" si="496"/>
        <v>#N/A</v>
      </c>
      <c r="AW896" s="2" t="e">
        <f t="shared" si="481"/>
        <v>#N/A</v>
      </c>
      <c r="AX896" s="2" t="e">
        <f t="shared" si="482"/>
        <v>#N/A</v>
      </c>
      <c r="AY896" s="2" t="e">
        <f t="shared" si="483"/>
        <v>#N/A</v>
      </c>
      <c r="AZ896" s="2" t="e">
        <f t="shared" si="484"/>
        <v>#N/A</v>
      </c>
      <c r="BA896" s="2" t="e">
        <f t="shared" si="485"/>
        <v>#N/A</v>
      </c>
      <c r="BB896" s="2" t="e">
        <f t="shared" si="486"/>
        <v>#DIV/0!</v>
      </c>
      <c r="BC896" s="9" t="e">
        <f t="shared" ca="1" si="487"/>
        <v>#N/A</v>
      </c>
      <c r="BD896" s="9" t="e">
        <f t="shared" ca="1" si="488"/>
        <v>#N/A</v>
      </c>
    </row>
    <row r="897" spans="1:56" ht="15" x14ac:dyDescent="0.25">
      <c r="A897"/>
      <c r="B897"/>
      <c r="C897"/>
      <c r="D897"/>
      <c r="E897"/>
      <c r="F897"/>
      <c r="G897"/>
      <c r="H897"/>
      <c r="I897"/>
      <c r="J897"/>
      <c r="K897"/>
      <c r="L897" s="64"/>
      <c r="M897" s="64"/>
      <c r="N897" s="16"/>
      <c r="O897" s="11"/>
      <c r="P897" s="11"/>
      <c r="Q897" s="11"/>
      <c r="R897" s="11"/>
      <c r="S897" s="11"/>
      <c r="T897" s="11"/>
      <c r="U897" s="11">
        <f t="shared" si="497"/>
        <v>0</v>
      </c>
      <c r="V897" s="2">
        <f t="shared" si="498"/>
        <v>0</v>
      </c>
      <c r="W897" s="11">
        <f t="shared" si="467"/>
        <v>0</v>
      </c>
      <c r="X897" s="2">
        <f t="shared" si="468"/>
        <v>0</v>
      </c>
      <c r="Y897" s="2">
        <f t="shared" si="469"/>
        <v>0</v>
      </c>
      <c r="Z897" s="11">
        <f t="shared" si="470"/>
        <v>0</v>
      </c>
      <c r="AA897" s="2">
        <f t="shared" si="471"/>
        <v>0</v>
      </c>
      <c r="AB897" s="11">
        <f t="shared" si="472"/>
        <v>0</v>
      </c>
      <c r="AC897" s="2">
        <f t="shared" si="473"/>
        <v>0</v>
      </c>
      <c r="AF897" s="11">
        <f t="shared" si="474"/>
        <v>0</v>
      </c>
      <c r="AG897" s="2">
        <f t="shared" si="475"/>
        <v>0</v>
      </c>
      <c r="AH897" s="2">
        <f t="shared" si="476"/>
        <v>0</v>
      </c>
      <c r="AI897" s="2">
        <f t="shared" si="477"/>
        <v>0</v>
      </c>
      <c r="AJ897" s="2">
        <f t="shared" si="478"/>
        <v>0</v>
      </c>
      <c r="AK897" s="2">
        <f t="shared" si="479"/>
        <v>0</v>
      </c>
      <c r="AL897" s="2">
        <f t="shared" si="480"/>
        <v>0</v>
      </c>
      <c r="AM897" s="11"/>
      <c r="AN897" s="2" t="e">
        <f t="shared" si="489"/>
        <v>#N/A</v>
      </c>
      <c r="AO897" s="2" t="e">
        <f t="shared" si="490"/>
        <v>#N/A</v>
      </c>
      <c r="AP897" s="2" t="e">
        <f t="shared" si="491"/>
        <v>#N/A</v>
      </c>
      <c r="AQ897" s="2" t="e">
        <f t="shared" si="492"/>
        <v>#N/A</v>
      </c>
      <c r="AR897" s="2" t="e">
        <f t="shared" si="493"/>
        <v>#N/A</v>
      </c>
      <c r="AS897" s="2" t="e">
        <f t="shared" si="494"/>
        <v>#DIV/0!</v>
      </c>
      <c r="AT897" s="9" t="e">
        <f t="shared" ca="1" si="495"/>
        <v>#N/A</v>
      </c>
      <c r="AU897" s="9" t="e">
        <f t="shared" ca="1" si="496"/>
        <v>#N/A</v>
      </c>
      <c r="AW897" s="2" t="e">
        <f t="shared" si="481"/>
        <v>#N/A</v>
      </c>
      <c r="AX897" s="2" t="e">
        <f t="shared" si="482"/>
        <v>#N/A</v>
      </c>
      <c r="AY897" s="2" t="e">
        <f t="shared" si="483"/>
        <v>#N/A</v>
      </c>
      <c r="AZ897" s="2" t="e">
        <f t="shared" si="484"/>
        <v>#N/A</v>
      </c>
      <c r="BA897" s="2" t="e">
        <f t="shared" si="485"/>
        <v>#N/A</v>
      </c>
      <c r="BB897" s="2" t="e">
        <f t="shared" si="486"/>
        <v>#DIV/0!</v>
      </c>
      <c r="BC897" s="9" t="e">
        <f t="shared" ca="1" si="487"/>
        <v>#N/A</v>
      </c>
      <c r="BD897" s="9" t="e">
        <f t="shared" ca="1" si="488"/>
        <v>#N/A</v>
      </c>
    </row>
    <row r="898" spans="1:56" ht="15" x14ac:dyDescent="0.25">
      <c r="A898"/>
      <c r="B898"/>
      <c r="C898"/>
      <c r="D898"/>
      <c r="E898"/>
      <c r="F898"/>
      <c r="G898"/>
      <c r="H898"/>
      <c r="I898"/>
      <c r="J898"/>
      <c r="K898"/>
      <c r="L898" s="64"/>
      <c r="M898" s="64"/>
      <c r="N898" s="16"/>
      <c r="O898" s="11"/>
      <c r="P898" s="11"/>
      <c r="Q898" s="11"/>
      <c r="R898" s="11"/>
      <c r="S898" s="11"/>
      <c r="T898" s="11"/>
      <c r="U898" s="11">
        <f t="shared" si="497"/>
        <v>0</v>
      </c>
      <c r="V898" s="2">
        <f t="shared" si="498"/>
        <v>0</v>
      </c>
      <c r="W898" s="11">
        <f t="shared" si="467"/>
        <v>0</v>
      </c>
      <c r="X898" s="2">
        <f t="shared" si="468"/>
        <v>0</v>
      </c>
      <c r="Y898" s="2">
        <f t="shared" si="469"/>
        <v>0</v>
      </c>
      <c r="Z898" s="11">
        <f t="shared" si="470"/>
        <v>0</v>
      </c>
      <c r="AA898" s="2">
        <f t="shared" si="471"/>
        <v>0</v>
      </c>
      <c r="AB898" s="11">
        <f t="shared" si="472"/>
        <v>0</v>
      </c>
      <c r="AC898" s="2">
        <f t="shared" si="473"/>
        <v>0</v>
      </c>
      <c r="AF898" s="11">
        <f t="shared" si="474"/>
        <v>0</v>
      </c>
      <c r="AG898" s="2">
        <f t="shared" si="475"/>
        <v>0</v>
      </c>
      <c r="AH898" s="2">
        <f t="shared" si="476"/>
        <v>0</v>
      </c>
      <c r="AI898" s="2">
        <f t="shared" si="477"/>
        <v>0</v>
      </c>
      <c r="AJ898" s="2">
        <f t="shared" si="478"/>
        <v>0</v>
      </c>
      <c r="AK898" s="2">
        <f t="shared" si="479"/>
        <v>0</v>
      </c>
      <c r="AL898" s="2">
        <f t="shared" si="480"/>
        <v>0</v>
      </c>
      <c r="AM898" s="11"/>
      <c r="AN898" s="2" t="e">
        <f t="shared" si="489"/>
        <v>#N/A</v>
      </c>
      <c r="AO898" s="2" t="e">
        <f t="shared" si="490"/>
        <v>#N/A</v>
      </c>
      <c r="AP898" s="2" t="e">
        <f t="shared" si="491"/>
        <v>#N/A</v>
      </c>
      <c r="AQ898" s="2" t="e">
        <f t="shared" si="492"/>
        <v>#N/A</v>
      </c>
      <c r="AR898" s="2" t="e">
        <f t="shared" si="493"/>
        <v>#N/A</v>
      </c>
      <c r="AS898" s="2" t="e">
        <f t="shared" si="494"/>
        <v>#DIV/0!</v>
      </c>
      <c r="AT898" s="9" t="e">
        <f t="shared" ca="1" si="495"/>
        <v>#N/A</v>
      </c>
      <c r="AU898" s="9" t="e">
        <f t="shared" ca="1" si="496"/>
        <v>#N/A</v>
      </c>
      <c r="AW898" s="2" t="e">
        <f t="shared" si="481"/>
        <v>#N/A</v>
      </c>
      <c r="AX898" s="2" t="e">
        <f t="shared" si="482"/>
        <v>#N/A</v>
      </c>
      <c r="AY898" s="2" t="e">
        <f t="shared" si="483"/>
        <v>#N/A</v>
      </c>
      <c r="AZ898" s="2" t="e">
        <f t="shared" si="484"/>
        <v>#N/A</v>
      </c>
      <c r="BA898" s="2" t="e">
        <f t="shared" si="485"/>
        <v>#N/A</v>
      </c>
      <c r="BB898" s="2" t="e">
        <f t="shared" si="486"/>
        <v>#DIV/0!</v>
      </c>
      <c r="BC898" s="9" t="e">
        <f t="shared" ca="1" si="487"/>
        <v>#N/A</v>
      </c>
      <c r="BD898" s="9" t="e">
        <f t="shared" ca="1" si="488"/>
        <v>#N/A</v>
      </c>
    </row>
    <row r="899" spans="1:56" ht="15" x14ac:dyDescent="0.25">
      <c r="A899"/>
      <c r="B899"/>
      <c r="C899"/>
      <c r="D899"/>
      <c r="E899"/>
      <c r="F899"/>
      <c r="G899"/>
      <c r="H899"/>
      <c r="I899"/>
      <c r="J899"/>
      <c r="K899"/>
      <c r="L899" s="64"/>
      <c r="M899" s="64"/>
      <c r="N899" s="16"/>
      <c r="O899" s="11"/>
      <c r="P899" s="11"/>
      <c r="Q899" s="11"/>
      <c r="R899" s="11"/>
      <c r="S899" s="11"/>
      <c r="T899" s="11"/>
      <c r="U899" s="11">
        <f t="shared" si="497"/>
        <v>0</v>
      </c>
      <c r="V899" s="2">
        <f t="shared" si="498"/>
        <v>0</v>
      </c>
      <c r="W899" s="11">
        <f t="shared" si="467"/>
        <v>0</v>
      </c>
      <c r="X899" s="2">
        <f t="shared" si="468"/>
        <v>0</v>
      </c>
      <c r="Y899" s="2">
        <f t="shared" si="469"/>
        <v>0</v>
      </c>
      <c r="Z899" s="11">
        <f t="shared" si="470"/>
        <v>0</v>
      </c>
      <c r="AA899" s="2">
        <f t="shared" si="471"/>
        <v>0</v>
      </c>
      <c r="AB899" s="11">
        <f t="shared" si="472"/>
        <v>0</v>
      </c>
      <c r="AC899" s="2">
        <f t="shared" si="473"/>
        <v>0</v>
      </c>
      <c r="AF899" s="11">
        <f t="shared" si="474"/>
        <v>0</v>
      </c>
      <c r="AG899" s="2">
        <f t="shared" si="475"/>
        <v>0</v>
      </c>
      <c r="AH899" s="2">
        <f t="shared" si="476"/>
        <v>0</v>
      </c>
      <c r="AI899" s="2">
        <f t="shared" si="477"/>
        <v>0</v>
      </c>
      <c r="AJ899" s="2">
        <f t="shared" si="478"/>
        <v>0</v>
      </c>
      <c r="AK899" s="2">
        <f t="shared" si="479"/>
        <v>0</v>
      </c>
      <c r="AL899" s="2">
        <f t="shared" si="480"/>
        <v>0</v>
      </c>
      <c r="AM899" s="11"/>
      <c r="AN899" s="2" t="e">
        <f t="shared" si="489"/>
        <v>#N/A</v>
      </c>
      <c r="AO899" s="2" t="e">
        <f t="shared" si="490"/>
        <v>#N/A</v>
      </c>
      <c r="AP899" s="2" t="e">
        <f t="shared" si="491"/>
        <v>#N/A</v>
      </c>
      <c r="AQ899" s="2" t="e">
        <f t="shared" si="492"/>
        <v>#N/A</v>
      </c>
      <c r="AR899" s="2" t="e">
        <f t="shared" si="493"/>
        <v>#N/A</v>
      </c>
      <c r="AS899" s="2" t="e">
        <f t="shared" si="494"/>
        <v>#DIV/0!</v>
      </c>
      <c r="AT899" s="9" t="e">
        <f t="shared" ca="1" si="495"/>
        <v>#N/A</v>
      </c>
      <c r="AU899" s="9" t="e">
        <f t="shared" ca="1" si="496"/>
        <v>#N/A</v>
      </c>
      <c r="AW899" s="2" t="e">
        <f t="shared" si="481"/>
        <v>#N/A</v>
      </c>
      <c r="AX899" s="2" t="e">
        <f t="shared" si="482"/>
        <v>#N/A</v>
      </c>
      <c r="AY899" s="2" t="e">
        <f t="shared" si="483"/>
        <v>#N/A</v>
      </c>
      <c r="AZ899" s="2" t="e">
        <f t="shared" si="484"/>
        <v>#N/A</v>
      </c>
      <c r="BA899" s="2" t="e">
        <f t="shared" si="485"/>
        <v>#N/A</v>
      </c>
      <c r="BB899" s="2" t="e">
        <f t="shared" si="486"/>
        <v>#DIV/0!</v>
      </c>
      <c r="BC899" s="9" t="e">
        <f t="shared" ca="1" si="487"/>
        <v>#N/A</v>
      </c>
      <c r="BD899" s="9" t="e">
        <f t="shared" ca="1" si="488"/>
        <v>#N/A</v>
      </c>
    </row>
    <row r="900" spans="1:56" ht="15" x14ac:dyDescent="0.25">
      <c r="A900"/>
      <c r="B900"/>
      <c r="C900"/>
      <c r="D900"/>
      <c r="E900"/>
      <c r="F900"/>
      <c r="G900"/>
      <c r="H900"/>
      <c r="I900"/>
      <c r="J900"/>
      <c r="K900"/>
      <c r="L900" s="64"/>
      <c r="M900" s="64"/>
      <c r="N900" s="16"/>
      <c r="O900" s="11"/>
      <c r="P900" s="11"/>
      <c r="Q900" s="11"/>
      <c r="R900" s="11"/>
      <c r="S900" s="11"/>
      <c r="T900" s="11"/>
      <c r="U900" s="11">
        <f t="shared" si="497"/>
        <v>0</v>
      </c>
      <c r="V900" s="2">
        <f t="shared" si="498"/>
        <v>0</v>
      </c>
      <c r="W900" s="11">
        <f t="shared" ref="W900:W963" si="499">O900-O900</f>
        <v>0</v>
      </c>
      <c r="X900" s="2">
        <f t="shared" ref="X900:X963" si="500">IF(O900&gt;0,P900-(O900*$X$63/$W$63), P900)</f>
        <v>0</v>
      </c>
      <c r="Y900" s="2">
        <f t="shared" ref="Y900:Y963" si="501">IF(O900&gt;0,Q900-(O900*$Y$63/$W$63),Q900)</f>
        <v>0</v>
      </c>
      <c r="Z900" s="11">
        <f t="shared" ref="Z900:Z963" si="502">R900</f>
        <v>0</v>
      </c>
      <c r="AA900" s="2">
        <f t="shared" ref="AA900:AA963" si="503">IF(O900&gt;0,S900-(O900*$AA$63/$W$63),S900)</f>
        <v>0</v>
      </c>
      <c r="AB900" s="11">
        <f t="shared" ref="AB900:AB963" si="504">T900</f>
        <v>0</v>
      </c>
      <c r="AC900" s="2">
        <f t="shared" ref="AC900:AC963" si="505">IF(O900&gt;0,U900-(O900*$AC$63/$W$63),U900)</f>
        <v>0</v>
      </c>
      <c r="AF900" s="11">
        <f t="shared" ref="AF900:AF963" si="506">W900</f>
        <v>0</v>
      </c>
      <c r="AG900" s="2">
        <f t="shared" ref="AG900:AG963" si="507">IF(O900&gt;0, X900-(O900*$AG$63/$AF$63), X900)</f>
        <v>0</v>
      </c>
      <c r="AH900" s="2">
        <f t="shared" ref="AH900:AH963" si="508">IF(O900&gt;0, Y900-(O900*$AH$63/$AF$63), Y900)</f>
        <v>0</v>
      </c>
      <c r="AI900" s="2">
        <f t="shared" ref="AI900:AI963" si="509">IF(O900&gt;0, Z900-(O900*$AI$63/$AF$63), Z900)</f>
        <v>0</v>
      </c>
      <c r="AJ900" s="2">
        <f t="shared" ref="AJ900:AJ963" si="510">IF(O900&gt;0, AA900-(O900*$AJ$63/$AF$63), AA900)</f>
        <v>0</v>
      </c>
      <c r="AK900" s="2">
        <f t="shared" ref="AK900:AK963" si="511">IF(P900&gt;0, AB900-(P900*$AK$63/$AG$63), AB900)</f>
        <v>0</v>
      </c>
      <c r="AL900" s="2">
        <f t="shared" ref="AL900:AL963" si="512">IF(O900&gt;0, AC900-(O900*$AL$63/$AF$63), AC900)</f>
        <v>0</v>
      </c>
      <c r="AM900" s="11"/>
      <c r="AN900" s="2" t="e">
        <f t="shared" si="489"/>
        <v>#N/A</v>
      </c>
      <c r="AO900" s="2" t="e">
        <f t="shared" si="490"/>
        <v>#N/A</v>
      </c>
      <c r="AP900" s="2" t="e">
        <f t="shared" si="491"/>
        <v>#N/A</v>
      </c>
      <c r="AQ900" s="2" t="e">
        <f t="shared" si="492"/>
        <v>#N/A</v>
      </c>
      <c r="AR900" s="2" t="e">
        <f t="shared" si="493"/>
        <v>#N/A</v>
      </c>
      <c r="AS900" s="2" t="e">
        <f t="shared" si="494"/>
        <v>#DIV/0!</v>
      </c>
      <c r="AT900" s="9" t="e">
        <f t="shared" ca="1" si="495"/>
        <v>#N/A</v>
      </c>
      <c r="AU900" s="9" t="e">
        <f t="shared" ca="1" si="496"/>
        <v>#N/A</v>
      </c>
      <c r="AW900" s="2" t="e">
        <f t="shared" si="481"/>
        <v>#N/A</v>
      </c>
      <c r="AX900" s="2" t="e">
        <f t="shared" si="482"/>
        <v>#N/A</v>
      </c>
      <c r="AY900" s="2" t="e">
        <f t="shared" si="483"/>
        <v>#N/A</v>
      </c>
      <c r="AZ900" s="2" t="e">
        <f t="shared" si="484"/>
        <v>#N/A</v>
      </c>
      <c r="BA900" s="2" t="e">
        <f t="shared" si="485"/>
        <v>#N/A</v>
      </c>
      <c r="BB900" s="2" t="e">
        <f t="shared" si="486"/>
        <v>#DIV/0!</v>
      </c>
      <c r="BC900" s="9" t="e">
        <f t="shared" ca="1" si="487"/>
        <v>#N/A</v>
      </c>
      <c r="BD900" s="9" t="e">
        <f t="shared" ca="1" si="488"/>
        <v>#N/A</v>
      </c>
    </row>
    <row r="901" spans="1:56" ht="15" x14ac:dyDescent="0.25">
      <c r="A901"/>
      <c r="B901"/>
      <c r="C901"/>
      <c r="D901"/>
      <c r="E901"/>
      <c r="F901"/>
      <c r="G901"/>
      <c r="H901"/>
      <c r="I901"/>
      <c r="J901"/>
      <c r="K901"/>
      <c r="L901" s="64"/>
      <c r="M901" s="64"/>
      <c r="N901" s="16"/>
      <c r="O901" s="11"/>
      <c r="P901" s="11"/>
      <c r="Q901" s="11"/>
      <c r="R901" s="11"/>
      <c r="S901" s="11"/>
      <c r="T901" s="11"/>
      <c r="U901" s="11">
        <f t="shared" si="497"/>
        <v>0</v>
      </c>
      <c r="V901" s="2">
        <f t="shared" si="498"/>
        <v>0</v>
      </c>
      <c r="W901" s="11">
        <f t="shared" si="499"/>
        <v>0</v>
      </c>
      <c r="X901" s="2">
        <f t="shared" si="500"/>
        <v>0</v>
      </c>
      <c r="Y901" s="2">
        <f t="shared" si="501"/>
        <v>0</v>
      </c>
      <c r="Z901" s="11">
        <f t="shared" si="502"/>
        <v>0</v>
      </c>
      <c r="AA901" s="2">
        <f t="shared" si="503"/>
        <v>0</v>
      </c>
      <c r="AB901" s="11">
        <f t="shared" si="504"/>
        <v>0</v>
      </c>
      <c r="AC901" s="2">
        <f t="shared" si="505"/>
        <v>0</v>
      </c>
      <c r="AF901" s="11">
        <f t="shared" si="506"/>
        <v>0</v>
      </c>
      <c r="AG901" s="2">
        <f t="shared" si="507"/>
        <v>0</v>
      </c>
      <c r="AH901" s="2">
        <f t="shared" si="508"/>
        <v>0</v>
      </c>
      <c r="AI901" s="2">
        <f t="shared" si="509"/>
        <v>0</v>
      </c>
      <c r="AJ901" s="2">
        <f t="shared" si="510"/>
        <v>0</v>
      </c>
      <c r="AK901" s="2">
        <f t="shared" si="511"/>
        <v>0</v>
      </c>
      <c r="AL901" s="2">
        <f t="shared" si="512"/>
        <v>0</v>
      </c>
      <c r="AM901" s="11"/>
      <c r="AN901" s="2" t="e">
        <f t="shared" si="489"/>
        <v>#N/A</v>
      </c>
      <c r="AO901" s="2" t="e">
        <f t="shared" si="490"/>
        <v>#N/A</v>
      </c>
      <c r="AP901" s="2" t="e">
        <f t="shared" si="491"/>
        <v>#N/A</v>
      </c>
      <c r="AQ901" s="2" t="e">
        <f t="shared" si="492"/>
        <v>#N/A</v>
      </c>
      <c r="AR901" s="2" t="e">
        <f t="shared" si="493"/>
        <v>#N/A</v>
      </c>
      <c r="AS901" s="2" t="e">
        <f t="shared" si="494"/>
        <v>#DIV/0!</v>
      </c>
      <c r="AT901" s="9" t="e">
        <f t="shared" ca="1" si="495"/>
        <v>#N/A</v>
      </c>
      <c r="AU901" s="9" t="e">
        <f t="shared" ca="1" si="496"/>
        <v>#N/A</v>
      </c>
      <c r="AW901" s="2" t="e">
        <f t="shared" si="481"/>
        <v>#N/A</v>
      </c>
      <c r="AX901" s="2" t="e">
        <f t="shared" si="482"/>
        <v>#N/A</v>
      </c>
      <c r="AY901" s="2" t="e">
        <f t="shared" si="483"/>
        <v>#N/A</v>
      </c>
      <c r="AZ901" s="2" t="e">
        <f t="shared" si="484"/>
        <v>#N/A</v>
      </c>
      <c r="BA901" s="2" t="e">
        <f t="shared" si="485"/>
        <v>#N/A</v>
      </c>
      <c r="BB901" s="2" t="e">
        <f t="shared" si="486"/>
        <v>#DIV/0!</v>
      </c>
      <c r="BC901" s="9" t="e">
        <f t="shared" ca="1" si="487"/>
        <v>#N/A</v>
      </c>
      <c r="BD901" s="9" t="e">
        <f t="shared" ca="1" si="488"/>
        <v>#N/A</v>
      </c>
    </row>
    <row r="902" spans="1:56" ht="15" x14ac:dyDescent="0.25">
      <c r="A902"/>
      <c r="B902"/>
      <c r="C902"/>
      <c r="D902"/>
      <c r="E902"/>
      <c r="F902"/>
      <c r="G902"/>
      <c r="H902"/>
      <c r="I902"/>
      <c r="J902"/>
      <c r="K902"/>
      <c r="L902" s="64"/>
      <c r="M902" s="64"/>
      <c r="N902" s="16"/>
      <c r="O902" s="11"/>
      <c r="P902" s="11"/>
      <c r="Q902" s="11"/>
      <c r="R902" s="11"/>
      <c r="S902" s="11"/>
      <c r="T902" s="11"/>
      <c r="U902" s="11">
        <f t="shared" si="497"/>
        <v>0</v>
      </c>
      <c r="V902" s="2">
        <f t="shared" si="498"/>
        <v>0</v>
      </c>
      <c r="W902" s="11">
        <f t="shared" si="499"/>
        <v>0</v>
      </c>
      <c r="X902" s="2">
        <f t="shared" si="500"/>
        <v>0</v>
      </c>
      <c r="Y902" s="2">
        <f t="shared" si="501"/>
        <v>0</v>
      </c>
      <c r="Z902" s="11">
        <f t="shared" si="502"/>
        <v>0</v>
      </c>
      <c r="AA902" s="2">
        <f t="shared" si="503"/>
        <v>0</v>
      </c>
      <c r="AB902" s="11">
        <f t="shared" si="504"/>
        <v>0</v>
      </c>
      <c r="AC902" s="2">
        <f t="shared" si="505"/>
        <v>0</v>
      </c>
      <c r="AF902" s="11">
        <f t="shared" si="506"/>
        <v>0</v>
      </c>
      <c r="AG902" s="2">
        <f t="shared" si="507"/>
        <v>0</v>
      </c>
      <c r="AH902" s="2">
        <f t="shared" si="508"/>
        <v>0</v>
      </c>
      <c r="AI902" s="2">
        <f t="shared" si="509"/>
        <v>0</v>
      </c>
      <c r="AJ902" s="2">
        <f t="shared" si="510"/>
        <v>0</v>
      </c>
      <c r="AK902" s="2">
        <f t="shared" si="511"/>
        <v>0</v>
      </c>
      <c r="AL902" s="2">
        <f t="shared" si="512"/>
        <v>0</v>
      </c>
      <c r="AM902" s="11"/>
      <c r="AN902" s="2" t="e">
        <f t="shared" si="489"/>
        <v>#N/A</v>
      </c>
      <c r="AO902" s="2" t="e">
        <f t="shared" si="490"/>
        <v>#N/A</v>
      </c>
      <c r="AP902" s="2" t="e">
        <f t="shared" si="491"/>
        <v>#N/A</v>
      </c>
      <c r="AQ902" s="2" t="e">
        <f t="shared" si="492"/>
        <v>#N/A</v>
      </c>
      <c r="AR902" s="2" t="e">
        <f t="shared" si="493"/>
        <v>#N/A</v>
      </c>
      <c r="AS902" s="2" t="e">
        <f t="shared" si="494"/>
        <v>#DIV/0!</v>
      </c>
      <c r="AT902" s="9" t="e">
        <f t="shared" ca="1" si="495"/>
        <v>#N/A</v>
      </c>
      <c r="AU902" s="9" t="e">
        <f t="shared" ca="1" si="496"/>
        <v>#N/A</v>
      </c>
      <c r="AW902" s="2" t="e">
        <f t="shared" si="481"/>
        <v>#N/A</v>
      </c>
      <c r="AX902" s="2" t="e">
        <f t="shared" si="482"/>
        <v>#N/A</v>
      </c>
      <c r="AY902" s="2" t="e">
        <f t="shared" si="483"/>
        <v>#N/A</v>
      </c>
      <c r="AZ902" s="2" t="e">
        <f t="shared" si="484"/>
        <v>#N/A</v>
      </c>
      <c r="BA902" s="2" t="e">
        <f t="shared" si="485"/>
        <v>#N/A</v>
      </c>
      <c r="BB902" s="2" t="e">
        <f t="shared" si="486"/>
        <v>#DIV/0!</v>
      </c>
      <c r="BC902" s="9" t="e">
        <f t="shared" ca="1" si="487"/>
        <v>#N/A</v>
      </c>
      <c r="BD902" s="9" t="e">
        <f t="shared" ca="1" si="488"/>
        <v>#N/A</v>
      </c>
    </row>
    <row r="903" spans="1:56" ht="15" x14ac:dyDescent="0.25">
      <c r="A903"/>
      <c r="B903"/>
      <c r="C903"/>
      <c r="D903"/>
      <c r="E903"/>
      <c r="F903"/>
      <c r="G903"/>
      <c r="H903"/>
      <c r="I903"/>
      <c r="J903"/>
      <c r="K903"/>
      <c r="L903" s="64"/>
      <c r="M903" s="64"/>
      <c r="N903" s="16"/>
      <c r="O903" s="11"/>
      <c r="P903" s="11"/>
      <c r="Q903" s="11"/>
      <c r="R903" s="11"/>
      <c r="S903" s="11"/>
      <c r="T903" s="11"/>
      <c r="U903" s="11">
        <f t="shared" si="497"/>
        <v>0</v>
      </c>
      <c r="V903" s="2">
        <f t="shared" si="498"/>
        <v>0</v>
      </c>
      <c r="W903" s="11">
        <f t="shared" si="499"/>
        <v>0</v>
      </c>
      <c r="X903" s="2">
        <f t="shared" si="500"/>
        <v>0</v>
      </c>
      <c r="Y903" s="2">
        <f t="shared" si="501"/>
        <v>0</v>
      </c>
      <c r="Z903" s="11">
        <f t="shared" si="502"/>
        <v>0</v>
      </c>
      <c r="AA903" s="2">
        <f t="shared" si="503"/>
        <v>0</v>
      </c>
      <c r="AB903" s="11">
        <f t="shared" si="504"/>
        <v>0</v>
      </c>
      <c r="AC903" s="2">
        <f t="shared" si="505"/>
        <v>0</v>
      </c>
      <c r="AF903" s="11">
        <f t="shared" si="506"/>
        <v>0</v>
      </c>
      <c r="AG903" s="2">
        <f t="shared" si="507"/>
        <v>0</v>
      </c>
      <c r="AH903" s="2">
        <f t="shared" si="508"/>
        <v>0</v>
      </c>
      <c r="AI903" s="2">
        <f t="shared" si="509"/>
        <v>0</v>
      </c>
      <c r="AJ903" s="2">
        <f t="shared" si="510"/>
        <v>0</v>
      </c>
      <c r="AK903" s="2">
        <f t="shared" si="511"/>
        <v>0</v>
      </c>
      <c r="AL903" s="2">
        <f t="shared" si="512"/>
        <v>0</v>
      </c>
      <c r="AM903" s="11"/>
      <c r="AN903" s="2" t="e">
        <f t="shared" si="489"/>
        <v>#N/A</v>
      </c>
      <c r="AO903" s="2" t="e">
        <f t="shared" si="490"/>
        <v>#N/A</v>
      </c>
      <c r="AP903" s="2" t="e">
        <f t="shared" si="491"/>
        <v>#N/A</v>
      </c>
      <c r="AQ903" s="2" t="e">
        <f t="shared" si="492"/>
        <v>#N/A</v>
      </c>
      <c r="AR903" s="2" t="e">
        <f t="shared" si="493"/>
        <v>#N/A</v>
      </c>
      <c r="AS903" s="2" t="e">
        <f t="shared" si="494"/>
        <v>#DIV/0!</v>
      </c>
      <c r="AT903" s="9" t="e">
        <f t="shared" ca="1" si="495"/>
        <v>#N/A</v>
      </c>
      <c r="AU903" s="9" t="e">
        <f t="shared" ca="1" si="496"/>
        <v>#N/A</v>
      </c>
      <c r="AW903" s="2" t="e">
        <f t="shared" si="481"/>
        <v>#N/A</v>
      </c>
      <c r="AX903" s="2" t="e">
        <f t="shared" si="482"/>
        <v>#N/A</v>
      </c>
      <c r="AY903" s="2" t="e">
        <f t="shared" si="483"/>
        <v>#N/A</v>
      </c>
      <c r="AZ903" s="2" t="e">
        <f t="shared" si="484"/>
        <v>#N/A</v>
      </c>
      <c r="BA903" s="2" t="e">
        <f t="shared" si="485"/>
        <v>#N/A</v>
      </c>
      <c r="BB903" s="2" t="e">
        <f t="shared" si="486"/>
        <v>#DIV/0!</v>
      </c>
      <c r="BC903" s="9" t="e">
        <f t="shared" ca="1" si="487"/>
        <v>#N/A</v>
      </c>
      <c r="BD903" s="9" t="e">
        <f t="shared" ca="1" si="488"/>
        <v>#N/A</v>
      </c>
    </row>
    <row r="904" spans="1:56" ht="15" x14ac:dyDescent="0.25">
      <c r="A904"/>
      <c r="B904"/>
      <c r="C904"/>
      <c r="D904"/>
      <c r="E904"/>
      <c r="F904"/>
      <c r="G904"/>
      <c r="H904"/>
      <c r="I904"/>
      <c r="J904"/>
      <c r="K904"/>
      <c r="L904" s="64"/>
      <c r="M904" s="64"/>
      <c r="N904" s="16"/>
      <c r="O904" s="11"/>
      <c r="P904" s="11"/>
      <c r="Q904" s="11"/>
      <c r="R904" s="11"/>
      <c r="S904" s="11"/>
      <c r="T904" s="11"/>
      <c r="U904" s="11">
        <f t="shared" si="497"/>
        <v>0</v>
      </c>
      <c r="V904" s="2">
        <f t="shared" si="498"/>
        <v>0</v>
      </c>
      <c r="W904" s="11">
        <f t="shared" si="499"/>
        <v>0</v>
      </c>
      <c r="X904" s="2">
        <f t="shared" si="500"/>
        <v>0</v>
      </c>
      <c r="Y904" s="2">
        <f t="shared" si="501"/>
        <v>0</v>
      </c>
      <c r="Z904" s="11">
        <f t="shared" si="502"/>
        <v>0</v>
      </c>
      <c r="AA904" s="2">
        <f t="shared" si="503"/>
        <v>0</v>
      </c>
      <c r="AB904" s="11">
        <f t="shared" si="504"/>
        <v>0</v>
      </c>
      <c r="AC904" s="2">
        <f t="shared" si="505"/>
        <v>0</v>
      </c>
      <c r="AF904" s="11">
        <f t="shared" si="506"/>
        <v>0</v>
      </c>
      <c r="AG904" s="2">
        <f t="shared" si="507"/>
        <v>0</v>
      </c>
      <c r="AH904" s="2">
        <f t="shared" si="508"/>
        <v>0</v>
      </c>
      <c r="AI904" s="2">
        <f t="shared" si="509"/>
        <v>0</v>
      </c>
      <c r="AJ904" s="2">
        <f t="shared" si="510"/>
        <v>0</v>
      </c>
      <c r="AK904" s="2">
        <f t="shared" si="511"/>
        <v>0</v>
      </c>
      <c r="AL904" s="2">
        <f t="shared" si="512"/>
        <v>0</v>
      </c>
      <c r="AM904" s="11"/>
      <c r="AN904" s="2" t="e">
        <f t="shared" si="489"/>
        <v>#N/A</v>
      </c>
      <c r="AO904" s="2" t="e">
        <f t="shared" si="490"/>
        <v>#N/A</v>
      </c>
      <c r="AP904" s="2" t="e">
        <f t="shared" si="491"/>
        <v>#N/A</v>
      </c>
      <c r="AQ904" s="2" t="e">
        <f t="shared" si="492"/>
        <v>#N/A</v>
      </c>
      <c r="AR904" s="2" t="e">
        <f t="shared" si="493"/>
        <v>#N/A</v>
      </c>
      <c r="AS904" s="2" t="e">
        <f t="shared" si="494"/>
        <v>#DIV/0!</v>
      </c>
      <c r="AT904" s="9" t="e">
        <f t="shared" ca="1" si="495"/>
        <v>#N/A</v>
      </c>
      <c r="AU904" s="9" t="e">
        <f t="shared" ca="1" si="496"/>
        <v>#N/A</v>
      </c>
      <c r="AW904" s="2" t="e">
        <f t="shared" si="481"/>
        <v>#N/A</v>
      </c>
      <c r="AX904" s="2" t="e">
        <f t="shared" si="482"/>
        <v>#N/A</v>
      </c>
      <c r="AY904" s="2" t="e">
        <f t="shared" si="483"/>
        <v>#N/A</v>
      </c>
      <c r="AZ904" s="2" t="e">
        <f t="shared" si="484"/>
        <v>#N/A</v>
      </c>
      <c r="BA904" s="2" t="e">
        <f t="shared" si="485"/>
        <v>#N/A</v>
      </c>
      <c r="BB904" s="2" t="e">
        <f t="shared" si="486"/>
        <v>#DIV/0!</v>
      </c>
      <c r="BC904" s="9" t="e">
        <f t="shared" ca="1" si="487"/>
        <v>#N/A</v>
      </c>
      <c r="BD904" s="9" t="e">
        <f t="shared" ca="1" si="488"/>
        <v>#N/A</v>
      </c>
    </row>
    <row r="905" spans="1:56" ht="15" x14ac:dyDescent="0.25">
      <c r="A905"/>
      <c r="B905"/>
      <c r="C905"/>
      <c r="D905"/>
      <c r="E905"/>
      <c r="F905"/>
      <c r="G905"/>
      <c r="H905"/>
      <c r="I905"/>
      <c r="J905"/>
      <c r="K905"/>
      <c r="L905" s="64"/>
      <c r="M905" s="64"/>
      <c r="N905" s="16"/>
      <c r="O905" s="11"/>
      <c r="P905" s="11"/>
      <c r="Q905" s="11"/>
      <c r="R905" s="11"/>
      <c r="S905" s="11"/>
      <c r="T905" s="11"/>
      <c r="U905" s="11">
        <f t="shared" si="497"/>
        <v>0</v>
      </c>
      <c r="V905" s="2">
        <f t="shared" si="498"/>
        <v>0</v>
      </c>
      <c r="W905" s="11">
        <f t="shared" si="499"/>
        <v>0</v>
      </c>
      <c r="X905" s="2">
        <f t="shared" si="500"/>
        <v>0</v>
      </c>
      <c r="Y905" s="2">
        <f t="shared" si="501"/>
        <v>0</v>
      </c>
      <c r="Z905" s="11">
        <f t="shared" si="502"/>
        <v>0</v>
      </c>
      <c r="AA905" s="2">
        <f t="shared" si="503"/>
        <v>0</v>
      </c>
      <c r="AB905" s="11">
        <f t="shared" si="504"/>
        <v>0</v>
      </c>
      <c r="AC905" s="2">
        <f t="shared" si="505"/>
        <v>0</v>
      </c>
      <c r="AF905" s="11">
        <f t="shared" si="506"/>
        <v>0</v>
      </c>
      <c r="AG905" s="2">
        <f t="shared" si="507"/>
        <v>0</v>
      </c>
      <c r="AH905" s="2">
        <f t="shared" si="508"/>
        <v>0</v>
      </c>
      <c r="AI905" s="2">
        <f t="shared" si="509"/>
        <v>0</v>
      </c>
      <c r="AJ905" s="2">
        <f t="shared" si="510"/>
        <v>0</v>
      </c>
      <c r="AK905" s="2">
        <f t="shared" si="511"/>
        <v>0</v>
      </c>
      <c r="AL905" s="2">
        <f t="shared" si="512"/>
        <v>0</v>
      </c>
      <c r="AM905" s="11"/>
      <c r="AN905" s="2" t="e">
        <f t="shared" si="489"/>
        <v>#N/A</v>
      </c>
      <c r="AO905" s="2" t="e">
        <f t="shared" si="490"/>
        <v>#N/A</v>
      </c>
      <c r="AP905" s="2" t="e">
        <f t="shared" si="491"/>
        <v>#N/A</v>
      </c>
      <c r="AQ905" s="2" t="e">
        <f t="shared" si="492"/>
        <v>#N/A</v>
      </c>
      <c r="AR905" s="2" t="e">
        <f t="shared" si="493"/>
        <v>#N/A</v>
      </c>
      <c r="AS905" s="2" t="e">
        <f t="shared" si="494"/>
        <v>#DIV/0!</v>
      </c>
      <c r="AT905" s="9" t="e">
        <f t="shared" ca="1" si="495"/>
        <v>#N/A</v>
      </c>
      <c r="AU905" s="9" t="e">
        <f t="shared" ca="1" si="496"/>
        <v>#N/A</v>
      </c>
      <c r="AW905" s="2" t="e">
        <f t="shared" si="481"/>
        <v>#N/A</v>
      </c>
      <c r="AX905" s="2" t="e">
        <f t="shared" si="482"/>
        <v>#N/A</v>
      </c>
      <c r="AY905" s="2" t="e">
        <f t="shared" si="483"/>
        <v>#N/A</v>
      </c>
      <c r="AZ905" s="2" t="e">
        <f t="shared" si="484"/>
        <v>#N/A</v>
      </c>
      <c r="BA905" s="2" t="e">
        <f t="shared" si="485"/>
        <v>#N/A</v>
      </c>
      <c r="BB905" s="2" t="e">
        <f t="shared" si="486"/>
        <v>#DIV/0!</v>
      </c>
      <c r="BC905" s="9" t="e">
        <f t="shared" ca="1" si="487"/>
        <v>#N/A</v>
      </c>
      <c r="BD905" s="9" t="e">
        <f t="shared" ca="1" si="488"/>
        <v>#N/A</v>
      </c>
    </row>
    <row r="906" spans="1:56" ht="15" x14ac:dyDescent="0.25">
      <c r="A906"/>
      <c r="B906"/>
      <c r="C906"/>
      <c r="D906"/>
      <c r="E906"/>
      <c r="F906"/>
      <c r="G906"/>
      <c r="H906"/>
      <c r="I906"/>
      <c r="J906"/>
      <c r="K906"/>
      <c r="L906" s="64"/>
      <c r="M906" s="64"/>
      <c r="N906" s="16"/>
      <c r="O906" s="11"/>
      <c r="P906" s="11"/>
      <c r="Q906" s="11"/>
      <c r="R906" s="11"/>
      <c r="S906" s="11"/>
      <c r="T906" s="11"/>
      <c r="U906" s="11">
        <f t="shared" si="497"/>
        <v>0</v>
      </c>
      <c r="V906" s="2">
        <f t="shared" si="498"/>
        <v>0</v>
      </c>
      <c r="W906" s="11">
        <f t="shared" si="499"/>
        <v>0</v>
      </c>
      <c r="X906" s="2">
        <f t="shared" si="500"/>
        <v>0</v>
      </c>
      <c r="Y906" s="2">
        <f t="shared" si="501"/>
        <v>0</v>
      </c>
      <c r="Z906" s="11">
        <f t="shared" si="502"/>
        <v>0</v>
      </c>
      <c r="AA906" s="2">
        <f t="shared" si="503"/>
        <v>0</v>
      </c>
      <c r="AB906" s="11">
        <f t="shared" si="504"/>
        <v>0</v>
      </c>
      <c r="AC906" s="2">
        <f t="shared" si="505"/>
        <v>0</v>
      </c>
      <c r="AF906" s="11">
        <f t="shared" si="506"/>
        <v>0</v>
      </c>
      <c r="AG906" s="2">
        <f t="shared" si="507"/>
        <v>0</v>
      </c>
      <c r="AH906" s="2">
        <f t="shared" si="508"/>
        <v>0</v>
      </c>
      <c r="AI906" s="2">
        <f t="shared" si="509"/>
        <v>0</v>
      </c>
      <c r="AJ906" s="2">
        <f t="shared" si="510"/>
        <v>0</v>
      </c>
      <c r="AK906" s="2">
        <f t="shared" si="511"/>
        <v>0</v>
      </c>
      <c r="AL906" s="2">
        <f t="shared" si="512"/>
        <v>0</v>
      </c>
      <c r="AM906" s="11"/>
      <c r="AN906" s="2" t="e">
        <f t="shared" si="489"/>
        <v>#N/A</v>
      </c>
      <c r="AO906" s="2" t="e">
        <f t="shared" si="490"/>
        <v>#N/A</v>
      </c>
      <c r="AP906" s="2" t="e">
        <f t="shared" si="491"/>
        <v>#N/A</v>
      </c>
      <c r="AQ906" s="2" t="e">
        <f t="shared" si="492"/>
        <v>#N/A</v>
      </c>
      <c r="AR906" s="2" t="e">
        <f t="shared" si="493"/>
        <v>#N/A</v>
      </c>
      <c r="AS906" s="2" t="e">
        <f t="shared" si="494"/>
        <v>#DIV/0!</v>
      </c>
      <c r="AT906" s="9" t="e">
        <f t="shared" ca="1" si="495"/>
        <v>#N/A</v>
      </c>
      <c r="AU906" s="9" t="e">
        <f t="shared" ca="1" si="496"/>
        <v>#N/A</v>
      </c>
      <c r="AW906" s="2" t="e">
        <f t="shared" si="481"/>
        <v>#N/A</v>
      </c>
      <c r="AX906" s="2" t="e">
        <f t="shared" si="482"/>
        <v>#N/A</v>
      </c>
      <c r="AY906" s="2" t="e">
        <f t="shared" si="483"/>
        <v>#N/A</v>
      </c>
      <c r="AZ906" s="2" t="e">
        <f t="shared" si="484"/>
        <v>#N/A</v>
      </c>
      <c r="BA906" s="2" t="e">
        <f t="shared" si="485"/>
        <v>#N/A</v>
      </c>
      <c r="BB906" s="2" t="e">
        <f t="shared" si="486"/>
        <v>#DIV/0!</v>
      </c>
      <c r="BC906" s="9" t="e">
        <f t="shared" ca="1" si="487"/>
        <v>#N/A</v>
      </c>
      <c r="BD906" s="9" t="e">
        <f t="shared" ca="1" si="488"/>
        <v>#N/A</v>
      </c>
    </row>
    <row r="907" spans="1:56" ht="15" x14ac:dyDescent="0.25">
      <c r="A907"/>
      <c r="B907"/>
      <c r="C907"/>
      <c r="D907"/>
      <c r="E907"/>
      <c r="F907"/>
      <c r="G907"/>
      <c r="H907"/>
      <c r="I907"/>
      <c r="J907"/>
      <c r="K907"/>
      <c r="L907" s="64"/>
      <c r="M907" s="64"/>
      <c r="N907" s="16"/>
      <c r="O907" s="11"/>
      <c r="P907" s="11"/>
      <c r="Q907" s="11"/>
      <c r="R907" s="11"/>
      <c r="S907" s="11"/>
      <c r="T907" s="11"/>
      <c r="U907" s="11">
        <f t="shared" si="497"/>
        <v>0</v>
      </c>
      <c r="V907" s="2">
        <f t="shared" si="498"/>
        <v>0</v>
      </c>
      <c r="W907" s="11">
        <f t="shared" si="499"/>
        <v>0</v>
      </c>
      <c r="X907" s="2">
        <f t="shared" si="500"/>
        <v>0</v>
      </c>
      <c r="Y907" s="2">
        <f t="shared" si="501"/>
        <v>0</v>
      </c>
      <c r="Z907" s="11">
        <f t="shared" si="502"/>
        <v>0</v>
      </c>
      <c r="AA907" s="2">
        <f t="shared" si="503"/>
        <v>0</v>
      </c>
      <c r="AB907" s="11">
        <f t="shared" si="504"/>
        <v>0</v>
      </c>
      <c r="AC907" s="2">
        <f t="shared" si="505"/>
        <v>0</v>
      </c>
      <c r="AF907" s="11">
        <f t="shared" si="506"/>
        <v>0</v>
      </c>
      <c r="AG907" s="2">
        <f t="shared" si="507"/>
        <v>0</v>
      </c>
      <c r="AH907" s="2">
        <f t="shared" si="508"/>
        <v>0</v>
      </c>
      <c r="AI907" s="2">
        <f t="shared" si="509"/>
        <v>0</v>
      </c>
      <c r="AJ907" s="2">
        <f t="shared" si="510"/>
        <v>0</v>
      </c>
      <c r="AK907" s="2">
        <f t="shared" si="511"/>
        <v>0</v>
      </c>
      <c r="AL907" s="2">
        <f t="shared" si="512"/>
        <v>0</v>
      </c>
      <c r="AM907" s="11"/>
      <c r="AN907" s="2" t="e">
        <f t="shared" si="489"/>
        <v>#N/A</v>
      </c>
      <c r="AO907" s="2" t="e">
        <f t="shared" si="490"/>
        <v>#N/A</v>
      </c>
      <c r="AP907" s="2" t="e">
        <f t="shared" si="491"/>
        <v>#N/A</v>
      </c>
      <c r="AQ907" s="2" t="e">
        <f t="shared" si="492"/>
        <v>#N/A</v>
      </c>
      <c r="AR907" s="2" t="e">
        <f t="shared" si="493"/>
        <v>#N/A</v>
      </c>
      <c r="AS907" s="2" t="e">
        <f t="shared" si="494"/>
        <v>#DIV/0!</v>
      </c>
      <c r="AT907" s="9" t="e">
        <f t="shared" ca="1" si="495"/>
        <v>#N/A</v>
      </c>
      <c r="AU907" s="9" t="e">
        <f t="shared" ca="1" si="496"/>
        <v>#N/A</v>
      </c>
      <c r="AW907" s="2" t="e">
        <f t="shared" si="481"/>
        <v>#N/A</v>
      </c>
      <c r="AX907" s="2" t="e">
        <f t="shared" si="482"/>
        <v>#N/A</v>
      </c>
      <c r="AY907" s="2" t="e">
        <f t="shared" si="483"/>
        <v>#N/A</v>
      </c>
      <c r="AZ907" s="2" t="e">
        <f t="shared" si="484"/>
        <v>#N/A</v>
      </c>
      <c r="BA907" s="2" t="e">
        <f t="shared" si="485"/>
        <v>#N/A</v>
      </c>
      <c r="BB907" s="2" t="e">
        <f t="shared" si="486"/>
        <v>#DIV/0!</v>
      </c>
      <c r="BC907" s="9" t="e">
        <f t="shared" ca="1" si="487"/>
        <v>#N/A</v>
      </c>
      <c r="BD907" s="9" t="e">
        <f t="shared" ca="1" si="488"/>
        <v>#N/A</v>
      </c>
    </row>
    <row r="908" spans="1:56" ht="15" x14ac:dyDescent="0.25">
      <c r="A908"/>
      <c r="B908"/>
      <c r="C908"/>
      <c r="D908"/>
      <c r="E908"/>
      <c r="F908"/>
      <c r="G908"/>
      <c r="H908"/>
      <c r="I908"/>
      <c r="J908"/>
      <c r="K908"/>
      <c r="L908" s="64"/>
      <c r="M908" s="64"/>
      <c r="N908" s="16"/>
      <c r="O908" s="11"/>
      <c r="P908" s="11"/>
      <c r="Q908" s="11"/>
      <c r="R908" s="11"/>
      <c r="S908" s="11"/>
      <c r="T908" s="11"/>
      <c r="U908" s="11">
        <f t="shared" si="497"/>
        <v>0</v>
      </c>
      <c r="V908" s="2">
        <f t="shared" si="498"/>
        <v>0</v>
      </c>
      <c r="W908" s="11">
        <f t="shared" si="499"/>
        <v>0</v>
      </c>
      <c r="X908" s="2">
        <f t="shared" si="500"/>
        <v>0</v>
      </c>
      <c r="Y908" s="2">
        <f t="shared" si="501"/>
        <v>0</v>
      </c>
      <c r="Z908" s="11">
        <f t="shared" si="502"/>
        <v>0</v>
      </c>
      <c r="AA908" s="2">
        <f t="shared" si="503"/>
        <v>0</v>
      </c>
      <c r="AB908" s="11">
        <f t="shared" si="504"/>
        <v>0</v>
      </c>
      <c r="AC908" s="2">
        <f t="shared" si="505"/>
        <v>0</v>
      </c>
      <c r="AF908" s="11">
        <f t="shared" si="506"/>
        <v>0</v>
      </c>
      <c r="AG908" s="2">
        <f t="shared" si="507"/>
        <v>0</v>
      </c>
      <c r="AH908" s="2">
        <f t="shared" si="508"/>
        <v>0</v>
      </c>
      <c r="AI908" s="2">
        <f t="shared" si="509"/>
        <v>0</v>
      </c>
      <c r="AJ908" s="2">
        <f t="shared" si="510"/>
        <v>0</v>
      </c>
      <c r="AK908" s="2">
        <f t="shared" si="511"/>
        <v>0</v>
      </c>
      <c r="AL908" s="2">
        <f t="shared" si="512"/>
        <v>0</v>
      </c>
      <c r="AM908" s="11"/>
      <c r="AN908" s="2" t="e">
        <f t="shared" si="489"/>
        <v>#N/A</v>
      </c>
      <c r="AO908" s="2" t="e">
        <f t="shared" si="490"/>
        <v>#N/A</v>
      </c>
      <c r="AP908" s="2" t="e">
        <f t="shared" si="491"/>
        <v>#N/A</v>
      </c>
      <c r="AQ908" s="2" t="e">
        <f t="shared" si="492"/>
        <v>#N/A</v>
      </c>
      <c r="AR908" s="2" t="e">
        <f t="shared" si="493"/>
        <v>#N/A</v>
      </c>
      <c r="AS908" s="2" t="e">
        <f t="shared" si="494"/>
        <v>#DIV/0!</v>
      </c>
      <c r="AT908" s="9" t="e">
        <f t="shared" ca="1" si="495"/>
        <v>#N/A</v>
      </c>
      <c r="AU908" s="9" t="e">
        <f t="shared" ca="1" si="496"/>
        <v>#N/A</v>
      </c>
      <c r="AW908" s="2" t="e">
        <f t="shared" si="481"/>
        <v>#N/A</v>
      </c>
      <c r="AX908" s="2" t="e">
        <f t="shared" si="482"/>
        <v>#N/A</v>
      </c>
      <c r="AY908" s="2" t="e">
        <f t="shared" si="483"/>
        <v>#N/A</v>
      </c>
      <c r="AZ908" s="2" t="e">
        <f t="shared" si="484"/>
        <v>#N/A</v>
      </c>
      <c r="BA908" s="2" t="e">
        <f t="shared" si="485"/>
        <v>#N/A</v>
      </c>
      <c r="BB908" s="2" t="e">
        <f t="shared" si="486"/>
        <v>#DIV/0!</v>
      </c>
      <c r="BC908" s="9" t="e">
        <f t="shared" ca="1" si="487"/>
        <v>#N/A</v>
      </c>
      <c r="BD908" s="9" t="e">
        <f t="shared" ca="1" si="488"/>
        <v>#N/A</v>
      </c>
    </row>
    <row r="909" spans="1:56" ht="15" x14ac:dyDescent="0.25">
      <c r="A909"/>
      <c r="B909"/>
      <c r="C909"/>
      <c r="D909"/>
      <c r="E909"/>
      <c r="F909"/>
      <c r="G909"/>
      <c r="H909"/>
      <c r="I909"/>
      <c r="J909"/>
      <c r="K909"/>
      <c r="L909" s="64"/>
      <c r="M909" s="64"/>
      <c r="N909" s="16"/>
      <c r="O909" s="11"/>
      <c r="P909" s="11"/>
      <c r="Q909" s="11"/>
      <c r="R909" s="11"/>
      <c r="S909" s="11"/>
      <c r="T909" s="11"/>
      <c r="U909" s="11">
        <f t="shared" si="497"/>
        <v>0</v>
      </c>
      <c r="V909" s="2">
        <f t="shared" si="498"/>
        <v>0</v>
      </c>
      <c r="W909" s="11">
        <f t="shared" si="499"/>
        <v>0</v>
      </c>
      <c r="X909" s="2">
        <f t="shared" si="500"/>
        <v>0</v>
      </c>
      <c r="Y909" s="2">
        <f t="shared" si="501"/>
        <v>0</v>
      </c>
      <c r="Z909" s="11">
        <f t="shared" si="502"/>
        <v>0</v>
      </c>
      <c r="AA909" s="2">
        <f t="shared" si="503"/>
        <v>0</v>
      </c>
      <c r="AB909" s="11">
        <f t="shared" si="504"/>
        <v>0</v>
      </c>
      <c r="AC909" s="2">
        <f t="shared" si="505"/>
        <v>0</v>
      </c>
      <c r="AF909" s="11">
        <f t="shared" si="506"/>
        <v>0</v>
      </c>
      <c r="AG909" s="2">
        <f t="shared" si="507"/>
        <v>0</v>
      </c>
      <c r="AH909" s="2">
        <f t="shared" si="508"/>
        <v>0</v>
      </c>
      <c r="AI909" s="2">
        <f t="shared" si="509"/>
        <v>0</v>
      </c>
      <c r="AJ909" s="2">
        <f t="shared" si="510"/>
        <v>0</v>
      </c>
      <c r="AK909" s="2">
        <f t="shared" si="511"/>
        <v>0</v>
      </c>
      <c r="AL909" s="2">
        <f t="shared" si="512"/>
        <v>0</v>
      </c>
      <c r="AM909" s="11"/>
      <c r="AN909" s="2" t="e">
        <f t="shared" si="489"/>
        <v>#N/A</v>
      </c>
      <c r="AO909" s="2" t="e">
        <f t="shared" si="490"/>
        <v>#N/A</v>
      </c>
      <c r="AP909" s="2" t="e">
        <f t="shared" si="491"/>
        <v>#N/A</v>
      </c>
      <c r="AQ909" s="2" t="e">
        <f t="shared" si="492"/>
        <v>#N/A</v>
      </c>
      <c r="AR909" s="2" t="e">
        <f t="shared" si="493"/>
        <v>#N/A</v>
      </c>
      <c r="AS909" s="2" t="e">
        <f t="shared" si="494"/>
        <v>#DIV/0!</v>
      </c>
      <c r="AT909" s="9" t="e">
        <f t="shared" ca="1" si="495"/>
        <v>#N/A</v>
      </c>
      <c r="AU909" s="9" t="e">
        <f t="shared" ca="1" si="496"/>
        <v>#N/A</v>
      </c>
      <c r="AW909" s="2" t="e">
        <f t="shared" si="481"/>
        <v>#N/A</v>
      </c>
      <c r="AX909" s="2" t="e">
        <f t="shared" si="482"/>
        <v>#N/A</v>
      </c>
      <c r="AY909" s="2" t="e">
        <f t="shared" si="483"/>
        <v>#N/A</v>
      </c>
      <c r="AZ909" s="2" t="e">
        <f t="shared" si="484"/>
        <v>#N/A</v>
      </c>
      <c r="BA909" s="2" t="e">
        <f t="shared" si="485"/>
        <v>#N/A</v>
      </c>
      <c r="BB909" s="2" t="e">
        <f t="shared" si="486"/>
        <v>#DIV/0!</v>
      </c>
      <c r="BC909" s="9" t="e">
        <f t="shared" ca="1" si="487"/>
        <v>#N/A</v>
      </c>
      <c r="BD909" s="9" t="e">
        <f t="shared" ca="1" si="488"/>
        <v>#N/A</v>
      </c>
    </row>
    <row r="910" spans="1:56" ht="15" x14ac:dyDescent="0.25">
      <c r="A910"/>
      <c r="B910"/>
      <c r="C910"/>
      <c r="D910"/>
      <c r="E910"/>
      <c r="F910"/>
      <c r="G910"/>
      <c r="H910"/>
      <c r="I910"/>
      <c r="J910"/>
      <c r="K910"/>
      <c r="L910" s="64"/>
      <c r="M910" s="64"/>
      <c r="N910" s="16"/>
      <c r="O910" s="11"/>
      <c r="P910" s="11"/>
      <c r="Q910" s="11"/>
      <c r="R910" s="11"/>
      <c r="S910" s="11"/>
      <c r="T910" s="11"/>
      <c r="U910" s="11">
        <f t="shared" si="497"/>
        <v>0</v>
      </c>
      <c r="V910" s="2">
        <f t="shared" si="498"/>
        <v>0</v>
      </c>
      <c r="W910" s="11">
        <f t="shared" si="499"/>
        <v>0</v>
      </c>
      <c r="X910" s="2">
        <f t="shared" si="500"/>
        <v>0</v>
      </c>
      <c r="Y910" s="2">
        <f t="shared" si="501"/>
        <v>0</v>
      </c>
      <c r="Z910" s="11">
        <f t="shared" si="502"/>
        <v>0</v>
      </c>
      <c r="AA910" s="2">
        <f t="shared" si="503"/>
        <v>0</v>
      </c>
      <c r="AB910" s="11">
        <f t="shared" si="504"/>
        <v>0</v>
      </c>
      <c r="AC910" s="2">
        <f t="shared" si="505"/>
        <v>0</v>
      </c>
      <c r="AF910" s="11">
        <f t="shared" si="506"/>
        <v>0</v>
      </c>
      <c r="AG910" s="2">
        <f t="shared" si="507"/>
        <v>0</v>
      </c>
      <c r="AH910" s="2">
        <f t="shared" si="508"/>
        <v>0</v>
      </c>
      <c r="AI910" s="2">
        <f t="shared" si="509"/>
        <v>0</v>
      </c>
      <c r="AJ910" s="2">
        <f t="shared" si="510"/>
        <v>0</v>
      </c>
      <c r="AK910" s="2">
        <f t="shared" si="511"/>
        <v>0</v>
      </c>
      <c r="AL910" s="2">
        <f t="shared" si="512"/>
        <v>0</v>
      </c>
      <c r="AM910" s="11"/>
      <c r="AN910" s="2" t="e">
        <f t="shared" si="489"/>
        <v>#N/A</v>
      </c>
      <c r="AO910" s="2" t="e">
        <f t="shared" si="490"/>
        <v>#N/A</v>
      </c>
      <c r="AP910" s="2" t="e">
        <f t="shared" si="491"/>
        <v>#N/A</v>
      </c>
      <c r="AQ910" s="2" t="e">
        <f t="shared" si="492"/>
        <v>#N/A</v>
      </c>
      <c r="AR910" s="2" t="e">
        <f t="shared" si="493"/>
        <v>#N/A</v>
      </c>
      <c r="AS910" s="2" t="e">
        <f t="shared" si="494"/>
        <v>#DIV/0!</v>
      </c>
      <c r="AT910" s="9" t="e">
        <f t="shared" ca="1" si="495"/>
        <v>#N/A</v>
      </c>
      <c r="AU910" s="9" t="e">
        <f t="shared" ca="1" si="496"/>
        <v>#N/A</v>
      </c>
      <c r="AW910" s="2" t="e">
        <f t="shared" si="481"/>
        <v>#N/A</v>
      </c>
      <c r="AX910" s="2" t="e">
        <f t="shared" si="482"/>
        <v>#N/A</v>
      </c>
      <c r="AY910" s="2" t="e">
        <f t="shared" si="483"/>
        <v>#N/A</v>
      </c>
      <c r="AZ910" s="2" t="e">
        <f t="shared" si="484"/>
        <v>#N/A</v>
      </c>
      <c r="BA910" s="2" t="e">
        <f t="shared" si="485"/>
        <v>#N/A</v>
      </c>
      <c r="BB910" s="2" t="e">
        <f t="shared" si="486"/>
        <v>#DIV/0!</v>
      </c>
      <c r="BC910" s="9" t="e">
        <f t="shared" ca="1" si="487"/>
        <v>#N/A</v>
      </c>
      <c r="BD910" s="9" t="e">
        <f t="shared" ca="1" si="488"/>
        <v>#N/A</v>
      </c>
    </row>
    <row r="911" spans="1:56" ht="15" x14ac:dyDescent="0.25">
      <c r="A911"/>
      <c r="B911"/>
      <c r="C911"/>
      <c r="D911"/>
      <c r="E911"/>
      <c r="F911"/>
      <c r="G911"/>
      <c r="H911"/>
      <c r="I911"/>
      <c r="J911"/>
      <c r="K911"/>
      <c r="L911" s="64"/>
      <c r="M911" s="64"/>
      <c r="N911" s="16"/>
      <c r="O911" s="11"/>
      <c r="P911" s="11"/>
      <c r="Q911" s="11"/>
      <c r="R911" s="11"/>
      <c r="S911" s="11"/>
      <c r="T911" s="11"/>
      <c r="U911" s="11">
        <f t="shared" si="497"/>
        <v>0</v>
      </c>
      <c r="V911" s="2">
        <f t="shared" si="498"/>
        <v>0</v>
      </c>
      <c r="W911" s="11">
        <f t="shared" si="499"/>
        <v>0</v>
      </c>
      <c r="X911" s="2">
        <f t="shared" si="500"/>
        <v>0</v>
      </c>
      <c r="Y911" s="2">
        <f t="shared" si="501"/>
        <v>0</v>
      </c>
      <c r="Z911" s="11">
        <f t="shared" si="502"/>
        <v>0</v>
      </c>
      <c r="AA911" s="2">
        <f t="shared" si="503"/>
        <v>0</v>
      </c>
      <c r="AB911" s="11">
        <f t="shared" si="504"/>
        <v>0</v>
      </c>
      <c r="AC911" s="2">
        <f t="shared" si="505"/>
        <v>0</v>
      </c>
      <c r="AF911" s="11">
        <f t="shared" si="506"/>
        <v>0</v>
      </c>
      <c r="AG911" s="2">
        <f t="shared" si="507"/>
        <v>0</v>
      </c>
      <c r="AH911" s="2">
        <f t="shared" si="508"/>
        <v>0</v>
      </c>
      <c r="AI911" s="2">
        <f t="shared" si="509"/>
        <v>0</v>
      </c>
      <c r="AJ911" s="2">
        <f t="shared" si="510"/>
        <v>0</v>
      </c>
      <c r="AK911" s="2">
        <f t="shared" si="511"/>
        <v>0</v>
      </c>
      <c r="AL911" s="2">
        <f t="shared" si="512"/>
        <v>0</v>
      </c>
      <c r="AM911" s="11"/>
      <c r="AN911" s="2" t="e">
        <f t="shared" si="489"/>
        <v>#N/A</v>
      </c>
      <c r="AO911" s="2" t="e">
        <f t="shared" si="490"/>
        <v>#N/A</v>
      </c>
      <c r="AP911" s="2" t="e">
        <f t="shared" si="491"/>
        <v>#N/A</v>
      </c>
      <c r="AQ911" s="2" t="e">
        <f t="shared" si="492"/>
        <v>#N/A</v>
      </c>
      <c r="AR911" s="2" t="e">
        <f t="shared" si="493"/>
        <v>#N/A</v>
      </c>
      <c r="AS911" s="2" t="e">
        <f t="shared" si="494"/>
        <v>#DIV/0!</v>
      </c>
      <c r="AT911" s="9" t="e">
        <f t="shared" ca="1" si="495"/>
        <v>#N/A</v>
      </c>
      <c r="AU911" s="9" t="e">
        <f t="shared" ca="1" si="496"/>
        <v>#N/A</v>
      </c>
      <c r="AW911" s="2" t="e">
        <f t="shared" si="481"/>
        <v>#N/A</v>
      </c>
      <c r="AX911" s="2" t="e">
        <f t="shared" si="482"/>
        <v>#N/A</v>
      </c>
      <c r="AY911" s="2" t="e">
        <f t="shared" si="483"/>
        <v>#N/A</v>
      </c>
      <c r="AZ911" s="2" t="e">
        <f t="shared" si="484"/>
        <v>#N/A</v>
      </c>
      <c r="BA911" s="2" t="e">
        <f t="shared" si="485"/>
        <v>#N/A</v>
      </c>
      <c r="BB911" s="2" t="e">
        <f t="shared" si="486"/>
        <v>#DIV/0!</v>
      </c>
      <c r="BC911" s="9" t="e">
        <f t="shared" ca="1" si="487"/>
        <v>#N/A</v>
      </c>
      <c r="BD911" s="9" t="e">
        <f t="shared" ca="1" si="488"/>
        <v>#N/A</v>
      </c>
    </row>
    <row r="912" spans="1:56" ht="15" x14ac:dyDescent="0.25">
      <c r="A912"/>
      <c r="B912"/>
      <c r="C912"/>
      <c r="D912"/>
      <c r="E912"/>
      <c r="F912"/>
      <c r="G912"/>
      <c r="H912"/>
      <c r="I912"/>
      <c r="J912"/>
      <c r="K912"/>
      <c r="L912" s="64"/>
      <c r="M912" s="64"/>
      <c r="N912" s="16"/>
      <c r="O912" s="11"/>
      <c r="P912" s="11"/>
      <c r="Q912" s="11"/>
      <c r="R912" s="11"/>
      <c r="S912" s="11"/>
      <c r="T912" s="11"/>
      <c r="U912" s="11">
        <f t="shared" si="497"/>
        <v>0</v>
      </c>
      <c r="V912" s="2">
        <f t="shared" si="498"/>
        <v>0</v>
      </c>
      <c r="W912" s="11">
        <f t="shared" si="499"/>
        <v>0</v>
      </c>
      <c r="X912" s="2">
        <f t="shared" si="500"/>
        <v>0</v>
      </c>
      <c r="Y912" s="2">
        <f t="shared" si="501"/>
        <v>0</v>
      </c>
      <c r="Z912" s="11">
        <f t="shared" si="502"/>
        <v>0</v>
      </c>
      <c r="AA912" s="2">
        <f t="shared" si="503"/>
        <v>0</v>
      </c>
      <c r="AB912" s="11">
        <f t="shared" si="504"/>
        <v>0</v>
      </c>
      <c r="AC912" s="2">
        <f t="shared" si="505"/>
        <v>0</v>
      </c>
      <c r="AF912" s="11">
        <f t="shared" si="506"/>
        <v>0</v>
      </c>
      <c r="AG912" s="2">
        <f t="shared" si="507"/>
        <v>0</v>
      </c>
      <c r="AH912" s="2">
        <f t="shared" si="508"/>
        <v>0</v>
      </c>
      <c r="AI912" s="2">
        <f t="shared" si="509"/>
        <v>0</v>
      </c>
      <c r="AJ912" s="2">
        <f t="shared" si="510"/>
        <v>0</v>
      </c>
      <c r="AK912" s="2">
        <f t="shared" si="511"/>
        <v>0</v>
      </c>
      <c r="AL912" s="2">
        <f t="shared" si="512"/>
        <v>0</v>
      </c>
      <c r="AM912" s="11"/>
      <c r="AN912" s="2" t="e">
        <f t="shared" si="489"/>
        <v>#N/A</v>
      </c>
      <c r="AO912" s="2" t="e">
        <f t="shared" si="490"/>
        <v>#N/A</v>
      </c>
      <c r="AP912" s="2" t="e">
        <f t="shared" si="491"/>
        <v>#N/A</v>
      </c>
      <c r="AQ912" s="2" t="e">
        <f t="shared" si="492"/>
        <v>#N/A</v>
      </c>
      <c r="AR912" s="2" t="e">
        <f t="shared" si="493"/>
        <v>#N/A</v>
      </c>
      <c r="AS912" s="2" t="e">
        <f t="shared" si="494"/>
        <v>#DIV/0!</v>
      </c>
      <c r="AT912" s="9" t="e">
        <f t="shared" ca="1" si="495"/>
        <v>#N/A</v>
      </c>
      <c r="AU912" s="9" t="e">
        <f t="shared" ca="1" si="496"/>
        <v>#N/A</v>
      </c>
      <c r="AW912" s="2" t="e">
        <f t="shared" si="481"/>
        <v>#N/A</v>
      </c>
      <c r="AX912" s="2" t="e">
        <f t="shared" si="482"/>
        <v>#N/A</v>
      </c>
      <c r="AY912" s="2" t="e">
        <f t="shared" si="483"/>
        <v>#N/A</v>
      </c>
      <c r="AZ912" s="2" t="e">
        <f t="shared" si="484"/>
        <v>#N/A</v>
      </c>
      <c r="BA912" s="2" t="e">
        <f t="shared" si="485"/>
        <v>#N/A</v>
      </c>
      <c r="BB912" s="2" t="e">
        <f t="shared" si="486"/>
        <v>#DIV/0!</v>
      </c>
      <c r="BC912" s="9" t="e">
        <f t="shared" ca="1" si="487"/>
        <v>#N/A</v>
      </c>
      <c r="BD912" s="9" t="e">
        <f t="shared" ca="1" si="488"/>
        <v>#N/A</v>
      </c>
    </row>
    <row r="913" spans="1:56" ht="15" x14ac:dyDescent="0.25">
      <c r="A913"/>
      <c r="B913"/>
      <c r="C913"/>
      <c r="D913"/>
      <c r="E913"/>
      <c r="F913"/>
      <c r="G913"/>
      <c r="H913"/>
      <c r="I913"/>
      <c r="J913"/>
      <c r="K913"/>
      <c r="L913" s="64"/>
      <c r="M913" s="64"/>
      <c r="N913" s="16"/>
      <c r="O913" s="11"/>
      <c r="P913" s="11"/>
      <c r="Q913" s="11"/>
      <c r="R913" s="11"/>
      <c r="S913" s="11"/>
      <c r="T913" s="11"/>
      <c r="U913" s="11">
        <f t="shared" si="497"/>
        <v>0</v>
      </c>
      <c r="V913" s="2">
        <f t="shared" si="498"/>
        <v>0</v>
      </c>
      <c r="W913" s="11">
        <f t="shared" si="499"/>
        <v>0</v>
      </c>
      <c r="X913" s="2">
        <f t="shared" si="500"/>
        <v>0</v>
      </c>
      <c r="Y913" s="2">
        <f t="shared" si="501"/>
        <v>0</v>
      </c>
      <c r="Z913" s="11">
        <f t="shared" si="502"/>
        <v>0</v>
      </c>
      <c r="AA913" s="2">
        <f t="shared" si="503"/>
        <v>0</v>
      </c>
      <c r="AB913" s="11">
        <f t="shared" si="504"/>
        <v>0</v>
      </c>
      <c r="AC913" s="2">
        <f t="shared" si="505"/>
        <v>0</v>
      </c>
      <c r="AF913" s="11">
        <f t="shared" si="506"/>
        <v>0</v>
      </c>
      <c r="AG913" s="2">
        <f t="shared" si="507"/>
        <v>0</v>
      </c>
      <c r="AH913" s="2">
        <f t="shared" si="508"/>
        <v>0</v>
      </c>
      <c r="AI913" s="2">
        <f t="shared" si="509"/>
        <v>0</v>
      </c>
      <c r="AJ913" s="2">
        <f t="shared" si="510"/>
        <v>0</v>
      </c>
      <c r="AK913" s="2">
        <f t="shared" si="511"/>
        <v>0</v>
      </c>
      <c r="AL913" s="2">
        <f t="shared" si="512"/>
        <v>0</v>
      </c>
      <c r="AM913" s="11"/>
      <c r="AN913" s="2" t="e">
        <f t="shared" si="489"/>
        <v>#N/A</v>
      </c>
      <c r="AO913" s="2" t="e">
        <f t="shared" si="490"/>
        <v>#N/A</v>
      </c>
      <c r="AP913" s="2" t="e">
        <f t="shared" si="491"/>
        <v>#N/A</v>
      </c>
      <c r="AQ913" s="2" t="e">
        <f t="shared" si="492"/>
        <v>#N/A</v>
      </c>
      <c r="AR913" s="2" t="e">
        <f t="shared" si="493"/>
        <v>#N/A</v>
      </c>
      <c r="AS913" s="2" t="e">
        <f t="shared" si="494"/>
        <v>#DIV/0!</v>
      </c>
      <c r="AT913" s="9" t="e">
        <f t="shared" ca="1" si="495"/>
        <v>#N/A</v>
      </c>
      <c r="AU913" s="9" t="e">
        <f t="shared" ca="1" si="496"/>
        <v>#N/A</v>
      </c>
      <c r="AW913" s="2" t="e">
        <f t="shared" si="481"/>
        <v>#N/A</v>
      </c>
      <c r="AX913" s="2" t="e">
        <f t="shared" si="482"/>
        <v>#N/A</v>
      </c>
      <c r="AY913" s="2" t="e">
        <f t="shared" si="483"/>
        <v>#N/A</v>
      </c>
      <c r="AZ913" s="2" t="e">
        <f t="shared" si="484"/>
        <v>#N/A</v>
      </c>
      <c r="BA913" s="2" t="e">
        <f t="shared" si="485"/>
        <v>#N/A</v>
      </c>
      <c r="BB913" s="2" t="e">
        <f t="shared" si="486"/>
        <v>#DIV/0!</v>
      </c>
      <c r="BC913" s="9" t="e">
        <f t="shared" ca="1" si="487"/>
        <v>#N/A</v>
      </c>
      <c r="BD913" s="9" t="e">
        <f t="shared" ca="1" si="488"/>
        <v>#N/A</v>
      </c>
    </row>
    <row r="914" spans="1:56" ht="15" x14ac:dyDescent="0.25">
      <c r="A914"/>
      <c r="B914"/>
      <c r="C914"/>
      <c r="D914"/>
      <c r="E914"/>
      <c r="F914"/>
      <c r="G914"/>
      <c r="H914"/>
      <c r="I914"/>
      <c r="J914"/>
      <c r="K914"/>
      <c r="L914" s="64"/>
      <c r="M914" s="64"/>
      <c r="N914" s="16"/>
      <c r="O914" s="11"/>
      <c r="P914" s="11"/>
      <c r="Q914" s="11"/>
      <c r="R914" s="11"/>
      <c r="S914" s="11"/>
      <c r="T914" s="11"/>
      <c r="U914" s="11">
        <f t="shared" si="497"/>
        <v>0</v>
      </c>
      <c r="V914" s="2">
        <f t="shared" si="498"/>
        <v>0</v>
      </c>
      <c r="W914" s="11">
        <f t="shared" si="499"/>
        <v>0</v>
      </c>
      <c r="X914" s="2">
        <f t="shared" si="500"/>
        <v>0</v>
      </c>
      <c r="Y914" s="2">
        <f t="shared" si="501"/>
        <v>0</v>
      </c>
      <c r="Z914" s="11">
        <f t="shared" si="502"/>
        <v>0</v>
      </c>
      <c r="AA914" s="2">
        <f t="shared" si="503"/>
        <v>0</v>
      </c>
      <c r="AB914" s="11">
        <f t="shared" si="504"/>
        <v>0</v>
      </c>
      <c r="AC914" s="2">
        <f t="shared" si="505"/>
        <v>0</v>
      </c>
      <c r="AF914" s="11">
        <f t="shared" si="506"/>
        <v>0</v>
      </c>
      <c r="AG914" s="2">
        <f t="shared" si="507"/>
        <v>0</v>
      </c>
      <c r="AH914" s="2">
        <f t="shared" si="508"/>
        <v>0</v>
      </c>
      <c r="AI914" s="2">
        <f t="shared" si="509"/>
        <v>0</v>
      </c>
      <c r="AJ914" s="2">
        <f t="shared" si="510"/>
        <v>0</v>
      </c>
      <c r="AK914" s="2">
        <f t="shared" si="511"/>
        <v>0</v>
      </c>
      <c r="AL914" s="2">
        <f t="shared" si="512"/>
        <v>0</v>
      </c>
      <c r="AM914" s="11"/>
      <c r="AN914" s="2" t="e">
        <f t="shared" si="489"/>
        <v>#N/A</v>
      </c>
      <c r="AO914" s="2" t="e">
        <f t="shared" si="490"/>
        <v>#N/A</v>
      </c>
      <c r="AP914" s="2" t="e">
        <f t="shared" si="491"/>
        <v>#N/A</v>
      </c>
      <c r="AQ914" s="2" t="e">
        <f t="shared" si="492"/>
        <v>#N/A</v>
      </c>
      <c r="AR914" s="2" t="e">
        <f t="shared" si="493"/>
        <v>#N/A</v>
      </c>
      <c r="AS914" s="2" t="e">
        <f t="shared" si="494"/>
        <v>#DIV/0!</v>
      </c>
      <c r="AT914" s="9" t="e">
        <f t="shared" ca="1" si="495"/>
        <v>#N/A</v>
      </c>
      <c r="AU914" s="9" t="e">
        <f t="shared" ca="1" si="496"/>
        <v>#N/A</v>
      </c>
      <c r="AW914" s="2" t="e">
        <f t="shared" si="481"/>
        <v>#N/A</v>
      </c>
      <c r="AX914" s="2" t="e">
        <f t="shared" si="482"/>
        <v>#N/A</v>
      </c>
      <c r="AY914" s="2" t="e">
        <f t="shared" si="483"/>
        <v>#N/A</v>
      </c>
      <c r="AZ914" s="2" t="e">
        <f t="shared" si="484"/>
        <v>#N/A</v>
      </c>
      <c r="BA914" s="2" t="e">
        <f t="shared" si="485"/>
        <v>#N/A</v>
      </c>
      <c r="BB914" s="2" t="e">
        <f t="shared" si="486"/>
        <v>#DIV/0!</v>
      </c>
      <c r="BC914" s="9" t="e">
        <f t="shared" ca="1" si="487"/>
        <v>#N/A</v>
      </c>
      <c r="BD914" s="9" t="e">
        <f t="shared" ca="1" si="488"/>
        <v>#N/A</v>
      </c>
    </row>
    <row r="915" spans="1:56" ht="15" x14ac:dyDescent="0.25">
      <c r="A915"/>
      <c r="B915"/>
      <c r="C915"/>
      <c r="D915"/>
      <c r="E915"/>
      <c r="F915"/>
      <c r="G915"/>
      <c r="H915"/>
      <c r="I915"/>
      <c r="J915"/>
      <c r="K915"/>
      <c r="L915" s="64"/>
      <c r="M915" s="64"/>
      <c r="N915" s="16"/>
      <c r="O915" s="11"/>
      <c r="P915" s="11"/>
      <c r="Q915" s="11"/>
      <c r="R915" s="11"/>
      <c r="S915" s="11"/>
      <c r="T915" s="11"/>
      <c r="U915" s="11">
        <f t="shared" si="497"/>
        <v>0</v>
      </c>
      <c r="V915" s="2">
        <f t="shared" si="498"/>
        <v>0</v>
      </c>
      <c r="W915" s="11">
        <f t="shared" si="499"/>
        <v>0</v>
      </c>
      <c r="X915" s="2">
        <f t="shared" si="500"/>
        <v>0</v>
      </c>
      <c r="Y915" s="2">
        <f t="shared" si="501"/>
        <v>0</v>
      </c>
      <c r="Z915" s="11">
        <f t="shared" si="502"/>
        <v>0</v>
      </c>
      <c r="AA915" s="2">
        <f t="shared" si="503"/>
        <v>0</v>
      </c>
      <c r="AB915" s="11">
        <f t="shared" si="504"/>
        <v>0</v>
      </c>
      <c r="AC915" s="2">
        <f t="shared" si="505"/>
        <v>0</v>
      </c>
      <c r="AF915" s="11">
        <f t="shared" si="506"/>
        <v>0</v>
      </c>
      <c r="AG915" s="2">
        <f t="shared" si="507"/>
        <v>0</v>
      </c>
      <c r="AH915" s="2">
        <f t="shared" si="508"/>
        <v>0</v>
      </c>
      <c r="AI915" s="2">
        <f t="shared" si="509"/>
        <v>0</v>
      </c>
      <c r="AJ915" s="2">
        <f t="shared" si="510"/>
        <v>0</v>
      </c>
      <c r="AK915" s="2">
        <f t="shared" si="511"/>
        <v>0</v>
      </c>
      <c r="AL915" s="2">
        <f t="shared" si="512"/>
        <v>0</v>
      </c>
      <c r="AM915" s="11"/>
      <c r="AN915" s="2" t="e">
        <f t="shared" si="489"/>
        <v>#N/A</v>
      </c>
      <c r="AO915" s="2" t="e">
        <f t="shared" si="490"/>
        <v>#N/A</v>
      </c>
      <c r="AP915" s="2" t="e">
        <f t="shared" si="491"/>
        <v>#N/A</v>
      </c>
      <c r="AQ915" s="2" t="e">
        <f t="shared" si="492"/>
        <v>#N/A</v>
      </c>
      <c r="AR915" s="2" t="e">
        <f t="shared" si="493"/>
        <v>#N/A</v>
      </c>
      <c r="AS915" s="2" t="e">
        <f t="shared" si="494"/>
        <v>#DIV/0!</v>
      </c>
      <c r="AT915" s="9" t="e">
        <f t="shared" ca="1" si="495"/>
        <v>#N/A</v>
      </c>
      <c r="AU915" s="9" t="e">
        <f t="shared" ca="1" si="496"/>
        <v>#N/A</v>
      </c>
      <c r="AW915" s="2" t="e">
        <f t="shared" si="481"/>
        <v>#N/A</v>
      </c>
      <c r="AX915" s="2" t="e">
        <f t="shared" si="482"/>
        <v>#N/A</v>
      </c>
      <c r="AY915" s="2" t="e">
        <f t="shared" si="483"/>
        <v>#N/A</v>
      </c>
      <c r="AZ915" s="2" t="e">
        <f t="shared" si="484"/>
        <v>#N/A</v>
      </c>
      <c r="BA915" s="2" t="e">
        <f t="shared" si="485"/>
        <v>#N/A</v>
      </c>
      <c r="BB915" s="2" t="e">
        <f t="shared" si="486"/>
        <v>#DIV/0!</v>
      </c>
      <c r="BC915" s="9" t="e">
        <f t="shared" ca="1" si="487"/>
        <v>#N/A</v>
      </c>
      <c r="BD915" s="9" t="e">
        <f t="shared" ca="1" si="488"/>
        <v>#N/A</v>
      </c>
    </row>
    <row r="916" spans="1:56" ht="15" x14ac:dyDescent="0.25">
      <c r="A916"/>
      <c r="B916"/>
      <c r="C916"/>
      <c r="D916"/>
      <c r="E916"/>
      <c r="F916"/>
      <c r="G916"/>
      <c r="H916"/>
      <c r="I916"/>
      <c r="J916"/>
      <c r="K916"/>
      <c r="L916" s="64"/>
      <c r="M916" s="64"/>
      <c r="N916" s="16"/>
      <c r="O916" s="11"/>
      <c r="P916" s="11"/>
      <c r="Q916" s="11"/>
      <c r="R916" s="11"/>
      <c r="S916" s="11"/>
      <c r="T916" s="11"/>
      <c r="U916" s="11">
        <f t="shared" si="497"/>
        <v>0</v>
      </c>
      <c r="V916" s="2">
        <f t="shared" si="498"/>
        <v>0</v>
      </c>
      <c r="W916" s="11">
        <f t="shared" si="499"/>
        <v>0</v>
      </c>
      <c r="X916" s="2">
        <f t="shared" si="500"/>
        <v>0</v>
      </c>
      <c r="Y916" s="2">
        <f t="shared" si="501"/>
        <v>0</v>
      </c>
      <c r="Z916" s="11">
        <f t="shared" si="502"/>
        <v>0</v>
      </c>
      <c r="AA916" s="2">
        <f t="shared" si="503"/>
        <v>0</v>
      </c>
      <c r="AB916" s="11">
        <f t="shared" si="504"/>
        <v>0</v>
      </c>
      <c r="AC916" s="2">
        <f t="shared" si="505"/>
        <v>0</v>
      </c>
      <c r="AF916" s="11">
        <f t="shared" si="506"/>
        <v>0</v>
      </c>
      <c r="AG916" s="2">
        <f t="shared" si="507"/>
        <v>0</v>
      </c>
      <c r="AH916" s="2">
        <f t="shared" si="508"/>
        <v>0</v>
      </c>
      <c r="AI916" s="2">
        <f t="shared" si="509"/>
        <v>0</v>
      </c>
      <c r="AJ916" s="2">
        <f t="shared" si="510"/>
        <v>0</v>
      </c>
      <c r="AK916" s="2">
        <f t="shared" si="511"/>
        <v>0</v>
      </c>
      <c r="AL916" s="2">
        <f t="shared" si="512"/>
        <v>0</v>
      </c>
      <c r="AM916" s="11"/>
      <c r="AN916" s="2" t="e">
        <f t="shared" si="489"/>
        <v>#N/A</v>
      </c>
      <c r="AO916" s="2" t="e">
        <f t="shared" si="490"/>
        <v>#N/A</v>
      </c>
      <c r="AP916" s="2" t="e">
        <f t="shared" si="491"/>
        <v>#N/A</v>
      </c>
      <c r="AQ916" s="2" t="e">
        <f t="shared" si="492"/>
        <v>#N/A</v>
      </c>
      <c r="AR916" s="2" t="e">
        <f t="shared" si="493"/>
        <v>#N/A</v>
      </c>
      <c r="AS916" s="2" t="e">
        <f t="shared" si="494"/>
        <v>#DIV/0!</v>
      </c>
      <c r="AT916" s="9" t="e">
        <f t="shared" ca="1" si="495"/>
        <v>#N/A</v>
      </c>
      <c r="AU916" s="9" t="e">
        <f t="shared" ca="1" si="496"/>
        <v>#N/A</v>
      </c>
      <c r="AW916" s="2" t="e">
        <f t="shared" si="481"/>
        <v>#N/A</v>
      </c>
      <c r="AX916" s="2" t="e">
        <f t="shared" si="482"/>
        <v>#N/A</v>
      </c>
      <c r="AY916" s="2" t="e">
        <f t="shared" si="483"/>
        <v>#N/A</v>
      </c>
      <c r="AZ916" s="2" t="e">
        <f t="shared" si="484"/>
        <v>#N/A</v>
      </c>
      <c r="BA916" s="2" t="e">
        <f t="shared" si="485"/>
        <v>#N/A</v>
      </c>
      <c r="BB916" s="2" t="e">
        <f t="shared" si="486"/>
        <v>#DIV/0!</v>
      </c>
      <c r="BC916" s="9" t="e">
        <f t="shared" ca="1" si="487"/>
        <v>#N/A</v>
      </c>
      <c r="BD916" s="9" t="e">
        <f t="shared" ca="1" si="488"/>
        <v>#N/A</v>
      </c>
    </row>
    <row r="917" spans="1:56" ht="15" x14ac:dyDescent="0.25">
      <c r="A917"/>
      <c r="B917"/>
      <c r="C917"/>
      <c r="D917"/>
      <c r="E917"/>
      <c r="F917"/>
      <c r="G917"/>
      <c r="H917"/>
      <c r="I917"/>
      <c r="J917"/>
      <c r="K917"/>
      <c r="L917" s="64"/>
      <c r="M917" s="64"/>
      <c r="N917" s="16"/>
      <c r="O917" s="11"/>
      <c r="P917" s="11"/>
      <c r="Q917" s="11"/>
      <c r="R917" s="11"/>
      <c r="S917" s="11"/>
      <c r="T917" s="11"/>
      <c r="U917" s="11">
        <f t="shared" si="497"/>
        <v>0</v>
      </c>
      <c r="V917" s="2">
        <f t="shared" si="498"/>
        <v>0</v>
      </c>
      <c r="W917" s="11">
        <f t="shared" si="499"/>
        <v>0</v>
      </c>
      <c r="X917" s="2">
        <f t="shared" si="500"/>
        <v>0</v>
      </c>
      <c r="Y917" s="2">
        <f t="shared" si="501"/>
        <v>0</v>
      </c>
      <c r="Z917" s="11">
        <f t="shared" si="502"/>
        <v>0</v>
      </c>
      <c r="AA917" s="2">
        <f t="shared" si="503"/>
        <v>0</v>
      </c>
      <c r="AB917" s="11">
        <f t="shared" si="504"/>
        <v>0</v>
      </c>
      <c r="AC917" s="2">
        <f t="shared" si="505"/>
        <v>0</v>
      </c>
      <c r="AF917" s="11">
        <f t="shared" si="506"/>
        <v>0</v>
      </c>
      <c r="AG917" s="2">
        <f t="shared" si="507"/>
        <v>0</v>
      </c>
      <c r="AH917" s="2">
        <f t="shared" si="508"/>
        <v>0</v>
      </c>
      <c r="AI917" s="2">
        <f t="shared" si="509"/>
        <v>0</v>
      </c>
      <c r="AJ917" s="2">
        <f t="shared" si="510"/>
        <v>0</v>
      </c>
      <c r="AK917" s="2">
        <f t="shared" si="511"/>
        <v>0</v>
      </c>
      <c r="AL917" s="2">
        <f t="shared" si="512"/>
        <v>0</v>
      </c>
      <c r="AM917" s="11"/>
      <c r="AN917" s="2" t="e">
        <f t="shared" si="489"/>
        <v>#N/A</v>
      </c>
      <c r="AO917" s="2" t="e">
        <f t="shared" si="490"/>
        <v>#N/A</v>
      </c>
      <c r="AP917" s="2" t="e">
        <f t="shared" si="491"/>
        <v>#N/A</v>
      </c>
      <c r="AQ917" s="2" t="e">
        <f t="shared" si="492"/>
        <v>#N/A</v>
      </c>
      <c r="AR917" s="2" t="e">
        <f t="shared" si="493"/>
        <v>#N/A</v>
      </c>
      <c r="AS917" s="2" t="e">
        <f t="shared" si="494"/>
        <v>#DIV/0!</v>
      </c>
      <c r="AT917" s="9" t="e">
        <f t="shared" ca="1" si="495"/>
        <v>#N/A</v>
      </c>
      <c r="AU917" s="9" t="e">
        <f t="shared" ca="1" si="496"/>
        <v>#N/A</v>
      </c>
      <c r="AW917" s="2" t="e">
        <f t="shared" si="481"/>
        <v>#N/A</v>
      </c>
      <c r="AX917" s="2" t="e">
        <f t="shared" si="482"/>
        <v>#N/A</v>
      </c>
      <c r="AY917" s="2" t="e">
        <f t="shared" si="483"/>
        <v>#N/A</v>
      </c>
      <c r="AZ917" s="2" t="e">
        <f t="shared" si="484"/>
        <v>#N/A</v>
      </c>
      <c r="BA917" s="2" t="e">
        <f t="shared" si="485"/>
        <v>#N/A</v>
      </c>
      <c r="BB917" s="2" t="e">
        <f t="shared" si="486"/>
        <v>#DIV/0!</v>
      </c>
      <c r="BC917" s="9" t="e">
        <f t="shared" ca="1" si="487"/>
        <v>#N/A</v>
      </c>
      <c r="BD917" s="9" t="e">
        <f t="shared" ca="1" si="488"/>
        <v>#N/A</v>
      </c>
    </row>
    <row r="918" spans="1:56" ht="15" x14ac:dyDescent="0.25">
      <c r="A918"/>
      <c r="B918"/>
      <c r="C918"/>
      <c r="D918"/>
      <c r="E918"/>
      <c r="F918"/>
      <c r="G918"/>
      <c r="H918"/>
      <c r="I918"/>
      <c r="J918"/>
      <c r="K918"/>
      <c r="L918" s="64"/>
      <c r="M918" s="64"/>
      <c r="N918" s="16"/>
      <c r="O918" s="11"/>
      <c r="P918" s="11"/>
      <c r="Q918" s="11"/>
      <c r="R918" s="11"/>
      <c r="S918" s="11"/>
      <c r="T918" s="11"/>
      <c r="U918" s="11">
        <f t="shared" si="497"/>
        <v>0</v>
      </c>
      <c r="V918" s="2">
        <f t="shared" si="498"/>
        <v>0</v>
      </c>
      <c r="W918" s="11">
        <f t="shared" si="499"/>
        <v>0</v>
      </c>
      <c r="X918" s="2">
        <f t="shared" si="500"/>
        <v>0</v>
      </c>
      <c r="Y918" s="2">
        <f t="shared" si="501"/>
        <v>0</v>
      </c>
      <c r="Z918" s="11">
        <f t="shared" si="502"/>
        <v>0</v>
      </c>
      <c r="AA918" s="2">
        <f t="shared" si="503"/>
        <v>0</v>
      </c>
      <c r="AB918" s="11">
        <f t="shared" si="504"/>
        <v>0</v>
      </c>
      <c r="AC918" s="2">
        <f t="shared" si="505"/>
        <v>0</v>
      </c>
      <c r="AF918" s="11">
        <f t="shared" si="506"/>
        <v>0</v>
      </c>
      <c r="AG918" s="2">
        <f t="shared" si="507"/>
        <v>0</v>
      </c>
      <c r="AH918" s="2">
        <f t="shared" si="508"/>
        <v>0</v>
      </c>
      <c r="AI918" s="2">
        <f t="shared" si="509"/>
        <v>0</v>
      </c>
      <c r="AJ918" s="2">
        <f t="shared" si="510"/>
        <v>0</v>
      </c>
      <c r="AK918" s="2">
        <f t="shared" si="511"/>
        <v>0</v>
      </c>
      <c r="AL918" s="2">
        <f t="shared" si="512"/>
        <v>0</v>
      </c>
      <c r="AM918" s="11"/>
      <c r="AN918" s="2" t="e">
        <f t="shared" si="489"/>
        <v>#N/A</v>
      </c>
      <c r="AO918" s="2" t="e">
        <f t="shared" si="490"/>
        <v>#N/A</v>
      </c>
      <c r="AP918" s="2" t="e">
        <f t="shared" si="491"/>
        <v>#N/A</v>
      </c>
      <c r="AQ918" s="2" t="e">
        <f t="shared" si="492"/>
        <v>#N/A</v>
      </c>
      <c r="AR918" s="2" t="e">
        <f t="shared" si="493"/>
        <v>#N/A</v>
      </c>
      <c r="AS918" s="2" t="e">
        <f t="shared" si="494"/>
        <v>#DIV/0!</v>
      </c>
      <c r="AT918" s="9" t="e">
        <f t="shared" ca="1" si="495"/>
        <v>#N/A</v>
      </c>
      <c r="AU918" s="9" t="e">
        <f t="shared" ca="1" si="496"/>
        <v>#N/A</v>
      </c>
      <c r="AW918" s="2" t="e">
        <f t="shared" si="481"/>
        <v>#N/A</v>
      </c>
      <c r="AX918" s="2" t="e">
        <f t="shared" si="482"/>
        <v>#N/A</v>
      </c>
      <c r="AY918" s="2" t="e">
        <f t="shared" si="483"/>
        <v>#N/A</v>
      </c>
      <c r="AZ918" s="2" t="e">
        <f t="shared" si="484"/>
        <v>#N/A</v>
      </c>
      <c r="BA918" s="2" t="e">
        <f t="shared" si="485"/>
        <v>#N/A</v>
      </c>
      <c r="BB918" s="2" t="e">
        <f t="shared" si="486"/>
        <v>#DIV/0!</v>
      </c>
      <c r="BC918" s="9" t="e">
        <f t="shared" ca="1" si="487"/>
        <v>#N/A</v>
      </c>
      <c r="BD918" s="9" t="e">
        <f t="shared" ca="1" si="488"/>
        <v>#N/A</v>
      </c>
    </row>
    <row r="919" spans="1:56" ht="15" x14ac:dyDescent="0.25">
      <c r="A919"/>
      <c r="B919"/>
      <c r="C919"/>
      <c r="D919"/>
      <c r="E919"/>
      <c r="F919"/>
      <c r="G919"/>
      <c r="H919"/>
      <c r="I919"/>
      <c r="J919"/>
      <c r="K919"/>
      <c r="L919" s="64"/>
      <c r="M919" s="64"/>
      <c r="N919" s="16"/>
      <c r="O919" s="11"/>
      <c r="P919" s="11"/>
      <c r="Q919" s="11"/>
      <c r="R919" s="11"/>
      <c r="S919" s="11"/>
      <c r="T919" s="11"/>
      <c r="U919" s="11">
        <f t="shared" si="497"/>
        <v>0</v>
      </c>
      <c r="V919" s="2">
        <f t="shared" si="498"/>
        <v>0</v>
      </c>
      <c r="W919" s="11">
        <f t="shared" si="499"/>
        <v>0</v>
      </c>
      <c r="X919" s="2">
        <f t="shared" si="500"/>
        <v>0</v>
      </c>
      <c r="Y919" s="2">
        <f t="shared" si="501"/>
        <v>0</v>
      </c>
      <c r="Z919" s="11">
        <f t="shared" si="502"/>
        <v>0</v>
      </c>
      <c r="AA919" s="2">
        <f t="shared" si="503"/>
        <v>0</v>
      </c>
      <c r="AB919" s="11">
        <f t="shared" si="504"/>
        <v>0</v>
      </c>
      <c r="AC919" s="2">
        <f t="shared" si="505"/>
        <v>0</v>
      </c>
      <c r="AF919" s="11">
        <f t="shared" si="506"/>
        <v>0</v>
      </c>
      <c r="AG919" s="2">
        <f t="shared" si="507"/>
        <v>0</v>
      </c>
      <c r="AH919" s="2">
        <f t="shared" si="508"/>
        <v>0</v>
      </c>
      <c r="AI919" s="2">
        <f t="shared" si="509"/>
        <v>0</v>
      </c>
      <c r="AJ919" s="2">
        <f t="shared" si="510"/>
        <v>0</v>
      </c>
      <c r="AK919" s="2">
        <f t="shared" si="511"/>
        <v>0</v>
      </c>
      <c r="AL919" s="2">
        <f t="shared" si="512"/>
        <v>0</v>
      </c>
      <c r="AM919" s="11"/>
      <c r="AN919" s="2" t="e">
        <f t="shared" si="489"/>
        <v>#N/A</v>
      </c>
      <c r="AO919" s="2" t="e">
        <f t="shared" si="490"/>
        <v>#N/A</v>
      </c>
      <c r="AP919" s="2" t="e">
        <f t="shared" si="491"/>
        <v>#N/A</v>
      </c>
      <c r="AQ919" s="2" t="e">
        <f t="shared" si="492"/>
        <v>#N/A</v>
      </c>
      <c r="AR919" s="2" t="e">
        <f t="shared" si="493"/>
        <v>#N/A</v>
      </c>
      <c r="AS919" s="2" t="e">
        <f t="shared" si="494"/>
        <v>#DIV/0!</v>
      </c>
      <c r="AT919" s="9" t="e">
        <f t="shared" ca="1" si="495"/>
        <v>#N/A</v>
      </c>
      <c r="AU919" s="9" t="e">
        <f t="shared" ca="1" si="496"/>
        <v>#N/A</v>
      </c>
      <c r="AW919" s="2" t="e">
        <f t="shared" ref="AW919:AW982" si="513">IF(AND(AL919&gt;0, AJ919&gt;0), AL919/AJ919, #N/A)</f>
        <v>#N/A</v>
      </c>
      <c r="AX919" s="2" t="e">
        <f t="shared" ref="AX919:AX982" si="514">$B$8*((AW919/$B$10)^$B$11)</f>
        <v>#N/A</v>
      </c>
      <c r="AY919" s="2" t="e">
        <f t="shared" ref="AY919:AY982" si="515">AX919*AI919</f>
        <v>#N/A</v>
      </c>
      <c r="AZ919" s="2" t="e">
        <f t="shared" ref="AZ919:AZ982" si="516">AK919-AY919</f>
        <v>#N/A</v>
      </c>
      <c r="BA919" s="2" t="e">
        <f t="shared" ref="BA919:BA982" si="517">(AZ919/AJ919)/((AW919/$B$10)^$B$12)</f>
        <v>#N/A</v>
      </c>
      <c r="BB919" s="2" t="e">
        <f t="shared" ref="BB919:BB982" si="518">(AH919/AJ919)/((AW919/$B$10)^$B$13)</f>
        <v>#DIV/0!</v>
      </c>
      <c r="BC919" s="9" t="e">
        <f t="shared" ref="BC919:BC982" ca="1" si="519">IF(AND(BA919&lt;$P$3,BA919&gt;$P$4),BA919,"rejected")</f>
        <v>#N/A</v>
      </c>
      <c r="BD919" s="9" t="e">
        <f t="shared" ref="BD919:BD982" ca="1" si="520">IF(AND(BA919&lt;$P$3,BA919&gt;$P$4),BA919,#N/A)</f>
        <v>#N/A</v>
      </c>
    </row>
    <row r="920" spans="1:56" ht="15" x14ac:dyDescent="0.25">
      <c r="A920"/>
      <c r="B920"/>
      <c r="C920"/>
      <c r="D920"/>
      <c r="E920"/>
      <c r="F920"/>
      <c r="G920"/>
      <c r="H920"/>
      <c r="I920"/>
      <c r="J920"/>
      <c r="K920"/>
      <c r="L920" s="64"/>
      <c r="M920" s="64"/>
      <c r="N920" s="16"/>
      <c r="O920" s="11"/>
      <c r="P920" s="11"/>
      <c r="Q920" s="11"/>
      <c r="R920" s="11"/>
      <c r="S920" s="11"/>
      <c r="T920" s="11"/>
      <c r="U920" s="11">
        <f t="shared" si="497"/>
        <v>0</v>
      </c>
      <c r="V920" s="2">
        <f t="shared" si="498"/>
        <v>0</v>
      </c>
      <c r="W920" s="11">
        <f t="shared" si="499"/>
        <v>0</v>
      </c>
      <c r="X920" s="2">
        <f t="shared" si="500"/>
        <v>0</v>
      </c>
      <c r="Y920" s="2">
        <f t="shared" si="501"/>
        <v>0</v>
      </c>
      <c r="Z920" s="11">
        <f t="shared" si="502"/>
        <v>0</v>
      </c>
      <c r="AA920" s="2">
        <f t="shared" si="503"/>
        <v>0</v>
      </c>
      <c r="AB920" s="11">
        <f t="shared" si="504"/>
        <v>0</v>
      </c>
      <c r="AC920" s="2">
        <f t="shared" si="505"/>
        <v>0</v>
      </c>
      <c r="AF920" s="11">
        <f t="shared" si="506"/>
        <v>0</v>
      </c>
      <c r="AG920" s="2">
        <f t="shared" si="507"/>
        <v>0</v>
      </c>
      <c r="AH920" s="2">
        <f t="shared" si="508"/>
        <v>0</v>
      </c>
      <c r="AI920" s="2">
        <f t="shared" si="509"/>
        <v>0</v>
      </c>
      <c r="AJ920" s="2">
        <f t="shared" si="510"/>
        <v>0</v>
      </c>
      <c r="AK920" s="2">
        <f t="shared" si="511"/>
        <v>0</v>
      </c>
      <c r="AL920" s="2">
        <f t="shared" si="512"/>
        <v>0</v>
      </c>
      <c r="AM920" s="11"/>
      <c r="AN920" s="2" t="e">
        <f t="shared" si="489"/>
        <v>#N/A</v>
      </c>
      <c r="AO920" s="2" t="e">
        <f t="shared" si="490"/>
        <v>#N/A</v>
      </c>
      <c r="AP920" s="2" t="e">
        <f t="shared" si="491"/>
        <v>#N/A</v>
      </c>
      <c r="AQ920" s="2" t="e">
        <f t="shared" si="492"/>
        <v>#N/A</v>
      </c>
      <c r="AR920" s="2" t="e">
        <f t="shared" si="493"/>
        <v>#N/A</v>
      </c>
      <c r="AS920" s="2" t="e">
        <f t="shared" si="494"/>
        <v>#DIV/0!</v>
      </c>
      <c r="AT920" s="9" t="e">
        <f t="shared" ca="1" si="495"/>
        <v>#N/A</v>
      </c>
      <c r="AU920" s="9" t="e">
        <f t="shared" ca="1" si="496"/>
        <v>#N/A</v>
      </c>
      <c r="AW920" s="2" t="e">
        <f t="shared" si="513"/>
        <v>#N/A</v>
      </c>
      <c r="AX920" s="2" t="e">
        <f t="shared" si="514"/>
        <v>#N/A</v>
      </c>
      <c r="AY920" s="2" t="e">
        <f t="shared" si="515"/>
        <v>#N/A</v>
      </c>
      <c r="AZ920" s="2" t="e">
        <f t="shared" si="516"/>
        <v>#N/A</v>
      </c>
      <c r="BA920" s="2" t="e">
        <f t="shared" si="517"/>
        <v>#N/A</v>
      </c>
      <c r="BB920" s="2" t="e">
        <f t="shared" si="518"/>
        <v>#DIV/0!</v>
      </c>
      <c r="BC920" s="9" t="e">
        <f t="shared" ca="1" si="519"/>
        <v>#N/A</v>
      </c>
      <c r="BD920" s="9" t="e">
        <f t="shared" ca="1" si="520"/>
        <v>#N/A</v>
      </c>
    </row>
    <row r="921" spans="1:56" ht="15" x14ac:dyDescent="0.25">
      <c r="A921"/>
      <c r="B921"/>
      <c r="C921"/>
      <c r="D921"/>
      <c r="E921"/>
      <c r="F921"/>
      <c r="G921"/>
      <c r="H921"/>
      <c r="I921"/>
      <c r="J921"/>
      <c r="K921"/>
      <c r="L921" s="64"/>
      <c r="M921" s="64"/>
      <c r="N921" s="16"/>
      <c r="O921" s="11"/>
      <c r="P921" s="11"/>
      <c r="Q921" s="11"/>
      <c r="R921" s="11"/>
      <c r="S921" s="11"/>
      <c r="T921" s="11"/>
      <c r="U921" s="11">
        <f t="shared" si="497"/>
        <v>0</v>
      </c>
      <c r="V921" s="2">
        <f t="shared" si="498"/>
        <v>0</v>
      </c>
      <c r="W921" s="11">
        <f t="shared" si="499"/>
        <v>0</v>
      </c>
      <c r="X921" s="2">
        <f t="shared" si="500"/>
        <v>0</v>
      </c>
      <c r="Y921" s="2">
        <f t="shared" si="501"/>
        <v>0</v>
      </c>
      <c r="Z921" s="11">
        <f t="shared" si="502"/>
        <v>0</v>
      </c>
      <c r="AA921" s="2">
        <f t="shared" si="503"/>
        <v>0</v>
      </c>
      <c r="AB921" s="11">
        <f t="shared" si="504"/>
        <v>0</v>
      </c>
      <c r="AC921" s="2">
        <f t="shared" si="505"/>
        <v>0</v>
      </c>
      <c r="AF921" s="11">
        <f t="shared" si="506"/>
        <v>0</v>
      </c>
      <c r="AG921" s="2">
        <f t="shared" si="507"/>
        <v>0</v>
      </c>
      <c r="AH921" s="2">
        <f t="shared" si="508"/>
        <v>0</v>
      </c>
      <c r="AI921" s="2">
        <f t="shared" si="509"/>
        <v>0</v>
      </c>
      <c r="AJ921" s="2">
        <f t="shared" si="510"/>
        <v>0</v>
      </c>
      <c r="AK921" s="2">
        <f t="shared" si="511"/>
        <v>0</v>
      </c>
      <c r="AL921" s="2">
        <f t="shared" si="512"/>
        <v>0</v>
      </c>
      <c r="AM921" s="11"/>
      <c r="AN921" s="2" t="e">
        <f t="shared" si="489"/>
        <v>#N/A</v>
      </c>
      <c r="AO921" s="2" t="e">
        <f t="shared" si="490"/>
        <v>#N/A</v>
      </c>
      <c r="AP921" s="2" t="e">
        <f t="shared" si="491"/>
        <v>#N/A</v>
      </c>
      <c r="AQ921" s="2" t="e">
        <f t="shared" si="492"/>
        <v>#N/A</v>
      </c>
      <c r="AR921" s="2" t="e">
        <f t="shared" si="493"/>
        <v>#N/A</v>
      </c>
      <c r="AS921" s="2" t="e">
        <f t="shared" si="494"/>
        <v>#DIV/0!</v>
      </c>
      <c r="AT921" s="9" t="e">
        <f t="shared" ca="1" si="495"/>
        <v>#N/A</v>
      </c>
      <c r="AU921" s="9" t="e">
        <f t="shared" ca="1" si="496"/>
        <v>#N/A</v>
      </c>
      <c r="AW921" s="2" t="e">
        <f t="shared" si="513"/>
        <v>#N/A</v>
      </c>
      <c r="AX921" s="2" t="e">
        <f t="shared" si="514"/>
        <v>#N/A</v>
      </c>
      <c r="AY921" s="2" t="e">
        <f t="shared" si="515"/>
        <v>#N/A</v>
      </c>
      <c r="AZ921" s="2" t="e">
        <f t="shared" si="516"/>
        <v>#N/A</v>
      </c>
      <c r="BA921" s="2" t="e">
        <f t="shared" si="517"/>
        <v>#N/A</v>
      </c>
      <c r="BB921" s="2" t="e">
        <f t="shared" si="518"/>
        <v>#DIV/0!</v>
      </c>
      <c r="BC921" s="9" t="e">
        <f t="shared" ca="1" si="519"/>
        <v>#N/A</v>
      </c>
      <c r="BD921" s="9" t="e">
        <f t="shared" ca="1" si="520"/>
        <v>#N/A</v>
      </c>
    </row>
    <row r="922" spans="1:56" ht="15" x14ac:dyDescent="0.25">
      <c r="A922"/>
      <c r="B922"/>
      <c r="C922"/>
      <c r="D922"/>
      <c r="E922"/>
      <c r="F922"/>
      <c r="G922"/>
      <c r="H922"/>
      <c r="I922"/>
      <c r="J922"/>
      <c r="K922"/>
      <c r="L922" s="64"/>
      <c r="M922" s="64"/>
      <c r="N922" s="16"/>
      <c r="O922" s="11"/>
      <c r="P922" s="11"/>
      <c r="Q922" s="11"/>
      <c r="R922" s="11"/>
      <c r="S922" s="11"/>
      <c r="T922" s="11"/>
      <c r="U922" s="11">
        <f t="shared" si="497"/>
        <v>0</v>
      </c>
      <c r="V922" s="2">
        <f t="shared" si="498"/>
        <v>0</v>
      </c>
      <c r="W922" s="11">
        <f t="shared" si="499"/>
        <v>0</v>
      </c>
      <c r="X922" s="2">
        <f t="shared" si="500"/>
        <v>0</v>
      </c>
      <c r="Y922" s="2">
        <f t="shared" si="501"/>
        <v>0</v>
      </c>
      <c r="Z922" s="11">
        <f t="shared" si="502"/>
        <v>0</v>
      </c>
      <c r="AA922" s="2">
        <f t="shared" si="503"/>
        <v>0</v>
      </c>
      <c r="AB922" s="11">
        <f t="shared" si="504"/>
        <v>0</v>
      </c>
      <c r="AC922" s="2">
        <f t="shared" si="505"/>
        <v>0</v>
      </c>
      <c r="AF922" s="11">
        <f t="shared" si="506"/>
        <v>0</v>
      </c>
      <c r="AG922" s="2">
        <f t="shared" si="507"/>
        <v>0</v>
      </c>
      <c r="AH922" s="2">
        <f t="shared" si="508"/>
        <v>0</v>
      </c>
      <c r="AI922" s="2">
        <f t="shared" si="509"/>
        <v>0</v>
      </c>
      <c r="AJ922" s="2">
        <f t="shared" si="510"/>
        <v>0</v>
      </c>
      <c r="AK922" s="2">
        <f t="shared" si="511"/>
        <v>0</v>
      </c>
      <c r="AL922" s="2">
        <f t="shared" si="512"/>
        <v>0</v>
      </c>
      <c r="AM922" s="11"/>
      <c r="AN922" s="2" t="e">
        <f t="shared" si="489"/>
        <v>#N/A</v>
      </c>
      <c r="AO922" s="2" t="e">
        <f t="shared" si="490"/>
        <v>#N/A</v>
      </c>
      <c r="AP922" s="2" t="e">
        <f t="shared" si="491"/>
        <v>#N/A</v>
      </c>
      <c r="AQ922" s="2" t="e">
        <f t="shared" si="492"/>
        <v>#N/A</v>
      </c>
      <c r="AR922" s="2" t="e">
        <f t="shared" si="493"/>
        <v>#N/A</v>
      </c>
      <c r="AS922" s="2" t="e">
        <f t="shared" si="494"/>
        <v>#DIV/0!</v>
      </c>
      <c r="AT922" s="9" t="e">
        <f t="shared" ca="1" si="495"/>
        <v>#N/A</v>
      </c>
      <c r="AU922" s="9" t="e">
        <f t="shared" ca="1" si="496"/>
        <v>#N/A</v>
      </c>
      <c r="AW922" s="2" t="e">
        <f t="shared" si="513"/>
        <v>#N/A</v>
      </c>
      <c r="AX922" s="2" t="e">
        <f t="shared" si="514"/>
        <v>#N/A</v>
      </c>
      <c r="AY922" s="2" t="e">
        <f t="shared" si="515"/>
        <v>#N/A</v>
      </c>
      <c r="AZ922" s="2" t="e">
        <f t="shared" si="516"/>
        <v>#N/A</v>
      </c>
      <c r="BA922" s="2" t="e">
        <f t="shared" si="517"/>
        <v>#N/A</v>
      </c>
      <c r="BB922" s="2" t="e">
        <f t="shared" si="518"/>
        <v>#DIV/0!</v>
      </c>
      <c r="BC922" s="9" t="e">
        <f t="shared" ca="1" si="519"/>
        <v>#N/A</v>
      </c>
      <c r="BD922" s="9" t="e">
        <f t="shared" ca="1" si="520"/>
        <v>#N/A</v>
      </c>
    </row>
    <row r="923" spans="1:56" ht="15" x14ac:dyDescent="0.25">
      <c r="A923"/>
      <c r="B923"/>
      <c r="C923"/>
      <c r="D923"/>
      <c r="E923"/>
      <c r="F923"/>
      <c r="G923"/>
      <c r="H923"/>
      <c r="I923"/>
      <c r="J923"/>
      <c r="K923"/>
      <c r="L923" s="64"/>
      <c r="M923" s="64"/>
      <c r="N923" s="16"/>
      <c r="O923" s="11"/>
      <c r="P923" s="11"/>
      <c r="Q923" s="11"/>
      <c r="R923" s="11"/>
      <c r="S923" s="11"/>
      <c r="T923" s="11"/>
      <c r="U923" s="11">
        <f t="shared" si="497"/>
        <v>0</v>
      </c>
      <c r="V923" s="2">
        <f t="shared" si="498"/>
        <v>0</v>
      </c>
      <c r="W923" s="11">
        <f t="shared" si="499"/>
        <v>0</v>
      </c>
      <c r="X923" s="2">
        <f t="shared" si="500"/>
        <v>0</v>
      </c>
      <c r="Y923" s="2">
        <f t="shared" si="501"/>
        <v>0</v>
      </c>
      <c r="Z923" s="11">
        <f t="shared" si="502"/>
        <v>0</v>
      </c>
      <c r="AA923" s="2">
        <f t="shared" si="503"/>
        <v>0</v>
      </c>
      <c r="AB923" s="11">
        <f t="shared" si="504"/>
        <v>0</v>
      </c>
      <c r="AC923" s="2">
        <f t="shared" si="505"/>
        <v>0</v>
      </c>
      <c r="AF923" s="11">
        <f t="shared" si="506"/>
        <v>0</v>
      </c>
      <c r="AG923" s="2">
        <f t="shared" si="507"/>
        <v>0</v>
      </c>
      <c r="AH923" s="2">
        <f t="shared" si="508"/>
        <v>0</v>
      </c>
      <c r="AI923" s="2">
        <f t="shared" si="509"/>
        <v>0</v>
      </c>
      <c r="AJ923" s="2">
        <f t="shared" si="510"/>
        <v>0</v>
      </c>
      <c r="AK923" s="2">
        <f t="shared" si="511"/>
        <v>0</v>
      </c>
      <c r="AL923" s="2">
        <f t="shared" si="512"/>
        <v>0</v>
      </c>
      <c r="AM923" s="11"/>
      <c r="AN923" s="2" t="e">
        <f t="shared" ref="AN923:AN986" si="521">IF(AND(S923&gt;0,U923&gt;0),U923/S923, #N/A)</f>
        <v>#N/A</v>
      </c>
      <c r="AO923" s="2" t="e">
        <f t="shared" ref="AO923:AO986" si="522">$B$8*((AN923/$B$10)^$B$11)</f>
        <v>#N/A</v>
      </c>
      <c r="AP923" s="2" t="e">
        <f t="shared" ref="AP923:AP986" si="523">AO923*R923</f>
        <v>#N/A</v>
      </c>
      <c r="AQ923" s="2" t="e">
        <f t="shared" ref="AQ923:AQ986" si="524">T923-AP923</f>
        <v>#N/A</v>
      </c>
      <c r="AR923" s="2" t="e">
        <f t="shared" ref="AR923:AR986" si="525">(AQ923/S923)/((AN923/$B$10)^$B$12)</f>
        <v>#N/A</v>
      </c>
      <c r="AS923" s="2" t="e">
        <f t="shared" ref="AS923:AS986" si="526">(Q923/S923)/((AN923/$B$10)^$B$13)</f>
        <v>#DIV/0!</v>
      </c>
      <c r="AT923" s="9" t="e">
        <f t="shared" ref="AT923:AT986" ca="1" si="527">IF(AND(AR923&lt;$M$3,AR923&gt;$M$4),AR923,"rejected")</f>
        <v>#N/A</v>
      </c>
      <c r="AU923" s="9" t="e">
        <f t="shared" ref="AU923:AU986" ca="1" si="528">IF(AND(AR923&lt;$M$3,AR923&gt;$M$4),AR923,#N/A)</f>
        <v>#N/A</v>
      </c>
      <c r="AW923" s="2" t="e">
        <f t="shared" si="513"/>
        <v>#N/A</v>
      </c>
      <c r="AX923" s="2" t="e">
        <f t="shared" si="514"/>
        <v>#N/A</v>
      </c>
      <c r="AY923" s="2" t="e">
        <f t="shared" si="515"/>
        <v>#N/A</v>
      </c>
      <c r="AZ923" s="2" t="e">
        <f t="shared" si="516"/>
        <v>#N/A</v>
      </c>
      <c r="BA923" s="2" t="e">
        <f t="shared" si="517"/>
        <v>#N/A</v>
      </c>
      <c r="BB923" s="2" t="e">
        <f t="shared" si="518"/>
        <v>#DIV/0!</v>
      </c>
      <c r="BC923" s="9" t="e">
        <f t="shared" ca="1" si="519"/>
        <v>#N/A</v>
      </c>
      <c r="BD923" s="9" t="e">
        <f t="shared" ca="1" si="520"/>
        <v>#N/A</v>
      </c>
    </row>
    <row r="924" spans="1:56" ht="15" x14ac:dyDescent="0.25">
      <c r="A924"/>
      <c r="B924"/>
      <c r="C924"/>
      <c r="D924"/>
      <c r="E924"/>
      <c r="F924"/>
      <c r="G924"/>
      <c r="H924"/>
      <c r="I924"/>
      <c r="J924"/>
      <c r="K924"/>
      <c r="L924" s="64"/>
      <c r="M924" s="64"/>
      <c r="N924" s="16"/>
      <c r="O924" s="11"/>
      <c r="P924" s="11"/>
      <c r="Q924" s="11"/>
      <c r="R924" s="11"/>
      <c r="S924" s="11"/>
      <c r="T924" s="11"/>
      <c r="U924" s="11">
        <f t="shared" si="497"/>
        <v>0</v>
      </c>
      <c r="V924" s="2">
        <f t="shared" si="498"/>
        <v>0</v>
      </c>
      <c r="W924" s="11">
        <f t="shared" si="499"/>
        <v>0</v>
      </c>
      <c r="X924" s="2">
        <f t="shared" si="500"/>
        <v>0</v>
      </c>
      <c r="Y924" s="2">
        <f t="shared" si="501"/>
        <v>0</v>
      </c>
      <c r="Z924" s="11">
        <f t="shared" si="502"/>
        <v>0</v>
      </c>
      <c r="AA924" s="2">
        <f t="shared" si="503"/>
        <v>0</v>
      </c>
      <c r="AB924" s="11">
        <f t="shared" si="504"/>
        <v>0</v>
      </c>
      <c r="AC924" s="2">
        <f t="shared" si="505"/>
        <v>0</v>
      </c>
      <c r="AF924" s="11">
        <f t="shared" si="506"/>
        <v>0</v>
      </c>
      <c r="AG924" s="2">
        <f t="shared" si="507"/>
        <v>0</v>
      </c>
      <c r="AH924" s="2">
        <f t="shared" si="508"/>
        <v>0</v>
      </c>
      <c r="AI924" s="2">
        <f t="shared" si="509"/>
        <v>0</v>
      </c>
      <c r="AJ924" s="2">
        <f t="shared" si="510"/>
        <v>0</v>
      </c>
      <c r="AK924" s="2">
        <f t="shared" si="511"/>
        <v>0</v>
      </c>
      <c r="AL924" s="2">
        <f t="shared" si="512"/>
        <v>0</v>
      </c>
      <c r="AM924" s="11"/>
      <c r="AN924" s="2" t="e">
        <f t="shared" si="521"/>
        <v>#N/A</v>
      </c>
      <c r="AO924" s="2" t="e">
        <f t="shared" si="522"/>
        <v>#N/A</v>
      </c>
      <c r="AP924" s="2" t="e">
        <f t="shared" si="523"/>
        <v>#N/A</v>
      </c>
      <c r="AQ924" s="2" t="e">
        <f t="shared" si="524"/>
        <v>#N/A</v>
      </c>
      <c r="AR924" s="2" t="e">
        <f t="shared" si="525"/>
        <v>#N/A</v>
      </c>
      <c r="AS924" s="2" t="e">
        <f t="shared" si="526"/>
        <v>#DIV/0!</v>
      </c>
      <c r="AT924" s="9" t="e">
        <f t="shared" ca="1" si="527"/>
        <v>#N/A</v>
      </c>
      <c r="AU924" s="9" t="e">
        <f t="shared" ca="1" si="528"/>
        <v>#N/A</v>
      </c>
      <c r="AW924" s="2" t="e">
        <f t="shared" si="513"/>
        <v>#N/A</v>
      </c>
      <c r="AX924" s="2" t="e">
        <f t="shared" si="514"/>
        <v>#N/A</v>
      </c>
      <c r="AY924" s="2" t="e">
        <f t="shared" si="515"/>
        <v>#N/A</v>
      </c>
      <c r="AZ924" s="2" t="e">
        <f t="shared" si="516"/>
        <v>#N/A</v>
      </c>
      <c r="BA924" s="2" t="e">
        <f t="shared" si="517"/>
        <v>#N/A</v>
      </c>
      <c r="BB924" s="2" t="e">
        <f t="shared" si="518"/>
        <v>#DIV/0!</v>
      </c>
      <c r="BC924" s="9" t="e">
        <f t="shared" ca="1" si="519"/>
        <v>#N/A</v>
      </c>
      <c r="BD924" s="9" t="e">
        <f t="shared" ca="1" si="520"/>
        <v>#N/A</v>
      </c>
    </row>
    <row r="925" spans="1:56" ht="15" x14ac:dyDescent="0.25">
      <c r="A925"/>
      <c r="B925"/>
      <c r="C925"/>
      <c r="D925"/>
      <c r="E925"/>
      <c r="F925"/>
      <c r="G925"/>
      <c r="H925"/>
      <c r="I925"/>
      <c r="J925"/>
      <c r="K925"/>
      <c r="L925" s="64"/>
      <c r="M925" s="64"/>
      <c r="N925" s="16"/>
      <c r="O925" s="11"/>
      <c r="P925" s="11"/>
      <c r="Q925" s="11"/>
      <c r="R925" s="11"/>
      <c r="S925" s="11"/>
      <c r="T925" s="11"/>
      <c r="U925" s="11">
        <f t="shared" si="497"/>
        <v>0</v>
      </c>
      <c r="V925" s="2">
        <f t="shared" si="498"/>
        <v>0</v>
      </c>
      <c r="W925" s="11">
        <f t="shared" si="499"/>
        <v>0</v>
      </c>
      <c r="X925" s="2">
        <f t="shared" si="500"/>
        <v>0</v>
      </c>
      <c r="Y925" s="2">
        <f t="shared" si="501"/>
        <v>0</v>
      </c>
      <c r="Z925" s="11">
        <f t="shared" si="502"/>
        <v>0</v>
      </c>
      <c r="AA925" s="2">
        <f t="shared" si="503"/>
        <v>0</v>
      </c>
      <c r="AB925" s="11">
        <f t="shared" si="504"/>
        <v>0</v>
      </c>
      <c r="AC925" s="2">
        <f t="shared" si="505"/>
        <v>0</v>
      </c>
      <c r="AF925" s="11">
        <f t="shared" si="506"/>
        <v>0</v>
      </c>
      <c r="AG925" s="2">
        <f t="shared" si="507"/>
        <v>0</v>
      </c>
      <c r="AH925" s="2">
        <f t="shared" si="508"/>
        <v>0</v>
      </c>
      <c r="AI925" s="2">
        <f t="shared" si="509"/>
        <v>0</v>
      </c>
      <c r="AJ925" s="2">
        <f t="shared" si="510"/>
        <v>0</v>
      </c>
      <c r="AK925" s="2">
        <f t="shared" si="511"/>
        <v>0</v>
      </c>
      <c r="AL925" s="2">
        <f t="shared" si="512"/>
        <v>0</v>
      </c>
      <c r="AM925" s="11"/>
      <c r="AN925" s="2" t="e">
        <f t="shared" si="521"/>
        <v>#N/A</v>
      </c>
      <c r="AO925" s="2" t="e">
        <f t="shared" si="522"/>
        <v>#N/A</v>
      </c>
      <c r="AP925" s="2" t="e">
        <f t="shared" si="523"/>
        <v>#N/A</v>
      </c>
      <c r="AQ925" s="2" t="e">
        <f t="shared" si="524"/>
        <v>#N/A</v>
      </c>
      <c r="AR925" s="2" t="e">
        <f t="shared" si="525"/>
        <v>#N/A</v>
      </c>
      <c r="AS925" s="2" t="e">
        <f t="shared" si="526"/>
        <v>#DIV/0!</v>
      </c>
      <c r="AT925" s="9" t="e">
        <f t="shared" ca="1" si="527"/>
        <v>#N/A</v>
      </c>
      <c r="AU925" s="9" t="e">
        <f t="shared" ca="1" si="528"/>
        <v>#N/A</v>
      </c>
      <c r="AW925" s="2" t="e">
        <f t="shared" si="513"/>
        <v>#N/A</v>
      </c>
      <c r="AX925" s="2" t="e">
        <f t="shared" si="514"/>
        <v>#N/A</v>
      </c>
      <c r="AY925" s="2" t="e">
        <f t="shared" si="515"/>
        <v>#N/A</v>
      </c>
      <c r="AZ925" s="2" t="e">
        <f t="shared" si="516"/>
        <v>#N/A</v>
      </c>
      <c r="BA925" s="2" t="e">
        <f t="shared" si="517"/>
        <v>#N/A</v>
      </c>
      <c r="BB925" s="2" t="e">
        <f t="shared" si="518"/>
        <v>#DIV/0!</v>
      </c>
      <c r="BC925" s="9" t="e">
        <f t="shared" ca="1" si="519"/>
        <v>#N/A</v>
      </c>
      <c r="BD925" s="9" t="e">
        <f t="shared" ca="1" si="520"/>
        <v>#N/A</v>
      </c>
    </row>
    <row r="926" spans="1:56" ht="15" x14ac:dyDescent="0.25">
      <c r="A926"/>
      <c r="B926"/>
      <c r="C926"/>
      <c r="D926"/>
      <c r="E926"/>
      <c r="F926"/>
      <c r="G926"/>
      <c r="H926"/>
      <c r="I926"/>
      <c r="J926"/>
      <c r="K926"/>
      <c r="L926" s="64"/>
      <c r="M926" s="64"/>
      <c r="N926" s="16"/>
      <c r="O926" s="11"/>
      <c r="P926" s="11"/>
      <c r="Q926" s="11"/>
      <c r="R926" s="11"/>
      <c r="S926" s="11"/>
      <c r="T926" s="11"/>
      <c r="U926" s="11">
        <f t="shared" si="497"/>
        <v>0</v>
      </c>
      <c r="V926" s="2">
        <f t="shared" si="498"/>
        <v>0</v>
      </c>
      <c r="W926" s="11">
        <f t="shared" si="499"/>
        <v>0</v>
      </c>
      <c r="X926" s="2">
        <f t="shared" si="500"/>
        <v>0</v>
      </c>
      <c r="Y926" s="2">
        <f t="shared" si="501"/>
        <v>0</v>
      </c>
      <c r="Z926" s="11">
        <f t="shared" si="502"/>
        <v>0</v>
      </c>
      <c r="AA926" s="2">
        <f t="shared" si="503"/>
        <v>0</v>
      </c>
      <c r="AB926" s="11">
        <f t="shared" si="504"/>
        <v>0</v>
      </c>
      <c r="AC926" s="2">
        <f t="shared" si="505"/>
        <v>0</v>
      </c>
      <c r="AF926" s="11">
        <f t="shared" si="506"/>
        <v>0</v>
      </c>
      <c r="AG926" s="2">
        <f t="shared" si="507"/>
        <v>0</v>
      </c>
      <c r="AH926" s="2">
        <f t="shared" si="508"/>
        <v>0</v>
      </c>
      <c r="AI926" s="2">
        <f t="shared" si="509"/>
        <v>0</v>
      </c>
      <c r="AJ926" s="2">
        <f t="shared" si="510"/>
        <v>0</v>
      </c>
      <c r="AK926" s="2">
        <f t="shared" si="511"/>
        <v>0</v>
      </c>
      <c r="AL926" s="2">
        <f t="shared" si="512"/>
        <v>0</v>
      </c>
      <c r="AM926" s="11"/>
      <c r="AN926" s="2" t="e">
        <f t="shared" si="521"/>
        <v>#N/A</v>
      </c>
      <c r="AO926" s="2" t="e">
        <f t="shared" si="522"/>
        <v>#N/A</v>
      </c>
      <c r="AP926" s="2" t="e">
        <f t="shared" si="523"/>
        <v>#N/A</v>
      </c>
      <c r="AQ926" s="2" t="e">
        <f t="shared" si="524"/>
        <v>#N/A</v>
      </c>
      <c r="AR926" s="2" t="e">
        <f t="shared" si="525"/>
        <v>#N/A</v>
      </c>
      <c r="AS926" s="2" t="e">
        <f t="shared" si="526"/>
        <v>#DIV/0!</v>
      </c>
      <c r="AT926" s="9" t="e">
        <f t="shared" ca="1" si="527"/>
        <v>#N/A</v>
      </c>
      <c r="AU926" s="9" t="e">
        <f t="shared" ca="1" si="528"/>
        <v>#N/A</v>
      </c>
      <c r="AW926" s="2" t="e">
        <f t="shared" si="513"/>
        <v>#N/A</v>
      </c>
      <c r="AX926" s="2" t="e">
        <f t="shared" si="514"/>
        <v>#N/A</v>
      </c>
      <c r="AY926" s="2" t="e">
        <f t="shared" si="515"/>
        <v>#N/A</v>
      </c>
      <c r="AZ926" s="2" t="e">
        <f t="shared" si="516"/>
        <v>#N/A</v>
      </c>
      <c r="BA926" s="2" t="e">
        <f t="shared" si="517"/>
        <v>#N/A</v>
      </c>
      <c r="BB926" s="2" t="e">
        <f t="shared" si="518"/>
        <v>#DIV/0!</v>
      </c>
      <c r="BC926" s="9" t="e">
        <f t="shared" ca="1" si="519"/>
        <v>#N/A</v>
      </c>
      <c r="BD926" s="9" t="e">
        <f t="shared" ca="1" si="520"/>
        <v>#N/A</v>
      </c>
    </row>
    <row r="927" spans="1:56" ht="15" x14ac:dyDescent="0.25">
      <c r="A927"/>
      <c r="B927"/>
      <c r="C927"/>
      <c r="D927"/>
      <c r="E927"/>
      <c r="F927"/>
      <c r="G927"/>
      <c r="H927"/>
      <c r="I927"/>
      <c r="J927"/>
      <c r="K927"/>
      <c r="L927" s="64"/>
      <c r="M927" s="64"/>
      <c r="N927" s="16"/>
      <c r="O927" s="11"/>
      <c r="P927" s="11"/>
      <c r="Q927" s="11"/>
      <c r="R927" s="11"/>
      <c r="S927" s="11"/>
      <c r="T927" s="11"/>
      <c r="U927" s="11">
        <f t="shared" si="497"/>
        <v>0</v>
      </c>
      <c r="V927" s="2">
        <f t="shared" si="498"/>
        <v>0</v>
      </c>
      <c r="W927" s="11">
        <f t="shared" si="499"/>
        <v>0</v>
      </c>
      <c r="X927" s="2">
        <f t="shared" si="500"/>
        <v>0</v>
      </c>
      <c r="Y927" s="2">
        <f t="shared" si="501"/>
        <v>0</v>
      </c>
      <c r="Z927" s="11">
        <f t="shared" si="502"/>
        <v>0</v>
      </c>
      <c r="AA927" s="2">
        <f t="shared" si="503"/>
        <v>0</v>
      </c>
      <c r="AB927" s="11">
        <f t="shared" si="504"/>
        <v>0</v>
      </c>
      <c r="AC927" s="2">
        <f t="shared" si="505"/>
        <v>0</v>
      </c>
      <c r="AF927" s="11">
        <f t="shared" si="506"/>
        <v>0</v>
      </c>
      <c r="AG927" s="2">
        <f t="shared" si="507"/>
        <v>0</v>
      </c>
      <c r="AH927" s="2">
        <f t="shared" si="508"/>
        <v>0</v>
      </c>
      <c r="AI927" s="2">
        <f t="shared" si="509"/>
        <v>0</v>
      </c>
      <c r="AJ927" s="2">
        <f t="shared" si="510"/>
        <v>0</v>
      </c>
      <c r="AK927" s="2">
        <f t="shared" si="511"/>
        <v>0</v>
      </c>
      <c r="AL927" s="2">
        <f t="shared" si="512"/>
        <v>0</v>
      </c>
      <c r="AM927" s="11"/>
      <c r="AN927" s="2" t="e">
        <f t="shared" si="521"/>
        <v>#N/A</v>
      </c>
      <c r="AO927" s="2" t="e">
        <f t="shared" si="522"/>
        <v>#N/A</v>
      </c>
      <c r="AP927" s="2" t="e">
        <f t="shared" si="523"/>
        <v>#N/A</v>
      </c>
      <c r="AQ927" s="2" t="e">
        <f t="shared" si="524"/>
        <v>#N/A</v>
      </c>
      <c r="AR927" s="2" t="e">
        <f t="shared" si="525"/>
        <v>#N/A</v>
      </c>
      <c r="AS927" s="2" t="e">
        <f t="shared" si="526"/>
        <v>#DIV/0!</v>
      </c>
      <c r="AT927" s="9" t="e">
        <f t="shared" ca="1" si="527"/>
        <v>#N/A</v>
      </c>
      <c r="AU927" s="9" t="e">
        <f t="shared" ca="1" si="528"/>
        <v>#N/A</v>
      </c>
      <c r="AW927" s="2" t="e">
        <f t="shared" si="513"/>
        <v>#N/A</v>
      </c>
      <c r="AX927" s="2" t="e">
        <f t="shared" si="514"/>
        <v>#N/A</v>
      </c>
      <c r="AY927" s="2" t="e">
        <f t="shared" si="515"/>
        <v>#N/A</v>
      </c>
      <c r="AZ927" s="2" t="e">
        <f t="shared" si="516"/>
        <v>#N/A</v>
      </c>
      <c r="BA927" s="2" t="e">
        <f t="shared" si="517"/>
        <v>#N/A</v>
      </c>
      <c r="BB927" s="2" t="e">
        <f t="shared" si="518"/>
        <v>#DIV/0!</v>
      </c>
      <c r="BC927" s="9" t="e">
        <f t="shared" ca="1" si="519"/>
        <v>#N/A</v>
      </c>
      <c r="BD927" s="9" t="e">
        <f t="shared" ca="1" si="520"/>
        <v>#N/A</v>
      </c>
    </row>
    <row r="928" spans="1:56" ht="15" x14ac:dyDescent="0.25">
      <c r="A928"/>
      <c r="B928"/>
      <c r="C928"/>
      <c r="D928"/>
      <c r="E928"/>
      <c r="F928"/>
      <c r="G928"/>
      <c r="H928"/>
      <c r="I928"/>
      <c r="J928"/>
      <c r="K928"/>
      <c r="L928" s="64"/>
      <c r="M928" s="64"/>
      <c r="N928" s="16"/>
      <c r="O928" s="11"/>
      <c r="P928" s="11"/>
      <c r="Q928" s="11"/>
      <c r="R928" s="11"/>
      <c r="S928" s="11"/>
      <c r="T928" s="11"/>
      <c r="U928" s="11">
        <f t="shared" si="497"/>
        <v>0</v>
      </c>
      <c r="V928" s="2">
        <f t="shared" si="498"/>
        <v>0</v>
      </c>
      <c r="W928" s="11">
        <f t="shared" si="499"/>
        <v>0</v>
      </c>
      <c r="X928" s="2">
        <f t="shared" si="500"/>
        <v>0</v>
      </c>
      <c r="Y928" s="2">
        <f t="shared" si="501"/>
        <v>0</v>
      </c>
      <c r="Z928" s="11">
        <f t="shared" si="502"/>
        <v>0</v>
      </c>
      <c r="AA928" s="2">
        <f t="shared" si="503"/>
        <v>0</v>
      </c>
      <c r="AB928" s="11">
        <f t="shared" si="504"/>
        <v>0</v>
      </c>
      <c r="AC928" s="2">
        <f t="shared" si="505"/>
        <v>0</v>
      </c>
      <c r="AF928" s="11">
        <f t="shared" si="506"/>
        <v>0</v>
      </c>
      <c r="AG928" s="2">
        <f t="shared" si="507"/>
        <v>0</v>
      </c>
      <c r="AH928" s="2">
        <f t="shared" si="508"/>
        <v>0</v>
      </c>
      <c r="AI928" s="2">
        <f t="shared" si="509"/>
        <v>0</v>
      </c>
      <c r="AJ928" s="2">
        <f t="shared" si="510"/>
        <v>0</v>
      </c>
      <c r="AK928" s="2">
        <f t="shared" si="511"/>
        <v>0</v>
      </c>
      <c r="AL928" s="2">
        <f t="shared" si="512"/>
        <v>0</v>
      </c>
      <c r="AM928" s="11"/>
      <c r="AN928" s="2" t="e">
        <f t="shared" si="521"/>
        <v>#N/A</v>
      </c>
      <c r="AO928" s="2" t="e">
        <f t="shared" si="522"/>
        <v>#N/A</v>
      </c>
      <c r="AP928" s="2" t="e">
        <f t="shared" si="523"/>
        <v>#N/A</v>
      </c>
      <c r="AQ928" s="2" t="e">
        <f t="shared" si="524"/>
        <v>#N/A</v>
      </c>
      <c r="AR928" s="2" t="e">
        <f t="shared" si="525"/>
        <v>#N/A</v>
      </c>
      <c r="AS928" s="2" t="e">
        <f t="shared" si="526"/>
        <v>#DIV/0!</v>
      </c>
      <c r="AT928" s="9" t="e">
        <f t="shared" ca="1" si="527"/>
        <v>#N/A</v>
      </c>
      <c r="AU928" s="9" t="e">
        <f t="shared" ca="1" si="528"/>
        <v>#N/A</v>
      </c>
      <c r="AW928" s="2" t="e">
        <f t="shared" si="513"/>
        <v>#N/A</v>
      </c>
      <c r="AX928" s="2" t="e">
        <f t="shared" si="514"/>
        <v>#N/A</v>
      </c>
      <c r="AY928" s="2" t="e">
        <f t="shared" si="515"/>
        <v>#N/A</v>
      </c>
      <c r="AZ928" s="2" t="e">
        <f t="shared" si="516"/>
        <v>#N/A</v>
      </c>
      <c r="BA928" s="2" t="e">
        <f t="shared" si="517"/>
        <v>#N/A</v>
      </c>
      <c r="BB928" s="2" t="e">
        <f t="shared" si="518"/>
        <v>#DIV/0!</v>
      </c>
      <c r="BC928" s="9" t="e">
        <f t="shared" ca="1" si="519"/>
        <v>#N/A</v>
      </c>
      <c r="BD928" s="9" t="e">
        <f t="shared" ca="1" si="520"/>
        <v>#N/A</v>
      </c>
    </row>
    <row r="929" spans="1:56" ht="15" x14ac:dyDescent="0.25">
      <c r="A929"/>
      <c r="B929"/>
      <c r="C929"/>
      <c r="D929"/>
      <c r="E929"/>
      <c r="F929"/>
      <c r="G929"/>
      <c r="H929"/>
      <c r="I929"/>
      <c r="J929"/>
      <c r="K929"/>
      <c r="L929" s="64"/>
      <c r="M929" s="64"/>
      <c r="N929" s="16"/>
      <c r="O929" s="11"/>
      <c r="P929" s="11"/>
      <c r="Q929" s="11"/>
      <c r="R929" s="11"/>
      <c r="S929" s="11"/>
      <c r="T929" s="11"/>
      <c r="U929" s="11">
        <f t="shared" si="497"/>
        <v>0</v>
      </c>
      <c r="V929" s="2">
        <f t="shared" si="498"/>
        <v>0</v>
      </c>
      <c r="W929" s="11">
        <f t="shared" si="499"/>
        <v>0</v>
      </c>
      <c r="X929" s="2">
        <f t="shared" si="500"/>
        <v>0</v>
      </c>
      <c r="Y929" s="2">
        <f t="shared" si="501"/>
        <v>0</v>
      </c>
      <c r="Z929" s="11">
        <f t="shared" si="502"/>
        <v>0</v>
      </c>
      <c r="AA929" s="2">
        <f t="shared" si="503"/>
        <v>0</v>
      </c>
      <c r="AB929" s="11">
        <f t="shared" si="504"/>
        <v>0</v>
      </c>
      <c r="AC929" s="2">
        <f t="shared" si="505"/>
        <v>0</v>
      </c>
      <c r="AF929" s="11">
        <f t="shared" si="506"/>
        <v>0</v>
      </c>
      <c r="AG929" s="2">
        <f t="shared" si="507"/>
        <v>0</v>
      </c>
      <c r="AH929" s="2">
        <f t="shared" si="508"/>
        <v>0</v>
      </c>
      <c r="AI929" s="2">
        <f t="shared" si="509"/>
        <v>0</v>
      </c>
      <c r="AJ929" s="2">
        <f t="shared" si="510"/>
        <v>0</v>
      </c>
      <c r="AK929" s="2">
        <f t="shared" si="511"/>
        <v>0</v>
      </c>
      <c r="AL929" s="2">
        <f t="shared" si="512"/>
        <v>0</v>
      </c>
      <c r="AM929" s="11"/>
      <c r="AN929" s="2" t="e">
        <f t="shared" si="521"/>
        <v>#N/A</v>
      </c>
      <c r="AO929" s="2" t="e">
        <f t="shared" si="522"/>
        <v>#N/A</v>
      </c>
      <c r="AP929" s="2" t="e">
        <f t="shared" si="523"/>
        <v>#N/A</v>
      </c>
      <c r="AQ929" s="2" t="e">
        <f t="shared" si="524"/>
        <v>#N/A</v>
      </c>
      <c r="AR929" s="2" t="e">
        <f t="shared" si="525"/>
        <v>#N/A</v>
      </c>
      <c r="AS929" s="2" t="e">
        <f t="shared" si="526"/>
        <v>#DIV/0!</v>
      </c>
      <c r="AT929" s="9" t="e">
        <f t="shared" ca="1" si="527"/>
        <v>#N/A</v>
      </c>
      <c r="AU929" s="9" t="e">
        <f t="shared" ca="1" si="528"/>
        <v>#N/A</v>
      </c>
      <c r="AW929" s="2" t="e">
        <f t="shared" si="513"/>
        <v>#N/A</v>
      </c>
      <c r="AX929" s="2" t="e">
        <f t="shared" si="514"/>
        <v>#N/A</v>
      </c>
      <c r="AY929" s="2" t="e">
        <f t="shared" si="515"/>
        <v>#N/A</v>
      </c>
      <c r="AZ929" s="2" t="e">
        <f t="shared" si="516"/>
        <v>#N/A</v>
      </c>
      <c r="BA929" s="2" t="e">
        <f t="shared" si="517"/>
        <v>#N/A</v>
      </c>
      <c r="BB929" s="2" t="e">
        <f t="shared" si="518"/>
        <v>#DIV/0!</v>
      </c>
      <c r="BC929" s="9" t="e">
        <f t="shared" ca="1" si="519"/>
        <v>#N/A</v>
      </c>
      <c r="BD929" s="9" t="e">
        <f t="shared" ca="1" si="520"/>
        <v>#N/A</v>
      </c>
    </row>
    <row r="930" spans="1:56" ht="15" x14ac:dyDescent="0.25">
      <c r="A930"/>
      <c r="B930"/>
      <c r="C930"/>
      <c r="D930"/>
      <c r="E930"/>
      <c r="F930"/>
      <c r="G930"/>
      <c r="H930"/>
      <c r="I930"/>
      <c r="J930"/>
      <c r="K930"/>
      <c r="L930" s="64"/>
      <c r="M930" s="64"/>
      <c r="N930" s="16"/>
      <c r="O930" s="11"/>
      <c r="P930" s="11"/>
      <c r="Q930" s="11"/>
      <c r="R930" s="11"/>
      <c r="S930" s="11"/>
      <c r="T930" s="11"/>
      <c r="U930" s="11">
        <f t="shared" ref="U930:U993" si="529">M930</f>
        <v>0</v>
      </c>
      <c r="V930" s="2">
        <f t="shared" ref="V930:V993" si="530">IF(M930&gt;0,N930-(M930*$X$63/$W$63), N930)</f>
        <v>0</v>
      </c>
      <c r="W930" s="11">
        <f t="shared" si="499"/>
        <v>0</v>
      </c>
      <c r="X930" s="2">
        <f t="shared" si="500"/>
        <v>0</v>
      </c>
      <c r="Y930" s="2">
        <f t="shared" si="501"/>
        <v>0</v>
      </c>
      <c r="Z930" s="11">
        <f t="shared" si="502"/>
        <v>0</v>
      </c>
      <c r="AA930" s="2">
        <f t="shared" si="503"/>
        <v>0</v>
      </c>
      <c r="AB930" s="11">
        <f t="shared" si="504"/>
        <v>0</v>
      </c>
      <c r="AC930" s="2">
        <f t="shared" si="505"/>
        <v>0</v>
      </c>
      <c r="AF930" s="11">
        <f t="shared" si="506"/>
        <v>0</v>
      </c>
      <c r="AG930" s="2">
        <f t="shared" si="507"/>
        <v>0</v>
      </c>
      <c r="AH930" s="2">
        <f t="shared" si="508"/>
        <v>0</v>
      </c>
      <c r="AI930" s="2">
        <f t="shared" si="509"/>
        <v>0</v>
      </c>
      <c r="AJ930" s="2">
        <f t="shared" si="510"/>
        <v>0</v>
      </c>
      <c r="AK930" s="2">
        <f t="shared" si="511"/>
        <v>0</v>
      </c>
      <c r="AL930" s="2">
        <f t="shared" si="512"/>
        <v>0</v>
      </c>
      <c r="AM930" s="11"/>
      <c r="AN930" s="2" t="e">
        <f t="shared" si="521"/>
        <v>#N/A</v>
      </c>
      <c r="AO930" s="2" t="e">
        <f t="shared" si="522"/>
        <v>#N/A</v>
      </c>
      <c r="AP930" s="2" t="e">
        <f t="shared" si="523"/>
        <v>#N/A</v>
      </c>
      <c r="AQ930" s="2" t="e">
        <f t="shared" si="524"/>
        <v>#N/A</v>
      </c>
      <c r="AR930" s="2" t="e">
        <f t="shared" si="525"/>
        <v>#N/A</v>
      </c>
      <c r="AS930" s="2" t="e">
        <f t="shared" si="526"/>
        <v>#DIV/0!</v>
      </c>
      <c r="AT930" s="9" t="e">
        <f t="shared" ca="1" si="527"/>
        <v>#N/A</v>
      </c>
      <c r="AU930" s="9" t="e">
        <f t="shared" ca="1" si="528"/>
        <v>#N/A</v>
      </c>
      <c r="AW930" s="2" t="e">
        <f t="shared" si="513"/>
        <v>#N/A</v>
      </c>
      <c r="AX930" s="2" t="e">
        <f t="shared" si="514"/>
        <v>#N/A</v>
      </c>
      <c r="AY930" s="2" t="e">
        <f t="shared" si="515"/>
        <v>#N/A</v>
      </c>
      <c r="AZ930" s="2" t="e">
        <f t="shared" si="516"/>
        <v>#N/A</v>
      </c>
      <c r="BA930" s="2" t="e">
        <f t="shared" si="517"/>
        <v>#N/A</v>
      </c>
      <c r="BB930" s="2" t="e">
        <f t="shared" si="518"/>
        <v>#DIV/0!</v>
      </c>
      <c r="BC930" s="9" t="e">
        <f t="shared" ca="1" si="519"/>
        <v>#N/A</v>
      </c>
      <c r="BD930" s="9" t="e">
        <f t="shared" ca="1" si="520"/>
        <v>#N/A</v>
      </c>
    </row>
    <row r="931" spans="1:56" ht="15" x14ac:dyDescent="0.25">
      <c r="A931"/>
      <c r="B931"/>
      <c r="C931"/>
      <c r="D931"/>
      <c r="E931"/>
      <c r="F931"/>
      <c r="G931"/>
      <c r="H931"/>
      <c r="I931"/>
      <c r="J931"/>
      <c r="K931"/>
      <c r="L931" s="64"/>
      <c r="M931" s="64"/>
      <c r="N931" s="16"/>
      <c r="O931" s="11"/>
      <c r="P931" s="11"/>
      <c r="Q931" s="11"/>
      <c r="R931" s="11"/>
      <c r="S931" s="11"/>
      <c r="T931" s="11"/>
      <c r="U931" s="11">
        <f t="shared" si="529"/>
        <v>0</v>
      </c>
      <c r="V931" s="2">
        <f t="shared" si="530"/>
        <v>0</v>
      </c>
      <c r="W931" s="11">
        <f t="shared" si="499"/>
        <v>0</v>
      </c>
      <c r="X931" s="2">
        <f t="shared" si="500"/>
        <v>0</v>
      </c>
      <c r="Y931" s="2">
        <f t="shared" si="501"/>
        <v>0</v>
      </c>
      <c r="Z931" s="11">
        <f t="shared" si="502"/>
        <v>0</v>
      </c>
      <c r="AA931" s="2">
        <f t="shared" si="503"/>
        <v>0</v>
      </c>
      <c r="AB931" s="11">
        <f t="shared" si="504"/>
        <v>0</v>
      </c>
      <c r="AC931" s="2">
        <f t="shared" si="505"/>
        <v>0</v>
      </c>
      <c r="AF931" s="11">
        <f t="shared" si="506"/>
        <v>0</v>
      </c>
      <c r="AG931" s="2">
        <f t="shared" si="507"/>
        <v>0</v>
      </c>
      <c r="AH931" s="2">
        <f t="shared" si="508"/>
        <v>0</v>
      </c>
      <c r="AI931" s="2">
        <f t="shared" si="509"/>
        <v>0</v>
      </c>
      <c r="AJ931" s="2">
        <f t="shared" si="510"/>
        <v>0</v>
      </c>
      <c r="AK931" s="2">
        <f t="shared" si="511"/>
        <v>0</v>
      </c>
      <c r="AL931" s="2">
        <f t="shared" si="512"/>
        <v>0</v>
      </c>
      <c r="AM931" s="11"/>
      <c r="AN931" s="2" t="e">
        <f t="shared" si="521"/>
        <v>#N/A</v>
      </c>
      <c r="AO931" s="2" t="e">
        <f t="shared" si="522"/>
        <v>#N/A</v>
      </c>
      <c r="AP931" s="2" t="e">
        <f t="shared" si="523"/>
        <v>#N/A</v>
      </c>
      <c r="AQ931" s="2" t="e">
        <f t="shared" si="524"/>
        <v>#N/A</v>
      </c>
      <c r="AR931" s="2" t="e">
        <f t="shared" si="525"/>
        <v>#N/A</v>
      </c>
      <c r="AS931" s="2" t="e">
        <f t="shared" si="526"/>
        <v>#DIV/0!</v>
      </c>
      <c r="AT931" s="9" t="e">
        <f t="shared" ca="1" si="527"/>
        <v>#N/A</v>
      </c>
      <c r="AU931" s="9" t="e">
        <f t="shared" ca="1" si="528"/>
        <v>#N/A</v>
      </c>
      <c r="AW931" s="2" t="e">
        <f t="shared" si="513"/>
        <v>#N/A</v>
      </c>
      <c r="AX931" s="2" t="e">
        <f t="shared" si="514"/>
        <v>#N/A</v>
      </c>
      <c r="AY931" s="2" t="e">
        <f t="shared" si="515"/>
        <v>#N/A</v>
      </c>
      <c r="AZ931" s="2" t="e">
        <f t="shared" si="516"/>
        <v>#N/A</v>
      </c>
      <c r="BA931" s="2" t="e">
        <f t="shared" si="517"/>
        <v>#N/A</v>
      </c>
      <c r="BB931" s="2" t="e">
        <f t="shared" si="518"/>
        <v>#DIV/0!</v>
      </c>
      <c r="BC931" s="9" t="e">
        <f t="shared" ca="1" si="519"/>
        <v>#N/A</v>
      </c>
      <c r="BD931" s="9" t="e">
        <f t="shared" ca="1" si="520"/>
        <v>#N/A</v>
      </c>
    </row>
    <row r="932" spans="1:56" ht="15" x14ac:dyDescent="0.25">
      <c r="A932"/>
      <c r="B932"/>
      <c r="C932"/>
      <c r="D932"/>
      <c r="E932"/>
      <c r="F932"/>
      <c r="G932"/>
      <c r="H932"/>
      <c r="I932"/>
      <c r="J932"/>
      <c r="K932"/>
      <c r="L932" s="64"/>
      <c r="M932" s="64"/>
      <c r="N932" s="16"/>
      <c r="O932" s="11"/>
      <c r="P932" s="11"/>
      <c r="Q932" s="11"/>
      <c r="R932" s="11"/>
      <c r="S932" s="11"/>
      <c r="T932" s="11"/>
      <c r="U932" s="11">
        <f t="shared" si="529"/>
        <v>0</v>
      </c>
      <c r="V932" s="2">
        <f t="shared" si="530"/>
        <v>0</v>
      </c>
      <c r="W932" s="11">
        <f t="shared" si="499"/>
        <v>0</v>
      </c>
      <c r="X932" s="2">
        <f t="shared" si="500"/>
        <v>0</v>
      </c>
      <c r="Y932" s="2">
        <f t="shared" si="501"/>
        <v>0</v>
      </c>
      <c r="Z932" s="11">
        <f t="shared" si="502"/>
        <v>0</v>
      </c>
      <c r="AA932" s="2">
        <f t="shared" si="503"/>
        <v>0</v>
      </c>
      <c r="AB932" s="11">
        <f t="shared" si="504"/>
        <v>0</v>
      </c>
      <c r="AC932" s="2">
        <f t="shared" si="505"/>
        <v>0</v>
      </c>
      <c r="AF932" s="11">
        <f t="shared" si="506"/>
        <v>0</v>
      </c>
      <c r="AG932" s="2">
        <f t="shared" si="507"/>
        <v>0</v>
      </c>
      <c r="AH932" s="2">
        <f t="shared" si="508"/>
        <v>0</v>
      </c>
      <c r="AI932" s="2">
        <f t="shared" si="509"/>
        <v>0</v>
      </c>
      <c r="AJ932" s="2">
        <f t="shared" si="510"/>
        <v>0</v>
      </c>
      <c r="AK932" s="2">
        <f t="shared" si="511"/>
        <v>0</v>
      </c>
      <c r="AL932" s="2">
        <f t="shared" si="512"/>
        <v>0</v>
      </c>
      <c r="AM932" s="11"/>
      <c r="AN932" s="2" t="e">
        <f t="shared" si="521"/>
        <v>#N/A</v>
      </c>
      <c r="AO932" s="2" t="e">
        <f t="shared" si="522"/>
        <v>#N/A</v>
      </c>
      <c r="AP932" s="2" t="e">
        <f t="shared" si="523"/>
        <v>#N/A</v>
      </c>
      <c r="AQ932" s="2" t="e">
        <f t="shared" si="524"/>
        <v>#N/A</v>
      </c>
      <c r="AR932" s="2" t="e">
        <f t="shared" si="525"/>
        <v>#N/A</v>
      </c>
      <c r="AS932" s="2" t="e">
        <f t="shared" si="526"/>
        <v>#DIV/0!</v>
      </c>
      <c r="AT932" s="9" t="e">
        <f t="shared" ca="1" si="527"/>
        <v>#N/A</v>
      </c>
      <c r="AU932" s="9" t="e">
        <f t="shared" ca="1" si="528"/>
        <v>#N/A</v>
      </c>
      <c r="AW932" s="2" t="e">
        <f t="shared" si="513"/>
        <v>#N/A</v>
      </c>
      <c r="AX932" s="2" t="e">
        <f t="shared" si="514"/>
        <v>#N/A</v>
      </c>
      <c r="AY932" s="2" t="e">
        <f t="shared" si="515"/>
        <v>#N/A</v>
      </c>
      <c r="AZ932" s="2" t="e">
        <f t="shared" si="516"/>
        <v>#N/A</v>
      </c>
      <c r="BA932" s="2" t="e">
        <f t="shared" si="517"/>
        <v>#N/A</v>
      </c>
      <c r="BB932" s="2" t="e">
        <f t="shared" si="518"/>
        <v>#DIV/0!</v>
      </c>
      <c r="BC932" s="9" t="e">
        <f t="shared" ca="1" si="519"/>
        <v>#N/A</v>
      </c>
      <c r="BD932" s="9" t="e">
        <f t="shared" ca="1" si="520"/>
        <v>#N/A</v>
      </c>
    </row>
    <row r="933" spans="1:56" ht="15" x14ac:dyDescent="0.25">
      <c r="A933"/>
      <c r="B933"/>
      <c r="C933"/>
      <c r="D933"/>
      <c r="E933"/>
      <c r="F933"/>
      <c r="G933"/>
      <c r="H933"/>
      <c r="I933"/>
      <c r="J933"/>
      <c r="K933"/>
      <c r="L933" s="64"/>
      <c r="M933" s="64"/>
      <c r="N933" s="16"/>
      <c r="O933" s="11"/>
      <c r="P933" s="11"/>
      <c r="Q933" s="11"/>
      <c r="R933" s="11"/>
      <c r="S933" s="11"/>
      <c r="T933" s="11"/>
      <c r="U933" s="11">
        <f t="shared" si="529"/>
        <v>0</v>
      </c>
      <c r="V933" s="2">
        <f t="shared" si="530"/>
        <v>0</v>
      </c>
      <c r="W933" s="11">
        <f t="shared" si="499"/>
        <v>0</v>
      </c>
      <c r="X933" s="2">
        <f t="shared" si="500"/>
        <v>0</v>
      </c>
      <c r="Y933" s="2">
        <f t="shared" si="501"/>
        <v>0</v>
      </c>
      <c r="Z933" s="11">
        <f t="shared" si="502"/>
        <v>0</v>
      </c>
      <c r="AA933" s="2">
        <f t="shared" si="503"/>
        <v>0</v>
      </c>
      <c r="AB933" s="11">
        <f t="shared" si="504"/>
        <v>0</v>
      </c>
      <c r="AC933" s="2">
        <f t="shared" si="505"/>
        <v>0</v>
      </c>
      <c r="AF933" s="11">
        <f t="shared" si="506"/>
        <v>0</v>
      </c>
      <c r="AG933" s="2">
        <f t="shared" si="507"/>
        <v>0</v>
      </c>
      <c r="AH933" s="2">
        <f t="shared" si="508"/>
        <v>0</v>
      </c>
      <c r="AI933" s="2">
        <f t="shared" si="509"/>
        <v>0</v>
      </c>
      <c r="AJ933" s="2">
        <f t="shared" si="510"/>
        <v>0</v>
      </c>
      <c r="AK933" s="2">
        <f t="shared" si="511"/>
        <v>0</v>
      </c>
      <c r="AL933" s="2">
        <f t="shared" si="512"/>
        <v>0</v>
      </c>
      <c r="AM933" s="11"/>
      <c r="AN933" s="2" t="e">
        <f t="shared" si="521"/>
        <v>#N/A</v>
      </c>
      <c r="AO933" s="2" t="e">
        <f t="shared" si="522"/>
        <v>#N/A</v>
      </c>
      <c r="AP933" s="2" t="e">
        <f t="shared" si="523"/>
        <v>#N/A</v>
      </c>
      <c r="AQ933" s="2" t="e">
        <f t="shared" si="524"/>
        <v>#N/A</v>
      </c>
      <c r="AR933" s="2" t="e">
        <f t="shared" si="525"/>
        <v>#N/A</v>
      </c>
      <c r="AS933" s="2" t="e">
        <f t="shared" si="526"/>
        <v>#DIV/0!</v>
      </c>
      <c r="AT933" s="9" t="e">
        <f t="shared" ca="1" si="527"/>
        <v>#N/A</v>
      </c>
      <c r="AU933" s="9" t="e">
        <f t="shared" ca="1" si="528"/>
        <v>#N/A</v>
      </c>
      <c r="AW933" s="2" t="e">
        <f t="shared" si="513"/>
        <v>#N/A</v>
      </c>
      <c r="AX933" s="2" t="e">
        <f t="shared" si="514"/>
        <v>#N/A</v>
      </c>
      <c r="AY933" s="2" t="e">
        <f t="shared" si="515"/>
        <v>#N/A</v>
      </c>
      <c r="AZ933" s="2" t="e">
        <f t="shared" si="516"/>
        <v>#N/A</v>
      </c>
      <c r="BA933" s="2" t="e">
        <f t="shared" si="517"/>
        <v>#N/A</v>
      </c>
      <c r="BB933" s="2" t="e">
        <f t="shared" si="518"/>
        <v>#DIV/0!</v>
      </c>
      <c r="BC933" s="9" t="e">
        <f t="shared" ca="1" si="519"/>
        <v>#N/A</v>
      </c>
      <c r="BD933" s="9" t="e">
        <f t="shared" ca="1" si="520"/>
        <v>#N/A</v>
      </c>
    </row>
    <row r="934" spans="1:56" ht="15" x14ac:dyDescent="0.25">
      <c r="A934"/>
      <c r="B934"/>
      <c r="C934"/>
      <c r="D934"/>
      <c r="E934"/>
      <c r="F934"/>
      <c r="G934"/>
      <c r="H934"/>
      <c r="I934"/>
      <c r="J934"/>
      <c r="K934"/>
      <c r="L934" s="64"/>
      <c r="M934" s="64"/>
      <c r="N934" s="16"/>
      <c r="O934" s="11"/>
      <c r="P934" s="11"/>
      <c r="Q934" s="11"/>
      <c r="R934" s="11"/>
      <c r="S934" s="11"/>
      <c r="T934" s="11"/>
      <c r="U934" s="11">
        <f t="shared" si="529"/>
        <v>0</v>
      </c>
      <c r="V934" s="2">
        <f t="shared" si="530"/>
        <v>0</v>
      </c>
      <c r="W934" s="11">
        <f t="shared" si="499"/>
        <v>0</v>
      </c>
      <c r="X934" s="2">
        <f t="shared" si="500"/>
        <v>0</v>
      </c>
      <c r="Y934" s="2">
        <f t="shared" si="501"/>
        <v>0</v>
      </c>
      <c r="Z934" s="11">
        <f t="shared" si="502"/>
        <v>0</v>
      </c>
      <c r="AA934" s="2">
        <f t="shared" si="503"/>
        <v>0</v>
      </c>
      <c r="AB934" s="11">
        <f t="shared" si="504"/>
        <v>0</v>
      </c>
      <c r="AC934" s="2">
        <f t="shared" si="505"/>
        <v>0</v>
      </c>
      <c r="AF934" s="11">
        <f t="shared" si="506"/>
        <v>0</v>
      </c>
      <c r="AG934" s="2">
        <f t="shared" si="507"/>
        <v>0</v>
      </c>
      <c r="AH934" s="2">
        <f t="shared" si="508"/>
        <v>0</v>
      </c>
      <c r="AI934" s="2">
        <f t="shared" si="509"/>
        <v>0</v>
      </c>
      <c r="AJ934" s="2">
        <f t="shared" si="510"/>
        <v>0</v>
      </c>
      <c r="AK934" s="2">
        <f t="shared" si="511"/>
        <v>0</v>
      </c>
      <c r="AL934" s="2">
        <f t="shared" si="512"/>
        <v>0</v>
      </c>
      <c r="AM934" s="11"/>
      <c r="AN934" s="2" t="e">
        <f t="shared" si="521"/>
        <v>#N/A</v>
      </c>
      <c r="AO934" s="2" t="e">
        <f t="shared" si="522"/>
        <v>#N/A</v>
      </c>
      <c r="AP934" s="2" t="e">
        <f t="shared" si="523"/>
        <v>#N/A</v>
      </c>
      <c r="AQ934" s="2" t="e">
        <f t="shared" si="524"/>
        <v>#N/A</v>
      </c>
      <c r="AR934" s="2" t="e">
        <f t="shared" si="525"/>
        <v>#N/A</v>
      </c>
      <c r="AS934" s="2" t="e">
        <f t="shared" si="526"/>
        <v>#DIV/0!</v>
      </c>
      <c r="AT934" s="9" t="e">
        <f t="shared" ca="1" si="527"/>
        <v>#N/A</v>
      </c>
      <c r="AU934" s="9" t="e">
        <f t="shared" ca="1" si="528"/>
        <v>#N/A</v>
      </c>
      <c r="AW934" s="2" t="e">
        <f t="shared" si="513"/>
        <v>#N/A</v>
      </c>
      <c r="AX934" s="2" t="e">
        <f t="shared" si="514"/>
        <v>#N/A</v>
      </c>
      <c r="AY934" s="2" t="e">
        <f t="shared" si="515"/>
        <v>#N/A</v>
      </c>
      <c r="AZ934" s="2" t="e">
        <f t="shared" si="516"/>
        <v>#N/A</v>
      </c>
      <c r="BA934" s="2" t="e">
        <f t="shared" si="517"/>
        <v>#N/A</v>
      </c>
      <c r="BB934" s="2" t="e">
        <f t="shared" si="518"/>
        <v>#DIV/0!</v>
      </c>
      <c r="BC934" s="9" t="e">
        <f t="shared" ca="1" si="519"/>
        <v>#N/A</v>
      </c>
      <c r="BD934" s="9" t="e">
        <f t="shared" ca="1" si="520"/>
        <v>#N/A</v>
      </c>
    </row>
    <row r="935" spans="1:56" ht="15" x14ac:dyDescent="0.25">
      <c r="A935"/>
      <c r="B935"/>
      <c r="C935"/>
      <c r="D935"/>
      <c r="E935"/>
      <c r="F935"/>
      <c r="G935"/>
      <c r="H935"/>
      <c r="I935"/>
      <c r="J935"/>
      <c r="K935"/>
      <c r="L935" s="64"/>
      <c r="M935" s="64"/>
      <c r="N935" s="16"/>
      <c r="O935" s="11"/>
      <c r="P935" s="11"/>
      <c r="Q935" s="11"/>
      <c r="R935" s="11"/>
      <c r="S935" s="11"/>
      <c r="T935" s="11"/>
      <c r="U935" s="11">
        <f t="shared" si="529"/>
        <v>0</v>
      </c>
      <c r="V935" s="2">
        <f t="shared" si="530"/>
        <v>0</v>
      </c>
      <c r="W935" s="11">
        <f t="shared" si="499"/>
        <v>0</v>
      </c>
      <c r="X935" s="2">
        <f t="shared" si="500"/>
        <v>0</v>
      </c>
      <c r="Y935" s="2">
        <f t="shared" si="501"/>
        <v>0</v>
      </c>
      <c r="Z935" s="11">
        <f t="shared" si="502"/>
        <v>0</v>
      </c>
      <c r="AA935" s="2">
        <f t="shared" si="503"/>
        <v>0</v>
      </c>
      <c r="AB935" s="11">
        <f t="shared" si="504"/>
        <v>0</v>
      </c>
      <c r="AC935" s="2">
        <f t="shared" si="505"/>
        <v>0</v>
      </c>
      <c r="AF935" s="11">
        <f t="shared" si="506"/>
        <v>0</v>
      </c>
      <c r="AG935" s="2">
        <f t="shared" si="507"/>
        <v>0</v>
      </c>
      <c r="AH935" s="2">
        <f t="shared" si="508"/>
        <v>0</v>
      </c>
      <c r="AI935" s="2">
        <f t="shared" si="509"/>
        <v>0</v>
      </c>
      <c r="AJ935" s="2">
        <f t="shared" si="510"/>
        <v>0</v>
      </c>
      <c r="AK935" s="2">
        <f t="shared" si="511"/>
        <v>0</v>
      </c>
      <c r="AL935" s="2">
        <f t="shared" si="512"/>
        <v>0</v>
      </c>
      <c r="AM935" s="11"/>
      <c r="AN935" s="2" t="e">
        <f t="shared" si="521"/>
        <v>#N/A</v>
      </c>
      <c r="AO935" s="2" t="e">
        <f t="shared" si="522"/>
        <v>#N/A</v>
      </c>
      <c r="AP935" s="2" t="e">
        <f t="shared" si="523"/>
        <v>#N/A</v>
      </c>
      <c r="AQ935" s="2" t="e">
        <f t="shared" si="524"/>
        <v>#N/A</v>
      </c>
      <c r="AR935" s="2" t="e">
        <f t="shared" si="525"/>
        <v>#N/A</v>
      </c>
      <c r="AS935" s="2" t="e">
        <f t="shared" si="526"/>
        <v>#DIV/0!</v>
      </c>
      <c r="AT935" s="9" t="e">
        <f t="shared" ca="1" si="527"/>
        <v>#N/A</v>
      </c>
      <c r="AU935" s="9" t="e">
        <f t="shared" ca="1" si="528"/>
        <v>#N/A</v>
      </c>
      <c r="AW935" s="2" t="e">
        <f t="shared" si="513"/>
        <v>#N/A</v>
      </c>
      <c r="AX935" s="2" t="e">
        <f t="shared" si="514"/>
        <v>#N/A</v>
      </c>
      <c r="AY935" s="2" t="e">
        <f t="shared" si="515"/>
        <v>#N/A</v>
      </c>
      <c r="AZ935" s="2" t="e">
        <f t="shared" si="516"/>
        <v>#N/A</v>
      </c>
      <c r="BA935" s="2" t="e">
        <f t="shared" si="517"/>
        <v>#N/A</v>
      </c>
      <c r="BB935" s="2" t="e">
        <f t="shared" si="518"/>
        <v>#DIV/0!</v>
      </c>
      <c r="BC935" s="9" t="e">
        <f t="shared" ca="1" si="519"/>
        <v>#N/A</v>
      </c>
      <c r="BD935" s="9" t="e">
        <f t="shared" ca="1" si="520"/>
        <v>#N/A</v>
      </c>
    </row>
    <row r="936" spans="1:56" ht="15" x14ac:dyDescent="0.25">
      <c r="A936"/>
      <c r="B936"/>
      <c r="C936"/>
      <c r="D936"/>
      <c r="E936"/>
      <c r="F936"/>
      <c r="G936"/>
      <c r="H936"/>
      <c r="I936"/>
      <c r="J936"/>
      <c r="K936"/>
      <c r="L936" s="64"/>
      <c r="M936" s="64"/>
      <c r="N936" s="16"/>
      <c r="O936" s="11"/>
      <c r="P936" s="11"/>
      <c r="Q936" s="11"/>
      <c r="R936" s="11"/>
      <c r="S936" s="11"/>
      <c r="T936" s="11"/>
      <c r="U936" s="11">
        <f t="shared" si="529"/>
        <v>0</v>
      </c>
      <c r="V936" s="2">
        <f t="shared" si="530"/>
        <v>0</v>
      </c>
      <c r="W936" s="11">
        <f t="shared" si="499"/>
        <v>0</v>
      </c>
      <c r="X936" s="2">
        <f t="shared" si="500"/>
        <v>0</v>
      </c>
      <c r="Y936" s="2">
        <f t="shared" si="501"/>
        <v>0</v>
      </c>
      <c r="Z936" s="11">
        <f t="shared" si="502"/>
        <v>0</v>
      </c>
      <c r="AA936" s="2">
        <f t="shared" si="503"/>
        <v>0</v>
      </c>
      <c r="AB936" s="11">
        <f t="shared" si="504"/>
        <v>0</v>
      </c>
      <c r="AC936" s="2">
        <f t="shared" si="505"/>
        <v>0</v>
      </c>
      <c r="AF936" s="11">
        <f t="shared" si="506"/>
        <v>0</v>
      </c>
      <c r="AG936" s="2">
        <f t="shared" si="507"/>
        <v>0</v>
      </c>
      <c r="AH936" s="2">
        <f t="shared" si="508"/>
        <v>0</v>
      </c>
      <c r="AI936" s="2">
        <f t="shared" si="509"/>
        <v>0</v>
      </c>
      <c r="AJ936" s="2">
        <f t="shared" si="510"/>
        <v>0</v>
      </c>
      <c r="AK936" s="2">
        <f t="shared" si="511"/>
        <v>0</v>
      </c>
      <c r="AL936" s="2">
        <f t="shared" si="512"/>
        <v>0</v>
      </c>
      <c r="AM936" s="11"/>
      <c r="AN936" s="2" t="e">
        <f t="shared" si="521"/>
        <v>#N/A</v>
      </c>
      <c r="AO936" s="2" t="e">
        <f t="shared" si="522"/>
        <v>#N/A</v>
      </c>
      <c r="AP936" s="2" t="e">
        <f t="shared" si="523"/>
        <v>#N/A</v>
      </c>
      <c r="AQ936" s="2" t="e">
        <f t="shared" si="524"/>
        <v>#N/A</v>
      </c>
      <c r="AR936" s="2" t="e">
        <f t="shared" si="525"/>
        <v>#N/A</v>
      </c>
      <c r="AS936" s="2" t="e">
        <f t="shared" si="526"/>
        <v>#DIV/0!</v>
      </c>
      <c r="AT936" s="9" t="e">
        <f t="shared" ca="1" si="527"/>
        <v>#N/A</v>
      </c>
      <c r="AU936" s="9" t="e">
        <f t="shared" ca="1" si="528"/>
        <v>#N/A</v>
      </c>
      <c r="AW936" s="2" t="e">
        <f t="shared" si="513"/>
        <v>#N/A</v>
      </c>
      <c r="AX936" s="2" t="e">
        <f t="shared" si="514"/>
        <v>#N/A</v>
      </c>
      <c r="AY936" s="2" t="e">
        <f t="shared" si="515"/>
        <v>#N/A</v>
      </c>
      <c r="AZ936" s="2" t="e">
        <f t="shared" si="516"/>
        <v>#N/A</v>
      </c>
      <c r="BA936" s="2" t="e">
        <f t="shared" si="517"/>
        <v>#N/A</v>
      </c>
      <c r="BB936" s="2" t="e">
        <f t="shared" si="518"/>
        <v>#DIV/0!</v>
      </c>
      <c r="BC936" s="9" t="e">
        <f t="shared" ca="1" si="519"/>
        <v>#N/A</v>
      </c>
      <c r="BD936" s="9" t="e">
        <f t="shared" ca="1" si="520"/>
        <v>#N/A</v>
      </c>
    </row>
    <row r="937" spans="1:56" ht="15" x14ac:dyDescent="0.25">
      <c r="A937"/>
      <c r="B937"/>
      <c r="C937"/>
      <c r="D937"/>
      <c r="E937"/>
      <c r="F937"/>
      <c r="G937"/>
      <c r="H937"/>
      <c r="I937"/>
      <c r="J937"/>
      <c r="K937"/>
      <c r="L937" s="64"/>
      <c r="M937" s="64"/>
      <c r="N937" s="16"/>
      <c r="O937" s="11"/>
      <c r="P937" s="11"/>
      <c r="Q937" s="11"/>
      <c r="R937" s="11"/>
      <c r="S937" s="11"/>
      <c r="T937" s="11"/>
      <c r="U937" s="11">
        <f t="shared" si="529"/>
        <v>0</v>
      </c>
      <c r="V937" s="2">
        <f t="shared" si="530"/>
        <v>0</v>
      </c>
      <c r="W937" s="11">
        <f t="shared" si="499"/>
        <v>0</v>
      </c>
      <c r="X937" s="2">
        <f t="shared" si="500"/>
        <v>0</v>
      </c>
      <c r="Y937" s="2">
        <f t="shared" si="501"/>
        <v>0</v>
      </c>
      <c r="Z937" s="11">
        <f t="shared" si="502"/>
        <v>0</v>
      </c>
      <c r="AA937" s="2">
        <f t="shared" si="503"/>
        <v>0</v>
      </c>
      <c r="AB937" s="11">
        <f t="shared" si="504"/>
        <v>0</v>
      </c>
      <c r="AC937" s="2">
        <f t="shared" si="505"/>
        <v>0</v>
      </c>
      <c r="AF937" s="11">
        <f t="shared" si="506"/>
        <v>0</v>
      </c>
      <c r="AG937" s="2">
        <f t="shared" si="507"/>
        <v>0</v>
      </c>
      <c r="AH937" s="2">
        <f t="shared" si="508"/>
        <v>0</v>
      </c>
      <c r="AI937" s="2">
        <f t="shared" si="509"/>
        <v>0</v>
      </c>
      <c r="AJ937" s="2">
        <f t="shared" si="510"/>
        <v>0</v>
      </c>
      <c r="AK937" s="2">
        <f t="shared" si="511"/>
        <v>0</v>
      </c>
      <c r="AL937" s="2">
        <f t="shared" si="512"/>
        <v>0</v>
      </c>
      <c r="AM937" s="11"/>
      <c r="AN937" s="2" t="e">
        <f t="shared" si="521"/>
        <v>#N/A</v>
      </c>
      <c r="AO937" s="2" t="e">
        <f t="shared" si="522"/>
        <v>#N/A</v>
      </c>
      <c r="AP937" s="2" t="e">
        <f t="shared" si="523"/>
        <v>#N/A</v>
      </c>
      <c r="AQ937" s="2" t="e">
        <f t="shared" si="524"/>
        <v>#N/A</v>
      </c>
      <c r="AR937" s="2" t="e">
        <f t="shared" si="525"/>
        <v>#N/A</v>
      </c>
      <c r="AS937" s="2" t="e">
        <f t="shared" si="526"/>
        <v>#DIV/0!</v>
      </c>
      <c r="AT937" s="9" t="e">
        <f t="shared" ca="1" si="527"/>
        <v>#N/A</v>
      </c>
      <c r="AU937" s="9" t="e">
        <f t="shared" ca="1" si="528"/>
        <v>#N/A</v>
      </c>
      <c r="AW937" s="2" t="e">
        <f t="shared" si="513"/>
        <v>#N/A</v>
      </c>
      <c r="AX937" s="2" t="e">
        <f t="shared" si="514"/>
        <v>#N/A</v>
      </c>
      <c r="AY937" s="2" t="e">
        <f t="shared" si="515"/>
        <v>#N/A</v>
      </c>
      <c r="AZ937" s="2" t="e">
        <f t="shared" si="516"/>
        <v>#N/A</v>
      </c>
      <c r="BA937" s="2" t="e">
        <f t="shared" si="517"/>
        <v>#N/A</v>
      </c>
      <c r="BB937" s="2" t="e">
        <f t="shared" si="518"/>
        <v>#DIV/0!</v>
      </c>
      <c r="BC937" s="9" t="e">
        <f t="shared" ca="1" si="519"/>
        <v>#N/A</v>
      </c>
      <c r="BD937" s="9" t="e">
        <f t="shared" ca="1" si="520"/>
        <v>#N/A</v>
      </c>
    </row>
    <row r="938" spans="1:56" ht="15" x14ac:dyDescent="0.25">
      <c r="A938"/>
      <c r="B938"/>
      <c r="C938"/>
      <c r="D938"/>
      <c r="E938"/>
      <c r="F938"/>
      <c r="G938"/>
      <c r="H938"/>
      <c r="I938"/>
      <c r="J938"/>
      <c r="K938"/>
      <c r="L938" s="64"/>
      <c r="M938" s="64"/>
      <c r="N938" s="16"/>
      <c r="O938" s="11"/>
      <c r="P938" s="11"/>
      <c r="Q938" s="11"/>
      <c r="R938" s="11"/>
      <c r="S938" s="11"/>
      <c r="T938" s="11"/>
      <c r="U938" s="11">
        <f t="shared" si="529"/>
        <v>0</v>
      </c>
      <c r="V938" s="2">
        <f t="shared" si="530"/>
        <v>0</v>
      </c>
      <c r="W938" s="11">
        <f t="shared" si="499"/>
        <v>0</v>
      </c>
      <c r="X938" s="2">
        <f t="shared" si="500"/>
        <v>0</v>
      </c>
      <c r="Y938" s="2">
        <f t="shared" si="501"/>
        <v>0</v>
      </c>
      <c r="Z938" s="11">
        <f t="shared" si="502"/>
        <v>0</v>
      </c>
      <c r="AA938" s="2">
        <f t="shared" si="503"/>
        <v>0</v>
      </c>
      <c r="AB938" s="11">
        <f t="shared" si="504"/>
        <v>0</v>
      </c>
      <c r="AC938" s="2">
        <f t="shared" si="505"/>
        <v>0</v>
      </c>
      <c r="AF938" s="11">
        <f t="shared" si="506"/>
        <v>0</v>
      </c>
      <c r="AG938" s="2">
        <f t="shared" si="507"/>
        <v>0</v>
      </c>
      <c r="AH938" s="2">
        <f t="shared" si="508"/>
        <v>0</v>
      </c>
      <c r="AI938" s="2">
        <f t="shared" si="509"/>
        <v>0</v>
      </c>
      <c r="AJ938" s="2">
        <f t="shared" si="510"/>
        <v>0</v>
      </c>
      <c r="AK938" s="2">
        <f t="shared" si="511"/>
        <v>0</v>
      </c>
      <c r="AL938" s="2">
        <f t="shared" si="512"/>
        <v>0</v>
      </c>
      <c r="AM938" s="11"/>
      <c r="AN938" s="2" t="e">
        <f t="shared" si="521"/>
        <v>#N/A</v>
      </c>
      <c r="AO938" s="2" t="e">
        <f t="shared" si="522"/>
        <v>#N/A</v>
      </c>
      <c r="AP938" s="2" t="e">
        <f t="shared" si="523"/>
        <v>#N/A</v>
      </c>
      <c r="AQ938" s="2" t="e">
        <f t="shared" si="524"/>
        <v>#N/A</v>
      </c>
      <c r="AR938" s="2" t="e">
        <f t="shared" si="525"/>
        <v>#N/A</v>
      </c>
      <c r="AS938" s="2" t="e">
        <f t="shared" si="526"/>
        <v>#DIV/0!</v>
      </c>
      <c r="AT938" s="9" t="e">
        <f t="shared" ca="1" si="527"/>
        <v>#N/A</v>
      </c>
      <c r="AU938" s="9" t="e">
        <f t="shared" ca="1" si="528"/>
        <v>#N/A</v>
      </c>
      <c r="AW938" s="2" t="e">
        <f t="shared" si="513"/>
        <v>#N/A</v>
      </c>
      <c r="AX938" s="2" t="e">
        <f t="shared" si="514"/>
        <v>#N/A</v>
      </c>
      <c r="AY938" s="2" t="e">
        <f t="shared" si="515"/>
        <v>#N/A</v>
      </c>
      <c r="AZ938" s="2" t="e">
        <f t="shared" si="516"/>
        <v>#N/A</v>
      </c>
      <c r="BA938" s="2" t="e">
        <f t="shared" si="517"/>
        <v>#N/A</v>
      </c>
      <c r="BB938" s="2" t="e">
        <f t="shared" si="518"/>
        <v>#DIV/0!</v>
      </c>
      <c r="BC938" s="9" t="e">
        <f t="shared" ca="1" si="519"/>
        <v>#N/A</v>
      </c>
      <c r="BD938" s="9" t="e">
        <f t="shared" ca="1" si="520"/>
        <v>#N/A</v>
      </c>
    </row>
    <row r="939" spans="1:56" ht="15" x14ac:dyDescent="0.25">
      <c r="A939"/>
      <c r="B939"/>
      <c r="C939"/>
      <c r="D939"/>
      <c r="E939"/>
      <c r="F939"/>
      <c r="G939"/>
      <c r="H939"/>
      <c r="I939"/>
      <c r="J939"/>
      <c r="K939"/>
      <c r="L939" s="64"/>
      <c r="M939" s="64"/>
      <c r="N939" s="16"/>
      <c r="O939" s="11"/>
      <c r="P939" s="11"/>
      <c r="Q939" s="11"/>
      <c r="R939" s="11"/>
      <c r="S939" s="11"/>
      <c r="T939" s="11"/>
      <c r="U939" s="11">
        <f t="shared" si="529"/>
        <v>0</v>
      </c>
      <c r="V939" s="2">
        <f t="shared" si="530"/>
        <v>0</v>
      </c>
      <c r="W939" s="11">
        <f t="shared" si="499"/>
        <v>0</v>
      </c>
      <c r="X939" s="2">
        <f t="shared" si="500"/>
        <v>0</v>
      </c>
      <c r="Y939" s="2">
        <f t="shared" si="501"/>
        <v>0</v>
      </c>
      <c r="Z939" s="11">
        <f t="shared" si="502"/>
        <v>0</v>
      </c>
      <c r="AA939" s="2">
        <f t="shared" si="503"/>
        <v>0</v>
      </c>
      <c r="AB939" s="11">
        <f t="shared" si="504"/>
        <v>0</v>
      </c>
      <c r="AC939" s="2">
        <f t="shared" si="505"/>
        <v>0</v>
      </c>
      <c r="AF939" s="11">
        <f t="shared" si="506"/>
        <v>0</v>
      </c>
      <c r="AG939" s="2">
        <f t="shared" si="507"/>
        <v>0</v>
      </c>
      <c r="AH939" s="2">
        <f t="shared" si="508"/>
        <v>0</v>
      </c>
      <c r="AI939" s="2">
        <f t="shared" si="509"/>
        <v>0</v>
      </c>
      <c r="AJ939" s="2">
        <f t="shared" si="510"/>
        <v>0</v>
      </c>
      <c r="AK939" s="2">
        <f t="shared" si="511"/>
        <v>0</v>
      </c>
      <c r="AL939" s="2">
        <f t="shared" si="512"/>
        <v>0</v>
      </c>
      <c r="AM939" s="11"/>
      <c r="AN939" s="2" t="e">
        <f t="shared" si="521"/>
        <v>#N/A</v>
      </c>
      <c r="AO939" s="2" t="e">
        <f t="shared" si="522"/>
        <v>#N/A</v>
      </c>
      <c r="AP939" s="2" t="e">
        <f t="shared" si="523"/>
        <v>#N/A</v>
      </c>
      <c r="AQ939" s="2" t="e">
        <f t="shared" si="524"/>
        <v>#N/A</v>
      </c>
      <c r="AR939" s="2" t="e">
        <f t="shared" si="525"/>
        <v>#N/A</v>
      </c>
      <c r="AS939" s="2" t="e">
        <f t="shared" si="526"/>
        <v>#DIV/0!</v>
      </c>
      <c r="AT939" s="9" t="e">
        <f t="shared" ca="1" si="527"/>
        <v>#N/A</v>
      </c>
      <c r="AU939" s="9" t="e">
        <f t="shared" ca="1" si="528"/>
        <v>#N/A</v>
      </c>
      <c r="AW939" s="2" t="e">
        <f t="shared" si="513"/>
        <v>#N/A</v>
      </c>
      <c r="AX939" s="2" t="e">
        <f t="shared" si="514"/>
        <v>#N/A</v>
      </c>
      <c r="AY939" s="2" t="e">
        <f t="shared" si="515"/>
        <v>#N/A</v>
      </c>
      <c r="AZ939" s="2" t="e">
        <f t="shared" si="516"/>
        <v>#N/A</v>
      </c>
      <c r="BA939" s="2" t="e">
        <f t="shared" si="517"/>
        <v>#N/A</v>
      </c>
      <c r="BB939" s="2" t="e">
        <f t="shared" si="518"/>
        <v>#DIV/0!</v>
      </c>
      <c r="BC939" s="9" t="e">
        <f t="shared" ca="1" si="519"/>
        <v>#N/A</v>
      </c>
      <c r="BD939" s="9" t="e">
        <f t="shared" ca="1" si="520"/>
        <v>#N/A</v>
      </c>
    </row>
    <row r="940" spans="1:56" ht="15" x14ac:dyDescent="0.25">
      <c r="A940"/>
      <c r="B940"/>
      <c r="C940"/>
      <c r="D940"/>
      <c r="E940"/>
      <c r="F940"/>
      <c r="G940"/>
      <c r="H940"/>
      <c r="I940"/>
      <c r="J940"/>
      <c r="K940"/>
      <c r="L940" s="64"/>
      <c r="M940" s="64"/>
      <c r="N940" s="16"/>
      <c r="O940" s="11"/>
      <c r="P940" s="11"/>
      <c r="Q940" s="11"/>
      <c r="R940" s="11"/>
      <c r="S940" s="11"/>
      <c r="T940" s="11"/>
      <c r="U940" s="11">
        <f t="shared" si="529"/>
        <v>0</v>
      </c>
      <c r="V940" s="2">
        <f t="shared" si="530"/>
        <v>0</v>
      </c>
      <c r="W940" s="11">
        <f t="shared" si="499"/>
        <v>0</v>
      </c>
      <c r="X940" s="2">
        <f t="shared" si="500"/>
        <v>0</v>
      </c>
      <c r="Y940" s="2">
        <f t="shared" si="501"/>
        <v>0</v>
      </c>
      <c r="Z940" s="11">
        <f t="shared" si="502"/>
        <v>0</v>
      </c>
      <c r="AA940" s="2">
        <f t="shared" si="503"/>
        <v>0</v>
      </c>
      <c r="AB940" s="11">
        <f t="shared" si="504"/>
        <v>0</v>
      </c>
      <c r="AC940" s="2">
        <f t="shared" si="505"/>
        <v>0</v>
      </c>
      <c r="AF940" s="11">
        <f t="shared" si="506"/>
        <v>0</v>
      </c>
      <c r="AG940" s="2">
        <f t="shared" si="507"/>
        <v>0</v>
      </c>
      <c r="AH940" s="2">
        <f t="shared" si="508"/>
        <v>0</v>
      </c>
      <c r="AI940" s="2">
        <f t="shared" si="509"/>
        <v>0</v>
      </c>
      <c r="AJ940" s="2">
        <f t="shared" si="510"/>
        <v>0</v>
      </c>
      <c r="AK940" s="2">
        <f t="shared" si="511"/>
        <v>0</v>
      </c>
      <c r="AL940" s="2">
        <f t="shared" si="512"/>
        <v>0</v>
      </c>
      <c r="AM940" s="11"/>
      <c r="AN940" s="2" t="e">
        <f t="shared" si="521"/>
        <v>#N/A</v>
      </c>
      <c r="AO940" s="2" t="e">
        <f t="shared" si="522"/>
        <v>#N/A</v>
      </c>
      <c r="AP940" s="2" t="e">
        <f t="shared" si="523"/>
        <v>#N/A</v>
      </c>
      <c r="AQ940" s="2" t="e">
        <f t="shared" si="524"/>
        <v>#N/A</v>
      </c>
      <c r="AR940" s="2" t="e">
        <f t="shared" si="525"/>
        <v>#N/A</v>
      </c>
      <c r="AS940" s="2" t="e">
        <f t="shared" si="526"/>
        <v>#DIV/0!</v>
      </c>
      <c r="AT940" s="9" t="e">
        <f t="shared" ca="1" si="527"/>
        <v>#N/A</v>
      </c>
      <c r="AU940" s="9" t="e">
        <f t="shared" ca="1" si="528"/>
        <v>#N/A</v>
      </c>
      <c r="AW940" s="2" t="e">
        <f t="shared" si="513"/>
        <v>#N/A</v>
      </c>
      <c r="AX940" s="2" t="e">
        <f t="shared" si="514"/>
        <v>#N/A</v>
      </c>
      <c r="AY940" s="2" t="e">
        <f t="shared" si="515"/>
        <v>#N/A</v>
      </c>
      <c r="AZ940" s="2" t="e">
        <f t="shared" si="516"/>
        <v>#N/A</v>
      </c>
      <c r="BA940" s="2" t="e">
        <f t="shared" si="517"/>
        <v>#N/A</v>
      </c>
      <c r="BB940" s="2" t="e">
        <f t="shared" si="518"/>
        <v>#DIV/0!</v>
      </c>
      <c r="BC940" s="9" t="e">
        <f t="shared" ca="1" si="519"/>
        <v>#N/A</v>
      </c>
      <c r="BD940" s="9" t="e">
        <f t="shared" ca="1" si="520"/>
        <v>#N/A</v>
      </c>
    </row>
    <row r="941" spans="1:56" ht="15" x14ac:dyDescent="0.25">
      <c r="A941"/>
      <c r="B941"/>
      <c r="C941"/>
      <c r="D941"/>
      <c r="E941"/>
      <c r="F941"/>
      <c r="G941"/>
      <c r="H941"/>
      <c r="I941"/>
      <c r="J941"/>
      <c r="K941"/>
      <c r="L941" s="64"/>
      <c r="M941" s="64"/>
      <c r="N941" s="16"/>
      <c r="O941" s="11"/>
      <c r="P941" s="11"/>
      <c r="Q941" s="11"/>
      <c r="R941" s="11"/>
      <c r="S941" s="11"/>
      <c r="T941" s="11"/>
      <c r="U941" s="11">
        <f t="shared" si="529"/>
        <v>0</v>
      </c>
      <c r="V941" s="2">
        <f t="shared" si="530"/>
        <v>0</v>
      </c>
      <c r="W941" s="11">
        <f t="shared" si="499"/>
        <v>0</v>
      </c>
      <c r="X941" s="2">
        <f t="shared" si="500"/>
        <v>0</v>
      </c>
      <c r="Y941" s="2">
        <f t="shared" si="501"/>
        <v>0</v>
      </c>
      <c r="Z941" s="11">
        <f t="shared" si="502"/>
        <v>0</v>
      </c>
      <c r="AA941" s="2">
        <f t="shared" si="503"/>
        <v>0</v>
      </c>
      <c r="AB941" s="11">
        <f t="shared" si="504"/>
        <v>0</v>
      </c>
      <c r="AC941" s="2">
        <f t="shared" si="505"/>
        <v>0</v>
      </c>
      <c r="AF941" s="11">
        <f t="shared" si="506"/>
        <v>0</v>
      </c>
      <c r="AG941" s="2">
        <f t="shared" si="507"/>
        <v>0</v>
      </c>
      <c r="AH941" s="2">
        <f t="shared" si="508"/>
        <v>0</v>
      </c>
      <c r="AI941" s="2">
        <f t="shared" si="509"/>
        <v>0</v>
      </c>
      <c r="AJ941" s="2">
        <f t="shared" si="510"/>
        <v>0</v>
      </c>
      <c r="AK941" s="2">
        <f t="shared" si="511"/>
        <v>0</v>
      </c>
      <c r="AL941" s="2">
        <f t="shared" si="512"/>
        <v>0</v>
      </c>
      <c r="AM941" s="11"/>
      <c r="AN941" s="2" t="e">
        <f t="shared" si="521"/>
        <v>#N/A</v>
      </c>
      <c r="AO941" s="2" t="e">
        <f t="shared" si="522"/>
        <v>#N/A</v>
      </c>
      <c r="AP941" s="2" t="e">
        <f t="shared" si="523"/>
        <v>#N/A</v>
      </c>
      <c r="AQ941" s="2" t="e">
        <f t="shared" si="524"/>
        <v>#N/A</v>
      </c>
      <c r="AR941" s="2" t="e">
        <f t="shared" si="525"/>
        <v>#N/A</v>
      </c>
      <c r="AS941" s="2" t="e">
        <f t="shared" si="526"/>
        <v>#DIV/0!</v>
      </c>
      <c r="AT941" s="9" t="e">
        <f t="shared" ca="1" si="527"/>
        <v>#N/A</v>
      </c>
      <c r="AU941" s="9" t="e">
        <f t="shared" ca="1" si="528"/>
        <v>#N/A</v>
      </c>
      <c r="AW941" s="2" t="e">
        <f t="shared" si="513"/>
        <v>#N/A</v>
      </c>
      <c r="AX941" s="2" t="e">
        <f t="shared" si="514"/>
        <v>#N/A</v>
      </c>
      <c r="AY941" s="2" t="e">
        <f t="shared" si="515"/>
        <v>#N/A</v>
      </c>
      <c r="AZ941" s="2" t="e">
        <f t="shared" si="516"/>
        <v>#N/A</v>
      </c>
      <c r="BA941" s="2" t="e">
        <f t="shared" si="517"/>
        <v>#N/A</v>
      </c>
      <c r="BB941" s="2" t="e">
        <f t="shared" si="518"/>
        <v>#DIV/0!</v>
      </c>
      <c r="BC941" s="9" t="e">
        <f t="shared" ca="1" si="519"/>
        <v>#N/A</v>
      </c>
      <c r="BD941" s="9" t="e">
        <f t="shared" ca="1" si="520"/>
        <v>#N/A</v>
      </c>
    </row>
    <row r="942" spans="1:56" ht="15" x14ac:dyDescent="0.25">
      <c r="A942"/>
      <c r="B942"/>
      <c r="C942"/>
      <c r="D942"/>
      <c r="E942"/>
      <c r="F942"/>
      <c r="G942"/>
      <c r="H942"/>
      <c r="I942"/>
      <c r="J942"/>
      <c r="K942"/>
      <c r="L942" s="64"/>
      <c r="M942" s="64"/>
      <c r="N942" s="16"/>
      <c r="O942" s="11"/>
      <c r="P942" s="11"/>
      <c r="Q942" s="11"/>
      <c r="R942" s="11"/>
      <c r="S942" s="11"/>
      <c r="T942" s="11"/>
      <c r="U942" s="11">
        <f t="shared" si="529"/>
        <v>0</v>
      </c>
      <c r="V942" s="2">
        <f t="shared" si="530"/>
        <v>0</v>
      </c>
      <c r="W942" s="11">
        <f t="shared" si="499"/>
        <v>0</v>
      </c>
      <c r="X942" s="2">
        <f t="shared" si="500"/>
        <v>0</v>
      </c>
      <c r="Y942" s="2">
        <f t="shared" si="501"/>
        <v>0</v>
      </c>
      <c r="Z942" s="11">
        <f t="shared" si="502"/>
        <v>0</v>
      </c>
      <c r="AA942" s="2">
        <f t="shared" si="503"/>
        <v>0</v>
      </c>
      <c r="AB942" s="11">
        <f t="shared" si="504"/>
        <v>0</v>
      </c>
      <c r="AC942" s="2">
        <f t="shared" si="505"/>
        <v>0</v>
      </c>
      <c r="AF942" s="11">
        <f t="shared" si="506"/>
        <v>0</v>
      </c>
      <c r="AG942" s="2">
        <f t="shared" si="507"/>
        <v>0</v>
      </c>
      <c r="AH942" s="2">
        <f t="shared" si="508"/>
        <v>0</v>
      </c>
      <c r="AI942" s="2">
        <f t="shared" si="509"/>
        <v>0</v>
      </c>
      <c r="AJ942" s="2">
        <f t="shared" si="510"/>
        <v>0</v>
      </c>
      <c r="AK942" s="2">
        <f t="shared" si="511"/>
        <v>0</v>
      </c>
      <c r="AL942" s="2">
        <f t="shared" si="512"/>
        <v>0</v>
      </c>
      <c r="AM942" s="11"/>
      <c r="AN942" s="2" t="e">
        <f t="shared" si="521"/>
        <v>#N/A</v>
      </c>
      <c r="AO942" s="2" t="e">
        <f t="shared" si="522"/>
        <v>#N/A</v>
      </c>
      <c r="AP942" s="2" t="e">
        <f t="shared" si="523"/>
        <v>#N/A</v>
      </c>
      <c r="AQ942" s="2" t="e">
        <f t="shared" si="524"/>
        <v>#N/A</v>
      </c>
      <c r="AR942" s="2" t="e">
        <f t="shared" si="525"/>
        <v>#N/A</v>
      </c>
      <c r="AS942" s="2" t="e">
        <f t="shared" si="526"/>
        <v>#DIV/0!</v>
      </c>
      <c r="AT942" s="9" t="e">
        <f t="shared" ca="1" si="527"/>
        <v>#N/A</v>
      </c>
      <c r="AU942" s="9" t="e">
        <f t="shared" ca="1" si="528"/>
        <v>#N/A</v>
      </c>
      <c r="AW942" s="2" t="e">
        <f t="shared" si="513"/>
        <v>#N/A</v>
      </c>
      <c r="AX942" s="2" t="e">
        <f t="shared" si="514"/>
        <v>#N/A</v>
      </c>
      <c r="AY942" s="2" t="e">
        <f t="shared" si="515"/>
        <v>#N/A</v>
      </c>
      <c r="AZ942" s="2" t="e">
        <f t="shared" si="516"/>
        <v>#N/A</v>
      </c>
      <c r="BA942" s="2" t="e">
        <f t="shared" si="517"/>
        <v>#N/A</v>
      </c>
      <c r="BB942" s="2" t="e">
        <f t="shared" si="518"/>
        <v>#DIV/0!</v>
      </c>
      <c r="BC942" s="9" t="e">
        <f t="shared" ca="1" si="519"/>
        <v>#N/A</v>
      </c>
      <c r="BD942" s="9" t="e">
        <f t="shared" ca="1" si="520"/>
        <v>#N/A</v>
      </c>
    </row>
    <row r="943" spans="1:56" ht="15" x14ac:dyDescent="0.25">
      <c r="A943"/>
      <c r="B943"/>
      <c r="C943"/>
      <c r="D943"/>
      <c r="E943"/>
      <c r="F943"/>
      <c r="G943"/>
      <c r="H943"/>
      <c r="I943"/>
      <c r="J943"/>
      <c r="K943"/>
      <c r="L943" s="64"/>
      <c r="M943" s="64"/>
      <c r="N943" s="16"/>
      <c r="O943" s="11"/>
      <c r="P943" s="11"/>
      <c r="Q943" s="11"/>
      <c r="R943" s="11"/>
      <c r="S943" s="11"/>
      <c r="T943" s="11"/>
      <c r="U943" s="11">
        <f t="shared" si="529"/>
        <v>0</v>
      </c>
      <c r="V943" s="2">
        <f t="shared" si="530"/>
        <v>0</v>
      </c>
      <c r="W943" s="11">
        <f t="shared" si="499"/>
        <v>0</v>
      </c>
      <c r="X943" s="2">
        <f t="shared" si="500"/>
        <v>0</v>
      </c>
      <c r="Y943" s="2">
        <f t="shared" si="501"/>
        <v>0</v>
      </c>
      <c r="Z943" s="11">
        <f t="shared" si="502"/>
        <v>0</v>
      </c>
      <c r="AA943" s="2">
        <f t="shared" si="503"/>
        <v>0</v>
      </c>
      <c r="AB943" s="11">
        <f t="shared" si="504"/>
        <v>0</v>
      </c>
      <c r="AC943" s="2">
        <f t="shared" si="505"/>
        <v>0</v>
      </c>
      <c r="AF943" s="11">
        <f t="shared" si="506"/>
        <v>0</v>
      </c>
      <c r="AG943" s="2">
        <f t="shared" si="507"/>
        <v>0</v>
      </c>
      <c r="AH943" s="2">
        <f t="shared" si="508"/>
        <v>0</v>
      </c>
      <c r="AI943" s="2">
        <f t="shared" si="509"/>
        <v>0</v>
      </c>
      <c r="AJ943" s="2">
        <f t="shared" si="510"/>
        <v>0</v>
      </c>
      <c r="AK943" s="2">
        <f t="shared" si="511"/>
        <v>0</v>
      </c>
      <c r="AL943" s="2">
        <f t="shared" si="512"/>
        <v>0</v>
      </c>
      <c r="AM943" s="11"/>
      <c r="AN943" s="2" t="e">
        <f t="shared" si="521"/>
        <v>#N/A</v>
      </c>
      <c r="AO943" s="2" t="e">
        <f t="shared" si="522"/>
        <v>#N/A</v>
      </c>
      <c r="AP943" s="2" t="e">
        <f t="shared" si="523"/>
        <v>#N/A</v>
      </c>
      <c r="AQ943" s="2" t="e">
        <f t="shared" si="524"/>
        <v>#N/A</v>
      </c>
      <c r="AR943" s="2" t="e">
        <f t="shared" si="525"/>
        <v>#N/A</v>
      </c>
      <c r="AS943" s="2" t="e">
        <f t="shared" si="526"/>
        <v>#DIV/0!</v>
      </c>
      <c r="AT943" s="9" t="e">
        <f t="shared" ca="1" si="527"/>
        <v>#N/A</v>
      </c>
      <c r="AU943" s="9" t="e">
        <f t="shared" ca="1" si="528"/>
        <v>#N/A</v>
      </c>
      <c r="AW943" s="2" t="e">
        <f t="shared" si="513"/>
        <v>#N/A</v>
      </c>
      <c r="AX943" s="2" t="e">
        <f t="shared" si="514"/>
        <v>#N/A</v>
      </c>
      <c r="AY943" s="2" t="e">
        <f t="shared" si="515"/>
        <v>#N/A</v>
      </c>
      <c r="AZ943" s="2" t="e">
        <f t="shared" si="516"/>
        <v>#N/A</v>
      </c>
      <c r="BA943" s="2" t="e">
        <f t="shared" si="517"/>
        <v>#N/A</v>
      </c>
      <c r="BB943" s="2" t="e">
        <f t="shared" si="518"/>
        <v>#DIV/0!</v>
      </c>
      <c r="BC943" s="9" t="e">
        <f t="shared" ca="1" si="519"/>
        <v>#N/A</v>
      </c>
      <c r="BD943" s="9" t="e">
        <f t="shared" ca="1" si="520"/>
        <v>#N/A</v>
      </c>
    </row>
    <row r="944" spans="1:56" ht="15" x14ac:dyDescent="0.25">
      <c r="A944"/>
      <c r="B944"/>
      <c r="C944"/>
      <c r="D944"/>
      <c r="E944"/>
      <c r="F944"/>
      <c r="G944"/>
      <c r="H944"/>
      <c r="I944"/>
      <c r="J944"/>
      <c r="K944"/>
      <c r="L944" s="64"/>
      <c r="M944" s="64"/>
      <c r="N944" s="16"/>
      <c r="O944" s="11"/>
      <c r="P944" s="11"/>
      <c r="Q944" s="11"/>
      <c r="R944" s="11"/>
      <c r="S944" s="11"/>
      <c r="T944" s="11"/>
      <c r="U944" s="11">
        <f t="shared" si="529"/>
        <v>0</v>
      </c>
      <c r="V944" s="2">
        <f t="shared" si="530"/>
        <v>0</v>
      </c>
      <c r="W944" s="11">
        <f t="shared" si="499"/>
        <v>0</v>
      </c>
      <c r="X944" s="2">
        <f t="shared" si="500"/>
        <v>0</v>
      </c>
      <c r="Y944" s="2">
        <f t="shared" si="501"/>
        <v>0</v>
      </c>
      <c r="Z944" s="11">
        <f t="shared" si="502"/>
        <v>0</v>
      </c>
      <c r="AA944" s="2">
        <f t="shared" si="503"/>
        <v>0</v>
      </c>
      <c r="AB944" s="11">
        <f t="shared" si="504"/>
        <v>0</v>
      </c>
      <c r="AC944" s="2">
        <f t="shared" si="505"/>
        <v>0</v>
      </c>
      <c r="AF944" s="11">
        <f t="shared" si="506"/>
        <v>0</v>
      </c>
      <c r="AG944" s="2">
        <f t="shared" si="507"/>
        <v>0</v>
      </c>
      <c r="AH944" s="2">
        <f t="shared" si="508"/>
        <v>0</v>
      </c>
      <c r="AI944" s="2">
        <f t="shared" si="509"/>
        <v>0</v>
      </c>
      <c r="AJ944" s="2">
        <f t="shared" si="510"/>
        <v>0</v>
      </c>
      <c r="AK944" s="2">
        <f t="shared" si="511"/>
        <v>0</v>
      </c>
      <c r="AL944" s="2">
        <f t="shared" si="512"/>
        <v>0</v>
      </c>
      <c r="AM944" s="11"/>
      <c r="AN944" s="2" t="e">
        <f t="shared" si="521"/>
        <v>#N/A</v>
      </c>
      <c r="AO944" s="2" t="e">
        <f t="shared" si="522"/>
        <v>#N/A</v>
      </c>
      <c r="AP944" s="2" t="e">
        <f t="shared" si="523"/>
        <v>#N/A</v>
      </c>
      <c r="AQ944" s="2" t="e">
        <f t="shared" si="524"/>
        <v>#N/A</v>
      </c>
      <c r="AR944" s="2" t="e">
        <f t="shared" si="525"/>
        <v>#N/A</v>
      </c>
      <c r="AS944" s="2" t="e">
        <f t="shared" si="526"/>
        <v>#DIV/0!</v>
      </c>
      <c r="AT944" s="9" t="e">
        <f t="shared" ca="1" si="527"/>
        <v>#N/A</v>
      </c>
      <c r="AU944" s="9" t="e">
        <f t="shared" ca="1" si="528"/>
        <v>#N/A</v>
      </c>
      <c r="AW944" s="2" t="e">
        <f t="shared" si="513"/>
        <v>#N/A</v>
      </c>
      <c r="AX944" s="2" t="e">
        <f t="shared" si="514"/>
        <v>#N/A</v>
      </c>
      <c r="AY944" s="2" t="e">
        <f t="shared" si="515"/>
        <v>#N/A</v>
      </c>
      <c r="AZ944" s="2" t="e">
        <f t="shared" si="516"/>
        <v>#N/A</v>
      </c>
      <c r="BA944" s="2" t="e">
        <f t="shared" si="517"/>
        <v>#N/A</v>
      </c>
      <c r="BB944" s="2" t="e">
        <f t="shared" si="518"/>
        <v>#DIV/0!</v>
      </c>
      <c r="BC944" s="9" t="e">
        <f t="shared" ca="1" si="519"/>
        <v>#N/A</v>
      </c>
      <c r="BD944" s="9" t="e">
        <f t="shared" ca="1" si="520"/>
        <v>#N/A</v>
      </c>
    </row>
    <row r="945" spans="1:56" ht="15" x14ac:dyDescent="0.25">
      <c r="A945"/>
      <c r="B945"/>
      <c r="C945"/>
      <c r="D945"/>
      <c r="E945"/>
      <c r="F945"/>
      <c r="G945"/>
      <c r="H945"/>
      <c r="I945"/>
      <c r="J945"/>
      <c r="K945"/>
      <c r="L945" s="64"/>
      <c r="M945" s="64"/>
      <c r="N945" s="16"/>
      <c r="O945" s="11"/>
      <c r="P945" s="11"/>
      <c r="Q945" s="11"/>
      <c r="R945" s="11"/>
      <c r="S945" s="11"/>
      <c r="T945" s="11"/>
      <c r="U945" s="11">
        <f t="shared" si="529"/>
        <v>0</v>
      </c>
      <c r="V945" s="2">
        <f t="shared" si="530"/>
        <v>0</v>
      </c>
      <c r="W945" s="11">
        <f t="shared" si="499"/>
        <v>0</v>
      </c>
      <c r="X945" s="2">
        <f t="shared" si="500"/>
        <v>0</v>
      </c>
      <c r="Y945" s="2">
        <f t="shared" si="501"/>
        <v>0</v>
      </c>
      <c r="Z945" s="11">
        <f t="shared" si="502"/>
        <v>0</v>
      </c>
      <c r="AA945" s="2">
        <f t="shared" si="503"/>
        <v>0</v>
      </c>
      <c r="AB945" s="11">
        <f t="shared" si="504"/>
        <v>0</v>
      </c>
      <c r="AC945" s="2">
        <f t="shared" si="505"/>
        <v>0</v>
      </c>
      <c r="AF945" s="11">
        <f t="shared" si="506"/>
        <v>0</v>
      </c>
      <c r="AG945" s="2">
        <f t="shared" si="507"/>
        <v>0</v>
      </c>
      <c r="AH945" s="2">
        <f t="shared" si="508"/>
        <v>0</v>
      </c>
      <c r="AI945" s="2">
        <f t="shared" si="509"/>
        <v>0</v>
      </c>
      <c r="AJ945" s="2">
        <f t="shared" si="510"/>
        <v>0</v>
      </c>
      <c r="AK945" s="2">
        <f t="shared" si="511"/>
        <v>0</v>
      </c>
      <c r="AL945" s="2">
        <f t="shared" si="512"/>
        <v>0</v>
      </c>
      <c r="AM945" s="11"/>
      <c r="AN945" s="2" t="e">
        <f t="shared" si="521"/>
        <v>#N/A</v>
      </c>
      <c r="AO945" s="2" t="e">
        <f t="shared" si="522"/>
        <v>#N/A</v>
      </c>
      <c r="AP945" s="2" t="e">
        <f t="shared" si="523"/>
        <v>#N/A</v>
      </c>
      <c r="AQ945" s="2" t="e">
        <f t="shared" si="524"/>
        <v>#N/A</v>
      </c>
      <c r="AR945" s="2" t="e">
        <f t="shared" si="525"/>
        <v>#N/A</v>
      </c>
      <c r="AS945" s="2" t="e">
        <f t="shared" si="526"/>
        <v>#DIV/0!</v>
      </c>
      <c r="AT945" s="9" t="e">
        <f t="shared" ca="1" si="527"/>
        <v>#N/A</v>
      </c>
      <c r="AU945" s="9" t="e">
        <f t="shared" ca="1" si="528"/>
        <v>#N/A</v>
      </c>
      <c r="AW945" s="2" t="e">
        <f t="shared" si="513"/>
        <v>#N/A</v>
      </c>
      <c r="AX945" s="2" t="e">
        <f t="shared" si="514"/>
        <v>#N/A</v>
      </c>
      <c r="AY945" s="2" t="e">
        <f t="shared" si="515"/>
        <v>#N/A</v>
      </c>
      <c r="AZ945" s="2" t="e">
        <f t="shared" si="516"/>
        <v>#N/A</v>
      </c>
      <c r="BA945" s="2" t="e">
        <f t="shared" si="517"/>
        <v>#N/A</v>
      </c>
      <c r="BB945" s="2" t="e">
        <f t="shared" si="518"/>
        <v>#DIV/0!</v>
      </c>
      <c r="BC945" s="9" t="e">
        <f t="shared" ca="1" si="519"/>
        <v>#N/A</v>
      </c>
      <c r="BD945" s="9" t="e">
        <f t="shared" ca="1" si="520"/>
        <v>#N/A</v>
      </c>
    </row>
    <row r="946" spans="1:56" ht="15" x14ac:dyDescent="0.25">
      <c r="A946"/>
      <c r="B946"/>
      <c r="C946"/>
      <c r="D946"/>
      <c r="E946"/>
      <c r="F946"/>
      <c r="G946"/>
      <c r="H946"/>
      <c r="I946"/>
      <c r="J946"/>
      <c r="K946"/>
      <c r="L946" s="64"/>
      <c r="M946" s="64"/>
      <c r="N946" s="16"/>
      <c r="O946" s="11"/>
      <c r="P946" s="11"/>
      <c r="Q946" s="11"/>
      <c r="R946" s="11"/>
      <c r="S946" s="11"/>
      <c r="T946" s="11"/>
      <c r="U946" s="11">
        <f t="shared" si="529"/>
        <v>0</v>
      </c>
      <c r="V946" s="2">
        <f t="shared" si="530"/>
        <v>0</v>
      </c>
      <c r="W946" s="11">
        <f t="shared" si="499"/>
        <v>0</v>
      </c>
      <c r="X946" s="2">
        <f t="shared" si="500"/>
        <v>0</v>
      </c>
      <c r="Y946" s="2">
        <f t="shared" si="501"/>
        <v>0</v>
      </c>
      <c r="Z946" s="11">
        <f t="shared" si="502"/>
        <v>0</v>
      </c>
      <c r="AA946" s="2">
        <f t="shared" si="503"/>
        <v>0</v>
      </c>
      <c r="AB946" s="11">
        <f t="shared" si="504"/>
        <v>0</v>
      </c>
      <c r="AC946" s="2">
        <f t="shared" si="505"/>
        <v>0</v>
      </c>
      <c r="AF946" s="11">
        <f t="shared" si="506"/>
        <v>0</v>
      </c>
      <c r="AG946" s="2">
        <f t="shared" si="507"/>
        <v>0</v>
      </c>
      <c r="AH946" s="2">
        <f t="shared" si="508"/>
        <v>0</v>
      </c>
      <c r="AI946" s="2">
        <f t="shared" si="509"/>
        <v>0</v>
      </c>
      <c r="AJ946" s="2">
        <f t="shared" si="510"/>
        <v>0</v>
      </c>
      <c r="AK946" s="2">
        <f t="shared" si="511"/>
        <v>0</v>
      </c>
      <c r="AL946" s="2">
        <f t="shared" si="512"/>
        <v>0</v>
      </c>
      <c r="AM946" s="11"/>
      <c r="AN946" s="2" t="e">
        <f t="shared" si="521"/>
        <v>#N/A</v>
      </c>
      <c r="AO946" s="2" t="e">
        <f t="shared" si="522"/>
        <v>#N/A</v>
      </c>
      <c r="AP946" s="2" t="e">
        <f t="shared" si="523"/>
        <v>#N/A</v>
      </c>
      <c r="AQ946" s="2" t="e">
        <f t="shared" si="524"/>
        <v>#N/A</v>
      </c>
      <c r="AR946" s="2" t="e">
        <f t="shared" si="525"/>
        <v>#N/A</v>
      </c>
      <c r="AS946" s="2" t="e">
        <f t="shared" si="526"/>
        <v>#DIV/0!</v>
      </c>
      <c r="AT946" s="9" t="e">
        <f t="shared" ca="1" si="527"/>
        <v>#N/A</v>
      </c>
      <c r="AU946" s="9" t="e">
        <f t="shared" ca="1" si="528"/>
        <v>#N/A</v>
      </c>
      <c r="AW946" s="2" t="e">
        <f t="shared" si="513"/>
        <v>#N/A</v>
      </c>
      <c r="AX946" s="2" t="e">
        <f t="shared" si="514"/>
        <v>#N/A</v>
      </c>
      <c r="AY946" s="2" t="e">
        <f t="shared" si="515"/>
        <v>#N/A</v>
      </c>
      <c r="AZ946" s="2" t="e">
        <f t="shared" si="516"/>
        <v>#N/A</v>
      </c>
      <c r="BA946" s="2" t="e">
        <f t="shared" si="517"/>
        <v>#N/A</v>
      </c>
      <c r="BB946" s="2" t="e">
        <f t="shared" si="518"/>
        <v>#DIV/0!</v>
      </c>
      <c r="BC946" s="9" t="e">
        <f t="shared" ca="1" si="519"/>
        <v>#N/A</v>
      </c>
      <c r="BD946" s="9" t="e">
        <f t="shared" ca="1" si="520"/>
        <v>#N/A</v>
      </c>
    </row>
    <row r="947" spans="1:56" ht="15" x14ac:dyDescent="0.25">
      <c r="A947"/>
      <c r="B947"/>
      <c r="C947"/>
      <c r="D947"/>
      <c r="E947"/>
      <c r="F947"/>
      <c r="G947"/>
      <c r="H947"/>
      <c r="I947"/>
      <c r="J947"/>
      <c r="K947"/>
      <c r="L947" s="64"/>
      <c r="M947" s="64"/>
      <c r="N947" s="16"/>
      <c r="O947" s="11"/>
      <c r="P947" s="11"/>
      <c r="Q947" s="11"/>
      <c r="R947" s="11"/>
      <c r="S947" s="11"/>
      <c r="T947" s="11"/>
      <c r="U947" s="11">
        <f t="shared" si="529"/>
        <v>0</v>
      </c>
      <c r="V947" s="2">
        <f t="shared" si="530"/>
        <v>0</v>
      </c>
      <c r="W947" s="11">
        <f t="shared" si="499"/>
        <v>0</v>
      </c>
      <c r="X947" s="2">
        <f t="shared" si="500"/>
        <v>0</v>
      </c>
      <c r="Y947" s="2">
        <f t="shared" si="501"/>
        <v>0</v>
      </c>
      <c r="Z947" s="11">
        <f t="shared" si="502"/>
        <v>0</v>
      </c>
      <c r="AA947" s="2">
        <f t="shared" si="503"/>
        <v>0</v>
      </c>
      <c r="AB947" s="11">
        <f t="shared" si="504"/>
        <v>0</v>
      </c>
      <c r="AC947" s="2">
        <f t="shared" si="505"/>
        <v>0</v>
      </c>
      <c r="AF947" s="11">
        <f t="shared" si="506"/>
        <v>0</v>
      </c>
      <c r="AG947" s="2">
        <f t="shared" si="507"/>
        <v>0</v>
      </c>
      <c r="AH947" s="2">
        <f t="shared" si="508"/>
        <v>0</v>
      </c>
      <c r="AI947" s="2">
        <f t="shared" si="509"/>
        <v>0</v>
      </c>
      <c r="AJ947" s="2">
        <f t="shared" si="510"/>
        <v>0</v>
      </c>
      <c r="AK947" s="2">
        <f t="shared" si="511"/>
        <v>0</v>
      </c>
      <c r="AL947" s="2">
        <f t="shared" si="512"/>
        <v>0</v>
      </c>
      <c r="AM947" s="11"/>
      <c r="AN947" s="2" t="e">
        <f t="shared" si="521"/>
        <v>#N/A</v>
      </c>
      <c r="AO947" s="2" t="e">
        <f t="shared" si="522"/>
        <v>#N/A</v>
      </c>
      <c r="AP947" s="2" t="e">
        <f t="shared" si="523"/>
        <v>#N/A</v>
      </c>
      <c r="AQ947" s="2" t="e">
        <f t="shared" si="524"/>
        <v>#N/A</v>
      </c>
      <c r="AR947" s="2" t="e">
        <f t="shared" si="525"/>
        <v>#N/A</v>
      </c>
      <c r="AS947" s="2" t="e">
        <f t="shared" si="526"/>
        <v>#DIV/0!</v>
      </c>
      <c r="AT947" s="9" t="e">
        <f t="shared" ca="1" si="527"/>
        <v>#N/A</v>
      </c>
      <c r="AU947" s="9" t="e">
        <f t="shared" ca="1" si="528"/>
        <v>#N/A</v>
      </c>
      <c r="AW947" s="2" t="e">
        <f t="shared" si="513"/>
        <v>#N/A</v>
      </c>
      <c r="AX947" s="2" t="e">
        <f t="shared" si="514"/>
        <v>#N/A</v>
      </c>
      <c r="AY947" s="2" t="e">
        <f t="shared" si="515"/>
        <v>#N/A</v>
      </c>
      <c r="AZ947" s="2" t="e">
        <f t="shared" si="516"/>
        <v>#N/A</v>
      </c>
      <c r="BA947" s="2" t="e">
        <f t="shared" si="517"/>
        <v>#N/A</v>
      </c>
      <c r="BB947" s="2" t="e">
        <f t="shared" si="518"/>
        <v>#DIV/0!</v>
      </c>
      <c r="BC947" s="9" t="e">
        <f t="shared" ca="1" si="519"/>
        <v>#N/A</v>
      </c>
      <c r="BD947" s="9" t="e">
        <f t="shared" ca="1" si="520"/>
        <v>#N/A</v>
      </c>
    </row>
    <row r="948" spans="1:56" ht="15" x14ac:dyDescent="0.25">
      <c r="A948"/>
      <c r="B948"/>
      <c r="C948"/>
      <c r="D948"/>
      <c r="E948"/>
      <c r="F948"/>
      <c r="G948"/>
      <c r="H948"/>
      <c r="I948"/>
      <c r="J948"/>
      <c r="K948"/>
      <c r="L948" s="64"/>
      <c r="M948" s="64"/>
      <c r="N948" s="16"/>
      <c r="O948" s="11"/>
      <c r="P948" s="11"/>
      <c r="Q948" s="11"/>
      <c r="R948" s="11"/>
      <c r="S948" s="11"/>
      <c r="T948" s="11"/>
      <c r="U948" s="11">
        <f t="shared" si="529"/>
        <v>0</v>
      </c>
      <c r="V948" s="2">
        <f t="shared" si="530"/>
        <v>0</v>
      </c>
      <c r="W948" s="11">
        <f t="shared" si="499"/>
        <v>0</v>
      </c>
      <c r="X948" s="2">
        <f t="shared" si="500"/>
        <v>0</v>
      </c>
      <c r="Y948" s="2">
        <f t="shared" si="501"/>
        <v>0</v>
      </c>
      <c r="Z948" s="11">
        <f t="shared" si="502"/>
        <v>0</v>
      </c>
      <c r="AA948" s="2">
        <f t="shared" si="503"/>
        <v>0</v>
      </c>
      <c r="AB948" s="11">
        <f t="shared" si="504"/>
        <v>0</v>
      </c>
      <c r="AC948" s="2">
        <f t="shared" si="505"/>
        <v>0</v>
      </c>
      <c r="AF948" s="11">
        <f t="shared" si="506"/>
        <v>0</v>
      </c>
      <c r="AG948" s="2">
        <f t="shared" si="507"/>
        <v>0</v>
      </c>
      <c r="AH948" s="2">
        <f t="shared" si="508"/>
        <v>0</v>
      </c>
      <c r="AI948" s="2">
        <f t="shared" si="509"/>
        <v>0</v>
      </c>
      <c r="AJ948" s="2">
        <f t="shared" si="510"/>
        <v>0</v>
      </c>
      <c r="AK948" s="2">
        <f t="shared" si="511"/>
        <v>0</v>
      </c>
      <c r="AL948" s="2">
        <f t="shared" si="512"/>
        <v>0</v>
      </c>
      <c r="AM948" s="11"/>
      <c r="AN948" s="2" t="e">
        <f t="shared" si="521"/>
        <v>#N/A</v>
      </c>
      <c r="AO948" s="2" t="e">
        <f t="shared" si="522"/>
        <v>#N/A</v>
      </c>
      <c r="AP948" s="2" t="e">
        <f t="shared" si="523"/>
        <v>#N/A</v>
      </c>
      <c r="AQ948" s="2" t="e">
        <f t="shared" si="524"/>
        <v>#N/A</v>
      </c>
      <c r="AR948" s="2" t="e">
        <f t="shared" si="525"/>
        <v>#N/A</v>
      </c>
      <c r="AS948" s="2" t="e">
        <f t="shared" si="526"/>
        <v>#DIV/0!</v>
      </c>
      <c r="AT948" s="9" t="e">
        <f t="shared" ca="1" si="527"/>
        <v>#N/A</v>
      </c>
      <c r="AU948" s="9" t="e">
        <f t="shared" ca="1" si="528"/>
        <v>#N/A</v>
      </c>
      <c r="AW948" s="2" t="e">
        <f t="shared" si="513"/>
        <v>#N/A</v>
      </c>
      <c r="AX948" s="2" t="e">
        <f t="shared" si="514"/>
        <v>#N/A</v>
      </c>
      <c r="AY948" s="2" t="e">
        <f t="shared" si="515"/>
        <v>#N/A</v>
      </c>
      <c r="AZ948" s="2" t="e">
        <f t="shared" si="516"/>
        <v>#N/A</v>
      </c>
      <c r="BA948" s="2" t="e">
        <f t="shared" si="517"/>
        <v>#N/A</v>
      </c>
      <c r="BB948" s="2" t="e">
        <f t="shared" si="518"/>
        <v>#DIV/0!</v>
      </c>
      <c r="BC948" s="9" t="e">
        <f t="shared" ca="1" si="519"/>
        <v>#N/A</v>
      </c>
      <c r="BD948" s="9" t="e">
        <f t="shared" ca="1" si="520"/>
        <v>#N/A</v>
      </c>
    </row>
    <row r="949" spans="1:56" ht="15" x14ac:dyDescent="0.25">
      <c r="A949"/>
      <c r="B949"/>
      <c r="C949"/>
      <c r="D949"/>
      <c r="E949"/>
      <c r="F949"/>
      <c r="G949"/>
      <c r="H949"/>
      <c r="I949"/>
      <c r="J949"/>
      <c r="K949"/>
      <c r="L949" s="64"/>
      <c r="M949" s="64"/>
      <c r="N949" s="16"/>
      <c r="O949" s="11"/>
      <c r="P949" s="11"/>
      <c r="Q949" s="11"/>
      <c r="R949" s="11"/>
      <c r="S949" s="11"/>
      <c r="T949" s="11"/>
      <c r="U949" s="11">
        <f t="shared" si="529"/>
        <v>0</v>
      </c>
      <c r="V949" s="2">
        <f t="shared" si="530"/>
        <v>0</v>
      </c>
      <c r="W949" s="11">
        <f t="shared" si="499"/>
        <v>0</v>
      </c>
      <c r="X949" s="2">
        <f t="shared" si="500"/>
        <v>0</v>
      </c>
      <c r="Y949" s="2">
        <f t="shared" si="501"/>
        <v>0</v>
      </c>
      <c r="Z949" s="11">
        <f t="shared" si="502"/>
        <v>0</v>
      </c>
      <c r="AA949" s="2">
        <f t="shared" si="503"/>
        <v>0</v>
      </c>
      <c r="AB949" s="11">
        <f t="shared" si="504"/>
        <v>0</v>
      </c>
      <c r="AC949" s="2">
        <f t="shared" si="505"/>
        <v>0</v>
      </c>
      <c r="AF949" s="11">
        <f t="shared" si="506"/>
        <v>0</v>
      </c>
      <c r="AG949" s="2">
        <f t="shared" si="507"/>
        <v>0</v>
      </c>
      <c r="AH949" s="2">
        <f t="shared" si="508"/>
        <v>0</v>
      </c>
      <c r="AI949" s="2">
        <f t="shared" si="509"/>
        <v>0</v>
      </c>
      <c r="AJ949" s="2">
        <f t="shared" si="510"/>
        <v>0</v>
      </c>
      <c r="AK949" s="2">
        <f t="shared" si="511"/>
        <v>0</v>
      </c>
      <c r="AL949" s="2">
        <f t="shared" si="512"/>
        <v>0</v>
      </c>
      <c r="AM949" s="11"/>
      <c r="AN949" s="2" t="e">
        <f t="shared" si="521"/>
        <v>#N/A</v>
      </c>
      <c r="AO949" s="2" t="e">
        <f t="shared" si="522"/>
        <v>#N/A</v>
      </c>
      <c r="AP949" s="2" t="e">
        <f t="shared" si="523"/>
        <v>#N/A</v>
      </c>
      <c r="AQ949" s="2" t="e">
        <f t="shared" si="524"/>
        <v>#N/A</v>
      </c>
      <c r="AR949" s="2" t="e">
        <f t="shared" si="525"/>
        <v>#N/A</v>
      </c>
      <c r="AS949" s="2" t="e">
        <f t="shared" si="526"/>
        <v>#DIV/0!</v>
      </c>
      <c r="AT949" s="9" t="e">
        <f t="shared" ca="1" si="527"/>
        <v>#N/A</v>
      </c>
      <c r="AU949" s="9" t="e">
        <f t="shared" ca="1" si="528"/>
        <v>#N/A</v>
      </c>
      <c r="AW949" s="2" t="e">
        <f t="shared" si="513"/>
        <v>#N/A</v>
      </c>
      <c r="AX949" s="2" t="e">
        <f t="shared" si="514"/>
        <v>#N/A</v>
      </c>
      <c r="AY949" s="2" t="e">
        <f t="shared" si="515"/>
        <v>#N/A</v>
      </c>
      <c r="AZ949" s="2" t="e">
        <f t="shared" si="516"/>
        <v>#N/A</v>
      </c>
      <c r="BA949" s="2" t="e">
        <f t="shared" si="517"/>
        <v>#N/A</v>
      </c>
      <c r="BB949" s="2" t="e">
        <f t="shared" si="518"/>
        <v>#DIV/0!</v>
      </c>
      <c r="BC949" s="9" t="e">
        <f t="shared" ca="1" si="519"/>
        <v>#N/A</v>
      </c>
      <c r="BD949" s="9" t="e">
        <f t="shared" ca="1" si="520"/>
        <v>#N/A</v>
      </c>
    </row>
    <row r="950" spans="1:56" ht="15" x14ac:dyDescent="0.25">
      <c r="A950"/>
      <c r="B950"/>
      <c r="C950"/>
      <c r="D950"/>
      <c r="E950"/>
      <c r="F950"/>
      <c r="G950"/>
      <c r="H950"/>
      <c r="I950"/>
      <c r="J950"/>
      <c r="K950"/>
      <c r="L950" s="64"/>
      <c r="M950" s="64"/>
      <c r="N950" s="16"/>
      <c r="O950" s="11"/>
      <c r="P950" s="11"/>
      <c r="Q950" s="11"/>
      <c r="R950" s="11"/>
      <c r="S950" s="11"/>
      <c r="T950" s="11"/>
      <c r="U950" s="11">
        <f t="shared" si="529"/>
        <v>0</v>
      </c>
      <c r="V950" s="2">
        <f t="shared" si="530"/>
        <v>0</v>
      </c>
      <c r="W950" s="11">
        <f t="shared" si="499"/>
        <v>0</v>
      </c>
      <c r="X950" s="2">
        <f t="shared" si="500"/>
        <v>0</v>
      </c>
      <c r="Y950" s="2">
        <f t="shared" si="501"/>
        <v>0</v>
      </c>
      <c r="Z950" s="11">
        <f t="shared" si="502"/>
        <v>0</v>
      </c>
      <c r="AA950" s="2">
        <f t="shared" si="503"/>
        <v>0</v>
      </c>
      <c r="AB950" s="11">
        <f t="shared" si="504"/>
        <v>0</v>
      </c>
      <c r="AC950" s="2">
        <f t="shared" si="505"/>
        <v>0</v>
      </c>
      <c r="AF950" s="11">
        <f t="shared" si="506"/>
        <v>0</v>
      </c>
      <c r="AG950" s="2">
        <f t="shared" si="507"/>
        <v>0</v>
      </c>
      <c r="AH950" s="2">
        <f t="shared" si="508"/>
        <v>0</v>
      </c>
      <c r="AI950" s="2">
        <f t="shared" si="509"/>
        <v>0</v>
      </c>
      <c r="AJ950" s="2">
        <f t="shared" si="510"/>
        <v>0</v>
      </c>
      <c r="AK950" s="2">
        <f t="shared" si="511"/>
        <v>0</v>
      </c>
      <c r="AL950" s="2">
        <f t="shared" si="512"/>
        <v>0</v>
      </c>
      <c r="AM950" s="11"/>
      <c r="AN950" s="2" t="e">
        <f t="shared" si="521"/>
        <v>#N/A</v>
      </c>
      <c r="AO950" s="2" t="e">
        <f t="shared" si="522"/>
        <v>#N/A</v>
      </c>
      <c r="AP950" s="2" t="e">
        <f t="shared" si="523"/>
        <v>#N/A</v>
      </c>
      <c r="AQ950" s="2" t="e">
        <f t="shared" si="524"/>
        <v>#N/A</v>
      </c>
      <c r="AR950" s="2" t="e">
        <f t="shared" si="525"/>
        <v>#N/A</v>
      </c>
      <c r="AS950" s="2" t="e">
        <f t="shared" si="526"/>
        <v>#DIV/0!</v>
      </c>
      <c r="AT950" s="9" t="e">
        <f t="shared" ca="1" si="527"/>
        <v>#N/A</v>
      </c>
      <c r="AU950" s="9" t="e">
        <f t="shared" ca="1" si="528"/>
        <v>#N/A</v>
      </c>
      <c r="AW950" s="2" t="e">
        <f t="shared" si="513"/>
        <v>#N/A</v>
      </c>
      <c r="AX950" s="2" t="e">
        <f t="shared" si="514"/>
        <v>#N/A</v>
      </c>
      <c r="AY950" s="2" t="e">
        <f t="shared" si="515"/>
        <v>#N/A</v>
      </c>
      <c r="AZ950" s="2" t="e">
        <f t="shared" si="516"/>
        <v>#N/A</v>
      </c>
      <c r="BA950" s="2" t="e">
        <f t="shared" si="517"/>
        <v>#N/A</v>
      </c>
      <c r="BB950" s="2" t="e">
        <f t="shared" si="518"/>
        <v>#DIV/0!</v>
      </c>
      <c r="BC950" s="9" t="e">
        <f t="shared" ca="1" si="519"/>
        <v>#N/A</v>
      </c>
      <c r="BD950" s="9" t="e">
        <f t="shared" ca="1" si="520"/>
        <v>#N/A</v>
      </c>
    </row>
    <row r="951" spans="1:56" ht="15" x14ac:dyDescent="0.25">
      <c r="A951"/>
      <c r="B951"/>
      <c r="C951"/>
      <c r="D951"/>
      <c r="E951"/>
      <c r="F951"/>
      <c r="G951"/>
      <c r="H951"/>
      <c r="I951"/>
      <c r="J951"/>
      <c r="K951"/>
      <c r="L951" s="64"/>
      <c r="M951" s="64"/>
      <c r="N951" s="16"/>
      <c r="O951" s="11"/>
      <c r="P951" s="11"/>
      <c r="Q951" s="11"/>
      <c r="R951" s="11"/>
      <c r="S951" s="11"/>
      <c r="T951" s="11"/>
      <c r="U951" s="11">
        <f t="shared" si="529"/>
        <v>0</v>
      </c>
      <c r="V951" s="2">
        <f t="shared" si="530"/>
        <v>0</v>
      </c>
      <c r="W951" s="11">
        <f t="shared" si="499"/>
        <v>0</v>
      </c>
      <c r="X951" s="2">
        <f t="shared" si="500"/>
        <v>0</v>
      </c>
      <c r="Y951" s="2">
        <f t="shared" si="501"/>
        <v>0</v>
      </c>
      <c r="Z951" s="11">
        <f t="shared" si="502"/>
        <v>0</v>
      </c>
      <c r="AA951" s="2">
        <f t="shared" si="503"/>
        <v>0</v>
      </c>
      <c r="AB951" s="11">
        <f t="shared" si="504"/>
        <v>0</v>
      </c>
      <c r="AC951" s="2">
        <f t="shared" si="505"/>
        <v>0</v>
      </c>
      <c r="AF951" s="11">
        <f t="shared" si="506"/>
        <v>0</v>
      </c>
      <c r="AG951" s="2">
        <f t="shared" si="507"/>
        <v>0</v>
      </c>
      <c r="AH951" s="2">
        <f t="shared" si="508"/>
        <v>0</v>
      </c>
      <c r="AI951" s="2">
        <f t="shared" si="509"/>
        <v>0</v>
      </c>
      <c r="AJ951" s="2">
        <f t="shared" si="510"/>
        <v>0</v>
      </c>
      <c r="AK951" s="2">
        <f t="shared" si="511"/>
        <v>0</v>
      </c>
      <c r="AL951" s="2">
        <f t="shared" si="512"/>
        <v>0</v>
      </c>
      <c r="AM951" s="11"/>
      <c r="AN951" s="2" t="e">
        <f t="shared" si="521"/>
        <v>#N/A</v>
      </c>
      <c r="AO951" s="2" t="e">
        <f t="shared" si="522"/>
        <v>#N/A</v>
      </c>
      <c r="AP951" s="2" t="e">
        <f t="shared" si="523"/>
        <v>#N/A</v>
      </c>
      <c r="AQ951" s="2" t="e">
        <f t="shared" si="524"/>
        <v>#N/A</v>
      </c>
      <c r="AR951" s="2" t="e">
        <f t="shared" si="525"/>
        <v>#N/A</v>
      </c>
      <c r="AS951" s="2" t="e">
        <f t="shared" si="526"/>
        <v>#DIV/0!</v>
      </c>
      <c r="AT951" s="9" t="e">
        <f t="shared" ca="1" si="527"/>
        <v>#N/A</v>
      </c>
      <c r="AU951" s="9" t="e">
        <f t="shared" ca="1" si="528"/>
        <v>#N/A</v>
      </c>
      <c r="AW951" s="2" t="e">
        <f t="shared" si="513"/>
        <v>#N/A</v>
      </c>
      <c r="AX951" s="2" t="e">
        <f t="shared" si="514"/>
        <v>#N/A</v>
      </c>
      <c r="AY951" s="2" t="e">
        <f t="shared" si="515"/>
        <v>#N/A</v>
      </c>
      <c r="AZ951" s="2" t="e">
        <f t="shared" si="516"/>
        <v>#N/A</v>
      </c>
      <c r="BA951" s="2" t="e">
        <f t="shared" si="517"/>
        <v>#N/A</v>
      </c>
      <c r="BB951" s="2" t="e">
        <f t="shared" si="518"/>
        <v>#DIV/0!</v>
      </c>
      <c r="BC951" s="9" t="e">
        <f t="shared" ca="1" si="519"/>
        <v>#N/A</v>
      </c>
      <c r="BD951" s="9" t="e">
        <f t="shared" ca="1" si="520"/>
        <v>#N/A</v>
      </c>
    </row>
    <row r="952" spans="1:56" ht="15" x14ac:dyDescent="0.25">
      <c r="A952"/>
      <c r="B952"/>
      <c r="C952"/>
      <c r="D952"/>
      <c r="E952"/>
      <c r="F952"/>
      <c r="G952"/>
      <c r="H952"/>
      <c r="I952"/>
      <c r="J952"/>
      <c r="K952"/>
      <c r="L952" s="64"/>
      <c r="M952" s="64"/>
      <c r="N952" s="16"/>
      <c r="O952" s="11"/>
      <c r="P952" s="11"/>
      <c r="Q952" s="11"/>
      <c r="R952" s="11"/>
      <c r="S952" s="11"/>
      <c r="T952" s="11"/>
      <c r="U952" s="11">
        <f t="shared" si="529"/>
        <v>0</v>
      </c>
      <c r="V952" s="2">
        <f t="shared" si="530"/>
        <v>0</v>
      </c>
      <c r="W952" s="11">
        <f t="shared" si="499"/>
        <v>0</v>
      </c>
      <c r="X952" s="2">
        <f t="shared" si="500"/>
        <v>0</v>
      </c>
      <c r="Y952" s="2">
        <f t="shared" si="501"/>
        <v>0</v>
      </c>
      <c r="Z952" s="11">
        <f t="shared" si="502"/>
        <v>0</v>
      </c>
      <c r="AA952" s="2">
        <f t="shared" si="503"/>
        <v>0</v>
      </c>
      <c r="AB952" s="11">
        <f t="shared" si="504"/>
        <v>0</v>
      </c>
      <c r="AC952" s="2">
        <f t="shared" si="505"/>
        <v>0</v>
      </c>
      <c r="AF952" s="11">
        <f t="shared" si="506"/>
        <v>0</v>
      </c>
      <c r="AG952" s="2">
        <f t="shared" si="507"/>
        <v>0</v>
      </c>
      <c r="AH952" s="2">
        <f t="shared" si="508"/>
        <v>0</v>
      </c>
      <c r="AI952" s="2">
        <f t="shared" si="509"/>
        <v>0</v>
      </c>
      <c r="AJ952" s="2">
        <f t="shared" si="510"/>
        <v>0</v>
      </c>
      <c r="AK952" s="2">
        <f t="shared" si="511"/>
        <v>0</v>
      </c>
      <c r="AL952" s="2">
        <f t="shared" si="512"/>
        <v>0</v>
      </c>
      <c r="AM952" s="11"/>
      <c r="AN952" s="2" t="e">
        <f t="shared" si="521"/>
        <v>#N/A</v>
      </c>
      <c r="AO952" s="2" t="e">
        <f t="shared" si="522"/>
        <v>#N/A</v>
      </c>
      <c r="AP952" s="2" t="e">
        <f t="shared" si="523"/>
        <v>#N/A</v>
      </c>
      <c r="AQ952" s="2" t="e">
        <f t="shared" si="524"/>
        <v>#N/A</v>
      </c>
      <c r="AR952" s="2" t="e">
        <f t="shared" si="525"/>
        <v>#N/A</v>
      </c>
      <c r="AS952" s="2" t="e">
        <f t="shared" si="526"/>
        <v>#DIV/0!</v>
      </c>
      <c r="AT952" s="9" t="e">
        <f t="shared" ca="1" si="527"/>
        <v>#N/A</v>
      </c>
      <c r="AU952" s="9" t="e">
        <f t="shared" ca="1" si="528"/>
        <v>#N/A</v>
      </c>
      <c r="AW952" s="2" t="e">
        <f t="shared" si="513"/>
        <v>#N/A</v>
      </c>
      <c r="AX952" s="2" t="e">
        <f t="shared" si="514"/>
        <v>#N/A</v>
      </c>
      <c r="AY952" s="2" t="e">
        <f t="shared" si="515"/>
        <v>#N/A</v>
      </c>
      <c r="AZ952" s="2" t="e">
        <f t="shared" si="516"/>
        <v>#N/A</v>
      </c>
      <c r="BA952" s="2" t="e">
        <f t="shared" si="517"/>
        <v>#N/A</v>
      </c>
      <c r="BB952" s="2" t="e">
        <f t="shared" si="518"/>
        <v>#DIV/0!</v>
      </c>
      <c r="BC952" s="9" t="e">
        <f t="shared" ca="1" si="519"/>
        <v>#N/A</v>
      </c>
      <c r="BD952" s="9" t="e">
        <f t="shared" ca="1" si="520"/>
        <v>#N/A</v>
      </c>
    </row>
    <row r="953" spans="1:56" ht="15" x14ac:dyDescent="0.25">
      <c r="A953"/>
      <c r="B953"/>
      <c r="C953"/>
      <c r="D953"/>
      <c r="E953"/>
      <c r="F953"/>
      <c r="G953"/>
      <c r="H953"/>
      <c r="I953"/>
      <c r="J953"/>
      <c r="K953"/>
      <c r="L953" s="64"/>
      <c r="M953" s="64"/>
      <c r="N953" s="16"/>
      <c r="O953" s="11"/>
      <c r="P953" s="11"/>
      <c r="Q953" s="11"/>
      <c r="R953" s="11"/>
      <c r="S953" s="11"/>
      <c r="T953" s="11"/>
      <c r="U953" s="11">
        <f t="shared" si="529"/>
        <v>0</v>
      </c>
      <c r="V953" s="2">
        <f t="shared" si="530"/>
        <v>0</v>
      </c>
      <c r="W953" s="11">
        <f t="shared" si="499"/>
        <v>0</v>
      </c>
      <c r="X953" s="2">
        <f t="shared" si="500"/>
        <v>0</v>
      </c>
      <c r="Y953" s="2">
        <f t="shared" si="501"/>
        <v>0</v>
      </c>
      <c r="Z953" s="11">
        <f t="shared" si="502"/>
        <v>0</v>
      </c>
      <c r="AA953" s="2">
        <f t="shared" si="503"/>
        <v>0</v>
      </c>
      <c r="AB953" s="11">
        <f t="shared" si="504"/>
        <v>0</v>
      </c>
      <c r="AC953" s="2">
        <f t="shared" si="505"/>
        <v>0</v>
      </c>
      <c r="AF953" s="11">
        <f t="shared" si="506"/>
        <v>0</v>
      </c>
      <c r="AG953" s="2">
        <f t="shared" si="507"/>
        <v>0</v>
      </c>
      <c r="AH953" s="2">
        <f t="shared" si="508"/>
        <v>0</v>
      </c>
      <c r="AI953" s="2">
        <f t="shared" si="509"/>
        <v>0</v>
      </c>
      <c r="AJ953" s="2">
        <f t="shared" si="510"/>
        <v>0</v>
      </c>
      <c r="AK953" s="2">
        <f t="shared" si="511"/>
        <v>0</v>
      </c>
      <c r="AL953" s="2">
        <f t="shared" si="512"/>
        <v>0</v>
      </c>
      <c r="AM953" s="11"/>
      <c r="AN953" s="2" t="e">
        <f t="shared" si="521"/>
        <v>#N/A</v>
      </c>
      <c r="AO953" s="2" t="e">
        <f t="shared" si="522"/>
        <v>#N/A</v>
      </c>
      <c r="AP953" s="2" t="e">
        <f t="shared" si="523"/>
        <v>#N/A</v>
      </c>
      <c r="AQ953" s="2" t="e">
        <f t="shared" si="524"/>
        <v>#N/A</v>
      </c>
      <c r="AR953" s="2" t="e">
        <f t="shared" si="525"/>
        <v>#N/A</v>
      </c>
      <c r="AS953" s="2" t="e">
        <f t="shared" si="526"/>
        <v>#DIV/0!</v>
      </c>
      <c r="AT953" s="9" t="e">
        <f t="shared" ca="1" si="527"/>
        <v>#N/A</v>
      </c>
      <c r="AU953" s="9" t="e">
        <f t="shared" ca="1" si="528"/>
        <v>#N/A</v>
      </c>
      <c r="AW953" s="2" t="e">
        <f t="shared" si="513"/>
        <v>#N/A</v>
      </c>
      <c r="AX953" s="2" t="e">
        <f t="shared" si="514"/>
        <v>#N/A</v>
      </c>
      <c r="AY953" s="2" t="e">
        <f t="shared" si="515"/>
        <v>#N/A</v>
      </c>
      <c r="AZ953" s="2" t="e">
        <f t="shared" si="516"/>
        <v>#N/A</v>
      </c>
      <c r="BA953" s="2" t="e">
        <f t="shared" si="517"/>
        <v>#N/A</v>
      </c>
      <c r="BB953" s="2" t="e">
        <f t="shared" si="518"/>
        <v>#DIV/0!</v>
      </c>
      <c r="BC953" s="9" t="e">
        <f t="shared" ca="1" si="519"/>
        <v>#N/A</v>
      </c>
      <c r="BD953" s="9" t="e">
        <f t="shared" ca="1" si="520"/>
        <v>#N/A</v>
      </c>
    </row>
    <row r="954" spans="1:56" ht="15" x14ac:dyDescent="0.25">
      <c r="A954"/>
      <c r="B954"/>
      <c r="C954"/>
      <c r="D954"/>
      <c r="E954"/>
      <c r="F954"/>
      <c r="G954"/>
      <c r="H954"/>
      <c r="I954"/>
      <c r="J954"/>
      <c r="K954"/>
      <c r="L954" s="64"/>
      <c r="M954" s="64"/>
      <c r="N954" s="16"/>
      <c r="O954" s="11"/>
      <c r="P954" s="11"/>
      <c r="Q954" s="11"/>
      <c r="R954" s="11"/>
      <c r="S954" s="11"/>
      <c r="T954" s="11"/>
      <c r="U954" s="11">
        <f t="shared" si="529"/>
        <v>0</v>
      </c>
      <c r="V954" s="2">
        <f t="shared" si="530"/>
        <v>0</v>
      </c>
      <c r="W954" s="11">
        <f t="shared" si="499"/>
        <v>0</v>
      </c>
      <c r="X954" s="2">
        <f t="shared" si="500"/>
        <v>0</v>
      </c>
      <c r="Y954" s="2">
        <f t="shared" si="501"/>
        <v>0</v>
      </c>
      <c r="Z954" s="11">
        <f t="shared" si="502"/>
        <v>0</v>
      </c>
      <c r="AA954" s="2">
        <f t="shared" si="503"/>
        <v>0</v>
      </c>
      <c r="AB954" s="11">
        <f t="shared" si="504"/>
        <v>0</v>
      </c>
      <c r="AC954" s="2">
        <f t="shared" si="505"/>
        <v>0</v>
      </c>
      <c r="AF954" s="11">
        <f t="shared" si="506"/>
        <v>0</v>
      </c>
      <c r="AG954" s="2">
        <f t="shared" si="507"/>
        <v>0</v>
      </c>
      <c r="AH954" s="2">
        <f t="shared" si="508"/>
        <v>0</v>
      </c>
      <c r="AI954" s="2">
        <f t="shared" si="509"/>
        <v>0</v>
      </c>
      <c r="AJ954" s="2">
        <f t="shared" si="510"/>
        <v>0</v>
      </c>
      <c r="AK954" s="2">
        <f t="shared" si="511"/>
        <v>0</v>
      </c>
      <c r="AL954" s="2">
        <f t="shared" si="512"/>
        <v>0</v>
      </c>
      <c r="AM954" s="11"/>
      <c r="AN954" s="2" t="e">
        <f t="shared" si="521"/>
        <v>#N/A</v>
      </c>
      <c r="AO954" s="2" t="e">
        <f t="shared" si="522"/>
        <v>#N/A</v>
      </c>
      <c r="AP954" s="2" t="e">
        <f t="shared" si="523"/>
        <v>#N/A</v>
      </c>
      <c r="AQ954" s="2" t="e">
        <f t="shared" si="524"/>
        <v>#N/A</v>
      </c>
      <c r="AR954" s="2" t="e">
        <f t="shared" si="525"/>
        <v>#N/A</v>
      </c>
      <c r="AS954" s="2" t="e">
        <f t="shared" si="526"/>
        <v>#DIV/0!</v>
      </c>
      <c r="AT954" s="9" t="e">
        <f t="shared" ca="1" si="527"/>
        <v>#N/A</v>
      </c>
      <c r="AU954" s="9" t="e">
        <f t="shared" ca="1" si="528"/>
        <v>#N/A</v>
      </c>
      <c r="AW954" s="2" t="e">
        <f t="shared" si="513"/>
        <v>#N/A</v>
      </c>
      <c r="AX954" s="2" t="e">
        <f t="shared" si="514"/>
        <v>#N/A</v>
      </c>
      <c r="AY954" s="2" t="e">
        <f t="shared" si="515"/>
        <v>#N/A</v>
      </c>
      <c r="AZ954" s="2" t="e">
        <f t="shared" si="516"/>
        <v>#N/A</v>
      </c>
      <c r="BA954" s="2" t="e">
        <f t="shared" si="517"/>
        <v>#N/A</v>
      </c>
      <c r="BB954" s="2" t="e">
        <f t="shared" si="518"/>
        <v>#DIV/0!</v>
      </c>
      <c r="BC954" s="9" t="e">
        <f t="shared" ca="1" si="519"/>
        <v>#N/A</v>
      </c>
      <c r="BD954" s="9" t="e">
        <f t="shared" ca="1" si="520"/>
        <v>#N/A</v>
      </c>
    </row>
    <row r="955" spans="1:56" ht="15" x14ac:dyDescent="0.25">
      <c r="A955"/>
      <c r="B955"/>
      <c r="C955"/>
      <c r="D955"/>
      <c r="E955"/>
      <c r="F955"/>
      <c r="G955"/>
      <c r="H955"/>
      <c r="I955"/>
      <c r="J955"/>
      <c r="K955"/>
      <c r="L955" s="64"/>
      <c r="M955" s="64"/>
      <c r="N955" s="16"/>
      <c r="O955" s="11"/>
      <c r="P955" s="11"/>
      <c r="Q955" s="11"/>
      <c r="R955" s="11"/>
      <c r="S955" s="11"/>
      <c r="T955" s="11"/>
      <c r="U955" s="11">
        <f t="shared" si="529"/>
        <v>0</v>
      </c>
      <c r="V955" s="2">
        <f t="shared" si="530"/>
        <v>0</v>
      </c>
      <c r="W955" s="11">
        <f t="shared" si="499"/>
        <v>0</v>
      </c>
      <c r="X955" s="2">
        <f t="shared" si="500"/>
        <v>0</v>
      </c>
      <c r="Y955" s="2">
        <f t="shared" si="501"/>
        <v>0</v>
      </c>
      <c r="Z955" s="11">
        <f t="shared" si="502"/>
        <v>0</v>
      </c>
      <c r="AA955" s="2">
        <f t="shared" si="503"/>
        <v>0</v>
      </c>
      <c r="AB955" s="11">
        <f t="shared" si="504"/>
        <v>0</v>
      </c>
      <c r="AC955" s="2">
        <f t="shared" si="505"/>
        <v>0</v>
      </c>
      <c r="AF955" s="11">
        <f t="shared" si="506"/>
        <v>0</v>
      </c>
      <c r="AG955" s="2">
        <f t="shared" si="507"/>
        <v>0</v>
      </c>
      <c r="AH955" s="2">
        <f t="shared" si="508"/>
        <v>0</v>
      </c>
      <c r="AI955" s="2">
        <f t="shared" si="509"/>
        <v>0</v>
      </c>
      <c r="AJ955" s="2">
        <f t="shared" si="510"/>
        <v>0</v>
      </c>
      <c r="AK955" s="2">
        <f t="shared" si="511"/>
        <v>0</v>
      </c>
      <c r="AL955" s="2">
        <f t="shared" si="512"/>
        <v>0</v>
      </c>
      <c r="AM955" s="11"/>
      <c r="AN955" s="2" t="e">
        <f t="shared" si="521"/>
        <v>#N/A</v>
      </c>
      <c r="AO955" s="2" t="e">
        <f t="shared" si="522"/>
        <v>#N/A</v>
      </c>
      <c r="AP955" s="2" t="e">
        <f t="shared" si="523"/>
        <v>#N/A</v>
      </c>
      <c r="AQ955" s="2" t="e">
        <f t="shared" si="524"/>
        <v>#N/A</v>
      </c>
      <c r="AR955" s="2" t="e">
        <f t="shared" si="525"/>
        <v>#N/A</v>
      </c>
      <c r="AS955" s="2" t="e">
        <f t="shared" si="526"/>
        <v>#DIV/0!</v>
      </c>
      <c r="AT955" s="9" t="e">
        <f t="shared" ca="1" si="527"/>
        <v>#N/A</v>
      </c>
      <c r="AU955" s="9" t="e">
        <f t="shared" ca="1" si="528"/>
        <v>#N/A</v>
      </c>
      <c r="AW955" s="2" t="e">
        <f t="shared" si="513"/>
        <v>#N/A</v>
      </c>
      <c r="AX955" s="2" t="e">
        <f t="shared" si="514"/>
        <v>#N/A</v>
      </c>
      <c r="AY955" s="2" t="e">
        <f t="shared" si="515"/>
        <v>#N/A</v>
      </c>
      <c r="AZ955" s="2" t="e">
        <f t="shared" si="516"/>
        <v>#N/A</v>
      </c>
      <c r="BA955" s="2" t="e">
        <f t="shared" si="517"/>
        <v>#N/A</v>
      </c>
      <c r="BB955" s="2" t="e">
        <f t="shared" si="518"/>
        <v>#DIV/0!</v>
      </c>
      <c r="BC955" s="9" t="e">
        <f t="shared" ca="1" si="519"/>
        <v>#N/A</v>
      </c>
      <c r="BD955" s="9" t="e">
        <f t="shared" ca="1" si="520"/>
        <v>#N/A</v>
      </c>
    </row>
    <row r="956" spans="1:56" ht="15" x14ac:dyDescent="0.25">
      <c r="A956"/>
      <c r="B956"/>
      <c r="C956"/>
      <c r="D956"/>
      <c r="E956"/>
      <c r="F956"/>
      <c r="G956"/>
      <c r="H956"/>
      <c r="I956"/>
      <c r="J956"/>
      <c r="K956"/>
      <c r="L956" s="64"/>
      <c r="M956" s="64"/>
      <c r="N956" s="16"/>
      <c r="O956" s="11"/>
      <c r="P956" s="11"/>
      <c r="Q956" s="11"/>
      <c r="R956" s="11"/>
      <c r="S956" s="11"/>
      <c r="T956" s="11"/>
      <c r="U956" s="11">
        <f t="shared" si="529"/>
        <v>0</v>
      </c>
      <c r="V956" s="2">
        <f t="shared" si="530"/>
        <v>0</v>
      </c>
      <c r="W956" s="11">
        <f t="shared" si="499"/>
        <v>0</v>
      </c>
      <c r="X956" s="2">
        <f t="shared" si="500"/>
        <v>0</v>
      </c>
      <c r="Y956" s="2">
        <f t="shared" si="501"/>
        <v>0</v>
      </c>
      <c r="Z956" s="11">
        <f t="shared" si="502"/>
        <v>0</v>
      </c>
      <c r="AA956" s="2">
        <f t="shared" si="503"/>
        <v>0</v>
      </c>
      <c r="AB956" s="11">
        <f t="shared" si="504"/>
        <v>0</v>
      </c>
      <c r="AC956" s="2">
        <f t="shared" si="505"/>
        <v>0</v>
      </c>
      <c r="AF956" s="11">
        <f t="shared" si="506"/>
        <v>0</v>
      </c>
      <c r="AG956" s="2">
        <f t="shared" si="507"/>
        <v>0</v>
      </c>
      <c r="AH956" s="2">
        <f t="shared" si="508"/>
        <v>0</v>
      </c>
      <c r="AI956" s="2">
        <f t="shared" si="509"/>
        <v>0</v>
      </c>
      <c r="AJ956" s="2">
        <f t="shared" si="510"/>
        <v>0</v>
      </c>
      <c r="AK956" s="2">
        <f t="shared" si="511"/>
        <v>0</v>
      </c>
      <c r="AL956" s="2">
        <f t="shared" si="512"/>
        <v>0</v>
      </c>
      <c r="AM956" s="11"/>
      <c r="AN956" s="2" t="e">
        <f t="shared" si="521"/>
        <v>#N/A</v>
      </c>
      <c r="AO956" s="2" t="e">
        <f t="shared" si="522"/>
        <v>#N/A</v>
      </c>
      <c r="AP956" s="2" t="e">
        <f t="shared" si="523"/>
        <v>#N/A</v>
      </c>
      <c r="AQ956" s="2" t="e">
        <f t="shared" si="524"/>
        <v>#N/A</v>
      </c>
      <c r="AR956" s="2" t="e">
        <f t="shared" si="525"/>
        <v>#N/A</v>
      </c>
      <c r="AS956" s="2" t="e">
        <f t="shared" si="526"/>
        <v>#DIV/0!</v>
      </c>
      <c r="AT956" s="9" t="e">
        <f t="shared" ca="1" si="527"/>
        <v>#N/A</v>
      </c>
      <c r="AU956" s="9" t="e">
        <f t="shared" ca="1" si="528"/>
        <v>#N/A</v>
      </c>
      <c r="AW956" s="2" t="e">
        <f t="shared" si="513"/>
        <v>#N/A</v>
      </c>
      <c r="AX956" s="2" t="e">
        <f t="shared" si="514"/>
        <v>#N/A</v>
      </c>
      <c r="AY956" s="2" t="e">
        <f t="shared" si="515"/>
        <v>#N/A</v>
      </c>
      <c r="AZ956" s="2" t="e">
        <f t="shared" si="516"/>
        <v>#N/A</v>
      </c>
      <c r="BA956" s="2" t="e">
        <f t="shared" si="517"/>
        <v>#N/A</v>
      </c>
      <c r="BB956" s="2" t="e">
        <f t="shared" si="518"/>
        <v>#DIV/0!</v>
      </c>
      <c r="BC956" s="9" t="e">
        <f t="shared" ca="1" si="519"/>
        <v>#N/A</v>
      </c>
      <c r="BD956" s="9" t="e">
        <f t="shared" ca="1" si="520"/>
        <v>#N/A</v>
      </c>
    </row>
    <row r="957" spans="1:56" ht="15" x14ac:dyDescent="0.25">
      <c r="A957"/>
      <c r="B957"/>
      <c r="C957"/>
      <c r="D957"/>
      <c r="E957"/>
      <c r="F957"/>
      <c r="G957"/>
      <c r="H957"/>
      <c r="I957"/>
      <c r="J957"/>
      <c r="K957"/>
      <c r="L957" s="64"/>
      <c r="M957" s="64"/>
      <c r="N957" s="16"/>
      <c r="O957" s="11"/>
      <c r="P957" s="11"/>
      <c r="Q957" s="11"/>
      <c r="R957" s="11"/>
      <c r="S957" s="11"/>
      <c r="T957" s="11"/>
      <c r="U957" s="11">
        <f t="shared" si="529"/>
        <v>0</v>
      </c>
      <c r="V957" s="2">
        <f t="shared" si="530"/>
        <v>0</v>
      </c>
      <c r="W957" s="11">
        <f t="shared" si="499"/>
        <v>0</v>
      </c>
      <c r="X957" s="2">
        <f t="shared" si="500"/>
        <v>0</v>
      </c>
      <c r="Y957" s="2">
        <f t="shared" si="501"/>
        <v>0</v>
      </c>
      <c r="Z957" s="11">
        <f t="shared" si="502"/>
        <v>0</v>
      </c>
      <c r="AA957" s="2">
        <f t="shared" si="503"/>
        <v>0</v>
      </c>
      <c r="AB957" s="11">
        <f t="shared" si="504"/>
        <v>0</v>
      </c>
      <c r="AC957" s="2">
        <f t="shared" si="505"/>
        <v>0</v>
      </c>
      <c r="AF957" s="11">
        <f t="shared" si="506"/>
        <v>0</v>
      </c>
      <c r="AG957" s="2">
        <f t="shared" si="507"/>
        <v>0</v>
      </c>
      <c r="AH957" s="2">
        <f t="shared" si="508"/>
        <v>0</v>
      </c>
      <c r="AI957" s="2">
        <f t="shared" si="509"/>
        <v>0</v>
      </c>
      <c r="AJ957" s="2">
        <f t="shared" si="510"/>
        <v>0</v>
      </c>
      <c r="AK957" s="2">
        <f t="shared" si="511"/>
        <v>0</v>
      </c>
      <c r="AL957" s="2">
        <f t="shared" si="512"/>
        <v>0</v>
      </c>
      <c r="AM957" s="11"/>
      <c r="AN957" s="2" t="e">
        <f t="shared" si="521"/>
        <v>#N/A</v>
      </c>
      <c r="AO957" s="2" t="e">
        <f t="shared" si="522"/>
        <v>#N/A</v>
      </c>
      <c r="AP957" s="2" t="e">
        <f t="shared" si="523"/>
        <v>#N/A</v>
      </c>
      <c r="AQ957" s="2" t="e">
        <f t="shared" si="524"/>
        <v>#N/A</v>
      </c>
      <c r="AR957" s="2" t="e">
        <f t="shared" si="525"/>
        <v>#N/A</v>
      </c>
      <c r="AS957" s="2" t="e">
        <f t="shared" si="526"/>
        <v>#DIV/0!</v>
      </c>
      <c r="AT957" s="9" t="e">
        <f t="shared" ca="1" si="527"/>
        <v>#N/A</v>
      </c>
      <c r="AU957" s="9" t="e">
        <f t="shared" ca="1" si="528"/>
        <v>#N/A</v>
      </c>
      <c r="AW957" s="2" t="e">
        <f t="shared" si="513"/>
        <v>#N/A</v>
      </c>
      <c r="AX957" s="2" t="e">
        <f t="shared" si="514"/>
        <v>#N/A</v>
      </c>
      <c r="AY957" s="2" t="e">
        <f t="shared" si="515"/>
        <v>#N/A</v>
      </c>
      <c r="AZ957" s="2" t="e">
        <f t="shared" si="516"/>
        <v>#N/A</v>
      </c>
      <c r="BA957" s="2" t="e">
        <f t="shared" si="517"/>
        <v>#N/A</v>
      </c>
      <c r="BB957" s="2" t="e">
        <f t="shared" si="518"/>
        <v>#DIV/0!</v>
      </c>
      <c r="BC957" s="9" t="e">
        <f t="shared" ca="1" si="519"/>
        <v>#N/A</v>
      </c>
      <c r="BD957" s="9" t="e">
        <f t="shared" ca="1" si="520"/>
        <v>#N/A</v>
      </c>
    </row>
    <row r="958" spans="1:56" ht="15" x14ac:dyDescent="0.25">
      <c r="A958"/>
      <c r="B958"/>
      <c r="C958"/>
      <c r="D958"/>
      <c r="E958"/>
      <c r="F958"/>
      <c r="G958"/>
      <c r="H958"/>
      <c r="I958"/>
      <c r="J958"/>
      <c r="K958"/>
      <c r="L958" s="64"/>
      <c r="M958" s="64"/>
      <c r="N958" s="16"/>
      <c r="O958" s="11"/>
      <c r="P958" s="11"/>
      <c r="Q958" s="11"/>
      <c r="R958" s="11"/>
      <c r="S958" s="11"/>
      <c r="T958" s="11"/>
      <c r="U958" s="11">
        <f t="shared" si="529"/>
        <v>0</v>
      </c>
      <c r="V958" s="2">
        <f t="shared" si="530"/>
        <v>0</v>
      </c>
      <c r="W958" s="11">
        <f t="shared" si="499"/>
        <v>0</v>
      </c>
      <c r="X958" s="2">
        <f t="shared" si="500"/>
        <v>0</v>
      </c>
      <c r="Y958" s="2">
        <f t="shared" si="501"/>
        <v>0</v>
      </c>
      <c r="Z958" s="11">
        <f t="shared" si="502"/>
        <v>0</v>
      </c>
      <c r="AA958" s="2">
        <f t="shared" si="503"/>
        <v>0</v>
      </c>
      <c r="AB958" s="11">
        <f t="shared" si="504"/>
        <v>0</v>
      </c>
      <c r="AC958" s="2">
        <f t="shared" si="505"/>
        <v>0</v>
      </c>
      <c r="AF958" s="11">
        <f t="shared" si="506"/>
        <v>0</v>
      </c>
      <c r="AG958" s="2">
        <f t="shared" si="507"/>
        <v>0</v>
      </c>
      <c r="AH958" s="2">
        <f t="shared" si="508"/>
        <v>0</v>
      </c>
      <c r="AI958" s="2">
        <f t="shared" si="509"/>
        <v>0</v>
      </c>
      <c r="AJ958" s="2">
        <f t="shared" si="510"/>
        <v>0</v>
      </c>
      <c r="AK958" s="2">
        <f t="shared" si="511"/>
        <v>0</v>
      </c>
      <c r="AL958" s="2">
        <f t="shared" si="512"/>
        <v>0</v>
      </c>
      <c r="AM958" s="11"/>
      <c r="AN958" s="2" t="e">
        <f t="shared" si="521"/>
        <v>#N/A</v>
      </c>
      <c r="AO958" s="2" t="e">
        <f t="shared" si="522"/>
        <v>#N/A</v>
      </c>
      <c r="AP958" s="2" t="e">
        <f t="shared" si="523"/>
        <v>#N/A</v>
      </c>
      <c r="AQ958" s="2" t="e">
        <f t="shared" si="524"/>
        <v>#N/A</v>
      </c>
      <c r="AR958" s="2" t="e">
        <f t="shared" si="525"/>
        <v>#N/A</v>
      </c>
      <c r="AS958" s="2" t="e">
        <f t="shared" si="526"/>
        <v>#DIV/0!</v>
      </c>
      <c r="AT958" s="9" t="e">
        <f t="shared" ca="1" si="527"/>
        <v>#N/A</v>
      </c>
      <c r="AU958" s="9" t="e">
        <f t="shared" ca="1" si="528"/>
        <v>#N/A</v>
      </c>
      <c r="AW958" s="2" t="e">
        <f t="shared" si="513"/>
        <v>#N/A</v>
      </c>
      <c r="AX958" s="2" t="e">
        <f t="shared" si="514"/>
        <v>#N/A</v>
      </c>
      <c r="AY958" s="2" t="e">
        <f t="shared" si="515"/>
        <v>#N/A</v>
      </c>
      <c r="AZ958" s="2" t="e">
        <f t="shared" si="516"/>
        <v>#N/A</v>
      </c>
      <c r="BA958" s="2" t="e">
        <f t="shared" si="517"/>
        <v>#N/A</v>
      </c>
      <c r="BB958" s="2" t="e">
        <f t="shared" si="518"/>
        <v>#DIV/0!</v>
      </c>
      <c r="BC958" s="9" t="e">
        <f t="shared" ca="1" si="519"/>
        <v>#N/A</v>
      </c>
      <c r="BD958" s="9" t="e">
        <f t="shared" ca="1" si="520"/>
        <v>#N/A</v>
      </c>
    </row>
    <row r="959" spans="1:56" ht="15" x14ac:dyDescent="0.25">
      <c r="A959"/>
      <c r="B959"/>
      <c r="C959"/>
      <c r="D959"/>
      <c r="E959"/>
      <c r="F959"/>
      <c r="G959"/>
      <c r="H959"/>
      <c r="I959"/>
      <c r="J959"/>
      <c r="K959"/>
      <c r="L959" s="64"/>
      <c r="M959" s="64"/>
      <c r="N959" s="16"/>
      <c r="O959" s="11"/>
      <c r="P959" s="11"/>
      <c r="Q959" s="11"/>
      <c r="R959" s="11"/>
      <c r="S959" s="11"/>
      <c r="T959" s="11"/>
      <c r="U959" s="11">
        <f t="shared" si="529"/>
        <v>0</v>
      </c>
      <c r="V959" s="2">
        <f t="shared" si="530"/>
        <v>0</v>
      </c>
      <c r="W959" s="11">
        <f t="shared" si="499"/>
        <v>0</v>
      </c>
      <c r="X959" s="2">
        <f t="shared" si="500"/>
        <v>0</v>
      </c>
      <c r="Y959" s="2">
        <f t="shared" si="501"/>
        <v>0</v>
      </c>
      <c r="Z959" s="11">
        <f t="shared" si="502"/>
        <v>0</v>
      </c>
      <c r="AA959" s="2">
        <f t="shared" si="503"/>
        <v>0</v>
      </c>
      <c r="AB959" s="11">
        <f t="shared" si="504"/>
        <v>0</v>
      </c>
      <c r="AC959" s="2">
        <f t="shared" si="505"/>
        <v>0</v>
      </c>
      <c r="AF959" s="11">
        <f t="shared" si="506"/>
        <v>0</v>
      </c>
      <c r="AG959" s="2">
        <f t="shared" si="507"/>
        <v>0</v>
      </c>
      <c r="AH959" s="2">
        <f t="shared" si="508"/>
        <v>0</v>
      </c>
      <c r="AI959" s="2">
        <f t="shared" si="509"/>
        <v>0</v>
      </c>
      <c r="AJ959" s="2">
        <f t="shared" si="510"/>
        <v>0</v>
      </c>
      <c r="AK959" s="2">
        <f t="shared" si="511"/>
        <v>0</v>
      </c>
      <c r="AL959" s="2">
        <f t="shared" si="512"/>
        <v>0</v>
      </c>
      <c r="AM959" s="11"/>
      <c r="AN959" s="2" t="e">
        <f t="shared" si="521"/>
        <v>#N/A</v>
      </c>
      <c r="AO959" s="2" t="e">
        <f t="shared" si="522"/>
        <v>#N/A</v>
      </c>
      <c r="AP959" s="2" t="e">
        <f t="shared" si="523"/>
        <v>#N/A</v>
      </c>
      <c r="AQ959" s="2" t="e">
        <f t="shared" si="524"/>
        <v>#N/A</v>
      </c>
      <c r="AR959" s="2" t="e">
        <f t="shared" si="525"/>
        <v>#N/A</v>
      </c>
      <c r="AS959" s="2" t="e">
        <f t="shared" si="526"/>
        <v>#DIV/0!</v>
      </c>
      <c r="AT959" s="9" t="e">
        <f t="shared" ca="1" si="527"/>
        <v>#N/A</v>
      </c>
      <c r="AU959" s="9" t="e">
        <f t="shared" ca="1" si="528"/>
        <v>#N/A</v>
      </c>
      <c r="AW959" s="2" t="e">
        <f t="shared" si="513"/>
        <v>#N/A</v>
      </c>
      <c r="AX959" s="2" t="e">
        <f t="shared" si="514"/>
        <v>#N/A</v>
      </c>
      <c r="AY959" s="2" t="e">
        <f t="shared" si="515"/>
        <v>#N/A</v>
      </c>
      <c r="AZ959" s="2" t="e">
        <f t="shared" si="516"/>
        <v>#N/A</v>
      </c>
      <c r="BA959" s="2" t="e">
        <f t="shared" si="517"/>
        <v>#N/A</v>
      </c>
      <c r="BB959" s="2" t="e">
        <f t="shared" si="518"/>
        <v>#DIV/0!</v>
      </c>
      <c r="BC959" s="9" t="e">
        <f t="shared" ca="1" si="519"/>
        <v>#N/A</v>
      </c>
      <c r="BD959" s="9" t="e">
        <f t="shared" ca="1" si="520"/>
        <v>#N/A</v>
      </c>
    </row>
    <row r="960" spans="1:56" ht="15" x14ac:dyDescent="0.25">
      <c r="A960"/>
      <c r="B960"/>
      <c r="C960"/>
      <c r="D960"/>
      <c r="E960"/>
      <c r="F960"/>
      <c r="G960"/>
      <c r="H960"/>
      <c r="I960"/>
      <c r="J960"/>
      <c r="K960"/>
      <c r="L960" s="64"/>
      <c r="M960" s="64"/>
      <c r="N960" s="16"/>
      <c r="O960" s="11"/>
      <c r="P960" s="11"/>
      <c r="Q960" s="11"/>
      <c r="R960" s="11"/>
      <c r="S960" s="11"/>
      <c r="T960" s="11"/>
      <c r="U960" s="11">
        <f t="shared" si="529"/>
        <v>0</v>
      </c>
      <c r="V960" s="2">
        <f t="shared" si="530"/>
        <v>0</v>
      </c>
      <c r="W960" s="11">
        <f t="shared" si="499"/>
        <v>0</v>
      </c>
      <c r="X960" s="2">
        <f t="shared" si="500"/>
        <v>0</v>
      </c>
      <c r="Y960" s="2">
        <f t="shared" si="501"/>
        <v>0</v>
      </c>
      <c r="Z960" s="11">
        <f t="shared" si="502"/>
        <v>0</v>
      </c>
      <c r="AA960" s="2">
        <f t="shared" si="503"/>
        <v>0</v>
      </c>
      <c r="AB960" s="11">
        <f t="shared" si="504"/>
        <v>0</v>
      </c>
      <c r="AC960" s="2">
        <f t="shared" si="505"/>
        <v>0</v>
      </c>
      <c r="AF960" s="11">
        <f t="shared" si="506"/>
        <v>0</v>
      </c>
      <c r="AG960" s="2">
        <f t="shared" si="507"/>
        <v>0</v>
      </c>
      <c r="AH960" s="2">
        <f t="shared" si="508"/>
        <v>0</v>
      </c>
      <c r="AI960" s="2">
        <f t="shared" si="509"/>
        <v>0</v>
      </c>
      <c r="AJ960" s="2">
        <f t="shared" si="510"/>
        <v>0</v>
      </c>
      <c r="AK960" s="2">
        <f t="shared" si="511"/>
        <v>0</v>
      </c>
      <c r="AL960" s="2">
        <f t="shared" si="512"/>
        <v>0</v>
      </c>
      <c r="AM960" s="11"/>
      <c r="AN960" s="2" t="e">
        <f t="shared" si="521"/>
        <v>#N/A</v>
      </c>
      <c r="AO960" s="2" t="e">
        <f t="shared" si="522"/>
        <v>#N/A</v>
      </c>
      <c r="AP960" s="2" t="e">
        <f t="shared" si="523"/>
        <v>#N/A</v>
      </c>
      <c r="AQ960" s="2" t="e">
        <f t="shared" si="524"/>
        <v>#N/A</v>
      </c>
      <c r="AR960" s="2" t="e">
        <f t="shared" si="525"/>
        <v>#N/A</v>
      </c>
      <c r="AS960" s="2" t="e">
        <f t="shared" si="526"/>
        <v>#DIV/0!</v>
      </c>
      <c r="AT960" s="9" t="e">
        <f t="shared" ca="1" si="527"/>
        <v>#N/A</v>
      </c>
      <c r="AU960" s="9" t="e">
        <f t="shared" ca="1" si="528"/>
        <v>#N/A</v>
      </c>
      <c r="AW960" s="2" t="e">
        <f t="shared" si="513"/>
        <v>#N/A</v>
      </c>
      <c r="AX960" s="2" t="e">
        <f t="shared" si="514"/>
        <v>#N/A</v>
      </c>
      <c r="AY960" s="2" t="e">
        <f t="shared" si="515"/>
        <v>#N/A</v>
      </c>
      <c r="AZ960" s="2" t="e">
        <f t="shared" si="516"/>
        <v>#N/A</v>
      </c>
      <c r="BA960" s="2" t="e">
        <f t="shared" si="517"/>
        <v>#N/A</v>
      </c>
      <c r="BB960" s="2" t="e">
        <f t="shared" si="518"/>
        <v>#DIV/0!</v>
      </c>
      <c r="BC960" s="9" t="e">
        <f t="shared" ca="1" si="519"/>
        <v>#N/A</v>
      </c>
      <c r="BD960" s="9" t="e">
        <f t="shared" ca="1" si="520"/>
        <v>#N/A</v>
      </c>
    </row>
    <row r="961" spans="1:56" ht="15" x14ac:dyDescent="0.25">
      <c r="A961"/>
      <c r="B961"/>
      <c r="C961"/>
      <c r="D961"/>
      <c r="E961"/>
      <c r="F961"/>
      <c r="G961"/>
      <c r="H961"/>
      <c r="I961"/>
      <c r="J961"/>
      <c r="K961"/>
      <c r="L961" s="64"/>
      <c r="M961" s="64"/>
      <c r="N961" s="16"/>
      <c r="O961" s="11"/>
      <c r="P961" s="11"/>
      <c r="Q961" s="11"/>
      <c r="R961" s="11"/>
      <c r="S961" s="11"/>
      <c r="T961" s="11"/>
      <c r="U961" s="11">
        <f t="shared" si="529"/>
        <v>0</v>
      </c>
      <c r="V961" s="2">
        <f t="shared" si="530"/>
        <v>0</v>
      </c>
      <c r="W961" s="11">
        <f t="shared" si="499"/>
        <v>0</v>
      </c>
      <c r="X961" s="2">
        <f t="shared" si="500"/>
        <v>0</v>
      </c>
      <c r="Y961" s="2">
        <f t="shared" si="501"/>
        <v>0</v>
      </c>
      <c r="Z961" s="11">
        <f t="shared" si="502"/>
        <v>0</v>
      </c>
      <c r="AA961" s="2">
        <f t="shared" si="503"/>
        <v>0</v>
      </c>
      <c r="AB961" s="11">
        <f t="shared" si="504"/>
        <v>0</v>
      </c>
      <c r="AC961" s="2">
        <f t="shared" si="505"/>
        <v>0</v>
      </c>
      <c r="AF961" s="11">
        <f t="shared" si="506"/>
        <v>0</v>
      </c>
      <c r="AG961" s="2">
        <f t="shared" si="507"/>
        <v>0</v>
      </c>
      <c r="AH961" s="2">
        <f t="shared" si="508"/>
        <v>0</v>
      </c>
      <c r="AI961" s="2">
        <f t="shared" si="509"/>
        <v>0</v>
      </c>
      <c r="AJ961" s="2">
        <f t="shared" si="510"/>
        <v>0</v>
      </c>
      <c r="AK961" s="2">
        <f t="shared" si="511"/>
        <v>0</v>
      </c>
      <c r="AL961" s="2">
        <f t="shared" si="512"/>
        <v>0</v>
      </c>
      <c r="AM961" s="11"/>
      <c r="AN961" s="2" t="e">
        <f t="shared" si="521"/>
        <v>#N/A</v>
      </c>
      <c r="AO961" s="2" t="e">
        <f t="shared" si="522"/>
        <v>#N/A</v>
      </c>
      <c r="AP961" s="2" t="e">
        <f t="shared" si="523"/>
        <v>#N/A</v>
      </c>
      <c r="AQ961" s="2" t="e">
        <f t="shared" si="524"/>
        <v>#N/A</v>
      </c>
      <c r="AR961" s="2" t="e">
        <f t="shared" si="525"/>
        <v>#N/A</v>
      </c>
      <c r="AS961" s="2" t="e">
        <f t="shared" si="526"/>
        <v>#DIV/0!</v>
      </c>
      <c r="AT961" s="9" t="e">
        <f t="shared" ca="1" si="527"/>
        <v>#N/A</v>
      </c>
      <c r="AU961" s="9" t="e">
        <f t="shared" ca="1" si="528"/>
        <v>#N/A</v>
      </c>
      <c r="AW961" s="2" t="e">
        <f t="shared" si="513"/>
        <v>#N/A</v>
      </c>
      <c r="AX961" s="2" t="e">
        <f t="shared" si="514"/>
        <v>#N/A</v>
      </c>
      <c r="AY961" s="2" t="e">
        <f t="shared" si="515"/>
        <v>#N/A</v>
      </c>
      <c r="AZ961" s="2" t="e">
        <f t="shared" si="516"/>
        <v>#N/A</v>
      </c>
      <c r="BA961" s="2" t="e">
        <f t="shared" si="517"/>
        <v>#N/A</v>
      </c>
      <c r="BB961" s="2" t="e">
        <f t="shared" si="518"/>
        <v>#DIV/0!</v>
      </c>
      <c r="BC961" s="9" t="e">
        <f t="shared" ca="1" si="519"/>
        <v>#N/A</v>
      </c>
      <c r="BD961" s="9" t="e">
        <f t="shared" ca="1" si="520"/>
        <v>#N/A</v>
      </c>
    </row>
    <row r="962" spans="1:56" ht="15" x14ac:dyDescent="0.25">
      <c r="A962"/>
      <c r="B962"/>
      <c r="C962"/>
      <c r="D962"/>
      <c r="E962"/>
      <c r="F962"/>
      <c r="G962"/>
      <c r="H962"/>
      <c r="I962"/>
      <c r="J962"/>
      <c r="K962"/>
      <c r="L962" s="64"/>
      <c r="M962" s="64"/>
      <c r="N962" s="16"/>
      <c r="O962" s="11"/>
      <c r="P962" s="11"/>
      <c r="Q962" s="11"/>
      <c r="R962" s="11"/>
      <c r="S962" s="11"/>
      <c r="T962" s="11"/>
      <c r="U962" s="11">
        <f t="shared" si="529"/>
        <v>0</v>
      </c>
      <c r="V962" s="2">
        <f t="shared" si="530"/>
        <v>0</v>
      </c>
      <c r="W962" s="11">
        <f t="shared" si="499"/>
        <v>0</v>
      </c>
      <c r="X962" s="2">
        <f t="shared" si="500"/>
        <v>0</v>
      </c>
      <c r="Y962" s="2">
        <f t="shared" si="501"/>
        <v>0</v>
      </c>
      <c r="Z962" s="11">
        <f t="shared" si="502"/>
        <v>0</v>
      </c>
      <c r="AA962" s="2">
        <f t="shared" si="503"/>
        <v>0</v>
      </c>
      <c r="AB962" s="11">
        <f t="shared" si="504"/>
        <v>0</v>
      </c>
      <c r="AC962" s="2">
        <f t="shared" si="505"/>
        <v>0</v>
      </c>
      <c r="AF962" s="11">
        <f t="shared" si="506"/>
        <v>0</v>
      </c>
      <c r="AG962" s="2">
        <f t="shared" si="507"/>
        <v>0</v>
      </c>
      <c r="AH962" s="2">
        <f t="shared" si="508"/>
        <v>0</v>
      </c>
      <c r="AI962" s="2">
        <f t="shared" si="509"/>
        <v>0</v>
      </c>
      <c r="AJ962" s="2">
        <f t="shared" si="510"/>
        <v>0</v>
      </c>
      <c r="AK962" s="2">
        <f t="shared" si="511"/>
        <v>0</v>
      </c>
      <c r="AL962" s="2">
        <f t="shared" si="512"/>
        <v>0</v>
      </c>
      <c r="AM962" s="11"/>
      <c r="AN962" s="2" t="e">
        <f t="shared" si="521"/>
        <v>#N/A</v>
      </c>
      <c r="AO962" s="2" t="e">
        <f t="shared" si="522"/>
        <v>#N/A</v>
      </c>
      <c r="AP962" s="2" t="e">
        <f t="shared" si="523"/>
        <v>#N/A</v>
      </c>
      <c r="AQ962" s="2" t="e">
        <f t="shared" si="524"/>
        <v>#N/A</v>
      </c>
      <c r="AR962" s="2" t="e">
        <f t="shared" si="525"/>
        <v>#N/A</v>
      </c>
      <c r="AS962" s="2" t="e">
        <f t="shared" si="526"/>
        <v>#DIV/0!</v>
      </c>
      <c r="AT962" s="9" t="e">
        <f t="shared" ca="1" si="527"/>
        <v>#N/A</v>
      </c>
      <c r="AU962" s="9" t="e">
        <f t="shared" ca="1" si="528"/>
        <v>#N/A</v>
      </c>
      <c r="AW962" s="2" t="e">
        <f t="shared" si="513"/>
        <v>#N/A</v>
      </c>
      <c r="AX962" s="2" t="e">
        <f t="shared" si="514"/>
        <v>#N/A</v>
      </c>
      <c r="AY962" s="2" t="e">
        <f t="shared" si="515"/>
        <v>#N/A</v>
      </c>
      <c r="AZ962" s="2" t="e">
        <f t="shared" si="516"/>
        <v>#N/A</v>
      </c>
      <c r="BA962" s="2" t="e">
        <f t="shared" si="517"/>
        <v>#N/A</v>
      </c>
      <c r="BB962" s="2" t="e">
        <f t="shared" si="518"/>
        <v>#DIV/0!</v>
      </c>
      <c r="BC962" s="9" t="e">
        <f t="shared" ca="1" si="519"/>
        <v>#N/A</v>
      </c>
      <c r="BD962" s="9" t="e">
        <f t="shared" ca="1" si="520"/>
        <v>#N/A</v>
      </c>
    </row>
    <row r="963" spans="1:56" ht="15" x14ac:dyDescent="0.25">
      <c r="A963"/>
      <c r="B963"/>
      <c r="C963"/>
      <c r="D963"/>
      <c r="E963"/>
      <c r="F963"/>
      <c r="G963"/>
      <c r="H963"/>
      <c r="I963"/>
      <c r="J963"/>
      <c r="K963"/>
      <c r="L963" s="64"/>
      <c r="M963" s="64"/>
      <c r="N963" s="16"/>
      <c r="O963" s="11"/>
      <c r="P963" s="11"/>
      <c r="Q963" s="11"/>
      <c r="R963" s="11"/>
      <c r="S963" s="11"/>
      <c r="T963" s="11"/>
      <c r="U963" s="11">
        <f t="shared" si="529"/>
        <v>0</v>
      </c>
      <c r="V963" s="2">
        <f t="shared" si="530"/>
        <v>0</v>
      </c>
      <c r="W963" s="11">
        <f t="shared" si="499"/>
        <v>0</v>
      </c>
      <c r="X963" s="2">
        <f t="shared" si="500"/>
        <v>0</v>
      </c>
      <c r="Y963" s="2">
        <f t="shared" si="501"/>
        <v>0</v>
      </c>
      <c r="Z963" s="11">
        <f t="shared" si="502"/>
        <v>0</v>
      </c>
      <c r="AA963" s="2">
        <f t="shared" si="503"/>
        <v>0</v>
      </c>
      <c r="AB963" s="11">
        <f t="shared" si="504"/>
        <v>0</v>
      </c>
      <c r="AC963" s="2">
        <f t="shared" si="505"/>
        <v>0</v>
      </c>
      <c r="AF963" s="11">
        <f t="shared" si="506"/>
        <v>0</v>
      </c>
      <c r="AG963" s="2">
        <f t="shared" si="507"/>
        <v>0</v>
      </c>
      <c r="AH963" s="2">
        <f t="shared" si="508"/>
        <v>0</v>
      </c>
      <c r="AI963" s="2">
        <f t="shared" si="509"/>
        <v>0</v>
      </c>
      <c r="AJ963" s="2">
        <f t="shared" si="510"/>
        <v>0</v>
      </c>
      <c r="AK963" s="2">
        <f t="shared" si="511"/>
        <v>0</v>
      </c>
      <c r="AL963" s="2">
        <f t="shared" si="512"/>
        <v>0</v>
      </c>
      <c r="AM963" s="11"/>
      <c r="AN963" s="2" t="e">
        <f t="shared" si="521"/>
        <v>#N/A</v>
      </c>
      <c r="AO963" s="2" t="e">
        <f t="shared" si="522"/>
        <v>#N/A</v>
      </c>
      <c r="AP963" s="2" t="e">
        <f t="shared" si="523"/>
        <v>#N/A</v>
      </c>
      <c r="AQ963" s="2" t="e">
        <f t="shared" si="524"/>
        <v>#N/A</v>
      </c>
      <c r="AR963" s="2" t="e">
        <f t="shared" si="525"/>
        <v>#N/A</v>
      </c>
      <c r="AS963" s="2" t="e">
        <f t="shared" si="526"/>
        <v>#DIV/0!</v>
      </c>
      <c r="AT963" s="9" t="e">
        <f t="shared" ca="1" si="527"/>
        <v>#N/A</v>
      </c>
      <c r="AU963" s="9" t="e">
        <f t="shared" ca="1" si="528"/>
        <v>#N/A</v>
      </c>
      <c r="AW963" s="2" t="e">
        <f t="shared" si="513"/>
        <v>#N/A</v>
      </c>
      <c r="AX963" s="2" t="e">
        <f t="shared" si="514"/>
        <v>#N/A</v>
      </c>
      <c r="AY963" s="2" t="e">
        <f t="shared" si="515"/>
        <v>#N/A</v>
      </c>
      <c r="AZ963" s="2" t="e">
        <f t="shared" si="516"/>
        <v>#N/A</v>
      </c>
      <c r="BA963" s="2" t="e">
        <f t="shared" si="517"/>
        <v>#N/A</v>
      </c>
      <c r="BB963" s="2" t="e">
        <f t="shared" si="518"/>
        <v>#DIV/0!</v>
      </c>
      <c r="BC963" s="9" t="e">
        <f t="shared" ca="1" si="519"/>
        <v>#N/A</v>
      </c>
      <c r="BD963" s="9" t="e">
        <f t="shared" ca="1" si="520"/>
        <v>#N/A</v>
      </c>
    </row>
    <row r="964" spans="1:56" ht="15" x14ac:dyDescent="0.25">
      <c r="A964"/>
      <c r="B964"/>
      <c r="C964"/>
      <c r="D964"/>
      <c r="E964"/>
      <c r="F964"/>
      <c r="G964"/>
      <c r="H964"/>
      <c r="I964"/>
      <c r="J964"/>
      <c r="K964"/>
      <c r="L964" s="64"/>
      <c r="M964" s="64"/>
      <c r="N964" s="16"/>
      <c r="O964" s="11"/>
      <c r="P964" s="11"/>
      <c r="Q964" s="11"/>
      <c r="R964" s="11"/>
      <c r="S964" s="11"/>
      <c r="T964" s="11"/>
      <c r="U964" s="11">
        <f t="shared" si="529"/>
        <v>0</v>
      </c>
      <c r="V964" s="2">
        <f t="shared" si="530"/>
        <v>0</v>
      </c>
      <c r="W964" s="11">
        <f t="shared" ref="W964:W1027" si="531">O964-O964</f>
        <v>0</v>
      </c>
      <c r="X964" s="2">
        <f t="shared" ref="X964:X1027" si="532">IF(O964&gt;0,P964-(O964*$X$63/$W$63), P964)</f>
        <v>0</v>
      </c>
      <c r="Y964" s="2">
        <f t="shared" ref="Y964:Y1027" si="533">IF(O964&gt;0,Q964-(O964*$Y$63/$W$63),Q964)</f>
        <v>0</v>
      </c>
      <c r="Z964" s="11">
        <f t="shared" ref="Z964:Z1027" si="534">R964</f>
        <v>0</v>
      </c>
      <c r="AA964" s="2">
        <f t="shared" ref="AA964:AA1027" si="535">IF(O964&gt;0,S964-(O964*$AA$63/$W$63),S964)</f>
        <v>0</v>
      </c>
      <c r="AB964" s="11">
        <f t="shared" ref="AB964:AB1027" si="536">T964</f>
        <v>0</v>
      </c>
      <c r="AC964" s="2">
        <f t="shared" ref="AC964:AC1027" si="537">IF(O964&gt;0,U964-(O964*$AC$63/$W$63),U964)</f>
        <v>0</v>
      </c>
      <c r="AF964" s="11">
        <f t="shared" ref="AF964:AF1027" si="538">W964</f>
        <v>0</v>
      </c>
      <c r="AG964" s="2">
        <f t="shared" ref="AG964:AG1027" si="539">IF(O964&gt;0, X964-(O964*$AG$63/$AF$63), X964)</f>
        <v>0</v>
      </c>
      <c r="AH964" s="2">
        <f t="shared" ref="AH964:AH1027" si="540">IF(O964&gt;0, Y964-(O964*$AH$63/$AF$63), Y964)</f>
        <v>0</v>
      </c>
      <c r="AI964" s="2">
        <f t="shared" ref="AI964:AI1027" si="541">IF(O964&gt;0, Z964-(O964*$AI$63/$AF$63), Z964)</f>
        <v>0</v>
      </c>
      <c r="AJ964" s="2">
        <f t="shared" ref="AJ964:AJ1027" si="542">IF(O964&gt;0, AA964-(O964*$AJ$63/$AF$63), AA964)</f>
        <v>0</v>
      </c>
      <c r="AK964" s="2">
        <f t="shared" ref="AK964:AK1027" si="543">IF(P964&gt;0, AB964-(P964*$AK$63/$AG$63), AB964)</f>
        <v>0</v>
      </c>
      <c r="AL964" s="2">
        <f t="shared" ref="AL964:AL1027" si="544">IF(O964&gt;0, AC964-(O964*$AL$63/$AF$63), AC964)</f>
        <v>0</v>
      </c>
      <c r="AM964" s="11"/>
      <c r="AN964" s="2" t="e">
        <f t="shared" si="521"/>
        <v>#N/A</v>
      </c>
      <c r="AO964" s="2" t="e">
        <f t="shared" si="522"/>
        <v>#N/A</v>
      </c>
      <c r="AP964" s="2" t="e">
        <f t="shared" si="523"/>
        <v>#N/A</v>
      </c>
      <c r="AQ964" s="2" t="e">
        <f t="shared" si="524"/>
        <v>#N/A</v>
      </c>
      <c r="AR964" s="2" t="e">
        <f t="shared" si="525"/>
        <v>#N/A</v>
      </c>
      <c r="AS964" s="2" t="e">
        <f t="shared" si="526"/>
        <v>#DIV/0!</v>
      </c>
      <c r="AT964" s="9" t="e">
        <f t="shared" ca="1" si="527"/>
        <v>#N/A</v>
      </c>
      <c r="AU964" s="9" t="e">
        <f t="shared" ca="1" si="528"/>
        <v>#N/A</v>
      </c>
      <c r="AW964" s="2" t="e">
        <f t="shared" si="513"/>
        <v>#N/A</v>
      </c>
      <c r="AX964" s="2" t="e">
        <f t="shared" si="514"/>
        <v>#N/A</v>
      </c>
      <c r="AY964" s="2" t="e">
        <f t="shared" si="515"/>
        <v>#N/A</v>
      </c>
      <c r="AZ964" s="2" t="e">
        <f t="shared" si="516"/>
        <v>#N/A</v>
      </c>
      <c r="BA964" s="2" t="e">
        <f t="shared" si="517"/>
        <v>#N/A</v>
      </c>
      <c r="BB964" s="2" t="e">
        <f t="shared" si="518"/>
        <v>#DIV/0!</v>
      </c>
      <c r="BC964" s="9" t="e">
        <f t="shared" ca="1" si="519"/>
        <v>#N/A</v>
      </c>
      <c r="BD964" s="9" t="e">
        <f t="shared" ca="1" si="520"/>
        <v>#N/A</v>
      </c>
    </row>
    <row r="965" spans="1:56" ht="15" x14ac:dyDescent="0.25">
      <c r="A965"/>
      <c r="B965"/>
      <c r="C965"/>
      <c r="D965"/>
      <c r="E965"/>
      <c r="F965"/>
      <c r="G965"/>
      <c r="H965"/>
      <c r="I965"/>
      <c r="J965"/>
      <c r="K965"/>
      <c r="L965" s="64"/>
      <c r="M965" s="64"/>
      <c r="N965" s="16"/>
      <c r="O965" s="11"/>
      <c r="P965" s="11"/>
      <c r="Q965" s="11"/>
      <c r="R965" s="11"/>
      <c r="S965" s="11"/>
      <c r="T965" s="11"/>
      <c r="U965" s="11">
        <f t="shared" si="529"/>
        <v>0</v>
      </c>
      <c r="V965" s="2">
        <f t="shared" si="530"/>
        <v>0</v>
      </c>
      <c r="W965" s="11">
        <f t="shared" si="531"/>
        <v>0</v>
      </c>
      <c r="X965" s="2">
        <f t="shared" si="532"/>
        <v>0</v>
      </c>
      <c r="Y965" s="2">
        <f t="shared" si="533"/>
        <v>0</v>
      </c>
      <c r="Z965" s="11">
        <f t="shared" si="534"/>
        <v>0</v>
      </c>
      <c r="AA965" s="2">
        <f t="shared" si="535"/>
        <v>0</v>
      </c>
      <c r="AB965" s="11">
        <f t="shared" si="536"/>
        <v>0</v>
      </c>
      <c r="AC965" s="2">
        <f t="shared" si="537"/>
        <v>0</v>
      </c>
      <c r="AF965" s="11">
        <f t="shared" si="538"/>
        <v>0</v>
      </c>
      <c r="AG965" s="2">
        <f t="shared" si="539"/>
        <v>0</v>
      </c>
      <c r="AH965" s="2">
        <f t="shared" si="540"/>
        <v>0</v>
      </c>
      <c r="AI965" s="2">
        <f t="shared" si="541"/>
        <v>0</v>
      </c>
      <c r="AJ965" s="2">
        <f t="shared" si="542"/>
        <v>0</v>
      </c>
      <c r="AK965" s="2">
        <f t="shared" si="543"/>
        <v>0</v>
      </c>
      <c r="AL965" s="2">
        <f t="shared" si="544"/>
        <v>0</v>
      </c>
      <c r="AM965" s="11"/>
      <c r="AN965" s="2" t="e">
        <f t="shared" si="521"/>
        <v>#N/A</v>
      </c>
      <c r="AO965" s="2" t="e">
        <f t="shared" si="522"/>
        <v>#N/A</v>
      </c>
      <c r="AP965" s="2" t="e">
        <f t="shared" si="523"/>
        <v>#N/A</v>
      </c>
      <c r="AQ965" s="2" t="e">
        <f t="shared" si="524"/>
        <v>#N/A</v>
      </c>
      <c r="AR965" s="2" t="e">
        <f t="shared" si="525"/>
        <v>#N/A</v>
      </c>
      <c r="AS965" s="2" t="e">
        <f t="shared" si="526"/>
        <v>#DIV/0!</v>
      </c>
      <c r="AT965" s="9" t="e">
        <f t="shared" ca="1" si="527"/>
        <v>#N/A</v>
      </c>
      <c r="AU965" s="9" t="e">
        <f t="shared" ca="1" si="528"/>
        <v>#N/A</v>
      </c>
      <c r="AW965" s="2" t="e">
        <f t="shared" si="513"/>
        <v>#N/A</v>
      </c>
      <c r="AX965" s="2" t="e">
        <f t="shared" si="514"/>
        <v>#N/A</v>
      </c>
      <c r="AY965" s="2" t="e">
        <f t="shared" si="515"/>
        <v>#N/A</v>
      </c>
      <c r="AZ965" s="2" t="e">
        <f t="shared" si="516"/>
        <v>#N/A</v>
      </c>
      <c r="BA965" s="2" t="e">
        <f t="shared" si="517"/>
        <v>#N/A</v>
      </c>
      <c r="BB965" s="2" t="e">
        <f t="shared" si="518"/>
        <v>#DIV/0!</v>
      </c>
      <c r="BC965" s="9" t="e">
        <f t="shared" ca="1" si="519"/>
        <v>#N/A</v>
      </c>
      <c r="BD965" s="9" t="e">
        <f t="shared" ca="1" si="520"/>
        <v>#N/A</v>
      </c>
    </row>
    <row r="966" spans="1:56" ht="15" x14ac:dyDescent="0.25">
      <c r="A966"/>
      <c r="B966"/>
      <c r="C966"/>
      <c r="D966"/>
      <c r="E966"/>
      <c r="F966"/>
      <c r="G966"/>
      <c r="H966"/>
      <c r="I966"/>
      <c r="J966"/>
      <c r="K966"/>
      <c r="L966" s="64"/>
      <c r="M966" s="64"/>
      <c r="N966" s="16"/>
      <c r="O966" s="11"/>
      <c r="P966" s="11"/>
      <c r="Q966" s="11"/>
      <c r="R966" s="11"/>
      <c r="S966" s="11"/>
      <c r="T966" s="11"/>
      <c r="U966" s="11">
        <f t="shared" si="529"/>
        <v>0</v>
      </c>
      <c r="V966" s="2">
        <f t="shared" si="530"/>
        <v>0</v>
      </c>
      <c r="W966" s="11">
        <f t="shared" si="531"/>
        <v>0</v>
      </c>
      <c r="X966" s="2">
        <f t="shared" si="532"/>
        <v>0</v>
      </c>
      <c r="Y966" s="2">
        <f t="shared" si="533"/>
        <v>0</v>
      </c>
      <c r="Z966" s="11">
        <f t="shared" si="534"/>
        <v>0</v>
      </c>
      <c r="AA966" s="2">
        <f t="shared" si="535"/>
        <v>0</v>
      </c>
      <c r="AB966" s="11">
        <f t="shared" si="536"/>
        <v>0</v>
      </c>
      <c r="AC966" s="2">
        <f t="shared" si="537"/>
        <v>0</v>
      </c>
      <c r="AF966" s="11">
        <f t="shared" si="538"/>
        <v>0</v>
      </c>
      <c r="AG966" s="2">
        <f t="shared" si="539"/>
        <v>0</v>
      </c>
      <c r="AH966" s="2">
        <f t="shared" si="540"/>
        <v>0</v>
      </c>
      <c r="AI966" s="2">
        <f t="shared" si="541"/>
        <v>0</v>
      </c>
      <c r="AJ966" s="2">
        <f t="shared" si="542"/>
        <v>0</v>
      </c>
      <c r="AK966" s="2">
        <f t="shared" si="543"/>
        <v>0</v>
      </c>
      <c r="AL966" s="2">
        <f t="shared" si="544"/>
        <v>0</v>
      </c>
      <c r="AM966" s="11"/>
      <c r="AN966" s="2" t="e">
        <f t="shared" si="521"/>
        <v>#N/A</v>
      </c>
      <c r="AO966" s="2" t="e">
        <f t="shared" si="522"/>
        <v>#N/A</v>
      </c>
      <c r="AP966" s="2" t="e">
        <f t="shared" si="523"/>
        <v>#N/A</v>
      </c>
      <c r="AQ966" s="2" t="e">
        <f t="shared" si="524"/>
        <v>#N/A</v>
      </c>
      <c r="AR966" s="2" t="e">
        <f t="shared" si="525"/>
        <v>#N/A</v>
      </c>
      <c r="AS966" s="2" t="e">
        <f t="shared" si="526"/>
        <v>#DIV/0!</v>
      </c>
      <c r="AT966" s="9" t="e">
        <f t="shared" ca="1" si="527"/>
        <v>#N/A</v>
      </c>
      <c r="AU966" s="9" t="e">
        <f t="shared" ca="1" si="528"/>
        <v>#N/A</v>
      </c>
      <c r="AW966" s="2" t="e">
        <f t="shared" si="513"/>
        <v>#N/A</v>
      </c>
      <c r="AX966" s="2" t="e">
        <f t="shared" si="514"/>
        <v>#N/A</v>
      </c>
      <c r="AY966" s="2" t="e">
        <f t="shared" si="515"/>
        <v>#N/A</v>
      </c>
      <c r="AZ966" s="2" t="e">
        <f t="shared" si="516"/>
        <v>#N/A</v>
      </c>
      <c r="BA966" s="2" t="e">
        <f t="shared" si="517"/>
        <v>#N/A</v>
      </c>
      <c r="BB966" s="2" t="e">
        <f t="shared" si="518"/>
        <v>#DIV/0!</v>
      </c>
      <c r="BC966" s="9" t="e">
        <f t="shared" ca="1" si="519"/>
        <v>#N/A</v>
      </c>
      <c r="BD966" s="9" t="e">
        <f t="shared" ca="1" si="520"/>
        <v>#N/A</v>
      </c>
    </row>
    <row r="967" spans="1:56" ht="15" x14ac:dyDescent="0.25">
      <c r="A967"/>
      <c r="B967"/>
      <c r="C967"/>
      <c r="D967"/>
      <c r="E967"/>
      <c r="F967"/>
      <c r="G967"/>
      <c r="H967"/>
      <c r="I967"/>
      <c r="J967"/>
      <c r="K967"/>
      <c r="L967" s="64"/>
      <c r="M967" s="64"/>
      <c r="N967" s="16"/>
      <c r="O967" s="11"/>
      <c r="P967" s="11"/>
      <c r="Q967" s="11"/>
      <c r="R967" s="11"/>
      <c r="S967" s="11"/>
      <c r="T967" s="11"/>
      <c r="U967" s="11">
        <f t="shared" si="529"/>
        <v>0</v>
      </c>
      <c r="V967" s="2">
        <f t="shared" si="530"/>
        <v>0</v>
      </c>
      <c r="W967" s="11">
        <f t="shared" si="531"/>
        <v>0</v>
      </c>
      <c r="X967" s="2">
        <f t="shared" si="532"/>
        <v>0</v>
      </c>
      <c r="Y967" s="2">
        <f t="shared" si="533"/>
        <v>0</v>
      </c>
      <c r="Z967" s="11">
        <f t="shared" si="534"/>
        <v>0</v>
      </c>
      <c r="AA967" s="2">
        <f t="shared" si="535"/>
        <v>0</v>
      </c>
      <c r="AB967" s="11">
        <f t="shared" si="536"/>
        <v>0</v>
      </c>
      <c r="AC967" s="2">
        <f t="shared" si="537"/>
        <v>0</v>
      </c>
      <c r="AF967" s="11">
        <f t="shared" si="538"/>
        <v>0</v>
      </c>
      <c r="AG967" s="2">
        <f t="shared" si="539"/>
        <v>0</v>
      </c>
      <c r="AH967" s="2">
        <f t="shared" si="540"/>
        <v>0</v>
      </c>
      <c r="AI967" s="2">
        <f t="shared" si="541"/>
        <v>0</v>
      </c>
      <c r="AJ967" s="2">
        <f t="shared" si="542"/>
        <v>0</v>
      </c>
      <c r="AK967" s="2">
        <f t="shared" si="543"/>
        <v>0</v>
      </c>
      <c r="AL967" s="2">
        <f t="shared" si="544"/>
        <v>0</v>
      </c>
      <c r="AM967" s="11"/>
      <c r="AN967" s="2" t="e">
        <f t="shared" si="521"/>
        <v>#N/A</v>
      </c>
      <c r="AO967" s="2" t="e">
        <f t="shared" si="522"/>
        <v>#N/A</v>
      </c>
      <c r="AP967" s="2" t="e">
        <f t="shared" si="523"/>
        <v>#N/A</v>
      </c>
      <c r="AQ967" s="2" t="e">
        <f t="shared" si="524"/>
        <v>#N/A</v>
      </c>
      <c r="AR967" s="2" t="e">
        <f t="shared" si="525"/>
        <v>#N/A</v>
      </c>
      <c r="AS967" s="2" t="e">
        <f t="shared" si="526"/>
        <v>#DIV/0!</v>
      </c>
      <c r="AT967" s="9" t="e">
        <f t="shared" ca="1" si="527"/>
        <v>#N/A</v>
      </c>
      <c r="AU967" s="9" t="e">
        <f t="shared" ca="1" si="528"/>
        <v>#N/A</v>
      </c>
      <c r="AW967" s="2" t="e">
        <f t="shared" si="513"/>
        <v>#N/A</v>
      </c>
      <c r="AX967" s="2" t="e">
        <f t="shared" si="514"/>
        <v>#N/A</v>
      </c>
      <c r="AY967" s="2" t="e">
        <f t="shared" si="515"/>
        <v>#N/A</v>
      </c>
      <c r="AZ967" s="2" t="e">
        <f t="shared" si="516"/>
        <v>#N/A</v>
      </c>
      <c r="BA967" s="2" t="e">
        <f t="shared" si="517"/>
        <v>#N/A</v>
      </c>
      <c r="BB967" s="2" t="e">
        <f t="shared" si="518"/>
        <v>#DIV/0!</v>
      </c>
      <c r="BC967" s="9" t="e">
        <f t="shared" ca="1" si="519"/>
        <v>#N/A</v>
      </c>
      <c r="BD967" s="9" t="e">
        <f t="shared" ca="1" si="520"/>
        <v>#N/A</v>
      </c>
    </row>
    <row r="968" spans="1:56" ht="15" x14ac:dyDescent="0.25">
      <c r="A968"/>
      <c r="B968"/>
      <c r="C968"/>
      <c r="D968"/>
      <c r="E968"/>
      <c r="F968"/>
      <c r="G968"/>
      <c r="H968"/>
      <c r="I968"/>
      <c r="J968"/>
      <c r="K968"/>
      <c r="L968" s="64"/>
      <c r="M968" s="64"/>
      <c r="N968" s="16"/>
      <c r="O968" s="11"/>
      <c r="P968" s="11"/>
      <c r="Q968" s="11"/>
      <c r="R968" s="11"/>
      <c r="S968" s="11"/>
      <c r="T968" s="11"/>
      <c r="U968" s="11">
        <f t="shared" si="529"/>
        <v>0</v>
      </c>
      <c r="V968" s="2">
        <f t="shared" si="530"/>
        <v>0</v>
      </c>
      <c r="W968" s="11">
        <f t="shared" si="531"/>
        <v>0</v>
      </c>
      <c r="X968" s="2">
        <f t="shared" si="532"/>
        <v>0</v>
      </c>
      <c r="Y968" s="2">
        <f t="shared" si="533"/>
        <v>0</v>
      </c>
      <c r="Z968" s="11">
        <f t="shared" si="534"/>
        <v>0</v>
      </c>
      <c r="AA968" s="2">
        <f t="shared" si="535"/>
        <v>0</v>
      </c>
      <c r="AB968" s="11">
        <f t="shared" si="536"/>
        <v>0</v>
      </c>
      <c r="AC968" s="2">
        <f t="shared" si="537"/>
        <v>0</v>
      </c>
      <c r="AF968" s="11">
        <f t="shared" si="538"/>
        <v>0</v>
      </c>
      <c r="AG968" s="2">
        <f t="shared" si="539"/>
        <v>0</v>
      </c>
      <c r="AH968" s="2">
        <f t="shared" si="540"/>
        <v>0</v>
      </c>
      <c r="AI968" s="2">
        <f t="shared" si="541"/>
        <v>0</v>
      </c>
      <c r="AJ968" s="2">
        <f t="shared" si="542"/>
        <v>0</v>
      </c>
      <c r="AK968" s="2">
        <f t="shared" si="543"/>
        <v>0</v>
      </c>
      <c r="AL968" s="2">
        <f t="shared" si="544"/>
        <v>0</v>
      </c>
      <c r="AM968" s="11"/>
      <c r="AN968" s="2" t="e">
        <f t="shared" si="521"/>
        <v>#N/A</v>
      </c>
      <c r="AO968" s="2" t="e">
        <f t="shared" si="522"/>
        <v>#N/A</v>
      </c>
      <c r="AP968" s="2" t="e">
        <f t="shared" si="523"/>
        <v>#N/A</v>
      </c>
      <c r="AQ968" s="2" t="e">
        <f t="shared" si="524"/>
        <v>#N/A</v>
      </c>
      <c r="AR968" s="2" t="e">
        <f t="shared" si="525"/>
        <v>#N/A</v>
      </c>
      <c r="AS968" s="2" t="e">
        <f t="shared" si="526"/>
        <v>#DIV/0!</v>
      </c>
      <c r="AT968" s="9" t="e">
        <f t="shared" ca="1" si="527"/>
        <v>#N/A</v>
      </c>
      <c r="AU968" s="9" t="e">
        <f t="shared" ca="1" si="528"/>
        <v>#N/A</v>
      </c>
      <c r="AW968" s="2" t="e">
        <f t="shared" si="513"/>
        <v>#N/A</v>
      </c>
      <c r="AX968" s="2" t="e">
        <f t="shared" si="514"/>
        <v>#N/A</v>
      </c>
      <c r="AY968" s="2" t="e">
        <f t="shared" si="515"/>
        <v>#N/A</v>
      </c>
      <c r="AZ968" s="2" t="e">
        <f t="shared" si="516"/>
        <v>#N/A</v>
      </c>
      <c r="BA968" s="2" t="e">
        <f t="shared" si="517"/>
        <v>#N/A</v>
      </c>
      <c r="BB968" s="2" t="e">
        <f t="shared" si="518"/>
        <v>#DIV/0!</v>
      </c>
      <c r="BC968" s="9" t="e">
        <f t="shared" ca="1" si="519"/>
        <v>#N/A</v>
      </c>
      <c r="BD968" s="9" t="e">
        <f t="shared" ca="1" si="520"/>
        <v>#N/A</v>
      </c>
    </row>
    <row r="969" spans="1:56" ht="15" x14ac:dyDescent="0.25">
      <c r="A969"/>
      <c r="B969"/>
      <c r="C969"/>
      <c r="D969"/>
      <c r="E969"/>
      <c r="F969"/>
      <c r="G969"/>
      <c r="H969"/>
      <c r="I969"/>
      <c r="J969"/>
      <c r="K969"/>
      <c r="L969" s="64"/>
      <c r="M969" s="64"/>
      <c r="N969" s="16"/>
      <c r="O969" s="11"/>
      <c r="P969" s="11"/>
      <c r="Q969" s="11"/>
      <c r="R969" s="11"/>
      <c r="S969" s="11"/>
      <c r="T969" s="11"/>
      <c r="U969" s="11">
        <f t="shared" si="529"/>
        <v>0</v>
      </c>
      <c r="V969" s="2">
        <f t="shared" si="530"/>
        <v>0</v>
      </c>
      <c r="W969" s="11">
        <f t="shared" si="531"/>
        <v>0</v>
      </c>
      <c r="X969" s="2">
        <f t="shared" si="532"/>
        <v>0</v>
      </c>
      <c r="Y969" s="2">
        <f t="shared" si="533"/>
        <v>0</v>
      </c>
      <c r="Z969" s="11">
        <f t="shared" si="534"/>
        <v>0</v>
      </c>
      <c r="AA969" s="2">
        <f t="shared" si="535"/>
        <v>0</v>
      </c>
      <c r="AB969" s="11">
        <f t="shared" si="536"/>
        <v>0</v>
      </c>
      <c r="AC969" s="2">
        <f t="shared" si="537"/>
        <v>0</v>
      </c>
      <c r="AF969" s="11">
        <f t="shared" si="538"/>
        <v>0</v>
      </c>
      <c r="AG969" s="2">
        <f t="shared" si="539"/>
        <v>0</v>
      </c>
      <c r="AH969" s="2">
        <f t="shared" si="540"/>
        <v>0</v>
      </c>
      <c r="AI969" s="2">
        <f t="shared" si="541"/>
        <v>0</v>
      </c>
      <c r="AJ969" s="2">
        <f t="shared" si="542"/>
        <v>0</v>
      </c>
      <c r="AK969" s="2">
        <f t="shared" si="543"/>
        <v>0</v>
      </c>
      <c r="AL969" s="2">
        <f t="shared" si="544"/>
        <v>0</v>
      </c>
      <c r="AM969" s="11"/>
      <c r="AN969" s="2" t="e">
        <f t="shared" si="521"/>
        <v>#N/A</v>
      </c>
      <c r="AO969" s="2" t="e">
        <f t="shared" si="522"/>
        <v>#N/A</v>
      </c>
      <c r="AP969" s="2" t="e">
        <f t="shared" si="523"/>
        <v>#N/A</v>
      </c>
      <c r="AQ969" s="2" t="e">
        <f t="shared" si="524"/>
        <v>#N/A</v>
      </c>
      <c r="AR969" s="2" t="e">
        <f t="shared" si="525"/>
        <v>#N/A</v>
      </c>
      <c r="AS969" s="2" t="e">
        <f t="shared" si="526"/>
        <v>#DIV/0!</v>
      </c>
      <c r="AT969" s="9" t="e">
        <f t="shared" ca="1" si="527"/>
        <v>#N/A</v>
      </c>
      <c r="AU969" s="9" t="e">
        <f t="shared" ca="1" si="528"/>
        <v>#N/A</v>
      </c>
      <c r="AW969" s="2" t="e">
        <f t="shared" si="513"/>
        <v>#N/A</v>
      </c>
      <c r="AX969" s="2" t="e">
        <f t="shared" si="514"/>
        <v>#N/A</v>
      </c>
      <c r="AY969" s="2" t="e">
        <f t="shared" si="515"/>
        <v>#N/A</v>
      </c>
      <c r="AZ969" s="2" t="e">
        <f t="shared" si="516"/>
        <v>#N/A</v>
      </c>
      <c r="BA969" s="2" t="e">
        <f t="shared" si="517"/>
        <v>#N/A</v>
      </c>
      <c r="BB969" s="2" t="e">
        <f t="shared" si="518"/>
        <v>#DIV/0!</v>
      </c>
      <c r="BC969" s="9" t="e">
        <f t="shared" ca="1" si="519"/>
        <v>#N/A</v>
      </c>
      <c r="BD969" s="9" t="e">
        <f t="shared" ca="1" si="520"/>
        <v>#N/A</v>
      </c>
    </row>
    <row r="970" spans="1:56" ht="15" x14ac:dyDescent="0.25">
      <c r="A970"/>
      <c r="B970"/>
      <c r="C970"/>
      <c r="D970"/>
      <c r="E970"/>
      <c r="F970"/>
      <c r="G970"/>
      <c r="H970"/>
      <c r="I970"/>
      <c r="J970"/>
      <c r="K970"/>
      <c r="L970" s="64"/>
      <c r="M970" s="64"/>
      <c r="N970" s="16"/>
      <c r="O970" s="11"/>
      <c r="P970" s="11"/>
      <c r="Q970" s="11"/>
      <c r="R970" s="11"/>
      <c r="S970" s="11"/>
      <c r="T970" s="11"/>
      <c r="U970" s="11">
        <f t="shared" si="529"/>
        <v>0</v>
      </c>
      <c r="V970" s="2">
        <f t="shared" si="530"/>
        <v>0</v>
      </c>
      <c r="W970" s="11">
        <f t="shared" si="531"/>
        <v>0</v>
      </c>
      <c r="X970" s="2">
        <f t="shared" si="532"/>
        <v>0</v>
      </c>
      <c r="Y970" s="2">
        <f t="shared" si="533"/>
        <v>0</v>
      </c>
      <c r="Z970" s="11">
        <f t="shared" si="534"/>
        <v>0</v>
      </c>
      <c r="AA970" s="2">
        <f t="shared" si="535"/>
        <v>0</v>
      </c>
      <c r="AB970" s="11">
        <f t="shared" si="536"/>
        <v>0</v>
      </c>
      <c r="AC970" s="2">
        <f t="shared" si="537"/>
        <v>0</v>
      </c>
      <c r="AF970" s="11">
        <f t="shared" si="538"/>
        <v>0</v>
      </c>
      <c r="AG970" s="2">
        <f t="shared" si="539"/>
        <v>0</v>
      </c>
      <c r="AH970" s="2">
        <f t="shared" si="540"/>
        <v>0</v>
      </c>
      <c r="AI970" s="2">
        <f t="shared" si="541"/>
        <v>0</v>
      </c>
      <c r="AJ970" s="2">
        <f t="shared" si="542"/>
        <v>0</v>
      </c>
      <c r="AK970" s="2">
        <f t="shared" si="543"/>
        <v>0</v>
      </c>
      <c r="AL970" s="2">
        <f t="shared" si="544"/>
        <v>0</v>
      </c>
      <c r="AM970" s="11"/>
      <c r="AN970" s="2" t="e">
        <f t="shared" si="521"/>
        <v>#N/A</v>
      </c>
      <c r="AO970" s="2" t="e">
        <f t="shared" si="522"/>
        <v>#N/A</v>
      </c>
      <c r="AP970" s="2" t="e">
        <f t="shared" si="523"/>
        <v>#N/A</v>
      </c>
      <c r="AQ970" s="2" t="e">
        <f t="shared" si="524"/>
        <v>#N/A</v>
      </c>
      <c r="AR970" s="2" t="e">
        <f t="shared" si="525"/>
        <v>#N/A</v>
      </c>
      <c r="AS970" s="2" t="e">
        <f t="shared" si="526"/>
        <v>#DIV/0!</v>
      </c>
      <c r="AT970" s="9" t="e">
        <f t="shared" ca="1" si="527"/>
        <v>#N/A</v>
      </c>
      <c r="AU970" s="9" t="e">
        <f t="shared" ca="1" si="528"/>
        <v>#N/A</v>
      </c>
      <c r="AW970" s="2" t="e">
        <f t="shared" si="513"/>
        <v>#N/A</v>
      </c>
      <c r="AX970" s="2" t="e">
        <f t="shared" si="514"/>
        <v>#N/A</v>
      </c>
      <c r="AY970" s="2" t="e">
        <f t="shared" si="515"/>
        <v>#N/A</v>
      </c>
      <c r="AZ970" s="2" t="e">
        <f t="shared" si="516"/>
        <v>#N/A</v>
      </c>
      <c r="BA970" s="2" t="e">
        <f t="shared" si="517"/>
        <v>#N/A</v>
      </c>
      <c r="BB970" s="2" t="e">
        <f t="shared" si="518"/>
        <v>#DIV/0!</v>
      </c>
      <c r="BC970" s="9" t="e">
        <f t="shared" ca="1" si="519"/>
        <v>#N/A</v>
      </c>
      <c r="BD970" s="9" t="e">
        <f t="shared" ca="1" si="520"/>
        <v>#N/A</v>
      </c>
    </row>
    <row r="971" spans="1:56" ht="15" x14ac:dyDescent="0.25">
      <c r="A971"/>
      <c r="B971"/>
      <c r="C971"/>
      <c r="D971"/>
      <c r="E971"/>
      <c r="F971"/>
      <c r="G971"/>
      <c r="H971"/>
      <c r="I971"/>
      <c r="J971"/>
      <c r="K971"/>
      <c r="L971" s="64"/>
      <c r="M971" s="64"/>
      <c r="N971" s="16"/>
      <c r="O971" s="11"/>
      <c r="P971" s="11"/>
      <c r="Q971" s="11"/>
      <c r="R971" s="11"/>
      <c r="S971" s="11"/>
      <c r="T971" s="11"/>
      <c r="U971" s="11">
        <f t="shared" si="529"/>
        <v>0</v>
      </c>
      <c r="V971" s="2">
        <f t="shared" si="530"/>
        <v>0</v>
      </c>
      <c r="W971" s="11">
        <f t="shared" si="531"/>
        <v>0</v>
      </c>
      <c r="X971" s="2">
        <f t="shared" si="532"/>
        <v>0</v>
      </c>
      <c r="Y971" s="2">
        <f t="shared" si="533"/>
        <v>0</v>
      </c>
      <c r="Z971" s="11">
        <f t="shared" si="534"/>
        <v>0</v>
      </c>
      <c r="AA971" s="2">
        <f t="shared" si="535"/>
        <v>0</v>
      </c>
      <c r="AB971" s="11">
        <f t="shared" si="536"/>
        <v>0</v>
      </c>
      <c r="AC971" s="2">
        <f t="shared" si="537"/>
        <v>0</v>
      </c>
      <c r="AF971" s="11">
        <f t="shared" si="538"/>
        <v>0</v>
      </c>
      <c r="AG971" s="2">
        <f t="shared" si="539"/>
        <v>0</v>
      </c>
      <c r="AH971" s="2">
        <f t="shared" si="540"/>
        <v>0</v>
      </c>
      <c r="AI971" s="2">
        <f t="shared" si="541"/>
        <v>0</v>
      </c>
      <c r="AJ971" s="2">
        <f t="shared" si="542"/>
        <v>0</v>
      </c>
      <c r="AK971" s="2">
        <f t="shared" si="543"/>
        <v>0</v>
      </c>
      <c r="AL971" s="2">
        <f t="shared" si="544"/>
        <v>0</v>
      </c>
      <c r="AM971" s="11"/>
      <c r="AN971" s="2" t="e">
        <f t="shared" si="521"/>
        <v>#N/A</v>
      </c>
      <c r="AO971" s="2" t="e">
        <f t="shared" si="522"/>
        <v>#N/A</v>
      </c>
      <c r="AP971" s="2" t="e">
        <f t="shared" si="523"/>
        <v>#N/A</v>
      </c>
      <c r="AQ971" s="2" t="e">
        <f t="shared" si="524"/>
        <v>#N/A</v>
      </c>
      <c r="AR971" s="2" t="e">
        <f t="shared" si="525"/>
        <v>#N/A</v>
      </c>
      <c r="AS971" s="2" t="e">
        <f t="shared" si="526"/>
        <v>#DIV/0!</v>
      </c>
      <c r="AT971" s="9" t="e">
        <f t="shared" ca="1" si="527"/>
        <v>#N/A</v>
      </c>
      <c r="AU971" s="9" t="e">
        <f t="shared" ca="1" si="528"/>
        <v>#N/A</v>
      </c>
      <c r="AW971" s="2" t="e">
        <f t="shared" si="513"/>
        <v>#N/A</v>
      </c>
      <c r="AX971" s="2" t="e">
        <f t="shared" si="514"/>
        <v>#N/A</v>
      </c>
      <c r="AY971" s="2" t="e">
        <f t="shared" si="515"/>
        <v>#N/A</v>
      </c>
      <c r="AZ971" s="2" t="e">
        <f t="shared" si="516"/>
        <v>#N/A</v>
      </c>
      <c r="BA971" s="2" t="e">
        <f t="shared" si="517"/>
        <v>#N/A</v>
      </c>
      <c r="BB971" s="2" t="e">
        <f t="shared" si="518"/>
        <v>#DIV/0!</v>
      </c>
      <c r="BC971" s="9" t="e">
        <f t="shared" ca="1" si="519"/>
        <v>#N/A</v>
      </c>
      <c r="BD971" s="9" t="e">
        <f t="shared" ca="1" si="520"/>
        <v>#N/A</v>
      </c>
    </row>
    <row r="972" spans="1:56" ht="15" x14ac:dyDescent="0.25">
      <c r="A972"/>
      <c r="B972"/>
      <c r="C972"/>
      <c r="D972"/>
      <c r="E972"/>
      <c r="F972"/>
      <c r="G972"/>
      <c r="H972"/>
      <c r="I972"/>
      <c r="J972"/>
      <c r="K972"/>
      <c r="L972" s="64"/>
      <c r="M972" s="64"/>
      <c r="N972" s="16"/>
      <c r="O972" s="11"/>
      <c r="P972" s="11"/>
      <c r="Q972" s="11"/>
      <c r="R972" s="11"/>
      <c r="S972" s="11"/>
      <c r="T972" s="11"/>
      <c r="U972" s="11">
        <f t="shared" si="529"/>
        <v>0</v>
      </c>
      <c r="V972" s="2">
        <f t="shared" si="530"/>
        <v>0</v>
      </c>
      <c r="W972" s="11">
        <f t="shared" si="531"/>
        <v>0</v>
      </c>
      <c r="X972" s="2">
        <f t="shared" si="532"/>
        <v>0</v>
      </c>
      <c r="Y972" s="2">
        <f t="shared" si="533"/>
        <v>0</v>
      </c>
      <c r="Z972" s="11">
        <f t="shared" si="534"/>
        <v>0</v>
      </c>
      <c r="AA972" s="2">
        <f t="shared" si="535"/>
        <v>0</v>
      </c>
      <c r="AB972" s="11">
        <f t="shared" si="536"/>
        <v>0</v>
      </c>
      <c r="AC972" s="2">
        <f t="shared" si="537"/>
        <v>0</v>
      </c>
      <c r="AF972" s="11">
        <f t="shared" si="538"/>
        <v>0</v>
      </c>
      <c r="AG972" s="2">
        <f t="shared" si="539"/>
        <v>0</v>
      </c>
      <c r="AH972" s="2">
        <f t="shared" si="540"/>
        <v>0</v>
      </c>
      <c r="AI972" s="2">
        <f t="shared" si="541"/>
        <v>0</v>
      </c>
      <c r="AJ972" s="2">
        <f t="shared" si="542"/>
        <v>0</v>
      </c>
      <c r="AK972" s="2">
        <f t="shared" si="543"/>
        <v>0</v>
      </c>
      <c r="AL972" s="2">
        <f t="shared" si="544"/>
        <v>0</v>
      </c>
      <c r="AM972" s="11"/>
      <c r="AN972" s="2" t="e">
        <f t="shared" si="521"/>
        <v>#N/A</v>
      </c>
      <c r="AO972" s="2" t="e">
        <f t="shared" si="522"/>
        <v>#N/A</v>
      </c>
      <c r="AP972" s="2" t="e">
        <f t="shared" si="523"/>
        <v>#N/A</v>
      </c>
      <c r="AQ972" s="2" t="e">
        <f t="shared" si="524"/>
        <v>#N/A</v>
      </c>
      <c r="AR972" s="2" t="e">
        <f t="shared" si="525"/>
        <v>#N/A</v>
      </c>
      <c r="AS972" s="2" t="e">
        <f t="shared" si="526"/>
        <v>#DIV/0!</v>
      </c>
      <c r="AT972" s="9" t="e">
        <f t="shared" ca="1" si="527"/>
        <v>#N/A</v>
      </c>
      <c r="AU972" s="9" t="e">
        <f t="shared" ca="1" si="528"/>
        <v>#N/A</v>
      </c>
      <c r="AW972" s="2" t="e">
        <f t="shared" si="513"/>
        <v>#N/A</v>
      </c>
      <c r="AX972" s="2" t="e">
        <f t="shared" si="514"/>
        <v>#N/A</v>
      </c>
      <c r="AY972" s="2" t="e">
        <f t="shared" si="515"/>
        <v>#N/A</v>
      </c>
      <c r="AZ972" s="2" t="e">
        <f t="shared" si="516"/>
        <v>#N/A</v>
      </c>
      <c r="BA972" s="2" t="e">
        <f t="shared" si="517"/>
        <v>#N/A</v>
      </c>
      <c r="BB972" s="2" t="e">
        <f t="shared" si="518"/>
        <v>#DIV/0!</v>
      </c>
      <c r="BC972" s="9" t="e">
        <f t="shared" ca="1" si="519"/>
        <v>#N/A</v>
      </c>
      <c r="BD972" s="9" t="e">
        <f t="shared" ca="1" si="520"/>
        <v>#N/A</v>
      </c>
    </row>
    <row r="973" spans="1:56" ht="15" x14ac:dyDescent="0.25">
      <c r="A973"/>
      <c r="B973"/>
      <c r="C973"/>
      <c r="D973"/>
      <c r="E973"/>
      <c r="F973"/>
      <c r="G973"/>
      <c r="H973"/>
      <c r="I973"/>
      <c r="J973"/>
      <c r="K973"/>
      <c r="L973" s="64"/>
      <c r="M973" s="64"/>
      <c r="N973" s="16"/>
      <c r="O973" s="11"/>
      <c r="P973" s="11"/>
      <c r="Q973" s="11"/>
      <c r="R973" s="11"/>
      <c r="S973" s="11"/>
      <c r="T973" s="11"/>
      <c r="U973" s="11">
        <f t="shared" si="529"/>
        <v>0</v>
      </c>
      <c r="V973" s="2">
        <f t="shared" si="530"/>
        <v>0</v>
      </c>
      <c r="W973" s="11">
        <f t="shared" si="531"/>
        <v>0</v>
      </c>
      <c r="X973" s="2">
        <f t="shared" si="532"/>
        <v>0</v>
      </c>
      <c r="Y973" s="2">
        <f t="shared" si="533"/>
        <v>0</v>
      </c>
      <c r="Z973" s="11">
        <f t="shared" si="534"/>
        <v>0</v>
      </c>
      <c r="AA973" s="2">
        <f t="shared" si="535"/>
        <v>0</v>
      </c>
      <c r="AB973" s="11">
        <f t="shared" si="536"/>
        <v>0</v>
      </c>
      <c r="AC973" s="2">
        <f t="shared" si="537"/>
        <v>0</v>
      </c>
      <c r="AF973" s="11">
        <f t="shared" si="538"/>
        <v>0</v>
      </c>
      <c r="AG973" s="2">
        <f t="shared" si="539"/>
        <v>0</v>
      </c>
      <c r="AH973" s="2">
        <f t="shared" si="540"/>
        <v>0</v>
      </c>
      <c r="AI973" s="2">
        <f t="shared" si="541"/>
        <v>0</v>
      </c>
      <c r="AJ973" s="2">
        <f t="shared" si="542"/>
        <v>0</v>
      </c>
      <c r="AK973" s="2">
        <f t="shared" si="543"/>
        <v>0</v>
      </c>
      <c r="AL973" s="2">
        <f t="shared" si="544"/>
        <v>0</v>
      </c>
      <c r="AM973" s="11"/>
      <c r="AN973" s="2" t="e">
        <f t="shared" si="521"/>
        <v>#N/A</v>
      </c>
      <c r="AO973" s="2" t="e">
        <f t="shared" si="522"/>
        <v>#N/A</v>
      </c>
      <c r="AP973" s="2" t="e">
        <f t="shared" si="523"/>
        <v>#N/A</v>
      </c>
      <c r="AQ973" s="2" t="e">
        <f t="shared" si="524"/>
        <v>#N/A</v>
      </c>
      <c r="AR973" s="2" t="e">
        <f t="shared" si="525"/>
        <v>#N/A</v>
      </c>
      <c r="AS973" s="2" t="e">
        <f t="shared" si="526"/>
        <v>#DIV/0!</v>
      </c>
      <c r="AT973" s="9" t="e">
        <f t="shared" ca="1" si="527"/>
        <v>#N/A</v>
      </c>
      <c r="AU973" s="9" t="e">
        <f t="shared" ca="1" si="528"/>
        <v>#N/A</v>
      </c>
      <c r="AW973" s="2" t="e">
        <f t="shared" si="513"/>
        <v>#N/A</v>
      </c>
      <c r="AX973" s="2" t="e">
        <f t="shared" si="514"/>
        <v>#N/A</v>
      </c>
      <c r="AY973" s="2" t="e">
        <f t="shared" si="515"/>
        <v>#N/A</v>
      </c>
      <c r="AZ973" s="2" t="e">
        <f t="shared" si="516"/>
        <v>#N/A</v>
      </c>
      <c r="BA973" s="2" t="e">
        <f t="shared" si="517"/>
        <v>#N/A</v>
      </c>
      <c r="BB973" s="2" t="e">
        <f t="shared" si="518"/>
        <v>#DIV/0!</v>
      </c>
      <c r="BC973" s="9" t="e">
        <f t="shared" ca="1" si="519"/>
        <v>#N/A</v>
      </c>
      <c r="BD973" s="9" t="e">
        <f t="shared" ca="1" si="520"/>
        <v>#N/A</v>
      </c>
    </row>
    <row r="974" spans="1:56" ht="15" x14ac:dyDescent="0.25">
      <c r="A974"/>
      <c r="B974"/>
      <c r="C974"/>
      <c r="D974"/>
      <c r="E974"/>
      <c r="F974"/>
      <c r="G974"/>
      <c r="H974"/>
      <c r="I974"/>
      <c r="J974"/>
      <c r="K974"/>
      <c r="L974" s="64"/>
      <c r="M974" s="64"/>
      <c r="N974" s="16"/>
      <c r="O974" s="11"/>
      <c r="P974" s="11"/>
      <c r="Q974" s="11"/>
      <c r="R974" s="11"/>
      <c r="S974" s="11"/>
      <c r="T974" s="11"/>
      <c r="U974" s="11">
        <f t="shared" si="529"/>
        <v>0</v>
      </c>
      <c r="V974" s="2">
        <f t="shared" si="530"/>
        <v>0</v>
      </c>
      <c r="W974" s="11">
        <f t="shared" si="531"/>
        <v>0</v>
      </c>
      <c r="X974" s="2">
        <f t="shared" si="532"/>
        <v>0</v>
      </c>
      <c r="Y974" s="2">
        <f t="shared" si="533"/>
        <v>0</v>
      </c>
      <c r="Z974" s="11">
        <f t="shared" si="534"/>
        <v>0</v>
      </c>
      <c r="AA974" s="2">
        <f t="shared" si="535"/>
        <v>0</v>
      </c>
      <c r="AB974" s="11">
        <f t="shared" si="536"/>
        <v>0</v>
      </c>
      <c r="AC974" s="2">
        <f t="shared" si="537"/>
        <v>0</v>
      </c>
      <c r="AF974" s="11">
        <f t="shared" si="538"/>
        <v>0</v>
      </c>
      <c r="AG974" s="2">
        <f t="shared" si="539"/>
        <v>0</v>
      </c>
      <c r="AH974" s="2">
        <f t="shared" si="540"/>
        <v>0</v>
      </c>
      <c r="AI974" s="2">
        <f t="shared" si="541"/>
        <v>0</v>
      </c>
      <c r="AJ974" s="2">
        <f t="shared" si="542"/>
        <v>0</v>
      </c>
      <c r="AK974" s="2">
        <f t="shared" si="543"/>
        <v>0</v>
      </c>
      <c r="AL974" s="2">
        <f t="shared" si="544"/>
        <v>0</v>
      </c>
      <c r="AM974" s="11"/>
      <c r="AN974" s="2" t="e">
        <f t="shared" si="521"/>
        <v>#N/A</v>
      </c>
      <c r="AO974" s="2" t="e">
        <f t="shared" si="522"/>
        <v>#N/A</v>
      </c>
      <c r="AP974" s="2" t="e">
        <f t="shared" si="523"/>
        <v>#N/A</v>
      </c>
      <c r="AQ974" s="2" t="e">
        <f t="shared" si="524"/>
        <v>#N/A</v>
      </c>
      <c r="AR974" s="2" t="e">
        <f t="shared" si="525"/>
        <v>#N/A</v>
      </c>
      <c r="AS974" s="2" t="e">
        <f t="shared" si="526"/>
        <v>#DIV/0!</v>
      </c>
      <c r="AT974" s="9" t="e">
        <f t="shared" ca="1" si="527"/>
        <v>#N/A</v>
      </c>
      <c r="AU974" s="9" t="e">
        <f t="shared" ca="1" si="528"/>
        <v>#N/A</v>
      </c>
      <c r="AW974" s="2" t="e">
        <f t="shared" si="513"/>
        <v>#N/A</v>
      </c>
      <c r="AX974" s="2" t="e">
        <f t="shared" si="514"/>
        <v>#N/A</v>
      </c>
      <c r="AY974" s="2" t="e">
        <f t="shared" si="515"/>
        <v>#N/A</v>
      </c>
      <c r="AZ974" s="2" t="e">
        <f t="shared" si="516"/>
        <v>#N/A</v>
      </c>
      <c r="BA974" s="2" t="e">
        <f t="shared" si="517"/>
        <v>#N/A</v>
      </c>
      <c r="BB974" s="2" t="e">
        <f t="shared" si="518"/>
        <v>#DIV/0!</v>
      </c>
      <c r="BC974" s="9" t="e">
        <f t="shared" ca="1" si="519"/>
        <v>#N/A</v>
      </c>
      <c r="BD974" s="9" t="e">
        <f t="shared" ca="1" si="520"/>
        <v>#N/A</v>
      </c>
    </row>
    <row r="975" spans="1:56" ht="15" x14ac:dyDescent="0.25">
      <c r="A975"/>
      <c r="B975"/>
      <c r="C975"/>
      <c r="D975"/>
      <c r="E975"/>
      <c r="F975"/>
      <c r="G975"/>
      <c r="H975"/>
      <c r="I975"/>
      <c r="J975"/>
      <c r="K975"/>
      <c r="L975" s="64"/>
      <c r="M975" s="64"/>
      <c r="N975" s="16"/>
      <c r="O975" s="11"/>
      <c r="P975" s="11"/>
      <c r="Q975" s="11"/>
      <c r="R975" s="11"/>
      <c r="S975" s="11"/>
      <c r="T975" s="11"/>
      <c r="U975" s="11">
        <f t="shared" si="529"/>
        <v>0</v>
      </c>
      <c r="V975" s="2">
        <f t="shared" si="530"/>
        <v>0</v>
      </c>
      <c r="W975" s="11">
        <f t="shared" si="531"/>
        <v>0</v>
      </c>
      <c r="X975" s="2">
        <f t="shared" si="532"/>
        <v>0</v>
      </c>
      <c r="Y975" s="2">
        <f t="shared" si="533"/>
        <v>0</v>
      </c>
      <c r="Z975" s="11">
        <f t="shared" si="534"/>
        <v>0</v>
      </c>
      <c r="AA975" s="2">
        <f t="shared" si="535"/>
        <v>0</v>
      </c>
      <c r="AB975" s="11">
        <f t="shared" si="536"/>
        <v>0</v>
      </c>
      <c r="AC975" s="2">
        <f t="shared" si="537"/>
        <v>0</v>
      </c>
      <c r="AF975" s="11">
        <f t="shared" si="538"/>
        <v>0</v>
      </c>
      <c r="AG975" s="2">
        <f t="shared" si="539"/>
        <v>0</v>
      </c>
      <c r="AH975" s="2">
        <f t="shared" si="540"/>
        <v>0</v>
      </c>
      <c r="AI975" s="2">
        <f t="shared" si="541"/>
        <v>0</v>
      </c>
      <c r="AJ975" s="2">
        <f t="shared" si="542"/>
        <v>0</v>
      </c>
      <c r="AK975" s="2">
        <f t="shared" si="543"/>
        <v>0</v>
      </c>
      <c r="AL975" s="2">
        <f t="shared" si="544"/>
        <v>0</v>
      </c>
      <c r="AM975" s="11"/>
      <c r="AN975" s="2" t="e">
        <f t="shared" si="521"/>
        <v>#N/A</v>
      </c>
      <c r="AO975" s="2" t="e">
        <f t="shared" si="522"/>
        <v>#N/A</v>
      </c>
      <c r="AP975" s="2" t="e">
        <f t="shared" si="523"/>
        <v>#N/A</v>
      </c>
      <c r="AQ975" s="2" t="e">
        <f t="shared" si="524"/>
        <v>#N/A</v>
      </c>
      <c r="AR975" s="2" t="e">
        <f t="shared" si="525"/>
        <v>#N/A</v>
      </c>
      <c r="AS975" s="2" t="e">
        <f t="shared" si="526"/>
        <v>#DIV/0!</v>
      </c>
      <c r="AT975" s="9" t="e">
        <f t="shared" ca="1" si="527"/>
        <v>#N/A</v>
      </c>
      <c r="AU975" s="9" t="e">
        <f t="shared" ca="1" si="528"/>
        <v>#N/A</v>
      </c>
      <c r="AW975" s="2" t="e">
        <f t="shared" si="513"/>
        <v>#N/A</v>
      </c>
      <c r="AX975" s="2" t="e">
        <f t="shared" si="514"/>
        <v>#N/A</v>
      </c>
      <c r="AY975" s="2" t="e">
        <f t="shared" si="515"/>
        <v>#N/A</v>
      </c>
      <c r="AZ975" s="2" t="e">
        <f t="shared" si="516"/>
        <v>#N/A</v>
      </c>
      <c r="BA975" s="2" t="e">
        <f t="shared" si="517"/>
        <v>#N/A</v>
      </c>
      <c r="BB975" s="2" t="e">
        <f t="shared" si="518"/>
        <v>#DIV/0!</v>
      </c>
      <c r="BC975" s="9" t="e">
        <f t="shared" ca="1" si="519"/>
        <v>#N/A</v>
      </c>
      <c r="BD975" s="9" t="e">
        <f t="shared" ca="1" si="520"/>
        <v>#N/A</v>
      </c>
    </row>
    <row r="976" spans="1:56" ht="15" x14ac:dyDescent="0.25">
      <c r="A976"/>
      <c r="B976"/>
      <c r="C976"/>
      <c r="D976"/>
      <c r="E976"/>
      <c r="F976"/>
      <c r="G976"/>
      <c r="H976"/>
      <c r="I976"/>
      <c r="J976"/>
      <c r="K976"/>
      <c r="L976" s="64"/>
      <c r="M976" s="64"/>
      <c r="N976" s="16"/>
      <c r="O976" s="11"/>
      <c r="P976" s="11"/>
      <c r="Q976" s="11"/>
      <c r="R976" s="11"/>
      <c r="S976" s="11"/>
      <c r="T976" s="11"/>
      <c r="U976" s="11">
        <f t="shared" si="529"/>
        <v>0</v>
      </c>
      <c r="V976" s="2">
        <f t="shared" si="530"/>
        <v>0</v>
      </c>
      <c r="W976" s="11">
        <f t="shared" si="531"/>
        <v>0</v>
      </c>
      <c r="X976" s="2">
        <f t="shared" si="532"/>
        <v>0</v>
      </c>
      <c r="Y976" s="2">
        <f t="shared" si="533"/>
        <v>0</v>
      </c>
      <c r="Z976" s="11">
        <f t="shared" si="534"/>
        <v>0</v>
      </c>
      <c r="AA976" s="2">
        <f t="shared" si="535"/>
        <v>0</v>
      </c>
      <c r="AB976" s="11">
        <f t="shared" si="536"/>
        <v>0</v>
      </c>
      <c r="AC976" s="2">
        <f t="shared" si="537"/>
        <v>0</v>
      </c>
      <c r="AF976" s="11">
        <f t="shared" si="538"/>
        <v>0</v>
      </c>
      <c r="AG976" s="2">
        <f t="shared" si="539"/>
        <v>0</v>
      </c>
      <c r="AH976" s="2">
        <f t="shared" si="540"/>
        <v>0</v>
      </c>
      <c r="AI976" s="2">
        <f t="shared" si="541"/>
        <v>0</v>
      </c>
      <c r="AJ976" s="2">
        <f t="shared" si="542"/>
        <v>0</v>
      </c>
      <c r="AK976" s="2">
        <f t="shared" si="543"/>
        <v>0</v>
      </c>
      <c r="AL976" s="2">
        <f t="shared" si="544"/>
        <v>0</v>
      </c>
      <c r="AM976" s="11"/>
      <c r="AN976" s="2" t="e">
        <f t="shared" si="521"/>
        <v>#N/A</v>
      </c>
      <c r="AO976" s="2" t="e">
        <f t="shared" si="522"/>
        <v>#N/A</v>
      </c>
      <c r="AP976" s="2" t="e">
        <f t="shared" si="523"/>
        <v>#N/A</v>
      </c>
      <c r="AQ976" s="2" t="e">
        <f t="shared" si="524"/>
        <v>#N/A</v>
      </c>
      <c r="AR976" s="2" t="e">
        <f t="shared" si="525"/>
        <v>#N/A</v>
      </c>
      <c r="AS976" s="2" t="e">
        <f t="shared" si="526"/>
        <v>#DIV/0!</v>
      </c>
      <c r="AT976" s="9" t="e">
        <f t="shared" ca="1" si="527"/>
        <v>#N/A</v>
      </c>
      <c r="AU976" s="9" t="e">
        <f t="shared" ca="1" si="528"/>
        <v>#N/A</v>
      </c>
      <c r="AW976" s="2" t="e">
        <f t="shared" si="513"/>
        <v>#N/A</v>
      </c>
      <c r="AX976" s="2" t="e">
        <f t="shared" si="514"/>
        <v>#N/A</v>
      </c>
      <c r="AY976" s="2" t="e">
        <f t="shared" si="515"/>
        <v>#N/A</v>
      </c>
      <c r="AZ976" s="2" t="e">
        <f t="shared" si="516"/>
        <v>#N/A</v>
      </c>
      <c r="BA976" s="2" t="e">
        <f t="shared" si="517"/>
        <v>#N/A</v>
      </c>
      <c r="BB976" s="2" t="e">
        <f t="shared" si="518"/>
        <v>#DIV/0!</v>
      </c>
      <c r="BC976" s="9" t="e">
        <f t="shared" ca="1" si="519"/>
        <v>#N/A</v>
      </c>
      <c r="BD976" s="9" t="e">
        <f t="shared" ca="1" si="520"/>
        <v>#N/A</v>
      </c>
    </row>
    <row r="977" spans="1:56" ht="15" x14ac:dyDescent="0.25">
      <c r="A977"/>
      <c r="B977"/>
      <c r="C977"/>
      <c r="D977"/>
      <c r="E977"/>
      <c r="F977"/>
      <c r="G977"/>
      <c r="H977"/>
      <c r="I977"/>
      <c r="J977"/>
      <c r="K977"/>
      <c r="L977" s="64"/>
      <c r="M977" s="64"/>
      <c r="N977" s="16"/>
      <c r="O977" s="11"/>
      <c r="P977" s="11"/>
      <c r="Q977" s="11"/>
      <c r="R977" s="11"/>
      <c r="S977" s="11"/>
      <c r="T977" s="11"/>
      <c r="U977" s="11">
        <f t="shared" si="529"/>
        <v>0</v>
      </c>
      <c r="V977" s="2">
        <f t="shared" si="530"/>
        <v>0</v>
      </c>
      <c r="W977" s="11">
        <f t="shared" si="531"/>
        <v>0</v>
      </c>
      <c r="X977" s="2">
        <f t="shared" si="532"/>
        <v>0</v>
      </c>
      <c r="Y977" s="2">
        <f t="shared" si="533"/>
        <v>0</v>
      </c>
      <c r="Z977" s="11">
        <f t="shared" si="534"/>
        <v>0</v>
      </c>
      <c r="AA977" s="2">
        <f t="shared" si="535"/>
        <v>0</v>
      </c>
      <c r="AB977" s="11">
        <f t="shared" si="536"/>
        <v>0</v>
      </c>
      <c r="AC977" s="2">
        <f t="shared" si="537"/>
        <v>0</v>
      </c>
      <c r="AF977" s="11">
        <f t="shared" si="538"/>
        <v>0</v>
      </c>
      <c r="AG977" s="2">
        <f t="shared" si="539"/>
        <v>0</v>
      </c>
      <c r="AH977" s="2">
        <f t="shared" si="540"/>
        <v>0</v>
      </c>
      <c r="AI977" s="2">
        <f t="shared" si="541"/>
        <v>0</v>
      </c>
      <c r="AJ977" s="2">
        <f t="shared" si="542"/>
        <v>0</v>
      </c>
      <c r="AK977" s="2">
        <f t="shared" si="543"/>
        <v>0</v>
      </c>
      <c r="AL977" s="2">
        <f t="shared" si="544"/>
        <v>0</v>
      </c>
      <c r="AM977" s="11"/>
      <c r="AN977" s="2" t="e">
        <f t="shared" si="521"/>
        <v>#N/A</v>
      </c>
      <c r="AO977" s="2" t="e">
        <f t="shared" si="522"/>
        <v>#N/A</v>
      </c>
      <c r="AP977" s="2" t="e">
        <f t="shared" si="523"/>
        <v>#N/A</v>
      </c>
      <c r="AQ977" s="2" t="e">
        <f t="shared" si="524"/>
        <v>#N/A</v>
      </c>
      <c r="AR977" s="2" t="e">
        <f t="shared" si="525"/>
        <v>#N/A</v>
      </c>
      <c r="AS977" s="2" t="e">
        <f t="shared" si="526"/>
        <v>#DIV/0!</v>
      </c>
      <c r="AT977" s="9" t="e">
        <f t="shared" ca="1" si="527"/>
        <v>#N/A</v>
      </c>
      <c r="AU977" s="9" t="e">
        <f t="shared" ca="1" si="528"/>
        <v>#N/A</v>
      </c>
      <c r="AW977" s="2" t="e">
        <f t="shared" si="513"/>
        <v>#N/A</v>
      </c>
      <c r="AX977" s="2" t="e">
        <f t="shared" si="514"/>
        <v>#N/A</v>
      </c>
      <c r="AY977" s="2" t="e">
        <f t="shared" si="515"/>
        <v>#N/A</v>
      </c>
      <c r="AZ977" s="2" t="e">
        <f t="shared" si="516"/>
        <v>#N/A</v>
      </c>
      <c r="BA977" s="2" t="e">
        <f t="shared" si="517"/>
        <v>#N/A</v>
      </c>
      <c r="BB977" s="2" t="e">
        <f t="shared" si="518"/>
        <v>#DIV/0!</v>
      </c>
      <c r="BC977" s="9" t="e">
        <f t="shared" ca="1" si="519"/>
        <v>#N/A</v>
      </c>
      <c r="BD977" s="9" t="e">
        <f t="shared" ca="1" si="520"/>
        <v>#N/A</v>
      </c>
    </row>
    <row r="978" spans="1:56" ht="15" x14ac:dyDescent="0.25">
      <c r="A978"/>
      <c r="B978"/>
      <c r="C978"/>
      <c r="D978"/>
      <c r="E978"/>
      <c r="F978"/>
      <c r="G978"/>
      <c r="H978"/>
      <c r="I978"/>
      <c r="J978"/>
      <c r="K978"/>
      <c r="L978" s="64"/>
      <c r="M978" s="64"/>
      <c r="N978" s="16"/>
      <c r="O978" s="11"/>
      <c r="P978" s="11"/>
      <c r="Q978" s="11"/>
      <c r="R978" s="11"/>
      <c r="S978" s="11"/>
      <c r="T978" s="11"/>
      <c r="U978" s="11">
        <f t="shared" si="529"/>
        <v>0</v>
      </c>
      <c r="V978" s="2">
        <f t="shared" si="530"/>
        <v>0</v>
      </c>
      <c r="W978" s="11">
        <f t="shared" si="531"/>
        <v>0</v>
      </c>
      <c r="X978" s="2">
        <f t="shared" si="532"/>
        <v>0</v>
      </c>
      <c r="Y978" s="2">
        <f t="shared" si="533"/>
        <v>0</v>
      </c>
      <c r="Z978" s="11">
        <f t="shared" si="534"/>
        <v>0</v>
      </c>
      <c r="AA978" s="2">
        <f t="shared" si="535"/>
        <v>0</v>
      </c>
      <c r="AB978" s="11">
        <f t="shared" si="536"/>
        <v>0</v>
      </c>
      <c r="AC978" s="2">
        <f t="shared" si="537"/>
        <v>0</v>
      </c>
      <c r="AF978" s="11">
        <f t="shared" si="538"/>
        <v>0</v>
      </c>
      <c r="AG978" s="2">
        <f t="shared" si="539"/>
        <v>0</v>
      </c>
      <c r="AH978" s="2">
        <f t="shared" si="540"/>
        <v>0</v>
      </c>
      <c r="AI978" s="2">
        <f t="shared" si="541"/>
        <v>0</v>
      </c>
      <c r="AJ978" s="2">
        <f t="shared" si="542"/>
        <v>0</v>
      </c>
      <c r="AK978" s="2">
        <f t="shared" si="543"/>
        <v>0</v>
      </c>
      <c r="AL978" s="2">
        <f t="shared" si="544"/>
        <v>0</v>
      </c>
      <c r="AM978" s="11"/>
      <c r="AN978" s="2" t="e">
        <f t="shared" si="521"/>
        <v>#N/A</v>
      </c>
      <c r="AO978" s="2" t="e">
        <f t="shared" si="522"/>
        <v>#N/A</v>
      </c>
      <c r="AP978" s="2" t="e">
        <f t="shared" si="523"/>
        <v>#N/A</v>
      </c>
      <c r="AQ978" s="2" t="e">
        <f t="shared" si="524"/>
        <v>#N/A</v>
      </c>
      <c r="AR978" s="2" t="e">
        <f t="shared" si="525"/>
        <v>#N/A</v>
      </c>
      <c r="AS978" s="2" t="e">
        <f t="shared" si="526"/>
        <v>#DIV/0!</v>
      </c>
      <c r="AT978" s="9" t="e">
        <f t="shared" ca="1" si="527"/>
        <v>#N/A</v>
      </c>
      <c r="AU978" s="9" t="e">
        <f t="shared" ca="1" si="528"/>
        <v>#N/A</v>
      </c>
      <c r="AW978" s="2" t="e">
        <f t="shared" si="513"/>
        <v>#N/A</v>
      </c>
      <c r="AX978" s="2" t="e">
        <f t="shared" si="514"/>
        <v>#N/A</v>
      </c>
      <c r="AY978" s="2" t="e">
        <f t="shared" si="515"/>
        <v>#N/A</v>
      </c>
      <c r="AZ978" s="2" t="e">
        <f t="shared" si="516"/>
        <v>#N/A</v>
      </c>
      <c r="BA978" s="2" t="e">
        <f t="shared" si="517"/>
        <v>#N/A</v>
      </c>
      <c r="BB978" s="2" t="e">
        <f t="shared" si="518"/>
        <v>#DIV/0!</v>
      </c>
      <c r="BC978" s="9" t="e">
        <f t="shared" ca="1" si="519"/>
        <v>#N/A</v>
      </c>
      <c r="BD978" s="9" t="e">
        <f t="shared" ca="1" si="520"/>
        <v>#N/A</v>
      </c>
    </row>
    <row r="979" spans="1:56" ht="15" x14ac:dyDescent="0.25">
      <c r="A979"/>
      <c r="B979"/>
      <c r="C979"/>
      <c r="D979"/>
      <c r="E979"/>
      <c r="F979"/>
      <c r="G979"/>
      <c r="H979"/>
      <c r="I979"/>
      <c r="J979"/>
      <c r="K979"/>
      <c r="L979" s="64"/>
      <c r="M979" s="64"/>
      <c r="N979" s="16"/>
      <c r="O979" s="11"/>
      <c r="P979" s="11"/>
      <c r="Q979" s="11"/>
      <c r="R979" s="11"/>
      <c r="S979" s="11"/>
      <c r="T979" s="11"/>
      <c r="U979" s="11">
        <f t="shared" si="529"/>
        <v>0</v>
      </c>
      <c r="V979" s="2">
        <f t="shared" si="530"/>
        <v>0</v>
      </c>
      <c r="W979" s="11">
        <f t="shared" si="531"/>
        <v>0</v>
      </c>
      <c r="X979" s="2">
        <f t="shared" si="532"/>
        <v>0</v>
      </c>
      <c r="Y979" s="2">
        <f t="shared" si="533"/>
        <v>0</v>
      </c>
      <c r="Z979" s="11">
        <f t="shared" si="534"/>
        <v>0</v>
      </c>
      <c r="AA979" s="2">
        <f t="shared" si="535"/>
        <v>0</v>
      </c>
      <c r="AB979" s="11">
        <f t="shared" si="536"/>
        <v>0</v>
      </c>
      <c r="AC979" s="2">
        <f t="shared" si="537"/>
        <v>0</v>
      </c>
      <c r="AF979" s="11">
        <f t="shared" si="538"/>
        <v>0</v>
      </c>
      <c r="AG979" s="2">
        <f t="shared" si="539"/>
        <v>0</v>
      </c>
      <c r="AH979" s="2">
        <f t="shared" si="540"/>
        <v>0</v>
      </c>
      <c r="AI979" s="2">
        <f t="shared" si="541"/>
        <v>0</v>
      </c>
      <c r="AJ979" s="2">
        <f t="shared" si="542"/>
        <v>0</v>
      </c>
      <c r="AK979" s="2">
        <f t="shared" si="543"/>
        <v>0</v>
      </c>
      <c r="AL979" s="2">
        <f t="shared" si="544"/>
        <v>0</v>
      </c>
      <c r="AM979" s="11"/>
      <c r="AN979" s="2" t="e">
        <f t="shared" si="521"/>
        <v>#N/A</v>
      </c>
      <c r="AO979" s="2" t="e">
        <f t="shared" si="522"/>
        <v>#N/A</v>
      </c>
      <c r="AP979" s="2" t="e">
        <f t="shared" si="523"/>
        <v>#N/A</v>
      </c>
      <c r="AQ979" s="2" t="e">
        <f t="shared" si="524"/>
        <v>#N/A</v>
      </c>
      <c r="AR979" s="2" t="e">
        <f t="shared" si="525"/>
        <v>#N/A</v>
      </c>
      <c r="AS979" s="2" t="e">
        <f t="shared" si="526"/>
        <v>#DIV/0!</v>
      </c>
      <c r="AT979" s="9" t="e">
        <f t="shared" ca="1" si="527"/>
        <v>#N/A</v>
      </c>
      <c r="AU979" s="9" t="e">
        <f t="shared" ca="1" si="528"/>
        <v>#N/A</v>
      </c>
      <c r="AW979" s="2" t="e">
        <f t="shared" si="513"/>
        <v>#N/A</v>
      </c>
      <c r="AX979" s="2" t="e">
        <f t="shared" si="514"/>
        <v>#N/A</v>
      </c>
      <c r="AY979" s="2" t="e">
        <f t="shared" si="515"/>
        <v>#N/A</v>
      </c>
      <c r="AZ979" s="2" t="e">
        <f t="shared" si="516"/>
        <v>#N/A</v>
      </c>
      <c r="BA979" s="2" t="e">
        <f t="shared" si="517"/>
        <v>#N/A</v>
      </c>
      <c r="BB979" s="2" t="e">
        <f t="shared" si="518"/>
        <v>#DIV/0!</v>
      </c>
      <c r="BC979" s="9" t="e">
        <f t="shared" ca="1" si="519"/>
        <v>#N/A</v>
      </c>
      <c r="BD979" s="9" t="e">
        <f t="shared" ca="1" si="520"/>
        <v>#N/A</v>
      </c>
    </row>
    <row r="980" spans="1:56" ht="15" x14ac:dyDescent="0.25">
      <c r="A980"/>
      <c r="B980"/>
      <c r="C980"/>
      <c r="D980"/>
      <c r="E980"/>
      <c r="F980"/>
      <c r="G980"/>
      <c r="H980"/>
      <c r="I980"/>
      <c r="J980"/>
      <c r="K980"/>
      <c r="L980" s="64"/>
      <c r="M980" s="64"/>
      <c r="N980" s="16"/>
      <c r="O980" s="11"/>
      <c r="P980" s="11"/>
      <c r="Q980" s="11"/>
      <c r="R980" s="11"/>
      <c r="S980" s="11"/>
      <c r="T980" s="11"/>
      <c r="U980" s="11">
        <f t="shared" si="529"/>
        <v>0</v>
      </c>
      <c r="V980" s="2">
        <f t="shared" si="530"/>
        <v>0</v>
      </c>
      <c r="W980" s="11">
        <f t="shared" si="531"/>
        <v>0</v>
      </c>
      <c r="X980" s="2">
        <f t="shared" si="532"/>
        <v>0</v>
      </c>
      <c r="Y980" s="2">
        <f t="shared" si="533"/>
        <v>0</v>
      </c>
      <c r="Z980" s="11">
        <f t="shared" si="534"/>
        <v>0</v>
      </c>
      <c r="AA980" s="2">
        <f t="shared" si="535"/>
        <v>0</v>
      </c>
      <c r="AB980" s="11">
        <f t="shared" si="536"/>
        <v>0</v>
      </c>
      <c r="AC980" s="2">
        <f t="shared" si="537"/>
        <v>0</v>
      </c>
      <c r="AF980" s="11">
        <f t="shared" si="538"/>
        <v>0</v>
      </c>
      <c r="AG980" s="2">
        <f t="shared" si="539"/>
        <v>0</v>
      </c>
      <c r="AH980" s="2">
        <f t="shared" si="540"/>
        <v>0</v>
      </c>
      <c r="AI980" s="2">
        <f t="shared" si="541"/>
        <v>0</v>
      </c>
      <c r="AJ980" s="2">
        <f t="shared" si="542"/>
        <v>0</v>
      </c>
      <c r="AK980" s="2">
        <f t="shared" si="543"/>
        <v>0</v>
      </c>
      <c r="AL980" s="2">
        <f t="shared" si="544"/>
        <v>0</v>
      </c>
      <c r="AM980" s="11"/>
      <c r="AN980" s="2" t="e">
        <f t="shared" si="521"/>
        <v>#N/A</v>
      </c>
      <c r="AO980" s="2" t="e">
        <f t="shared" si="522"/>
        <v>#N/A</v>
      </c>
      <c r="AP980" s="2" t="e">
        <f t="shared" si="523"/>
        <v>#N/A</v>
      </c>
      <c r="AQ980" s="2" t="e">
        <f t="shared" si="524"/>
        <v>#N/A</v>
      </c>
      <c r="AR980" s="2" t="e">
        <f t="shared" si="525"/>
        <v>#N/A</v>
      </c>
      <c r="AS980" s="2" t="e">
        <f t="shared" si="526"/>
        <v>#DIV/0!</v>
      </c>
      <c r="AT980" s="9" t="e">
        <f t="shared" ca="1" si="527"/>
        <v>#N/A</v>
      </c>
      <c r="AU980" s="9" t="e">
        <f t="shared" ca="1" si="528"/>
        <v>#N/A</v>
      </c>
      <c r="AW980" s="2" t="e">
        <f t="shared" si="513"/>
        <v>#N/A</v>
      </c>
      <c r="AX980" s="2" t="e">
        <f t="shared" si="514"/>
        <v>#N/A</v>
      </c>
      <c r="AY980" s="2" t="e">
        <f t="shared" si="515"/>
        <v>#N/A</v>
      </c>
      <c r="AZ980" s="2" t="e">
        <f t="shared" si="516"/>
        <v>#N/A</v>
      </c>
      <c r="BA980" s="2" t="e">
        <f t="shared" si="517"/>
        <v>#N/A</v>
      </c>
      <c r="BB980" s="2" t="e">
        <f t="shared" si="518"/>
        <v>#DIV/0!</v>
      </c>
      <c r="BC980" s="9" t="e">
        <f t="shared" ca="1" si="519"/>
        <v>#N/A</v>
      </c>
      <c r="BD980" s="9" t="e">
        <f t="shared" ca="1" si="520"/>
        <v>#N/A</v>
      </c>
    </row>
    <row r="981" spans="1:56" ht="15" x14ac:dyDescent="0.25">
      <c r="A981"/>
      <c r="B981"/>
      <c r="C981"/>
      <c r="D981"/>
      <c r="E981"/>
      <c r="F981"/>
      <c r="G981"/>
      <c r="H981"/>
      <c r="I981"/>
      <c r="J981"/>
      <c r="K981"/>
      <c r="L981" s="64"/>
      <c r="M981" s="64"/>
      <c r="N981" s="16"/>
      <c r="O981" s="11"/>
      <c r="P981" s="11"/>
      <c r="Q981" s="11"/>
      <c r="R981" s="11"/>
      <c r="S981" s="11"/>
      <c r="T981" s="11"/>
      <c r="U981" s="11">
        <f t="shared" si="529"/>
        <v>0</v>
      </c>
      <c r="V981" s="2">
        <f t="shared" si="530"/>
        <v>0</v>
      </c>
      <c r="W981" s="11">
        <f t="shared" si="531"/>
        <v>0</v>
      </c>
      <c r="X981" s="2">
        <f t="shared" si="532"/>
        <v>0</v>
      </c>
      <c r="Y981" s="2">
        <f t="shared" si="533"/>
        <v>0</v>
      </c>
      <c r="Z981" s="11">
        <f t="shared" si="534"/>
        <v>0</v>
      </c>
      <c r="AA981" s="2">
        <f t="shared" si="535"/>
        <v>0</v>
      </c>
      <c r="AB981" s="11">
        <f t="shared" si="536"/>
        <v>0</v>
      </c>
      <c r="AC981" s="2">
        <f t="shared" si="537"/>
        <v>0</v>
      </c>
      <c r="AF981" s="11">
        <f t="shared" si="538"/>
        <v>0</v>
      </c>
      <c r="AG981" s="2">
        <f t="shared" si="539"/>
        <v>0</v>
      </c>
      <c r="AH981" s="2">
        <f t="shared" si="540"/>
        <v>0</v>
      </c>
      <c r="AI981" s="2">
        <f t="shared" si="541"/>
        <v>0</v>
      </c>
      <c r="AJ981" s="2">
        <f t="shared" si="542"/>
        <v>0</v>
      </c>
      <c r="AK981" s="2">
        <f t="shared" si="543"/>
        <v>0</v>
      </c>
      <c r="AL981" s="2">
        <f t="shared" si="544"/>
        <v>0</v>
      </c>
      <c r="AM981" s="11"/>
      <c r="AN981" s="2" t="e">
        <f t="shared" si="521"/>
        <v>#N/A</v>
      </c>
      <c r="AO981" s="2" t="e">
        <f t="shared" si="522"/>
        <v>#N/A</v>
      </c>
      <c r="AP981" s="2" t="e">
        <f t="shared" si="523"/>
        <v>#N/A</v>
      </c>
      <c r="AQ981" s="2" t="e">
        <f t="shared" si="524"/>
        <v>#N/A</v>
      </c>
      <c r="AR981" s="2" t="e">
        <f t="shared" si="525"/>
        <v>#N/A</v>
      </c>
      <c r="AS981" s="2" t="e">
        <f t="shared" si="526"/>
        <v>#DIV/0!</v>
      </c>
      <c r="AT981" s="9" t="e">
        <f t="shared" ca="1" si="527"/>
        <v>#N/A</v>
      </c>
      <c r="AU981" s="9" t="e">
        <f t="shared" ca="1" si="528"/>
        <v>#N/A</v>
      </c>
      <c r="AW981" s="2" t="e">
        <f t="shared" si="513"/>
        <v>#N/A</v>
      </c>
      <c r="AX981" s="2" t="e">
        <f t="shared" si="514"/>
        <v>#N/A</v>
      </c>
      <c r="AY981" s="2" t="e">
        <f t="shared" si="515"/>
        <v>#N/A</v>
      </c>
      <c r="AZ981" s="2" t="e">
        <f t="shared" si="516"/>
        <v>#N/A</v>
      </c>
      <c r="BA981" s="2" t="e">
        <f t="shared" si="517"/>
        <v>#N/A</v>
      </c>
      <c r="BB981" s="2" t="e">
        <f t="shared" si="518"/>
        <v>#DIV/0!</v>
      </c>
      <c r="BC981" s="9" t="e">
        <f t="shared" ca="1" si="519"/>
        <v>#N/A</v>
      </c>
      <c r="BD981" s="9" t="e">
        <f t="shared" ca="1" si="520"/>
        <v>#N/A</v>
      </c>
    </row>
    <row r="982" spans="1:56" ht="15" x14ac:dyDescent="0.25">
      <c r="A982"/>
      <c r="B982"/>
      <c r="C982"/>
      <c r="D982"/>
      <c r="E982"/>
      <c r="F982"/>
      <c r="G982"/>
      <c r="H982"/>
      <c r="I982"/>
      <c r="J982"/>
      <c r="K982"/>
      <c r="L982" s="64"/>
      <c r="M982" s="64"/>
      <c r="N982" s="16"/>
      <c r="O982" s="11"/>
      <c r="P982" s="11"/>
      <c r="Q982" s="11"/>
      <c r="R982" s="11"/>
      <c r="S982" s="11"/>
      <c r="T982" s="11"/>
      <c r="U982" s="11">
        <f t="shared" si="529"/>
        <v>0</v>
      </c>
      <c r="V982" s="2">
        <f t="shared" si="530"/>
        <v>0</v>
      </c>
      <c r="W982" s="11">
        <f t="shared" si="531"/>
        <v>0</v>
      </c>
      <c r="X982" s="2">
        <f t="shared" si="532"/>
        <v>0</v>
      </c>
      <c r="Y982" s="2">
        <f t="shared" si="533"/>
        <v>0</v>
      </c>
      <c r="Z982" s="11">
        <f t="shared" si="534"/>
        <v>0</v>
      </c>
      <c r="AA982" s="2">
        <f t="shared" si="535"/>
        <v>0</v>
      </c>
      <c r="AB982" s="11">
        <f t="shared" si="536"/>
        <v>0</v>
      </c>
      <c r="AC982" s="2">
        <f t="shared" si="537"/>
        <v>0</v>
      </c>
      <c r="AF982" s="11">
        <f t="shared" si="538"/>
        <v>0</v>
      </c>
      <c r="AG982" s="2">
        <f t="shared" si="539"/>
        <v>0</v>
      </c>
      <c r="AH982" s="2">
        <f t="shared" si="540"/>
        <v>0</v>
      </c>
      <c r="AI982" s="2">
        <f t="shared" si="541"/>
        <v>0</v>
      </c>
      <c r="AJ982" s="2">
        <f t="shared" si="542"/>
        <v>0</v>
      </c>
      <c r="AK982" s="2">
        <f t="shared" si="543"/>
        <v>0</v>
      </c>
      <c r="AL982" s="2">
        <f t="shared" si="544"/>
        <v>0</v>
      </c>
      <c r="AM982" s="11"/>
      <c r="AN982" s="2" t="e">
        <f t="shared" si="521"/>
        <v>#N/A</v>
      </c>
      <c r="AO982" s="2" t="e">
        <f t="shared" si="522"/>
        <v>#N/A</v>
      </c>
      <c r="AP982" s="2" t="e">
        <f t="shared" si="523"/>
        <v>#N/A</v>
      </c>
      <c r="AQ982" s="2" t="e">
        <f t="shared" si="524"/>
        <v>#N/A</v>
      </c>
      <c r="AR982" s="2" t="e">
        <f t="shared" si="525"/>
        <v>#N/A</v>
      </c>
      <c r="AS982" s="2" t="e">
        <f t="shared" si="526"/>
        <v>#DIV/0!</v>
      </c>
      <c r="AT982" s="9" t="e">
        <f t="shared" ca="1" si="527"/>
        <v>#N/A</v>
      </c>
      <c r="AU982" s="9" t="e">
        <f t="shared" ca="1" si="528"/>
        <v>#N/A</v>
      </c>
      <c r="AW982" s="2" t="e">
        <f t="shared" si="513"/>
        <v>#N/A</v>
      </c>
      <c r="AX982" s="2" t="e">
        <f t="shared" si="514"/>
        <v>#N/A</v>
      </c>
      <c r="AY982" s="2" t="e">
        <f t="shared" si="515"/>
        <v>#N/A</v>
      </c>
      <c r="AZ982" s="2" t="e">
        <f t="shared" si="516"/>
        <v>#N/A</v>
      </c>
      <c r="BA982" s="2" t="e">
        <f t="shared" si="517"/>
        <v>#N/A</v>
      </c>
      <c r="BB982" s="2" t="e">
        <f t="shared" si="518"/>
        <v>#DIV/0!</v>
      </c>
      <c r="BC982" s="9" t="e">
        <f t="shared" ca="1" si="519"/>
        <v>#N/A</v>
      </c>
      <c r="BD982" s="9" t="e">
        <f t="shared" ca="1" si="520"/>
        <v>#N/A</v>
      </c>
    </row>
    <row r="983" spans="1:56" ht="15" x14ac:dyDescent="0.25">
      <c r="A983"/>
      <c r="B983"/>
      <c r="C983"/>
      <c r="D983"/>
      <c r="E983"/>
      <c r="F983"/>
      <c r="G983"/>
      <c r="H983"/>
      <c r="I983"/>
      <c r="J983"/>
      <c r="K983"/>
      <c r="L983" s="64"/>
      <c r="M983" s="64"/>
      <c r="N983" s="16"/>
      <c r="O983" s="11"/>
      <c r="P983" s="11"/>
      <c r="Q983" s="11"/>
      <c r="R983" s="11"/>
      <c r="S983" s="11"/>
      <c r="T983" s="11"/>
      <c r="U983" s="11">
        <f t="shared" si="529"/>
        <v>0</v>
      </c>
      <c r="V983" s="2">
        <f t="shared" si="530"/>
        <v>0</v>
      </c>
      <c r="W983" s="11">
        <f t="shared" si="531"/>
        <v>0</v>
      </c>
      <c r="X983" s="2">
        <f t="shared" si="532"/>
        <v>0</v>
      </c>
      <c r="Y983" s="2">
        <f t="shared" si="533"/>
        <v>0</v>
      </c>
      <c r="Z983" s="11">
        <f t="shared" si="534"/>
        <v>0</v>
      </c>
      <c r="AA983" s="2">
        <f t="shared" si="535"/>
        <v>0</v>
      </c>
      <c r="AB983" s="11">
        <f t="shared" si="536"/>
        <v>0</v>
      </c>
      <c r="AC983" s="2">
        <f t="shared" si="537"/>
        <v>0</v>
      </c>
      <c r="AF983" s="11">
        <f t="shared" si="538"/>
        <v>0</v>
      </c>
      <c r="AG983" s="2">
        <f t="shared" si="539"/>
        <v>0</v>
      </c>
      <c r="AH983" s="2">
        <f t="shared" si="540"/>
        <v>0</v>
      </c>
      <c r="AI983" s="2">
        <f t="shared" si="541"/>
        <v>0</v>
      </c>
      <c r="AJ983" s="2">
        <f t="shared" si="542"/>
        <v>0</v>
      </c>
      <c r="AK983" s="2">
        <f t="shared" si="543"/>
        <v>0</v>
      </c>
      <c r="AL983" s="2">
        <f t="shared" si="544"/>
        <v>0</v>
      </c>
      <c r="AM983" s="11"/>
      <c r="AN983" s="2" t="e">
        <f t="shared" si="521"/>
        <v>#N/A</v>
      </c>
      <c r="AO983" s="2" t="e">
        <f t="shared" si="522"/>
        <v>#N/A</v>
      </c>
      <c r="AP983" s="2" t="e">
        <f t="shared" si="523"/>
        <v>#N/A</v>
      </c>
      <c r="AQ983" s="2" t="e">
        <f t="shared" si="524"/>
        <v>#N/A</v>
      </c>
      <c r="AR983" s="2" t="e">
        <f t="shared" si="525"/>
        <v>#N/A</v>
      </c>
      <c r="AS983" s="2" t="e">
        <f t="shared" si="526"/>
        <v>#DIV/0!</v>
      </c>
      <c r="AT983" s="9" t="e">
        <f t="shared" ca="1" si="527"/>
        <v>#N/A</v>
      </c>
      <c r="AU983" s="9" t="e">
        <f t="shared" ca="1" si="528"/>
        <v>#N/A</v>
      </c>
      <c r="AW983" s="2" t="e">
        <f t="shared" ref="AW983:AW1046" si="545">IF(AND(AL983&gt;0, AJ983&gt;0), AL983/AJ983, #N/A)</f>
        <v>#N/A</v>
      </c>
      <c r="AX983" s="2" t="e">
        <f t="shared" ref="AX983:AX1046" si="546">$B$8*((AW983/$B$10)^$B$11)</f>
        <v>#N/A</v>
      </c>
      <c r="AY983" s="2" t="e">
        <f t="shared" ref="AY983:AY1046" si="547">AX983*AI983</f>
        <v>#N/A</v>
      </c>
      <c r="AZ983" s="2" t="e">
        <f t="shared" ref="AZ983:AZ1046" si="548">AK983-AY983</f>
        <v>#N/A</v>
      </c>
      <c r="BA983" s="2" t="e">
        <f t="shared" ref="BA983:BA1046" si="549">(AZ983/AJ983)/((AW983/$B$10)^$B$12)</f>
        <v>#N/A</v>
      </c>
      <c r="BB983" s="2" t="e">
        <f t="shared" ref="BB983:BB1046" si="550">(AH983/AJ983)/((AW983/$B$10)^$B$13)</f>
        <v>#DIV/0!</v>
      </c>
      <c r="BC983" s="9" t="e">
        <f t="shared" ref="BC983:BC1046" ca="1" si="551">IF(AND(BA983&lt;$P$3,BA983&gt;$P$4),BA983,"rejected")</f>
        <v>#N/A</v>
      </c>
      <c r="BD983" s="9" t="e">
        <f t="shared" ref="BD983:BD1046" ca="1" si="552">IF(AND(BA983&lt;$P$3,BA983&gt;$P$4),BA983,#N/A)</f>
        <v>#N/A</v>
      </c>
    </row>
    <row r="984" spans="1:56" ht="15" x14ac:dyDescent="0.25">
      <c r="A984"/>
      <c r="B984"/>
      <c r="C984"/>
      <c r="D984"/>
      <c r="E984"/>
      <c r="F984"/>
      <c r="G984"/>
      <c r="H984"/>
      <c r="I984"/>
      <c r="J984"/>
      <c r="K984"/>
      <c r="L984" s="64"/>
      <c r="M984" s="64"/>
      <c r="N984" s="16"/>
      <c r="O984" s="11"/>
      <c r="P984" s="11"/>
      <c r="Q984" s="11"/>
      <c r="R984" s="11"/>
      <c r="S984" s="11"/>
      <c r="T984" s="11"/>
      <c r="U984" s="11">
        <f t="shared" si="529"/>
        <v>0</v>
      </c>
      <c r="V984" s="2">
        <f t="shared" si="530"/>
        <v>0</v>
      </c>
      <c r="W984" s="11">
        <f t="shared" si="531"/>
        <v>0</v>
      </c>
      <c r="X984" s="2">
        <f t="shared" si="532"/>
        <v>0</v>
      </c>
      <c r="Y984" s="2">
        <f t="shared" si="533"/>
        <v>0</v>
      </c>
      <c r="Z984" s="11">
        <f t="shared" si="534"/>
        <v>0</v>
      </c>
      <c r="AA984" s="2">
        <f t="shared" si="535"/>
        <v>0</v>
      </c>
      <c r="AB984" s="11">
        <f t="shared" si="536"/>
        <v>0</v>
      </c>
      <c r="AC984" s="2">
        <f t="shared" si="537"/>
        <v>0</v>
      </c>
      <c r="AF984" s="11">
        <f t="shared" si="538"/>
        <v>0</v>
      </c>
      <c r="AG984" s="2">
        <f t="shared" si="539"/>
        <v>0</v>
      </c>
      <c r="AH984" s="2">
        <f t="shared" si="540"/>
        <v>0</v>
      </c>
      <c r="AI984" s="2">
        <f t="shared" si="541"/>
        <v>0</v>
      </c>
      <c r="AJ984" s="2">
        <f t="shared" si="542"/>
        <v>0</v>
      </c>
      <c r="AK984" s="2">
        <f t="shared" si="543"/>
        <v>0</v>
      </c>
      <c r="AL984" s="2">
        <f t="shared" si="544"/>
        <v>0</v>
      </c>
      <c r="AM984" s="11"/>
      <c r="AN984" s="2" t="e">
        <f t="shared" si="521"/>
        <v>#N/A</v>
      </c>
      <c r="AO984" s="2" t="e">
        <f t="shared" si="522"/>
        <v>#N/A</v>
      </c>
      <c r="AP984" s="2" t="e">
        <f t="shared" si="523"/>
        <v>#N/A</v>
      </c>
      <c r="AQ984" s="2" t="e">
        <f t="shared" si="524"/>
        <v>#N/A</v>
      </c>
      <c r="AR984" s="2" t="e">
        <f t="shared" si="525"/>
        <v>#N/A</v>
      </c>
      <c r="AS984" s="2" t="e">
        <f t="shared" si="526"/>
        <v>#DIV/0!</v>
      </c>
      <c r="AT984" s="9" t="e">
        <f t="shared" ca="1" si="527"/>
        <v>#N/A</v>
      </c>
      <c r="AU984" s="9" t="e">
        <f t="shared" ca="1" si="528"/>
        <v>#N/A</v>
      </c>
      <c r="AW984" s="2" t="e">
        <f t="shared" si="545"/>
        <v>#N/A</v>
      </c>
      <c r="AX984" s="2" t="e">
        <f t="shared" si="546"/>
        <v>#N/A</v>
      </c>
      <c r="AY984" s="2" t="e">
        <f t="shared" si="547"/>
        <v>#N/A</v>
      </c>
      <c r="AZ984" s="2" t="e">
        <f t="shared" si="548"/>
        <v>#N/A</v>
      </c>
      <c r="BA984" s="2" t="e">
        <f t="shared" si="549"/>
        <v>#N/A</v>
      </c>
      <c r="BB984" s="2" t="e">
        <f t="shared" si="550"/>
        <v>#DIV/0!</v>
      </c>
      <c r="BC984" s="9" t="e">
        <f t="shared" ca="1" si="551"/>
        <v>#N/A</v>
      </c>
      <c r="BD984" s="9" t="e">
        <f t="shared" ca="1" si="552"/>
        <v>#N/A</v>
      </c>
    </row>
    <row r="985" spans="1:56" ht="15" x14ac:dyDescent="0.25">
      <c r="A985"/>
      <c r="B985"/>
      <c r="C985"/>
      <c r="D985"/>
      <c r="E985"/>
      <c r="F985"/>
      <c r="G985"/>
      <c r="H985"/>
      <c r="I985"/>
      <c r="J985"/>
      <c r="K985"/>
      <c r="L985" s="64"/>
      <c r="M985" s="64"/>
      <c r="N985" s="16"/>
      <c r="O985" s="11"/>
      <c r="P985" s="11"/>
      <c r="Q985" s="11"/>
      <c r="R985" s="11"/>
      <c r="S985" s="11"/>
      <c r="T985" s="11"/>
      <c r="U985" s="11">
        <f t="shared" si="529"/>
        <v>0</v>
      </c>
      <c r="V985" s="2">
        <f t="shared" si="530"/>
        <v>0</v>
      </c>
      <c r="W985" s="11">
        <f t="shared" si="531"/>
        <v>0</v>
      </c>
      <c r="X985" s="2">
        <f t="shared" si="532"/>
        <v>0</v>
      </c>
      <c r="Y985" s="2">
        <f t="shared" si="533"/>
        <v>0</v>
      </c>
      <c r="Z985" s="11">
        <f t="shared" si="534"/>
        <v>0</v>
      </c>
      <c r="AA985" s="2">
        <f t="shared" si="535"/>
        <v>0</v>
      </c>
      <c r="AB985" s="11">
        <f t="shared" si="536"/>
        <v>0</v>
      </c>
      <c r="AC985" s="2">
        <f t="shared" si="537"/>
        <v>0</v>
      </c>
      <c r="AF985" s="11">
        <f t="shared" si="538"/>
        <v>0</v>
      </c>
      <c r="AG985" s="2">
        <f t="shared" si="539"/>
        <v>0</v>
      </c>
      <c r="AH985" s="2">
        <f t="shared" si="540"/>
        <v>0</v>
      </c>
      <c r="AI985" s="2">
        <f t="shared" si="541"/>
        <v>0</v>
      </c>
      <c r="AJ985" s="2">
        <f t="shared" si="542"/>
        <v>0</v>
      </c>
      <c r="AK985" s="2">
        <f t="shared" si="543"/>
        <v>0</v>
      </c>
      <c r="AL985" s="2">
        <f t="shared" si="544"/>
        <v>0</v>
      </c>
      <c r="AM985" s="11"/>
      <c r="AN985" s="2" t="e">
        <f t="shared" si="521"/>
        <v>#N/A</v>
      </c>
      <c r="AO985" s="2" t="e">
        <f t="shared" si="522"/>
        <v>#N/A</v>
      </c>
      <c r="AP985" s="2" t="e">
        <f t="shared" si="523"/>
        <v>#N/A</v>
      </c>
      <c r="AQ985" s="2" t="e">
        <f t="shared" si="524"/>
        <v>#N/A</v>
      </c>
      <c r="AR985" s="2" t="e">
        <f t="shared" si="525"/>
        <v>#N/A</v>
      </c>
      <c r="AS985" s="2" t="e">
        <f t="shared" si="526"/>
        <v>#DIV/0!</v>
      </c>
      <c r="AT985" s="9" t="e">
        <f t="shared" ca="1" si="527"/>
        <v>#N/A</v>
      </c>
      <c r="AU985" s="9" t="e">
        <f t="shared" ca="1" si="528"/>
        <v>#N/A</v>
      </c>
      <c r="AW985" s="2" t="e">
        <f t="shared" si="545"/>
        <v>#N/A</v>
      </c>
      <c r="AX985" s="2" t="e">
        <f t="shared" si="546"/>
        <v>#N/A</v>
      </c>
      <c r="AY985" s="2" t="e">
        <f t="shared" si="547"/>
        <v>#N/A</v>
      </c>
      <c r="AZ985" s="2" t="e">
        <f t="shared" si="548"/>
        <v>#N/A</v>
      </c>
      <c r="BA985" s="2" t="e">
        <f t="shared" si="549"/>
        <v>#N/A</v>
      </c>
      <c r="BB985" s="2" t="e">
        <f t="shared" si="550"/>
        <v>#DIV/0!</v>
      </c>
      <c r="BC985" s="9" t="e">
        <f t="shared" ca="1" si="551"/>
        <v>#N/A</v>
      </c>
      <c r="BD985" s="9" t="e">
        <f t="shared" ca="1" si="552"/>
        <v>#N/A</v>
      </c>
    </row>
    <row r="986" spans="1:56" ht="15" x14ac:dyDescent="0.25">
      <c r="A986"/>
      <c r="B986"/>
      <c r="C986"/>
      <c r="D986"/>
      <c r="E986"/>
      <c r="F986"/>
      <c r="G986"/>
      <c r="H986"/>
      <c r="I986"/>
      <c r="J986"/>
      <c r="K986"/>
      <c r="L986" s="64"/>
      <c r="M986" s="64"/>
      <c r="N986" s="16"/>
      <c r="O986" s="11"/>
      <c r="P986" s="11"/>
      <c r="Q986" s="11"/>
      <c r="R986" s="11"/>
      <c r="S986" s="11"/>
      <c r="T986" s="11"/>
      <c r="U986" s="11">
        <f t="shared" si="529"/>
        <v>0</v>
      </c>
      <c r="V986" s="2">
        <f t="shared" si="530"/>
        <v>0</v>
      </c>
      <c r="W986" s="11">
        <f t="shared" si="531"/>
        <v>0</v>
      </c>
      <c r="X986" s="2">
        <f t="shared" si="532"/>
        <v>0</v>
      </c>
      <c r="Y986" s="2">
        <f t="shared" si="533"/>
        <v>0</v>
      </c>
      <c r="Z986" s="11">
        <f t="shared" si="534"/>
        <v>0</v>
      </c>
      <c r="AA986" s="2">
        <f t="shared" si="535"/>
        <v>0</v>
      </c>
      <c r="AB986" s="11">
        <f t="shared" si="536"/>
        <v>0</v>
      </c>
      <c r="AC986" s="2">
        <f t="shared" si="537"/>
        <v>0</v>
      </c>
      <c r="AF986" s="11">
        <f t="shared" si="538"/>
        <v>0</v>
      </c>
      <c r="AG986" s="2">
        <f t="shared" si="539"/>
        <v>0</v>
      </c>
      <c r="AH986" s="2">
        <f t="shared" si="540"/>
        <v>0</v>
      </c>
      <c r="AI986" s="2">
        <f t="shared" si="541"/>
        <v>0</v>
      </c>
      <c r="AJ986" s="2">
        <f t="shared" si="542"/>
        <v>0</v>
      </c>
      <c r="AK986" s="2">
        <f t="shared" si="543"/>
        <v>0</v>
      </c>
      <c r="AL986" s="2">
        <f t="shared" si="544"/>
        <v>0</v>
      </c>
      <c r="AM986" s="11"/>
      <c r="AN986" s="2" t="e">
        <f t="shared" si="521"/>
        <v>#N/A</v>
      </c>
      <c r="AO986" s="2" t="e">
        <f t="shared" si="522"/>
        <v>#N/A</v>
      </c>
      <c r="AP986" s="2" t="e">
        <f t="shared" si="523"/>
        <v>#N/A</v>
      </c>
      <c r="AQ986" s="2" t="e">
        <f t="shared" si="524"/>
        <v>#N/A</v>
      </c>
      <c r="AR986" s="2" t="e">
        <f t="shared" si="525"/>
        <v>#N/A</v>
      </c>
      <c r="AS986" s="2" t="e">
        <f t="shared" si="526"/>
        <v>#DIV/0!</v>
      </c>
      <c r="AT986" s="9" t="e">
        <f t="shared" ca="1" si="527"/>
        <v>#N/A</v>
      </c>
      <c r="AU986" s="9" t="e">
        <f t="shared" ca="1" si="528"/>
        <v>#N/A</v>
      </c>
      <c r="AW986" s="2" t="e">
        <f t="shared" si="545"/>
        <v>#N/A</v>
      </c>
      <c r="AX986" s="2" t="e">
        <f t="shared" si="546"/>
        <v>#N/A</v>
      </c>
      <c r="AY986" s="2" t="e">
        <f t="shared" si="547"/>
        <v>#N/A</v>
      </c>
      <c r="AZ986" s="2" t="e">
        <f t="shared" si="548"/>
        <v>#N/A</v>
      </c>
      <c r="BA986" s="2" t="e">
        <f t="shared" si="549"/>
        <v>#N/A</v>
      </c>
      <c r="BB986" s="2" t="e">
        <f t="shared" si="550"/>
        <v>#DIV/0!</v>
      </c>
      <c r="BC986" s="9" t="e">
        <f t="shared" ca="1" si="551"/>
        <v>#N/A</v>
      </c>
      <c r="BD986" s="9" t="e">
        <f t="shared" ca="1" si="552"/>
        <v>#N/A</v>
      </c>
    </row>
    <row r="987" spans="1:56" ht="15" x14ac:dyDescent="0.25">
      <c r="A987"/>
      <c r="B987"/>
      <c r="C987"/>
      <c r="D987"/>
      <c r="E987"/>
      <c r="F987"/>
      <c r="G987"/>
      <c r="H987"/>
      <c r="I987"/>
      <c r="J987"/>
      <c r="K987"/>
      <c r="L987" s="64"/>
      <c r="M987" s="64"/>
      <c r="N987" s="16"/>
      <c r="O987" s="11"/>
      <c r="P987" s="11"/>
      <c r="Q987" s="11"/>
      <c r="R987" s="11"/>
      <c r="S987" s="11"/>
      <c r="T987" s="11"/>
      <c r="U987" s="11">
        <f t="shared" si="529"/>
        <v>0</v>
      </c>
      <c r="V987" s="2">
        <f t="shared" si="530"/>
        <v>0</v>
      </c>
      <c r="W987" s="11">
        <f t="shared" si="531"/>
        <v>0</v>
      </c>
      <c r="X987" s="2">
        <f t="shared" si="532"/>
        <v>0</v>
      </c>
      <c r="Y987" s="2">
        <f t="shared" si="533"/>
        <v>0</v>
      </c>
      <c r="Z987" s="11">
        <f t="shared" si="534"/>
        <v>0</v>
      </c>
      <c r="AA987" s="2">
        <f t="shared" si="535"/>
        <v>0</v>
      </c>
      <c r="AB987" s="11">
        <f t="shared" si="536"/>
        <v>0</v>
      </c>
      <c r="AC987" s="2">
        <f t="shared" si="537"/>
        <v>0</v>
      </c>
      <c r="AF987" s="11">
        <f t="shared" si="538"/>
        <v>0</v>
      </c>
      <c r="AG987" s="2">
        <f t="shared" si="539"/>
        <v>0</v>
      </c>
      <c r="AH987" s="2">
        <f t="shared" si="540"/>
        <v>0</v>
      </c>
      <c r="AI987" s="2">
        <f t="shared" si="541"/>
        <v>0</v>
      </c>
      <c r="AJ987" s="2">
        <f t="shared" si="542"/>
        <v>0</v>
      </c>
      <c r="AK987" s="2">
        <f t="shared" si="543"/>
        <v>0</v>
      </c>
      <c r="AL987" s="2">
        <f t="shared" si="544"/>
        <v>0</v>
      </c>
      <c r="AM987" s="11"/>
      <c r="AN987" s="2" t="e">
        <f t="shared" ref="AN987:AN1050" si="553">IF(AND(S987&gt;0,U987&gt;0),U987/S987, #N/A)</f>
        <v>#N/A</v>
      </c>
      <c r="AO987" s="2" t="e">
        <f t="shared" ref="AO987:AO1050" si="554">$B$8*((AN987/$B$10)^$B$11)</f>
        <v>#N/A</v>
      </c>
      <c r="AP987" s="2" t="e">
        <f t="shared" ref="AP987:AP1050" si="555">AO987*R987</f>
        <v>#N/A</v>
      </c>
      <c r="AQ987" s="2" t="e">
        <f t="shared" ref="AQ987:AQ1050" si="556">T987-AP987</f>
        <v>#N/A</v>
      </c>
      <c r="AR987" s="2" t="e">
        <f t="shared" ref="AR987:AR1050" si="557">(AQ987/S987)/((AN987/$B$10)^$B$12)</f>
        <v>#N/A</v>
      </c>
      <c r="AS987" s="2" t="e">
        <f t="shared" ref="AS987:AS1050" si="558">(Q987/S987)/((AN987/$B$10)^$B$13)</f>
        <v>#DIV/0!</v>
      </c>
      <c r="AT987" s="9" t="e">
        <f t="shared" ref="AT987:AT1050" ca="1" si="559">IF(AND(AR987&lt;$M$3,AR987&gt;$M$4),AR987,"rejected")</f>
        <v>#N/A</v>
      </c>
      <c r="AU987" s="9" t="e">
        <f t="shared" ref="AU987:AU1050" ca="1" si="560">IF(AND(AR987&lt;$M$3,AR987&gt;$M$4),AR987,#N/A)</f>
        <v>#N/A</v>
      </c>
      <c r="AW987" s="2" t="e">
        <f t="shared" si="545"/>
        <v>#N/A</v>
      </c>
      <c r="AX987" s="2" t="e">
        <f t="shared" si="546"/>
        <v>#N/A</v>
      </c>
      <c r="AY987" s="2" t="e">
        <f t="shared" si="547"/>
        <v>#N/A</v>
      </c>
      <c r="AZ987" s="2" t="e">
        <f t="shared" si="548"/>
        <v>#N/A</v>
      </c>
      <c r="BA987" s="2" t="e">
        <f t="shared" si="549"/>
        <v>#N/A</v>
      </c>
      <c r="BB987" s="2" t="e">
        <f t="shared" si="550"/>
        <v>#DIV/0!</v>
      </c>
      <c r="BC987" s="9" t="e">
        <f t="shared" ca="1" si="551"/>
        <v>#N/A</v>
      </c>
      <c r="BD987" s="9" t="e">
        <f t="shared" ca="1" si="552"/>
        <v>#N/A</v>
      </c>
    </row>
    <row r="988" spans="1:56" ht="15" x14ac:dyDescent="0.25">
      <c r="A988"/>
      <c r="B988"/>
      <c r="C988"/>
      <c r="D988"/>
      <c r="E988"/>
      <c r="F988"/>
      <c r="G988"/>
      <c r="H988"/>
      <c r="I988"/>
      <c r="J988"/>
      <c r="K988"/>
      <c r="L988" s="64"/>
      <c r="M988" s="64"/>
      <c r="N988" s="16"/>
      <c r="O988" s="11"/>
      <c r="P988" s="11"/>
      <c r="Q988" s="11"/>
      <c r="R988" s="11"/>
      <c r="S988" s="11"/>
      <c r="T988" s="11"/>
      <c r="U988" s="11">
        <f t="shared" si="529"/>
        <v>0</v>
      </c>
      <c r="V988" s="2">
        <f t="shared" si="530"/>
        <v>0</v>
      </c>
      <c r="W988" s="11">
        <f t="shared" si="531"/>
        <v>0</v>
      </c>
      <c r="X988" s="2">
        <f t="shared" si="532"/>
        <v>0</v>
      </c>
      <c r="Y988" s="2">
        <f t="shared" si="533"/>
        <v>0</v>
      </c>
      <c r="Z988" s="11">
        <f t="shared" si="534"/>
        <v>0</v>
      </c>
      <c r="AA988" s="2">
        <f t="shared" si="535"/>
        <v>0</v>
      </c>
      <c r="AB988" s="11">
        <f t="shared" si="536"/>
        <v>0</v>
      </c>
      <c r="AC988" s="2">
        <f t="shared" si="537"/>
        <v>0</v>
      </c>
      <c r="AF988" s="11">
        <f t="shared" si="538"/>
        <v>0</v>
      </c>
      <c r="AG988" s="2">
        <f t="shared" si="539"/>
        <v>0</v>
      </c>
      <c r="AH988" s="2">
        <f t="shared" si="540"/>
        <v>0</v>
      </c>
      <c r="AI988" s="2">
        <f t="shared" si="541"/>
        <v>0</v>
      </c>
      <c r="AJ988" s="2">
        <f t="shared" si="542"/>
        <v>0</v>
      </c>
      <c r="AK988" s="2">
        <f t="shared" si="543"/>
        <v>0</v>
      </c>
      <c r="AL988" s="2">
        <f t="shared" si="544"/>
        <v>0</v>
      </c>
      <c r="AM988" s="11"/>
      <c r="AN988" s="2" t="e">
        <f t="shared" si="553"/>
        <v>#N/A</v>
      </c>
      <c r="AO988" s="2" t="e">
        <f t="shared" si="554"/>
        <v>#N/A</v>
      </c>
      <c r="AP988" s="2" t="e">
        <f t="shared" si="555"/>
        <v>#N/A</v>
      </c>
      <c r="AQ988" s="2" t="e">
        <f t="shared" si="556"/>
        <v>#N/A</v>
      </c>
      <c r="AR988" s="2" t="e">
        <f t="shared" si="557"/>
        <v>#N/A</v>
      </c>
      <c r="AS988" s="2" t="e">
        <f t="shared" si="558"/>
        <v>#DIV/0!</v>
      </c>
      <c r="AT988" s="9" t="e">
        <f t="shared" ca="1" si="559"/>
        <v>#N/A</v>
      </c>
      <c r="AU988" s="9" t="e">
        <f t="shared" ca="1" si="560"/>
        <v>#N/A</v>
      </c>
      <c r="AW988" s="2" t="e">
        <f t="shared" si="545"/>
        <v>#N/A</v>
      </c>
      <c r="AX988" s="2" t="e">
        <f t="shared" si="546"/>
        <v>#N/A</v>
      </c>
      <c r="AY988" s="2" t="e">
        <f t="shared" si="547"/>
        <v>#N/A</v>
      </c>
      <c r="AZ988" s="2" t="e">
        <f t="shared" si="548"/>
        <v>#N/A</v>
      </c>
      <c r="BA988" s="2" t="e">
        <f t="shared" si="549"/>
        <v>#N/A</v>
      </c>
      <c r="BB988" s="2" t="e">
        <f t="shared" si="550"/>
        <v>#DIV/0!</v>
      </c>
      <c r="BC988" s="9" t="e">
        <f t="shared" ca="1" si="551"/>
        <v>#N/A</v>
      </c>
      <c r="BD988" s="9" t="e">
        <f t="shared" ca="1" si="552"/>
        <v>#N/A</v>
      </c>
    </row>
    <row r="989" spans="1:56" ht="15" x14ac:dyDescent="0.25">
      <c r="A989"/>
      <c r="B989"/>
      <c r="C989"/>
      <c r="D989"/>
      <c r="E989"/>
      <c r="F989"/>
      <c r="G989"/>
      <c r="H989"/>
      <c r="I989"/>
      <c r="J989"/>
      <c r="K989"/>
      <c r="L989" s="64"/>
      <c r="M989" s="64"/>
      <c r="N989" s="16"/>
      <c r="O989" s="11"/>
      <c r="P989" s="11"/>
      <c r="Q989" s="11"/>
      <c r="R989" s="11"/>
      <c r="S989" s="11"/>
      <c r="T989" s="11"/>
      <c r="U989" s="11">
        <f t="shared" si="529"/>
        <v>0</v>
      </c>
      <c r="V989" s="2">
        <f t="shared" si="530"/>
        <v>0</v>
      </c>
      <c r="W989" s="11">
        <f t="shared" si="531"/>
        <v>0</v>
      </c>
      <c r="X989" s="2">
        <f t="shared" si="532"/>
        <v>0</v>
      </c>
      <c r="Y989" s="2">
        <f t="shared" si="533"/>
        <v>0</v>
      </c>
      <c r="Z989" s="11">
        <f t="shared" si="534"/>
        <v>0</v>
      </c>
      <c r="AA989" s="2">
        <f t="shared" si="535"/>
        <v>0</v>
      </c>
      <c r="AB989" s="11">
        <f t="shared" si="536"/>
        <v>0</v>
      </c>
      <c r="AC989" s="2">
        <f t="shared" si="537"/>
        <v>0</v>
      </c>
      <c r="AF989" s="11">
        <f t="shared" si="538"/>
        <v>0</v>
      </c>
      <c r="AG989" s="2">
        <f t="shared" si="539"/>
        <v>0</v>
      </c>
      <c r="AH989" s="2">
        <f t="shared" si="540"/>
        <v>0</v>
      </c>
      <c r="AI989" s="2">
        <f t="shared" si="541"/>
        <v>0</v>
      </c>
      <c r="AJ989" s="2">
        <f t="shared" si="542"/>
        <v>0</v>
      </c>
      <c r="AK989" s="2">
        <f t="shared" si="543"/>
        <v>0</v>
      </c>
      <c r="AL989" s="2">
        <f t="shared" si="544"/>
        <v>0</v>
      </c>
      <c r="AM989" s="11"/>
      <c r="AN989" s="2" t="e">
        <f t="shared" si="553"/>
        <v>#N/A</v>
      </c>
      <c r="AO989" s="2" t="e">
        <f t="shared" si="554"/>
        <v>#N/A</v>
      </c>
      <c r="AP989" s="2" t="e">
        <f t="shared" si="555"/>
        <v>#N/A</v>
      </c>
      <c r="AQ989" s="2" t="e">
        <f t="shared" si="556"/>
        <v>#N/A</v>
      </c>
      <c r="AR989" s="2" t="e">
        <f t="shared" si="557"/>
        <v>#N/A</v>
      </c>
      <c r="AS989" s="2" t="e">
        <f t="shared" si="558"/>
        <v>#DIV/0!</v>
      </c>
      <c r="AT989" s="9" t="e">
        <f t="shared" ca="1" si="559"/>
        <v>#N/A</v>
      </c>
      <c r="AU989" s="9" t="e">
        <f t="shared" ca="1" si="560"/>
        <v>#N/A</v>
      </c>
      <c r="AW989" s="2" t="e">
        <f t="shared" si="545"/>
        <v>#N/A</v>
      </c>
      <c r="AX989" s="2" t="e">
        <f t="shared" si="546"/>
        <v>#N/A</v>
      </c>
      <c r="AY989" s="2" t="e">
        <f t="shared" si="547"/>
        <v>#N/A</v>
      </c>
      <c r="AZ989" s="2" t="e">
        <f t="shared" si="548"/>
        <v>#N/A</v>
      </c>
      <c r="BA989" s="2" t="e">
        <f t="shared" si="549"/>
        <v>#N/A</v>
      </c>
      <c r="BB989" s="2" t="e">
        <f t="shared" si="550"/>
        <v>#DIV/0!</v>
      </c>
      <c r="BC989" s="9" t="e">
        <f t="shared" ca="1" si="551"/>
        <v>#N/A</v>
      </c>
      <c r="BD989" s="9" t="e">
        <f t="shared" ca="1" si="552"/>
        <v>#N/A</v>
      </c>
    </row>
    <row r="990" spans="1:56" ht="15" x14ac:dyDescent="0.25">
      <c r="A990"/>
      <c r="B990"/>
      <c r="C990"/>
      <c r="D990"/>
      <c r="E990"/>
      <c r="F990"/>
      <c r="G990"/>
      <c r="H990"/>
      <c r="I990"/>
      <c r="J990"/>
      <c r="K990"/>
      <c r="L990" s="64"/>
      <c r="M990" s="64"/>
      <c r="N990" s="16"/>
      <c r="O990" s="11"/>
      <c r="P990" s="11"/>
      <c r="Q990" s="11"/>
      <c r="R990" s="11"/>
      <c r="S990" s="11"/>
      <c r="T990" s="11"/>
      <c r="U990" s="11">
        <f t="shared" si="529"/>
        <v>0</v>
      </c>
      <c r="V990" s="2">
        <f t="shared" si="530"/>
        <v>0</v>
      </c>
      <c r="W990" s="11">
        <f t="shared" si="531"/>
        <v>0</v>
      </c>
      <c r="X990" s="2">
        <f t="shared" si="532"/>
        <v>0</v>
      </c>
      <c r="Y990" s="2">
        <f t="shared" si="533"/>
        <v>0</v>
      </c>
      <c r="Z990" s="11">
        <f t="shared" si="534"/>
        <v>0</v>
      </c>
      <c r="AA990" s="2">
        <f t="shared" si="535"/>
        <v>0</v>
      </c>
      <c r="AB990" s="11">
        <f t="shared" si="536"/>
        <v>0</v>
      </c>
      <c r="AC990" s="2">
        <f t="shared" si="537"/>
        <v>0</v>
      </c>
      <c r="AF990" s="11">
        <f t="shared" si="538"/>
        <v>0</v>
      </c>
      <c r="AG990" s="2">
        <f t="shared" si="539"/>
        <v>0</v>
      </c>
      <c r="AH990" s="2">
        <f t="shared" si="540"/>
        <v>0</v>
      </c>
      <c r="AI990" s="2">
        <f t="shared" si="541"/>
        <v>0</v>
      </c>
      <c r="AJ990" s="2">
        <f t="shared" si="542"/>
        <v>0</v>
      </c>
      <c r="AK990" s="2">
        <f t="shared" si="543"/>
        <v>0</v>
      </c>
      <c r="AL990" s="2">
        <f t="shared" si="544"/>
        <v>0</v>
      </c>
      <c r="AM990" s="11"/>
      <c r="AN990" s="2" t="e">
        <f t="shared" si="553"/>
        <v>#N/A</v>
      </c>
      <c r="AO990" s="2" t="e">
        <f t="shared" si="554"/>
        <v>#N/A</v>
      </c>
      <c r="AP990" s="2" t="e">
        <f t="shared" si="555"/>
        <v>#N/A</v>
      </c>
      <c r="AQ990" s="2" t="e">
        <f t="shared" si="556"/>
        <v>#N/A</v>
      </c>
      <c r="AR990" s="2" t="e">
        <f t="shared" si="557"/>
        <v>#N/A</v>
      </c>
      <c r="AS990" s="2" t="e">
        <f t="shared" si="558"/>
        <v>#DIV/0!</v>
      </c>
      <c r="AT990" s="9" t="e">
        <f t="shared" ca="1" si="559"/>
        <v>#N/A</v>
      </c>
      <c r="AU990" s="9" t="e">
        <f t="shared" ca="1" si="560"/>
        <v>#N/A</v>
      </c>
      <c r="AW990" s="2" t="e">
        <f t="shared" si="545"/>
        <v>#N/A</v>
      </c>
      <c r="AX990" s="2" t="e">
        <f t="shared" si="546"/>
        <v>#N/A</v>
      </c>
      <c r="AY990" s="2" t="e">
        <f t="shared" si="547"/>
        <v>#N/A</v>
      </c>
      <c r="AZ990" s="2" t="e">
        <f t="shared" si="548"/>
        <v>#N/A</v>
      </c>
      <c r="BA990" s="2" t="e">
        <f t="shared" si="549"/>
        <v>#N/A</v>
      </c>
      <c r="BB990" s="2" t="e">
        <f t="shared" si="550"/>
        <v>#DIV/0!</v>
      </c>
      <c r="BC990" s="9" t="e">
        <f t="shared" ca="1" si="551"/>
        <v>#N/A</v>
      </c>
      <c r="BD990" s="9" t="e">
        <f t="shared" ca="1" si="552"/>
        <v>#N/A</v>
      </c>
    </row>
    <row r="991" spans="1:56" ht="15" x14ac:dyDescent="0.25">
      <c r="A991"/>
      <c r="B991"/>
      <c r="C991"/>
      <c r="D991"/>
      <c r="E991"/>
      <c r="F991"/>
      <c r="G991"/>
      <c r="H991"/>
      <c r="I991"/>
      <c r="J991"/>
      <c r="K991"/>
      <c r="L991" s="64"/>
      <c r="M991" s="64"/>
      <c r="N991" s="16"/>
      <c r="O991" s="11"/>
      <c r="P991" s="11"/>
      <c r="Q991" s="11"/>
      <c r="R991" s="11"/>
      <c r="S991" s="11"/>
      <c r="T991" s="11"/>
      <c r="U991" s="11">
        <f t="shared" si="529"/>
        <v>0</v>
      </c>
      <c r="V991" s="2">
        <f t="shared" si="530"/>
        <v>0</v>
      </c>
      <c r="W991" s="11">
        <f t="shared" si="531"/>
        <v>0</v>
      </c>
      <c r="X991" s="2">
        <f t="shared" si="532"/>
        <v>0</v>
      </c>
      <c r="Y991" s="2">
        <f t="shared" si="533"/>
        <v>0</v>
      </c>
      <c r="Z991" s="11">
        <f t="shared" si="534"/>
        <v>0</v>
      </c>
      <c r="AA991" s="2">
        <f t="shared" si="535"/>
        <v>0</v>
      </c>
      <c r="AB991" s="11">
        <f t="shared" si="536"/>
        <v>0</v>
      </c>
      <c r="AC991" s="2">
        <f t="shared" si="537"/>
        <v>0</v>
      </c>
      <c r="AF991" s="11">
        <f t="shared" si="538"/>
        <v>0</v>
      </c>
      <c r="AG991" s="2">
        <f t="shared" si="539"/>
        <v>0</v>
      </c>
      <c r="AH991" s="2">
        <f t="shared" si="540"/>
        <v>0</v>
      </c>
      <c r="AI991" s="2">
        <f t="shared" si="541"/>
        <v>0</v>
      </c>
      <c r="AJ991" s="2">
        <f t="shared" si="542"/>
        <v>0</v>
      </c>
      <c r="AK991" s="2">
        <f t="shared" si="543"/>
        <v>0</v>
      </c>
      <c r="AL991" s="2">
        <f t="shared" si="544"/>
        <v>0</v>
      </c>
      <c r="AM991" s="11"/>
      <c r="AN991" s="2" t="e">
        <f t="shared" si="553"/>
        <v>#N/A</v>
      </c>
      <c r="AO991" s="2" t="e">
        <f t="shared" si="554"/>
        <v>#N/A</v>
      </c>
      <c r="AP991" s="2" t="e">
        <f t="shared" si="555"/>
        <v>#N/A</v>
      </c>
      <c r="AQ991" s="2" t="e">
        <f t="shared" si="556"/>
        <v>#N/A</v>
      </c>
      <c r="AR991" s="2" t="e">
        <f t="shared" si="557"/>
        <v>#N/A</v>
      </c>
      <c r="AS991" s="2" t="e">
        <f t="shared" si="558"/>
        <v>#DIV/0!</v>
      </c>
      <c r="AT991" s="9" t="e">
        <f t="shared" ca="1" si="559"/>
        <v>#N/A</v>
      </c>
      <c r="AU991" s="9" t="e">
        <f t="shared" ca="1" si="560"/>
        <v>#N/A</v>
      </c>
      <c r="AW991" s="2" t="e">
        <f t="shared" si="545"/>
        <v>#N/A</v>
      </c>
      <c r="AX991" s="2" t="e">
        <f t="shared" si="546"/>
        <v>#N/A</v>
      </c>
      <c r="AY991" s="2" t="e">
        <f t="shared" si="547"/>
        <v>#N/A</v>
      </c>
      <c r="AZ991" s="2" t="e">
        <f t="shared" si="548"/>
        <v>#N/A</v>
      </c>
      <c r="BA991" s="2" t="e">
        <f t="shared" si="549"/>
        <v>#N/A</v>
      </c>
      <c r="BB991" s="2" t="e">
        <f t="shared" si="550"/>
        <v>#DIV/0!</v>
      </c>
      <c r="BC991" s="9" t="e">
        <f t="shared" ca="1" si="551"/>
        <v>#N/A</v>
      </c>
      <c r="BD991" s="9" t="e">
        <f t="shared" ca="1" si="552"/>
        <v>#N/A</v>
      </c>
    </row>
    <row r="992" spans="1:56" ht="15" x14ac:dyDescent="0.25">
      <c r="A992"/>
      <c r="B992"/>
      <c r="C992"/>
      <c r="D992"/>
      <c r="E992"/>
      <c r="F992"/>
      <c r="G992"/>
      <c r="H992"/>
      <c r="I992"/>
      <c r="J992"/>
      <c r="K992"/>
      <c r="L992" s="64"/>
      <c r="M992" s="64"/>
      <c r="N992" s="16"/>
      <c r="O992" s="11"/>
      <c r="P992" s="11"/>
      <c r="Q992" s="11"/>
      <c r="R992" s="11"/>
      <c r="S992" s="11"/>
      <c r="T992" s="11"/>
      <c r="U992" s="11">
        <f t="shared" si="529"/>
        <v>0</v>
      </c>
      <c r="V992" s="2">
        <f t="shared" si="530"/>
        <v>0</v>
      </c>
      <c r="W992" s="11">
        <f t="shared" si="531"/>
        <v>0</v>
      </c>
      <c r="X992" s="2">
        <f t="shared" si="532"/>
        <v>0</v>
      </c>
      <c r="Y992" s="2">
        <f t="shared" si="533"/>
        <v>0</v>
      </c>
      <c r="Z992" s="11">
        <f t="shared" si="534"/>
        <v>0</v>
      </c>
      <c r="AA992" s="2">
        <f t="shared" si="535"/>
        <v>0</v>
      </c>
      <c r="AB992" s="11">
        <f t="shared" si="536"/>
        <v>0</v>
      </c>
      <c r="AC992" s="2">
        <f t="shared" si="537"/>
        <v>0</v>
      </c>
      <c r="AF992" s="11">
        <f t="shared" si="538"/>
        <v>0</v>
      </c>
      <c r="AG992" s="2">
        <f t="shared" si="539"/>
        <v>0</v>
      </c>
      <c r="AH992" s="2">
        <f t="shared" si="540"/>
        <v>0</v>
      </c>
      <c r="AI992" s="2">
        <f t="shared" si="541"/>
        <v>0</v>
      </c>
      <c r="AJ992" s="2">
        <f t="shared" si="542"/>
        <v>0</v>
      </c>
      <c r="AK992" s="2">
        <f t="shared" si="543"/>
        <v>0</v>
      </c>
      <c r="AL992" s="2">
        <f t="shared" si="544"/>
        <v>0</v>
      </c>
      <c r="AM992" s="11"/>
      <c r="AN992" s="2" t="e">
        <f t="shared" si="553"/>
        <v>#N/A</v>
      </c>
      <c r="AO992" s="2" t="e">
        <f t="shared" si="554"/>
        <v>#N/A</v>
      </c>
      <c r="AP992" s="2" t="e">
        <f t="shared" si="555"/>
        <v>#N/A</v>
      </c>
      <c r="AQ992" s="2" t="e">
        <f t="shared" si="556"/>
        <v>#N/A</v>
      </c>
      <c r="AR992" s="2" t="e">
        <f t="shared" si="557"/>
        <v>#N/A</v>
      </c>
      <c r="AS992" s="2" t="e">
        <f t="shared" si="558"/>
        <v>#DIV/0!</v>
      </c>
      <c r="AT992" s="9" t="e">
        <f t="shared" ca="1" si="559"/>
        <v>#N/A</v>
      </c>
      <c r="AU992" s="9" t="e">
        <f t="shared" ca="1" si="560"/>
        <v>#N/A</v>
      </c>
      <c r="AW992" s="2" t="e">
        <f t="shared" si="545"/>
        <v>#N/A</v>
      </c>
      <c r="AX992" s="2" t="e">
        <f t="shared" si="546"/>
        <v>#N/A</v>
      </c>
      <c r="AY992" s="2" t="e">
        <f t="shared" si="547"/>
        <v>#N/A</v>
      </c>
      <c r="AZ992" s="2" t="e">
        <f t="shared" si="548"/>
        <v>#N/A</v>
      </c>
      <c r="BA992" s="2" t="e">
        <f t="shared" si="549"/>
        <v>#N/A</v>
      </c>
      <c r="BB992" s="2" t="e">
        <f t="shared" si="550"/>
        <v>#DIV/0!</v>
      </c>
      <c r="BC992" s="9" t="e">
        <f t="shared" ca="1" si="551"/>
        <v>#N/A</v>
      </c>
      <c r="BD992" s="9" t="e">
        <f t="shared" ca="1" si="552"/>
        <v>#N/A</v>
      </c>
    </row>
    <row r="993" spans="1:56" ht="15" x14ac:dyDescent="0.25">
      <c r="A993"/>
      <c r="B993"/>
      <c r="C993"/>
      <c r="D993"/>
      <c r="E993"/>
      <c r="F993"/>
      <c r="G993"/>
      <c r="H993"/>
      <c r="I993"/>
      <c r="J993"/>
      <c r="K993"/>
      <c r="L993" s="64"/>
      <c r="M993" s="64"/>
      <c r="N993" s="16"/>
      <c r="O993" s="11"/>
      <c r="P993" s="11"/>
      <c r="Q993" s="11"/>
      <c r="R993" s="11"/>
      <c r="S993" s="11"/>
      <c r="T993" s="11"/>
      <c r="U993" s="11">
        <f t="shared" si="529"/>
        <v>0</v>
      </c>
      <c r="V993" s="2">
        <f t="shared" si="530"/>
        <v>0</v>
      </c>
      <c r="W993" s="11">
        <f t="shared" si="531"/>
        <v>0</v>
      </c>
      <c r="X993" s="2">
        <f t="shared" si="532"/>
        <v>0</v>
      </c>
      <c r="Y993" s="2">
        <f t="shared" si="533"/>
        <v>0</v>
      </c>
      <c r="Z993" s="11">
        <f t="shared" si="534"/>
        <v>0</v>
      </c>
      <c r="AA993" s="2">
        <f t="shared" si="535"/>
        <v>0</v>
      </c>
      <c r="AB993" s="11">
        <f t="shared" si="536"/>
        <v>0</v>
      </c>
      <c r="AC993" s="2">
        <f t="shared" si="537"/>
        <v>0</v>
      </c>
      <c r="AF993" s="11">
        <f t="shared" si="538"/>
        <v>0</v>
      </c>
      <c r="AG993" s="2">
        <f t="shared" si="539"/>
        <v>0</v>
      </c>
      <c r="AH993" s="2">
        <f t="shared" si="540"/>
        <v>0</v>
      </c>
      <c r="AI993" s="2">
        <f t="shared" si="541"/>
        <v>0</v>
      </c>
      <c r="AJ993" s="2">
        <f t="shared" si="542"/>
        <v>0</v>
      </c>
      <c r="AK993" s="2">
        <f t="shared" si="543"/>
        <v>0</v>
      </c>
      <c r="AL993" s="2">
        <f t="shared" si="544"/>
        <v>0</v>
      </c>
      <c r="AM993" s="11"/>
      <c r="AN993" s="2" t="e">
        <f t="shared" si="553"/>
        <v>#N/A</v>
      </c>
      <c r="AO993" s="2" t="e">
        <f t="shared" si="554"/>
        <v>#N/A</v>
      </c>
      <c r="AP993" s="2" t="e">
        <f t="shared" si="555"/>
        <v>#N/A</v>
      </c>
      <c r="AQ993" s="2" t="e">
        <f t="shared" si="556"/>
        <v>#N/A</v>
      </c>
      <c r="AR993" s="2" t="e">
        <f t="shared" si="557"/>
        <v>#N/A</v>
      </c>
      <c r="AS993" s="2" t="e">
        <f t="shared" si="558"/>
        <v>#DIV/0!</v>
      </c>
      <c r="AT993" s="9" t="e">
        <f t="shared" ca="1" si="559"/>
        <v>#N/A</v>
      </c>
      <c r="AU993" s="9" t="e">
        <f t="shared" ca="1" si="560"/>
        <v>#N/A</v>
      </c>
      <c r="AW993" s="2" t="e">
        <f t="shared" si="545"/>
        <v>#N/A</v>
      </c>
      <c r="AX993" s="2" t="e">
        <f t="shared" si="546"/>
        <v>#N/A</v>
      </c>
      <c r="AY993" s="2" t="e">
        <f t="shared" si="547"/>
        <v>#N/A</v>
      </c>
      <c r="AZ993" s="2" t="e">
        <f t="shared" si="548"/>
        <v>#N/A</v>
      </c>
      <c r="BA993" s="2" t="e">
        <f t="shared" si="549"/>
        <v>#N/A</v>
      </c>
      <c r="BB993" s="2" t="e">
        <f t="shared" si="550"/>
        <v>#DIV/0!</v>
      </c>
      <c r="BC993" s="9" t="e">
        <f t="shared" ca="1" si="551"/>
        <v>#N/A</v>
      </c>
      <c r="BD993" s="9" t="e">
        <f t="shared" ca="1" si="552"/>
        <v>#N/A</v>
      </c>
    </row>
    <row r="994" spans="1:56" ht="15" x14ac:dyDescent="0.25">
      <c r="A994"/>
      <c r="B994"/>
      <c r="C994"/>
      <c r="D994"/>
      <c r="E994"/>
      <c r="F994"/>
      <c r="G994"/>
      <c r="H994"/>
      <c r="I994"/>
      <c r="J994"/>
      <c r="K994"/>
      <c r="L994" s="64"/>
      <c r="M994" s="64"/>
      <c r="N994" s="16"/>
      <c r="O994" s="11"/>
      <c r="P994" s="11"/>
      <c r="Q994" s="11"/>
      <c r="R994" s="11"/>
      <c r="S994" s="11"/>
      <c r="T994" s="11"/>
      <c r="U994" s="11">
        <f t="shared" ref="U994:U1057" si="561">M994</f>
        <v>0</v>
      </c>
      <c r="V994" s="2">
        <f t="shared" ref="V994:V1057" si="562">IF(M994&gt;0,N994-(M994*$X$63/$W$63), N994)</f>
        <v>0</v>
      </c>
      <c r="W994" s="11">
        <f t="shared" si="531"/>
        <v>0</v>
      </c>
      <c r="X994" s="2">
        <f t="shared" si="532"/>
        <v>0</v>
      </c>
      <c r="Y994" s="2">
        <f t="shared" si="533"/>
        <v>0</v>
      </c>
      <c r="Z994" s="11">
        <f t="shared" si="534"/>
        <v>0</v>
      </c>
      <c r="AA994" s="2">
        <f t="shared" si="535"/>
        <v>0</v>
      </c>
      <c r="AB994" s="11">
        <f t="shared" si="536"/>
        <v>0</v>
      </c>
      <c r="AC994" s="2">
        <f t="shared" si="537"/>
        <v>0</v>
      </c>
      <c r="AF994" s="11">
        <f t="shared" si="538"/>
        <v>0</v>
      </c>
      <c r="AG994" s="2">
        <f t="shared" si="539"/>
        <v>0</v>
      </c>
      <c r="AH994" s="2">
        <f t="shared" si="540"/>
        <v>0</v>
      </c>
      <c r="AI994" s="2">
        <f t="shared" si="541"/>
        <v>0</v>
      </c>
      <c r="AJ994" s="2">
        <f t="shared" si="542"/>
        <v>0</v>
      </c>
      <c r="AK994" s="2">
        <f t="shared" si="543"/>
        <v>0</v>
      </c>
      <c r="AL994" s="2">
        <f t="shared" si="544"/>
        <v>0</v>
      </c>
      <c r="AM994" s="11"/>
      <c r="AN994" s="2" t="e">
        <f t="shared" si="553"/>
        <v>#N/A</v>
      </c>
      <c r="AO994" s="2" t="e">
        <f t="shared" si="554"/>
        <v>#N/A</v>
      </c>
      <c r="AP994" s="2" t="e">
        <f t="shared" si="555"/>
        <v>#N/A</v>
      </c>
      <c r="AQ994" s="2" t="e">
        <f t="shared" si="556"/>
        <v>#N/A</v>
      </c>
      <c r="AR994" s="2" t="e">
        <f t="shared" si="557"/>
        <v>#N/A</v>
      </c>
      <c r="AS994" s="2" t="e">
        <f t="shared" si="558"/>
        <v>#DIV/0!</v>
      </c>
      <c r="AT994" s="9" t="e">
        <f t="shared" ca="1" si="559"/>
        <v>#N/A</v>
      </c>
      <c r="AU994" s="9" t="e">
        <f t="shared" ca="1" si="560"/>
        <v>#N/A</v>
      </c>
      <c r="AW994" s="2" t="e">
        <f t="shared" si="545"/>
        <v>#N/A</v>
      </c>
      <c r="AX994" s="2" t="e">
        <f t="shared" si="546"/>
        <v>#N/A</v>
      </c>
      <c r="AY994" s="2" t="e">
        <f t="shared" si="547"/>
        <v>#N/A</v>
      </c>
      <c r="AZ994" s="2" t="e">
        <f t="shared" si="548"/>
        <v>#N/A</v>
      </c>
      <c r="BA994" s="2" t="e">
        <f t="shared" si="549"/>
        <v>#N/A</v>
      </c>
      <c r="BB994" s="2" t="e">
        <f t="shared" si="550"/>
        <v>#DIV/0!</v>
      </c>
      <c r="BC994" s="9" t="e">
        <f t="shared" ca="1" si="551"/>
        <v>#N/A</v>
      </c>
      <c r="BD994" s="9" t="e">
        <f t="shared" ca="1" si="552"/>
        <v>#N/A</v>
      </c>
    </row>
    <row r="995" spans="1:56" ht="15" x14ac:dyDescent="0.25">
      <c r="A995"/>
      <c r="B995"/>
      <c r="C995"/>
      <c r="D995"/>
      <c r="E995"/>
      <c r="F995"/>
      <c r="G995"/>
      <c r="H995"/>
      <c r="I995"/>
      <c r="J995"/>
      <c r="K995"/>
      <c r="L995" s="64"/>
      <c r="M995" s="64"/>
      <c r="N995" s="16"/>
      <c r="O995" s="11"/>
      <c r="P995" s="11"/>
      <c r="Q995" s="11"/>
      <c r="R995" s="11"/>
      <c r="S995" s="11"/>
      <c r="T995" s="11"/>
      <c r="U995" s="11">
        <f t="shared" si="561"/>
        <v>0</v>
      </c>
      <c r="V995" s="2">
        <f t="shared" si="562"/>
        <v>0</v>
      </c>
      <c r="W995" s="11">
        <f t="shared" si="531"/>
        <v>0</v>
      </c>
      <c r="X995" s="2">
        <f t="shared" si="532"/>
        <v>0</v>
      </c>
      <c r="Y995" s="2">
        <f t="shared" si="533"/>
        <v>0</v>
      </c>
      <c r="Z995" s="11">
        <f t="shared" si="534"/>
        <v>0</v>
      </c>
      <c r="AA995" s="2">
        <f t="shared" si="535"/>
        <v>0</v>
      </c>
      <c r="AB995" s="11">
        <f t="shared" si="536"/>
        <v>0</v>
      </c>
      <c r="AC995" s="2">
        <f t="shared" si="537"/>
        <v>0</v>
      </c>
      <c r="AF995" s="11">
        <f t="shared" si="538"/>
        <v>0</v>
      </c>
      <c r="AG995" s="2">
        <f t="shared" si="539"/>
        <v>0</v>
      </c>
      <c r="AH995" s="2">
        <f t="shared" si="540"/>
        <v>0</v>
      </c>
      <c r="AI995" s="2">
        <f t="shared" si="541"/>
        <v>0</v>
      </c>
      <c r="AJ995" s="2">
        <f t="shared" si="542"/>
        <v>0</v>
      </c>
      <c r="AK995" s="2">
        <f t="shared" si="543"/>
        <v>0</v>
      </c>
      <c r="AL995" s="2">
        <f t="shared" si="544"/>
        <v>0</v>
      </c>
      <c r="AM995" s="11"/>
      <c r="AN995" s="2" t="e">
        <f t="shared" si="553"/>
        <v>#N/A</v>
      </c>
      <c r="AO995" s="2" t="e">
        <f t="shared" si="554"/>
        <v>#N/A</v>
      </c>
      <c r="AP995" s="2" t="e">
        <f t="shared" si="555"/>
        <v>#N/A</v>
      </c>
      <c r="AQ995" s="2" t="e">
        <f t="shared" si="556"/>
        <v>#N/A</v>
      </c>
      <c r="AR995" s="2" t="e">
        <f t="shared" si="557"/>
        <v>#N/A</v>
      </c>
      <c r="AS995" s="2" t="e">
        <f t="shared" si="558"/>
        <v>#DIV/0!</v>
      </c>
      <c r="AT995" s="9" t="e">
        <f t="shared" ca="1" si="559"/>
        <v>#N/A</v>
      </c>
      <c r="AU995" s="9" t="e">
        <f t="shared" ca="1" si="560"/>
        <v>#N/A</v>
      </c>
      <c r="AW995" s="2" t="e">
        <f t="shared" si="545"/>
        <v>#N/A</v>
      </c>
      <c r="AX995" s="2" t="e">
        <f t="shared" si="546"/>
        <v>#N/A</v>
      </c>
      <c r="AY995" s="2" t="e">
        <f t="shared" si="547"/>
        <v>#N/A</v>
      </c>
      <c r="AZ995" s="2" t="e">
        <f t="shared" si="548"/>
        <v>#N/A</v>
      </c>
      <c r="BA995" s="2" t="e">
        <f t="shared" si="549"/>
        <v>#N/A</v>
      </c>
      <c r="BB995" s="2" t="e">
        <f t="shared" si="550"/>
        <v>#DIV/0!</v>
      </c>
      <c r="BC995" s="9" t="e">
        <f t="shared" ca="1" si="551"/>
        <v>#N/A</v>
      </c>
      <c r="BD995" s="9" t="e">
        <f t="shared" ca="1" si="552"/>
        <v>#N/A</v>
      </c>
    </row>
    <row r="996" spans="1:56" ht="15" x14ac:dyDescent="0.25">
      <c r="A996"/>
      <c r="B996"/>
      <c r="C996"/>
      <c r="D996"/>
      <c r="E996"/>
      <c r="F996"/>
      <c r="G996"/>
      <c r="H996"/>
      <c r="I996"/>
      <c r="J996"/>
      <c r="K996"/>
      <c r="L996" s="64"/>
      <c r="M996" s="64"/>
      <c r="N996" s="16"/>
      <c r="O996" s="11"/>
      <c r="P996" s="11"/>
      <c r="Q996" s="11"/>
      <c r="R996" s="11"/>
      <c r="S996" s="11"/>
      <c r="T996" s="11"/>
      <c r="U996" s="11">
        <f t="shared" si="561"/>
        <v>0</v>
      </c>
      <c r="V996" s="2">
        <f t="shared" si="562"/>
        <v>0</v>
      </c>
      <c r="W996" s="11">
        <f t="shared" si="531"/>
        <v>0</v>
      </c>
      <c r="X996" s="2">
        <f t="shared" si="532"/>
        <v>0</v>
      </c>
      <c r="Y996" s="2">
        <f t="shared" si="533"/>
        <v>0</v>
      </c>
      <c r="Z996" s="11">
        <f t="shared" si="534"/>
        <v>0</v>
      </c>
      <c r="AA996" s="2">
        <f t="shared" si="535"/>
        <v>0</v>
      </c>
      <c r="AB996" s="11">
        <f t="shared" si="536"/>
        <v>0</v>
      </c>
      <c r="AC996" s="2">
        <f t="shared" si="537"/>
        <v>0</v>
      </c>
      <c r="AF996" s="11">
        <f t="shared" si="538"/>
        <v>0</v>
      </c>
      <c r="AG996" s="2">
        <f t="shared" si="539"/>
        <v>0</v>
      </c>
      <c r="AH996" s="2">
        <f t="shared" si="540"/>
        <v>0</v>
      </c>
      <c r="AI996" s="2">
        <f t="shared" si="541"/>
        <v>0</v>
      </c>
      <c r="AJ996" s="2">
        <f t="shared" si="542"/>
        <v>0</v>
      </c>
      <c r="AK996" s="2">
        <f t="shared" si="543"/>
        <v>0</v>
      </c>
      <c r="AL996" s="2">
        <f t="shared" si="544"/>
        <v>0</v>
      </c>
      <c r="AM996" s="11"/>
      <c r="AN996" s="2" t="e">
        <f t="shared" si="553"/>
        <v>#N/A</v>
      </c>
      <c r="AO996" s="2" t="e">
        <f t="shared" si="554"/>
        <v>#N/A</v>
      </c>
      <c r="AP996" s="2" t="e">
        <f t="shared" si="555"/>
        <v>#N/A</v>
      </c>
      <c r="AQ996" s="2" t="e">
        <f t="shared" si="556"/>
        <v>#N/A</v>
      </c>
      <c r="AR996" s="2" t="e">
        <f t="shared" si="557"/>
        <v>#N/A</v>
      </c>
      <c r="AS996" s="2" t="e">
        <f t="shared" si="558"/>
        <v>#DIV/0!</v>
      </c>
      <c r="AT996" s="9" t="e">
        <f t="shared" ca="1" si="559"/>
        <v>#N/A</v>
      </c>
      <c r="AU996" s="9" t="e">
        <f t="shared" ca="1" si="560"/>
        <v>#N/A</v>
      </c>
      <c r="AW996" s="2" t="e">
        <f t="shared" si="545"/>
        <v>#N/A</v>
      </c>
      <c r="AX996" s="2" t="e">
        <f t="shared" si="546"/>
        <v>#N/A</v>
      </c>
      <c r="AY996" s="2" t="e">
        <f t="shared" si="547"/>
        <v>#N/A</v>
      </c>
      <c r="AZ996" s="2" t="e">
        <f t="shared" si="548"/>
        <v>#N/A</v>
      </c>
      <c r="BA996" s="2" t="e">
        <f t="shared" si="549"/>
        <v>#N/A</v>
      </c>
      <c r="BB996" s="2" t="e">
        <f t="shared" si="550"/>
        <v>#DIV/0!</v>
      </c>
      <c r="BC996" s="9" t="e">
        <f t="shared" ca="1" si="551"/>
        <v>#N/A</v>
      </c>
      <c r="BD996" s="9" t="e">
        <f t="shared" ca="1" si="552"/>
        <v>#N/A</v>
      </c>
    </row>
    <row r="997" spans="1:56" ht="15" x14ac:dyDescent="0.25">
      <c r="A997"/>
      <c r="B997"/>
      <c r="C997"/>
      <c r="D997"/>
      <c r="E997"/>
      <c r="F997"/>
      <c r="G997"/>
      <c r="H997"/>
      <c r="I997"/>
      <c r="J997"/>
      <c r="K997"/>
      <c r="L997" s="64"/>
      <c r="M997" s="64"/>
      <c r="N997" s="16"/>
      <c r="O997" s="11"/>
      <c r="P997" s="11"/>
      <c r="Q997" s="11"/>
      <c r="R997" s="11"/>
      <c r="S997" s="11"/>
      <c r="T997" s="11"/>
      <c r="U997" s="11">
        <f t="shared" si="561"/>
        <v>0</v>
      </c>
      <c r="V997" s="2">
        <f t="shared" si="562"/>
        <v>0</v>
      </c>
      <c r="W997" s="11">
        <f t="shared" si="531"/>
        <v>0</v>
      </c>
      <c r="X997" s="2">
        <f t="shared" si="532"/>
        <v>0</v>
      </c>
      <c r="Y997" s="2">
        <f t="shared" si="533"/>
        <v>0</v>
      </c>
      <c r="Z997" s="11">
        <f t="shared" si="534"/>
        <v>0</v>
      </c>
      <c r="AA997" s="2">
        <f t="shared" si="535"/>
        <v>0</v>
      </c>
      <c r="AB997" s="11">
        <f t="shared" si="536"/>
        <v>0</v>
      </c>
      <c r="AC997" s="2">
        <f t="shared" si="537"/>
        <v>0</v>
      </c>
      <c r="AF997" s="11">
        <f t="shared" si="538"/>
        <v>0</v>
      </c>
      <c r="AG997" s="2">
        <f t="shared" si="539"/>
        <v>0</v>
      </c>
      <c r="AH997" s="2">
        <f t="shared" si="540"/>
        <v>0</v>
      </c>
      <c r="AI997" s="2">
        <f t="shared" si="541"/>
        <v>0</v>
      </c>
      <c r="AJ997" s="2">
        <f t="shared" si="542"/>
        <v>0</v>
      </c>
      <c r="AK997" s="2">
        <f t="shared" si="543"/>
        <v>0</v>
      </c>
      <c r="AL997" s="2">
        <f t="shared" si="544"/>
        <v>0</v>
      </c>
      <c r="AM997" s="11"/>
      <c r="AN997" s="2" t="e">
        <f t="shared" si="553"/>
        <v>#N/A</v>
      </c>
      <c r="AO997" s="2" t="e">
        <f t="shared" si="554"/>
        <v>#N/A</v>
      </c>
      <c r="AP997" s="2" t="e">
        <f t="shared" si="555"/>
        <v>#N/A</v>
      </c>
      <c r="AQ997" s="2" t="e">
        <f t="shared" si="556"/>
        <v>#N/A</v>
      </c>
      <c r="AR997" s="2" t="e">
        <f t="shared" si="557"/>
        <v>#N/A</v>
      </c>
      <c r="AS997" s="2" t="e">
        <f t="shared" si="558"/>
        <v>#DIV/0!</v>
      </c>
      <c r="AT997" s="9" t="e">
        <f t="shared" ca="1" si="559"/>
        <v>#N/A</v>
      </c>
      <c r="AU997" s="9" t="e">
        <f t="shared" ca="1" si="560"/>
        <v>#N/A</v>
      </c>
      <c r="AW997" s="2" t="e">
        <f t="shared" si="545"/>
        <v>#N/A</v>
      </c>
      <c r="AX997" s="2" t="e">
        <f t="shared" si="546"/>
        <v>#N/A</v>
      </c>
      <c r="AY997" s="2" t="e">
        <f t="shared" si="547"/>
        <v>#N/A</v>
      </c>
      <c r="AZ997" s="2" t="e">
        <f t="shared" si="548"/>
        <v>#N/A</v>
      </c>
      <c r="BA997" s="2" t="e">
        <f t="shared" si="549"/>
        <v>#N/A</v>
      </c>
      <c r="BB997" s="2" t="e">
        <f t="shared" si="550"/>
        <v>#DIV/0!</v>
      </c>
      <c r="BC997" s="9" t="e">
        <f t="shared" ca="1" si="551"/>
        <v>#N/A</v>
      </c>
      <c r="BD997" s="9" t="e">
        <f t="shared" ca="1" si="552"/>
        <v>#N/A</v>
      </c>
    </row>
    <row r="998" spans="1:56" ht="15" x14ac:dyDescent="0.25">
      <c r="A998"/>
      <c r="B998"/>
      <c r="C998"/>
      <c r="D998"/>
      <c r="E998"/>
      <c r="F998"/>
      <c r="G998"/>
      <c r="H998"/>
      <c r="I998"/>
      <c r="J998"/>
      <c r="K998"/>
      <c r="L998" s="64"/>
      <c r="M998" s="64"/>
      <c r="N998" s="16"/>
      <c r="O998" s="11"/>
      <c r="P998" s="11"/>
      <c r="Q998" s="11"/>
      <c r="R998" s="11"/>
      <c r="S998" s="11"/>
      <c r="T998" s="11"/>
      <c r="U998" s="11">
        <f t="shared" si="561"/>
        <v>0</v>
      </c>
      <c r="V998" s="2">
        <f t="shared" si="562"/>
        <v>0</v>
      </c>
      <c r="W998" s="11">
        <f t="shared" si="531"/>
        <v>0</v>
      </c>
      <c r="X998" s="2">
        <f t="shared" si="532"/>
        <v>0</v>
      </c>
      <c r="Y998" s="2">
        <f t="shared" si="533"/>
        <v>0</v>
      </c>
      <c r="Z998" s="11">
        <f t="shared" si="534"/>
        <v>0</v>
      </c>
      <c r="AA998" s="2">
        <f t="shared" si="535"/>
        <v>0</v>
      </c>
      <c r="AB998" s="11">
        <f t="shared" si="536"/>
        <v>0</v>
      </c>
      <c r="AC998" s="2">
        <f t="shared" si="537"/>
        <v>0</v>
      </c>
      <c r="AF998" s="11">
        <f t="shared" si="538"/>
        <v>0</v>
      </c>
      <c r="AG998" s="2">
        <f t="shared" si="539"/>
        <v>0</v>
      </c>
      <c r="AH998" s="2">
        <f t="shared" si="540"/>
        <v>0</v>
      </c>
      <c r="AI998" s="2">
        <f t="shared" si="541"/>
        <v>0</v>
      </c>
      <c r="AJ998" s="2">
        <f t="shared" si="542"/>
        <v>0</v>
      </c>
      <c r="AK998" s="2">
        <f t="shared" si="543"/>
        <v>0</v>
      </c>
      <c r="AL998" s="2">
        <f t="shared" si="544"/>
        <v>0</v>
      </c>
      <c r="AM998" s="11"/>
      <c r="AN998" s="2" t="e">
        <f t="shared" si="553"/>
        <v>#N/A</v>
      </c>
      <c r="AO998" s="2" t="e">
        <f t="shared" si="554"/>
        <v>#N/A</v>
      </c>
      <c r="AP998" s="2" t="e">
        <f t="shared" si="555"/>
        <v>#N/A</v>
      </c>
      <c r="AQ998" s="2" t="e">
        <f t="shared" si="556"/>
        <v>#N/A</v>
      </c>
      <c r="AR998" s="2" t="e">
        <f t="shared" si="557"/>
        <v>#N/A</v>
      </c>
      <c r="AS998" s="2" t="e">
        <f t="shared" si="558"/>
        <v>#DIV/0!</v>
      </c>
      <c r="AT998" s="9" t="e">
        <f t="shared" ca="1" si="559"/>
        <v>#N/A</v>
      </c>
      <c r="AU998" s="9" t="e">
        <f t="shared" ca="1" si="560"/>
        <v>#N/A</v>
      </c>
      <c r="AW998" s="2" t="e">
        <f t="shared" si="545"/>
        <v>#N/A</v>
      </c>
      <c r="AX998" s="2" t="e">
        <f t="shared" si="546"/>
        <v>#N/A</v>
      </c>
      <c r="AY998" s="2" t="e">
        <f t="shared" si="547"/>
        <v>#N/A</v>
      </c>
      <c r="AZ998" s="2" t="e">
        <f t="shared" si="548"/>
        <v>#N/A</v>
      </c>
      <c r="BA998" s="2" t="e">
        <f t="shared" si="549"/>
        <v>#N/A</v>
      </c>
      <c r="BB998" s="2" t="e">
        <f t="shared" si="550"/>
        <v>#DIV/0!</v>
      </c>
      <c r="BC998" s="9" t="e">
        <f t="shared" ca="1" si="551"/>
        <v>#N/A</v>
      </c>
      <c r="BD998" s="9" t="e">
        <f t="shared" ca="1" si="552"/>
        <v>#N/A</v>
      </c>
    </row>
    <row r="999" spans="1:56" ht="15" x14ac:dyDescent="0.25">
      <c r="A999"/>
      <c r="B999"/>
      <c r="C999"/>
      <c r="D999"/>
      <c r="E999"/>
      <c r="F999"/>
      <c r="G999"/>
      <c r="H999"/>
      <c r="I999"/>
      <c r="J999"/>
      <c r="K999"/>
      <c r="L999" s="64"/>
      <c r="M999" s="64"/>
      <c r="N999" s="16"/>
      <c r="O999" s="11"/>
      <c r="P999" s="11"/>
      <c r="Q999" s="11"/>
      <c r="R999" s="11"/>
      <c r="S999" s="11"/>
      <c r="T999" s="11"/>
      <c r="U999" s="11">
        <f t="shared" si="561"/>
        <v>0</v>
      </c>
      <c r="V999" s="2">
        <f t="shared" si="562"/>
        <v>0</v>
      </c>
      <c r="W999" s="11">
        <f t="shared" si="531"/>
        <v>0</v>
      </c>
      <c r="X999" s="2">
        <f t="shared" si="532"/>
        <v>0</v>
      </c>
      <c r="Y999" s="2">
        <f t="shared" si="533"/>
        <v>0</v>
      </c>
      <c r="Z999" s="11">
        <f t="shared" si="534"/>
        <v>0</v>
      </c>
      <c r="AA999" s="2">
        <f t="shared" si="535"/>
        <v>0</v>
      </c>
      <c r="AB999" s="11">
        <f t="shared" si="536"/>
        <v>0</v>
      </c>
      <c r="AC999" s="2">
        <f t="shared" si="537"/>
        <v>0</v>
      </c>
      <c r="AF999" s="11">
        <f t="shared" si="538"/>
        <v>0</v>
      </c>
      <c r="AG999" s="2">
        <f t="shared" si="539"/>
        <v>0</v>
      </c>
      <c r="AH999" s="2">
        <f t="shared" si="540"/>
        <v>0</v>
      </c>
      <c r="AI999" s="2">
        <f t="shared" si="541"/>
        <v>0</v>
      </c>
      <c r="AJ999" s="2">
        <f t="shared" si="542"/>
        <v>0</v>
      </c>
      <c r="AK999" s="2">
        <f t="shared" si="543"/>
        <v>0</v>
      </c>
      <c r="AL999" s="2">
        <f t="shared" si="544"/>
        <v>0</v>
      </c>
      <c r="AM999" s="11"/>
      <c r="AN999" s="2" t="e">
        <f t="shared" si="553"/>
        <v>#N/A</v>
      </c>
      <c r="AO999" s="2" t="e">
        <f t="shared" si="554"/>
        <v>#N/A</v>
      </c>
      <c r="AP999" s="2" t="e">
        <f t="shared" si="555"/>
        <v>#N/A</v>
      </c>
      <c r="AQ999" s="2" t="e">
        <f t="shared" si="556"/>
        <v>#N/A</v>
      </c>
      <c r="AR999" s="2" t="e">
        <f t="shared" si="557"/>
        <v>#N/A</v>
      </c>
      <c r="AS999" s="2" t="e">
        <f t="shared" si="558"/>
        <v>#DIV/0!</v>
      </c>
      <c r="AT999" s="9" t="e">
        <f t="shared" ca="1" si="559"/>
        <v>#N/A</v>
      </c>
      <c r="AU999" s="9" t="e">
        <f t="shared" ca="1" si="560"/>
        <v>#N/A</v>
      </c>
      <c r="AW999" s="2" t="e">
        <f t="shared" si="545"/>
        <v>#N/A</v>
      </c>
      <c r="AX999" s="2" t="e">
        <f t="shared" si="546"/>
        <v>#N/A</v>
      </c>
      <c r="AY999" s="2" t="e">
        <f t="shared" si="547"/>
        <v>#N/A</v>
      </c>
      <c r="AZ999" s="2" t="e">
        <f t="shared" si="548"/>
        <v>#N/A</v>
      </c>
      <c r="BA999" s="2" t="e">
        <f t="shared" si="549"/>
        <v>#N/A</v>
      </c>
      <c r="BB999" s="2" t="e">
        <f t="shared" si="550"/>
        <v>#DIV/0!</v>
      </c>
      <c r="BC999" s="9" t="e">
        <f t="shared" ca="1" si="551"/>
        <v>#N/A</v>
      </c>
      <c r="BD999" s="9" t="e">
        <f t="shared" ca="1" si="552"/>
        <v>#N/A</v>
      </c>
    </row>
    <row r="1000" spans="1:56" ht="15" x14ac:dyDescent="0.25">
      <c r="A1000"/>
      <c r="B1000"/>
      <c r="C1000"/>
      <c r="D1000"/>
      <c r="E1000"/>
      <c r="F1000"/>
      <c r="G1000"/>
      <c r="H1000"/>
      <c r="I1000"/>
      <c r="J1000"/>
      <c r="K1000"/>
      <c r="L1000" s="64"/>
      <c r="M1000" s="64"/>
      <c r="N1000" s="16"/>
      <c r="O1000" s="11"/>
      <c r="P1000" s="11"/>
      <c r="Q1000" s="11"/>
      <c r="R1000" s="11"/>
      <c r="S1000" s="11"/>
      <c r="T1000" s="11"/>
      <c r="U1000" s="11">
        <f t="shared" si="561"/>
        <v>0</v>
      </c>
      <c r="V1000" s="2">
        <f t="shared" si="562"/>
        <v>0</v>
      </c>
      <c r="W1000" s="11">
        <f t="shared" si="531"/>
        <v>0</v>
      </c>
      <c r="X1000" s="2">
        <f t="shared" si="532"/>
        <v>0</v>
      </c>
      <c r="Y1000" s="2">
        <f t="shared" si="533"/>
        <v>0</v>
      </c>
      <c r="Z1000" s="11">
        <f t="shared" si="534"/>
        <v>0</v>
      </c>
      <c r="AA1000" s="2">
        <f t="shared" si="535"/>
        <v>0</v>
      </c>
      <c r="AB1000" s="11">
        <f t="shared" si="536"/>
        <v>0</v>
      </c>
      <c r="AC1000" s="2">
        <f t="shared" si="537"/>
        <v>0</v>
      </c>
      <c r="AF1000" s="11">
        <f t="shared" si="538"/>
        <v>0</v>
      </c>
      <c r="AG1000" s="2">
        <f t="shared" si="539"/>
        <v>0</v>
      </c>
      <c r="AH1000" s="2">
        <f t="shared" si="540"/>
        <v>0</v>
      </c>
      <c r="AI1000" s="2">
        <f t="shared" si="541"/>
        <v>0</v>
      </c>
      <c r="AJ1000" s="2">
        <f t="shared" si="542"/>
        <v>0</v>
      </c>
      <c r="AK1000" s="2">
        <f t="shared" si="543"/>
        <v>0</v>
      </c>
      <c r="AL1000" s="2">
        <f t="shared" si="544"/>
        <v>0</v>
      </c>
      <c r="AM1000" s="11"/>
      <c r="AN1000" s="2" t="e">
        <f t="shared" si="553"/>
        <v>#N/A</v>
      </c>
      <c r="AO1000" s="2" t="e">
        <f t="shared" si="554"/>
        <v>#N/A</v>
      </c>
      <c r="AP1000" s="2" t="e">
        <f t="shared" si="555"/>
        <v>#N/A</v>
      </c>
      <c r="AQ1000" s="2" t="e">
        <f t="shared" si="556"/>
        <v>#N/A</v>
      </c>
      <c r="AR1000" s="2" t="e">
        <f t="shared" si="557"/>
        <v>#N/A</v>
      </c>
      <c r="AS1000" s="2" t="e">
        <f t="shared" si="558"/>
        <v>#DIV/0!</v>
      </c>
      <c r="AT1000" s="9" t="e">
        <f t="shared" ca="1" si="559"/>
        <v>#N/A</v>
      </c>
      <c r="AU1000" s="9" t="e">
        <f t="shared" ca="1" si="560"/>
        <v>#N/A</v>
      </c>
      <c r="AW1000" s="2" t="e">
        <f t="shared" si="545"/>
        <v>#N/A</v>
      </c>
      <c r="AX1000" s="2" t="e">
        <f t="shared" si="546"/>
        <v>#N/A</v>
      </c>
      <c r="AY1000" s="2" t="e">
        <f t="shared" si="547"/>
        <v>#N/A</v>
      </c>
      <c r="AZ1000" s="2" t="e">
        <f t="shared" si="548"/>
        <v>#N/A</v>
      </c>
      <c r="BA1000" s="2" t="e">
        <f t="shared" si="549"/>
        <v>#N/A</v>
      </c>
      <c r="BB1000" s="2" t="e">
        <f t="shared" si="550"/>
        <v>#DIV/0!</v>
      </c>
      <c r="BC1000" s="9" t="e">
        <f t="shared" ca="1" si="551"/>
        <v>#N/A</v>
      </c>
      <c r="BD1000" s="9" t="e">
        <f t="shared" ca="1" si="552"/>
        <v>#N/A</v>
      </c>
    </row>
    <row r="1001" spans="1:56" ht="15" x14ac:dyDescent="0.25">
      <c r="A1001"/>
      <c r="B1001"/>
      <c r="C1001"/>
      <c r="D1001"/>
      <c r="E1001"/>
      <c r="F1001"/>
      <c r="G1001"/>
      <c r="H1001"/>
      <c r="I1001"/>
      <c r="J1001"/>
      <c r="K1001"/>
      <c r="L1001" s="64"/>
      <c r="M1001" s="64"/>
      <c r="N1001" s="16"/>
      <c r="O1001" s="11"/>
      <c r="P1001" s="11"/>
      <c r="Q1001" s="11"/>
      <c r="R1001" s="11"/>
      <c r="S1001" s="11"/>
      <c r="T1001" s="11"/>
      <c r="U1001" s="11">
        <f t="shared" si="561"/>
        <v>0</v>
      </c>
      <c r="V1001" s="2">
        <f t="shared" si="562"/>
        <v>0</v>
      </c>
      <c r="W1001" s="11">
        <f t="shared" si="531"/>
        <v>0</v>
      </c>
      <c r="X1001" s="2">
        <f t="shared" si="532"/>
        <v>0</v>
      </c>
      <c r="Y1001" s="2">
        <f t="shared" si="533"/>
        <v>0</v>
      </c>
      <c r="Z1001" s="11">
        <f t="shared" si="534"/>
        <v>0</v>
      </c>
      <c r="AA1001" s="2">
        <f t="shared" si="535"/>
        <v>0</v>
      </c>
      <c r="AB1001" s="11">
        <f t="shared" si="536"/>
        <v>0</v>
      </c>
      <c r="AC1001" s="2">
        <f t="shared" si="537"/>
        <v>0</v>
      </c>
      <c r="AF1001" s="11">
        <f t="shared" si="538"/>
        <v>0</v>
      </c>
      <c r="AG1001" s="2">
        <f t="shared" si="539"/>
        <v>0</v>
      </c>
      <c r="AH1001" s="2">
        <f t="shared" si="540"/>
        <v>0</v>
      </c>
      <c r="AI1001" s="2">
        <f t="shared" si="541"/>
        <v>0</v>
      </c>
      <c r="AJ1001" s="2">
        <f t="shared" si="542"/>
        <v>0</v>
      </c>
      <c r="AK1001" s="2">
        <f t="shared" si="543"/>
        <v>0</v>
      </c>
      <c r="AL1001" s="2">
        <f t="shared" si="544"/>
        <v>0</v>
      </c>
      <c r="AM1001" s="11"/>
      <c r="AN1001" s="2" t="e">
        <f t="shared" si="553"/>
        <v>#N/A</v>
      </c>
      <c r="AO1001" s="2" t="e">
        <f t="shared" si="554"/>
        <v>#N/A</v>
      </c>
      <c r="AP1001" s="2" t="e">
        <f t="shared" si="555"/>
        <v>#N/A</v>
      </c>
      <c r="AQ1001" s="2" t="e">
        <f t="shared" si="556"/>
        <v>#N/A</v>
      </c>
      <c r="AR1001" s="2" t="e">
        <f t="shared" si="557"/>
        <v>#N/A</v>
      </c>
      <c r="AS1001" s="2" t="e">
        <f t="shared" si="558"/>
        <v>#DIV/0!</v>
      </c>
      <c r="AT1001" s="9" t="e">
        <f t="shared" ca="1" si="559"/>
        <v>#N/A</v>
      </c>
      <c r="AU1001" s="9" t="e">
        <f t="shared" ca="1" si="560"/>
        <v>#N/A</v>
      </c>
      <c r="AW1001" s="2" t="e">
        <f t="shared" si="545"/>
        <v>#N/A</v>
      </c>
      <c r="AX1001" s="2" t="e">
        <f t="shared" si="546"/>
        <v>#N/A</v>
      </c>
      <c r="AY1001" s="2" t="e">
        <f t="shared" si="547"/>
        <v>#N/A</v>
      </c>
      <c r="AZ1001" s="2" t="e">
        <f t="shared" si="548"/>
        <v>#N/A</v>
      </c>
      <c r="BA1001" s="2" t="e">
        <f t="shared" si="549"/>
        <v>#N/A</v>
      </c>
      <c r="BB1001" s="2" t="e">
        <f t="shared" si="550"/>
        <v>#DIV/0!</v>
      </c>
      <c r="BC1001" s="9" t="e">
        <f t="shared" ca="1" si="551"/>
        <v>#N/A</v>
      </c>
      <c r="BD1001" s="9" t="e">
        <f t="shared" ca="1" si="552"/>
        <v>#N/A</v>
      </c>
    </row>
    <row r="1002" spans="1:56" ht="15" x14ac:dyDescent="0.25">
      <c r="A1002"/>
      <c r="B1002"/>
      <c r="C1002"/>
      <c r="D1002"/>
      <c r="E1002"/>
      <c r="F1002"/>
      <c r="G1002"/>
      <c r="H1002"/>
      <c r="I1002"/>
      <c r="J1002"/>
      <c r="K1002"/>
      <c r="L1002" s="64"/>
      <c r="M1002" s="64"/>
      <c r="N1002" s="16"/>
      <c r="O1002" s="11"/>
      <c r="P1002" s="11"/>
      <c r="Q1002" s="11"/>
      <c r="R1002" s="11"/>
      <c r="S1002" s="11"/>
      <c r="T1002" s="11"/>
      <c r="U1002" s="11">
        <f t="shared" si="561"/>
        <v>0</v>
      </c>
      <c r="V1002" s="2">
        <f t="shared" si="562"/>
        <v>0</v>
      </c>
      <c r="W1002" s="11">
        <f t="shared" si="531"/>
        <v>0</v>
      </c>
      <c r="X1002" s="2">
        <f t="shared" si="532"/>
        <v>0</v>
      </c>
      <c r="Y1002" s="2">
        <f t="shared" si="533"/>
        <v>0</v>
      </c>
      <c r="Z1002" s="11">
        <f t="shared" si="534"/>
        <v>0</v>
      </c>
      <c r="AA1002" s="2">
        <f t="shared" si="535"/>
        <v>0</v>
      </c>
      <c r="AB1002" s="11">
        <f t="shared" si="536"/>
        <v>0</v>
      </c>
      <c r="AC1002" s="2">
        <f t="shared" si="537"/>
        <v>0</v>
      </c>
      <c r="AF1002" s="11">
        <f t="shared" si="538"/>
        <v>0</v>
      </c>
      <c r="AG1002" s="2">
        <f t="shared" si="539"/>
        <v>0</v>
      </c>
      <c r="AH1002" s="2">
        <f t="shared" si="540"/>
        <v>0</v>
      </c>
      <c r="AI1002" s="2">
        <f t="shared" si="541"/>
        <v>0</v>
      </c>
      <c r="AJ1002" s="2">
        <f t="shared" si="542"/>
        <v>0</v>
      </c>
      <c r="AK1002" s="2">
        <f t="shared" si="543"/>
        <v>0</v>
      </c>
      <c r="AL1002" s="2">
        <f t="shared" si="544"/>
        <v>0</v>
      </c>
      <c r="AM1002" s="11"/>
      <c r="AN1002" s="2" t="e">
        <f t="shared" si="553"/>
        <v>#N/A</v>
      </c>
      <c r="AO1002" s="2" t="e">
        <f t="shared" si="554"/>
        <v>#N/A</v>
      </c>
      <c r="AP1002" s="2" t="e">
        <f t="shared" si="555"/>
        <v>#N/A</v>
      </c>
      <c r="AQ1002" s="2" t="e">
        <f t="shared" si="556"/>
        <v>#N/A</v>
      </c>
      <c r="AR1002" s="2" t="e">
        <f t="shared" si="557"/>
        <v>#N/A</v>
      </c>
      <c r="AS1002" s="2" t="e">
        <f t="shared" si="558"/>
        <v>#DIV/0!</v>
      </c>
      <c r="AT1002" s="9" t="e">
        <f t="shared" ca="1" si="559"/>
        <v>#N/A</v>
      </c>
      <c r="AU1002" s="9" t="e">
        <f t="shared" ca="1" si="560"/>
        <v>#N/A</v>
      </c>
      <c r="AW1002" s="2" t="e">
        <f t="shared" si="545"/>
        <v>#N/A</v>
      </c>
      <c r="AX1002" s="2" t="e">
        <f t="shared" si="546"/>
        <v>#N/A</v>
      </c>
      <c r="AY1002" s="2" t="e">
        <f t="shared" si="547"/>
        <v>#N/A</v>
      </c>
      <c r="AZ1002" s="2" t="e">
        <f t="shared" si="548"/>
        <v>#N/A</v>
      </c>
      <c r="BA1002" s="2" t="e">
        <f t="shared" si="549"/>
        <v>#N/A</v>
      </c>
      <c r="BB1002" s="2" t="e">
        <f t="shared" si="550"/>
        <v>#DIV/0!</v>
      </c>
      <c r="BC1002" s="9" t="e">
        <f t="shared" ca="1" si="551"/>
        <v>#N/A</v>
      </c>
      <c r="BD1002" s="9" t="e">
        <f t="shared" ca="1" si="552"/>
        <v>#N/A</v>
      </c>
    </row>
    <row r="1003" spans="1:56" ht="15" x14ac:dyDescent="0.25">
      <c r="A1003"/>
      <c r="B1003"/>
      <c r="C1003"/>
      <c r="D1003"/>
      <c r="E1003"/>
      <c r="F1003"/>
      <c r="G1003"/>
      <c r="H1003"/>
      <c r="I1003"/>
      <c r="J1003"/>
      <c r="K1003"/>
      <c r="L1003" s="64"/>
      <c r="M1003" s="64"/>
      <c r="N1003" s="16"/>
      <c r="O1003" s="11"/>
      <c r="P1003" s="11"/>
      <c r="Q1003" s="11"/>
      <c r="R1003" s="11"/>
      <c r="S1003" s="11"/>
      <c r="T1003" s="11"/>
      <c r="U1003" s="11">
        <f t="shared" si="561"/>
        <v>0</v>
      </c>
      <c r="V1003" s="2">
        <f t="shared" si="562"/>
        <v>0</v>
      </c>
      <c r="W1003" s="11">
        <f t="shared" si="531"/>
        <v>0</v>
      </c>
      <c r="X1003" s="2">
        <f t="shared" si="532"/>
        <v>0</v>
      </c>
      <c r="Y1003" s="2">
        <f t="shared" si="533"/>
        <v>0</v>
      </c>
      <c r="Z1003" s="11">
        <f t="shared" si="534"/>
        <v>0</v>
      </c>
      <c r="AA1003" s="2">
        <f t="shared" si="535"/>
        <v>0</v>
      </c>
      <c r="AB1003" s="11">
        <f t="shared" si="536"/>
        <v>0</v>
      </c>
      <c r="AC1003" s="2">
        <f t="shared" si="537"/>
        <v>0</v>
      </c>
      <c r="AF1003" s="11">
        <f t="shared" si="538"/>
        <v>0</v>
      </c>
      <c r="AG1003" s="2">
        <f t="shared" si="539"/>
        <v>0</v>
      </c>
      <c r="AH1003" s="2">
        <f t="shared" si="540"/>
        <v>0</v>
      </c>
      <c r="AI1003" s="2">
        <f t="shared" si="541"/>
        <v>0</v>
      </c>
      <c r="AJ1003" s="2">
        <f t="shared" si="542"/>
        <v>0</v>
      </c>
      <c r="AK1003" s="2">
        <f t="shared" si="543"/>
        <v>0</v>
      </c>
      <c r="AL1003" s="2">
        <f t="shared" si="544"/>
        <v>0</v>
      </c>
      <c r="AM1003" s="11"/>
      <c r="AN1003" s="2" t="e">
        <f t="shared" si="553"/>
        <v>#N/A</v>
      </c>
      <c r="AO1003" s="2" t="e">
        <f t="shared" si="554"/>
        <v>#N/A</v>
      </c>
      <c r="AP1003" s="2" t="e">
        <f t="shared" si="555"/>
        <v>#N/A</v>
      </c>
      <c r="AQ1003" s="2" t="e">
        <f t="shared" si="556"/>
        <v>#N/A</v>
      </c>
      <c r="AR1003" s="2" t="e">
        <f t="shared" si="557"/>
        <v>#N/A</v>
      </c>
      <c r="AS1003" s="2" t="e">
        <f t="shared" si="558"/>
        <v>#DIV/0!</v>
      </c>
      <c r="AT1003" s="9" t="e">
        <f t="shared" ca="1" si="559"/>
        <v>#N/A</v>
      </c>
      <c r="AU1003" s="9" t="e">
        <f t="shared" ca="1" si="560"/>
        <v>#N/A</v>
      </c>
      <c r="AW1003" s="2" t="e">
        <f t="shared" si="545"/>
        <v>#N/A</v>
      </c>
      <c r="AX1003" s="2" t="e">
        <f t="shared" si="546"/>
        <v>#N/A</v>
      </c>
      <c r="AY1003" s="2" t="e">
        <f t="shared" si="547"/>
        <v>#N/A</v>
      </c>
      <c r="AZ1003" s="2" t="e">
        <f t="shared" si="548"/>
        <v>#N/A</v>
      </c>
      <c r="BA1003" s="2" t="e">
        <f t="shared" si="549"/>
        <v>#N/A</v>
      </c>
      <c r="BB1003" s="2" t="e">
        <f t="shared" si="550"/>
        <v>#DIV/0!</v>
      </c>
      <c r="BC1003" s="9" t="e">
        <f t="shared" ca="1" si="551"/>
        <v>#N/A</v>
      </c>
      <c r="BD1003" s="9" t="e">
        <f t="shared" ca="1" si="552"/>
        <v>#N/A</v>
      </c>
    </row>
    <row r="1004" spans="1:56" ht="15" x14ac:dyDescent="0.25">
      <c r="A1004"/>
      <c r="B1004"/>
      <c r="C1004"/>
      <c r="D1004"/>
      <c r="E1004"/>
      <c r="F1004"/>
      <c r="G1004"/>
      <c r="H1004"/>
      <c r="I1004"/>
      <c r="J1004"/>
      <c r="K1004"/>
      <c r="L1004" s="64"/>
      <c r="M1004" s="64"/>
      <c r="N1004" s="16"/>
      <c r="O1004" s="11"/>
      <c r="P1004" s="11"/>
      <c r="Q1004" s="11"/>
      <c r="R1004" s="11"/>
      <c r="S1004" s="11"/>
      <c r="T1004" s="11"/>
      <c r="U1004" s="11">
        <f t="shared" si="561"/>
        <v>0</v>
      </c>
      <c r="V1004" s="2">
        <f t="shared" si="562"/>
        <v>0</v>
      </c>
      <c r="W1004" s="11">
        <f t="shared" si="531"/>
        <v>0</v>
      </c>
      <c r="X1004" s="2">
        <f t="shared" si="532"/>
        <v>0</v>
      </c>
      <c r="Y1004" s="2">
        <f t="shared" si="533"/>
        <v>0</v>
      </c>
      <c r="Z1004" s="11">
        <f t="shared" si="534"/>
        <v>0</v>
      </c>
      <c r="AA1004" s="2">
        <f t="shared" si="535"/>
        <v>0</v>
      </c>
      <c r="AB1004" s="11">
        <f t="shared" si="536"/>
        <v>0</v>
      </c>
      <c r="AC1004" s="2">
        <f t="shared" si="537"/>
        <v>0</v>
      </c>
      <c r="AF1004" s="11">
        <f t="shared" si="538"/>
        <v>0</v>
      </c>
      <c r="AG1004" s="2">
        <f t="shared" si="539"/>
        <v>0</v>
      </c>
      <c r="AH1004" s="2">
        <f t="shared" si="540"/>
        <v>0</v>
      </c>
      <c r="AI1004" s="2">
        <f t="shared" si="541"/>
        <v>0</v>
      </c>
      <c r="AJ1004" s="2">
        <f t="shared" si="542"/>
        <v>0</v>
      </c>
      <c r="AK1004" s="2">
        <f t="shared" si="543"/>
        <v>0</v>
      </c>
      <c r="AL1004" s="2">
        <f t="shared" si="544"/>
        <v>0</v>
      </c>
      <c r="AM1004" s="11"/>
      <c r="AN1004" s="2" t="e">
        <f t="shared" si="553"/>
        <v>#N/A</v>
      </c>
      <c r="AO1004" s="2" t="e">
        <f t="shared" si="554"/>
        <v>#N/A</v>
      </c>
      <c r="AP1004" s="2" t="e">
        <f t="shared" si="555"/>
        <v>#N/A</v>
      </c>
      <c r="AQ1004" s="2" t="e">
        <f t="shared" si="556"/>
        <v>#N/A</v>
      </c>
      <c r="AR1004" s="2" t="e">
        <f t="shared" si="557"/>
        <v>#N/A</v>
      </c>
      <c r="AS1004" s="2" t="e">
        <f t="shared" si="558"/>
        <v>#DIV/0!</v>
      </c>
      <c r="AT1004" s="9" t="e">
        <f t="shared" ca="1" si="559"/>
        <v>#N/A</v>
      </c>
      <c r="AU1004" s="9" t="e">
        <f t="shared" ca="1" si="560"/>
        <v>#N/A</v>
      </c>
      <c r="AW1004" s="2" t="e">
        <f t="shared" si="545"/>
        <v>#N/A</v>
      </c>
      <c r="AX1004" s="2" t="e">
        <f t="shared" si="546"/>
        <v>#N/A</v>
      </c>
      <c r="AY1004" s="2" t="e">
        <f t="shared" si="547"/>
        <v>#N/A</v>
      </c>
      <c r="AZ1004" s="2" t="e">
        <f t="shared" si="548"/>
        <v>#N/A</v>
      </c>
      <c r="BA1004" s="2" t="e">
        <f t="shared" si="549"/>
        <v>#N/A</v>
      </c>
      <c r="BB1004" s="2" t="e">
        <f t="shared" si="550"/>
        <v>#DIV/0!</v>
      </c>
      <c r="BC1004" s="9" t="e">
        <f t="shared" ca="1" si="551"/>
        <v>#N/A</v>
      </c>
      <c r="BD1004" s="9" t="e">
        <f t="shared" ca="1" si="552"/>
        <v>#N/A</v>
      </c>
    </row>
    <row r="1005" spans="1:56" ht="15" x14ac:dyDescent="0.25">
      <c r="A1005"/>
      <c r="B1005"/>
      <c r="C1005"/>
      <c r="D1005"/>
      <c r="E1005"/>
      <c r="F1005"/>
      <c r="G1005"/>
      <c r="H1005"/>
      <c r="I1005"/>
      <c r="J1005"/>
      <c r="K1005"/>
      <c r="L1005" s="64"/>
      <c r="M1005" s="64"/>
      <c r="N1005" s="16"/>
      <c r="O1005" s="11"/>
      <c r="P1005" s="11"/>
      <c r="Q1005" s="11"/>
      <c r="R1005" s="11"/>
      <c r="S1005" s="11"/>
      <c r="T1005" s="11"/>
      <c r="U1005" s="11">
        <f t="shared" si="561"/>
        <v>0</v>
      </c>
      <c r="V1005" s="2">
        <f t="shared" si="562"/>
        <v>0</v>
      </c>
      <c r="W1005" s="11">
        <f t="shared" si="531"/>
        <v>0</v>
      </c>
      <c r="X1005" s="2">
        <f t="shared" si="532"/>
        <v>0</v>
      </c>
      <c r="Y1005" s="2">
        <f t="shared" si="533"/>
        <v>0</v>
      </c>
      <c r="Z1005" s="11">
        <f t="shared" si="534"/>
        <v>0</v>
      </c>
      <c r="AA1005" s="2">
        <f t="shared" si="535"/>
        <v>0</v>
      </c>
      <c r="AB1005" s="11">
        <f t="shared" si="536"/>
        <v>0</v>
      </c>
      <c r="AC1005" s="2">
        <f t="shared" si="537"/>
        <v>0</v>
      </c>
      <c r="AF1005" s="11">
        <f t="shared" si="538"/>
        <v>0</v>
      </c>
      <c r="AG1005" s="2">
        <f t="shared" si="539"/>
        <v>0</v>
      </c>
      <c r="AH1005" s="2">
        <f t="shared" si="540"/>
        <v>0</v>
      </c>
      <c r="AI1005" s="2">
        <f t="shared" si="541"/>
        <v>0</v>
      </c>
      <c r="AJ1005" s="2">
        <f t="shared" si="542"/>
        <v>0</v>
      </c>
      <c r="AK1005" s="2">
        <f t="shared" si="543"/>
        <v>0</v>
      </c>
      <c r="AL1005" s="2">
        <f t="shared" si="544"/>
        <v>0</v>
      </c>
      <c r="AM1005" s="11"/>
      <c r="AN1005" s="2" t="e">
        <f t="shared" si="553"/>
        <v>#N/A</v>
      </c>
      <c r="AO1005" s="2" t="e">
        <f t="shared" si="554"/>
        <v>#N/A</v>
      </c>
      <c r="AP1005" s="2" t="e">
        <f t="shared" si="555"/>
        <v>#N/A</v>
      </c>
      <c r="AQ1005" s="2" t="e">
        <f t="shared" si="556"/>
        <v>#N/A</v>
      </c>
      <c r="AR1005" s="2" t="e">
        <f t="shared" si="557"/>
        <v>#N/A</v>
      </c>
      <c r="AS1005" s="2" t="e">
        <f t="shared" si="558"/>
        <v>#DIV/0!</v>
      </c>
      <c r="AT1005" s="9" t="e">
        <f t="shared" ca="1" si="559"/>
        <v>#N/A</v>
      </c>
      <c r="AU1005" s="9" t="e">
        <f t="shared" ca="1" si="560"/>
        <v>#N/A</v>
      </c>
      <c r="AW1005" s="2" t="e">
        <f t="shared" si="545"/>
        <v>#N/A</v>
      </c>
      <c r="AX1005" s="2" t="e">
        <f t="shared" si="546"/>
        <v>#N/A</v>
      </c>
      <c r="AY1005" s="2" t="e">
        <f t="shared" si="547"/>
        <v>#N/A</v>
      </c>
      <c r="AZ1005" s="2" t="e">
        <f t="shared" si="548"/>
        <v>#N/A</v>
      </c>
      <c r="BA1005" s="2" t="e">
        <f t="shared" si="549"/>
        <v>#N/A</v>
      </c>
      <c r="BB1005" s="2" t="e">
        <f t="shared" si="550"/>
        <v>#DIV/0!</v>
      </c>
      <c r="BC1005" s="9" t="e">
        <f t="shared" ca="1" si="551"/>
        <v>#N/A</v>
      </c>
      <c r="BD1005" s="9" t="e">
        <f t="shared" ca="1" si="552"/>
        <v>#N/A</v>
      </c>
    </row>
    <row r="1006" spans="1:56" ht="15" x14ac:dyDescent="0.25">
      <c r="A1006"/>
      <c r="B1006"/>
      <c r="C1006"/>
      <c r="D1006"/>
      <c r="E1006"/>
      <c r="F1006"/>
      <c r="G1006"/>
      <c r="H1006"/>
      <c r="I1006"/>
      <c r="J1006"/>
      <c r="K1006"/>
      <c r="L1006" s="64"/>
      <c r="M1006" s="64"/>
      <c r="N1006" s="16"/>
      <c r="O1006" s="11"/>
      <c r="P1006" s="11"/>
      <c r="Q1006" s="11"/>
      <c r="R1006" s="11"/>
      <c r="S1006" s="11"/>
      <c r="T1006" s="11"/>
      <c r="U1006" s="11">
        <f t="shared" si="561"/>
        <v>0</v>
      </c>
      <c r="V1006" s="2">
        <f t="shared" si="562"/>
        <v>0</v>
      </c>
      <c r="W1006" s="11">
        <f t="shared" si="531"/>
        <v>0</v>
      </c>
      <c r="X1006" s="2">
        <f t="shared" si="532"/>
        <v>0</v>
      </c>
      <c r="Y1006" s="2">
        <f t="shared" si="533"/>
        <v>0</v>
      </c>
      <c r="Z1006" s="11">
        <f t="shared" si="534"/>
        <v>0</v>
      </c>
      <c r="AA1006" s="2">
        <f t="shared" si="535"/>
        <v>0</v>
      </c>
      <c r="AB1006" s="11">
        <f t="shared" si="536"/>
        <v>0</v>
      </c>
      <c r="AC1006" s="2">
        <f t="shared" si="537"/>
        <v>0</v>
      </c>
      <c r="AF1006" s="11">
        <f t="shared" si="538"/>
        <v>0</v>
      </c>
      <c r="AG1006" s="2">
        <f t="shared" si="539"/>
        <v>0</v>
      </c>
      <c r="AH1006" s="2">
        <f t="shared" si="540"/>
        <v>0</v>
      </c>
      <c r="AI1006" s="2">
        <f t="shared" si="541"/>
        <v>0</v>
      </c>
      <c r="AJ1006" s="2">
        <f t="shared" si="542"/>
        <v>0</v>
      </c>
      <c r="AK1006" s="2">
        <f t="shared" si="543"/>
        <v>0</v>
      </c>
      <c r="AL1006" s="2">
        <f t="shared" si="544"/>
        <v>0</v>
      </c>
      <c r="AM1006" s="11"/>
      <c r="AN1006" s="2" t="e">
        <f t="shared" si="553"/>
        <v>#N/A</v>
      </c>
      <c r="AO1006" s="2" t="e">
        <f t="shared" si="554"/>
        <v>#N/A</v>
      </c>
      <c r="AP1006" s="2" t="e">
        <f t="shared" si="555"/>
        <v>#N/A</v>
      </c>
      <c r="AQ1006" s="2" t="e">
        <f t="shared" si="556"/>
        <v>#N/A</v>
      </c>
      <c r="AR1006" s="2" t="e">
        <f t="shared" si="557"/>
        <v>#N/A</v>
      </c>
      <c r="AS1006" s="2" t="e">
        <f t="shared" si="558"/>
        <v>#DIV/0!</v>
      </c>
      <c r="AT1006" s="9" t="e">
        <f t="shared" ca="1" si="559"/>
        <v>#N/A</v>
      </c>
      <c r="AU1006" s="9" t="e">
        <f t="shared" ca="1" si="560"/>
        <v>#N/A</v>
      </c>
      <c r="AW1006" s="2" t="e">
        <f t="shared" si="545"/>
        <v>#N/A</v>
      </c>
      <c r="AX1006" s="2" t="e">
        <f t="shared" si="546"/>
        <v>#N/A</v>
      </c>
      <c r="AY1006" s="2" t="e">
        <f t="shared" si="547"/>
        <v>#N/A</v>
      </c>
      <c r="AZ1006" s="2" t="e">
        <f t="shared" si="548"/>
        <v>#N/A</v>
      </c>
      <c r="BA1006" s="2" t="e">
        <f t="shared" si="549"/>
        <v>#N/A</v>
      </c>
      <c r="BB1006" s="2" t="e">
        <f t="shared" si="550"/>
        <v>#DIV/0!</v>
      </c>
      <c r="BC1006" s="9" t="e">
        <f t="shared" ca="1" si="551"/>
        <v>#N/A</v>
      </c>
      <c r="BD1006" s="9" t="e">
        <f t="shared" ca="1" si="552"/>
        <v>#N/A</v>
      </c>
    </row>
    <row r="1007" spans="1:56" ht="15" x14ac:dyDescent="0.25">
      <c r="A1007"/>
      <c r="B1007"/>
      <c r="C1007"/>
      <c r="D1007"/>
      <c r="E1007"/>
      <c r="F1007"/>
      <c r="G1007"/>
      <c r="H1007"/>
      <c r="I1007"/>
      <c r="J1007"/>
      <c r="K1007"/>
      <c r="L1007" s="64"/>
      <c r="M1007" s="64"/>
      <c r="N1007" s="16"/>
      <c r="O1007" s="11"/>
      <c r="P1007" s="11"/>
      <c r="Q1007" s="11"/>
      <c r="R1007" s="11"/>
      <c r="S1007" s="11"/>
      <c r="T1007" s="11"/>
      <c r="U1007" s="11">
        <f t="shared" si="561"/>
        <v>0</v>
      </c>
      <c r="V1007" s="2">
        <f t="shared" si="562"/>
        <v>0</v>
      </c>
      <c r="W1007" s="11">
        <f t="shared" si="531"/>
        <v>0</v>
      </c>
      <c r="X1007" s="2">
        <f t="shared" si="532"/>
        <v>0</v>
      </c>
      <c r="Y1007" s="2">
        <f t="shared" si="533"/>
        <v>0</v>
      </c>
      <c r="Z1007" s="11">
        <f t="shared" si="534"/>
        <v>0</v>
      </c>
      <c r="AA1007" s="2">
        <f t="shared" si="535"/>
        <v>0</v>
      </c>
      <c r="AB1007" s="11">
        <f t="shared" si="536"/>
        <v>0</v>
      </c>
      <c r="AC1007" s="2">
        <f t="shared" si="537"/>
        <v>0</v>
      </c>
      <c r="AF1007" s="11">
        <f t="shared" si="538"/>
        <v>0</v>
      </c>
      <c r="AG1007" s="2">
        <f t="shared" si="539"/>
        <v>0</v>
      </c>
      <c r="AH1007" s="2">
        <f t="shared" si="540"/>
        <v>0</v>
      </c>
      <c r="AI1007" s="2">
        <f t="shared" si="541"/>
        <v>0</v>
      </c>
      <c r="AJ1007" s="2">
        <f t="shared" si="542"/>
        <v>0</v>
      </c>
      <c r="AK1007" s="2">
        <f t="shared" si="543"/>
        <v>0</v>
      </c>
      <c r="AL1007" s="2">
        <f t="shared" si="544"/>
        <v>0</v>
      </c>
      <c r="AM1007" s="11"/>
      <c r="AN1007" s="2" t="e">
        <f t="shared" si="553"/>
        <v>#N/A</v>
      </c>
      <c r="AO1007" s="2" t="e">
        <f t="shared" si="554"/>
        <v>#N/A</v>
      </c>
      <c r="AP1007" s="2" t="e">
        <f t="shared" si="555"/>
        <v>#N/A</v>
      </c>
      <c r="AQ1007" s="2" t="e">
        <f t="shared" si="556"/>
        <v>#N/A</v>
      </c>
      <c r="AR1007" s="2" t="e">
        <f t="shared" si="557"/>
        <v>#N/A</v>
      </c>
      <c r="AS1007" s="2" t="e">
        <f t="shared" si="558"/>
        <v>#DIV/0!</v>
      </c>
      <c r="AT1007" s="9" t="e">
        <f t="shared" ca="1" si="559"/>
        <v>#N/A</v>
      </c>
      <c r="AU1007" s="9" t="e">
        <f t="shared" ca="1" si="560"/>
        <v>#N/A</v>
      </c>
      <c r="AW1007" s="2" t="e">
        <f t="shared" si="545"/>
        <v>#N/A</v>
      </c>
      <c r="AX1007" s="2" t="e">
        <f t="shared" si="546"/>
        <v>#N/A</v>
      </c>
      <c r="AY1007" s="2" t="e">
        <f t="shared" si="547"/>
        <v>#N/A</v>
      </c>
      <c r="AZ1007" s="2" t="e">
        <f t="shared" si="548"/>
        <v>#N/A</v>
      </c>
      <c r="BA1007" s="2" t="e">
        <f t="shared" si="549"/>
        <v>#N/A</v>
      </c>
      <c r="BB1007" s="2" t="e">
        <f t="shared" si="550"/>
        <v>#DIV/0!</v>
      </c>
      <c r="BC1007" s="9" t="e">
        <f t="shared" ca="1" si="551"/>
        <v>#N/A</v>
      </c>
      <c r="BD1007" s="9" t="e">
        <f t="shared" ca="1" si="552"/>
        <v>#N/A</v>
      </c>
    </row>
    <row r="1008" spans="1:56" ht="15" x14ac:dyDescent="0.25">
      <c r="A1008"/>
      <c r="B1008"/>
      <c r="C1008"/>
      <c r="D1008"/>
      <c r="E1008"/>
      <c r="F1008"/>
      <c r="G1008"/>
      <c r="H1008"/>
      <c r="I1008"/>
      <c r="J1008"/>
      <c r="K1008"/>
      <c r="L1008" s="64"/>
      <c r="M1008" s="64"/>
      <c r="N1008" s="16"/>
      <c r="O1008" s="11"/>
      <c r="P1008" s="11"/>
      <c r="Q1008" s="11"/>
      <c r="R1008" s="11"/>
      <c r="S1008" s="11"/>
      <c r="T1008" s="11"/>
      <c r="U1008" s="11">
        <f t="shared" si="561"/>
        <v>0</v>
      </c>
      <c r="V1008" s="2">
        <f t="shared" si="562"/>
        <v>0</v>
      </c>
      <c r="W1008" s="11">
        <f t="shared" si="531"/>
        <v>0</v>
      </c>
      <c r="X1008" s="2">
        <f t="shared" si="532"/>
        <v>0</v>
      </c>
      <c r="Y1008" s="2">
        <f t="shared" si="533"/>
        <v>0</v>
      </c>
      <c r="Z1008" s="11">
        <f t="shared" si="534"/>
        <v>0</v>
      </c>
      <c r="AA1008" s="2">
        <f t="shared" si="535"/>
        <v>0</v>
      </c>
      <c r="AB1008" s="11">
        <f t="shared" si="536"/>
        <v>0</v>
      </c>
      <c r="AC1008" s="2">
        <f t="shared" si="537"/>
        <v>0</v>
      </c>
      <c r="AF1008" s="11">
        <f t="shared" si="538"/>
        <v>0</v>
      </c>
      <c r="AG1008" s="2">
        <f t="shared" si="539"/>
        <v>0</v>
      </c>
      <c r="AH1008" s="2">
        <f t="shared" si="540"/>
        <v>0</v>
      </c>
      <c r="AI1008" s="2">
        <f t="shared" si="541"/>
        <v>0</v>
      </c>
      <c r="AJ1008" s="2">
        <f t="shared" si="542"/>
        <v>0</v>
      </c>
      <c r="AK1008" s="2">
        <f t="shared" si="543"/>
        <v>0</v>
      </c>
      <c r="AL1008" s="2">
        <f t="shared" si="544"/>
        <v>0</v>
      </c>
      <c r="AM1008" s="11"/>
      <c r="AN1008" s="2" t="e">
        <f t="shared" si="553"/>
        <v>#N/A</v>
      </c>
      <c r="AO1008" s="2" t="e">
        <f t="shared" si="554"/>
        <v>#N/A</v>
      </c>
      <c r="AP1008" s="2" t="e">
        <f t="shared" si="555"/>
        <v>#N/A</v>
      </c>
      <c r="AQ1008" s="2" t="e">
        <f t="shared" si="556"/>
        <v>#N/A</v>
      </c>
      <c r="AR1008" s="2" t="e">
        <f t="shared" si="557"/>
        <v>#N/A</v>
      </c>
      <c r="AS1008" s="2" t="e">
        <f t="shared" si="558"/>
        <v>#DIV/0!</v>
      </c>
      <c r="AT1008" s="9" t="e">
        <f t="shared" ca="1" si="559"/>
        <v>#N/A</v>
      </c>
      <c r="AU1008" s="9" t="e">
        <f t="shared" ca="1" si="560"/>
        <v>#N/A</v>
      </c>
      <c r="AW1008" s="2" t="e">
        <f t="shared" si="545"/>
        <v>#N/A</v>
      </c>
      <c r="AX1008" s="2" t="e">
        <f t="shared" si="546"/>
        <v>#N/A</v>
      </c>
      <c r="AY1008" s="2" t="e">
        <f t="shared" si="547"/>
        <v>#N/A</v>
      </c>
      <c r="AZ1008" s="2" t="e">
        <f t="shared" si="548"/>
        <v>#N/A</v>
      </c>
      <c r="BA1008" s="2" t="e">
        <f t="shared" si="549"/>
        <v>#N/A</v>
      </c>
      <c r="BB1008" s="2" t="e">
        <f t="shared" si="550"/>
        <v>#DIV/0!</v>
      </c>
      <c r="BC1008" s="9" t="e">
        <f t="shared" ca="1" si="551"/>
        <v>#N/A</v>
      </c>
      <c r="BD1008" s="9" t="e">
        <f t="shared" ca="1" si="552"/>
        <v>#N/A</v>
      </c>
    </row>
    <row r="1009" spans="1:56" ht="15" x14ac:dyDescent="0.25">
      <c r="A1009"/>
      <c r="B1009"/>
      <c r="C1009"/>
      <c r="D1009"/>
      <c r="E1009"/>
      <c r="F1009"/>
      <c r="G1009"/>
      <c r="H1009"/>
      <c r="I1009"/>
      <c r="J1009"/>
      <c r="K1009"/>
      <c r="L1009" s="64"/>
      <c r="M1009" s="64"/>
      <c r="N1009" s="16"/>
      <c r="O1009" s="11"/>
      <c r="P1009" s="11"/>
      <c r="Q1009" s="11"/>
      <c r="R1009" s="11"/>
      <c r="S1009" s="11"/>
      <c r="T1009" s="11"/>
      <c r="U1009" s="11">
        <f t="shared" si="561"/>
        <v>0</v>
      </c>
      <c r="V1009" s="2">
        <f t="shared" si="562"/>
        <v>0</v>
      </c>
      <c r="W1009" s="11">
        <f t="shared" si="531"/>
        <v>0</v>
      </c>
      <c r="X1009" s="2">
        <f t="shared" si="532"/>
        <v>0</v>
      </c>
      <c r="Y1009" s="2">
        <f t="shared" si="533"/>
        <v>0</v>
      </c>
      <c r="Z1009" s="11">
        <f t="shared" si="534"/>
        <v>0</v>
      </c>
      <c r="AA1009" s="2">
        <f t="shared" si="535"/>
        <v>0</v>
      </c>
      <c r="AB1009" s="11">
        <f t="shared" si="536"/>
        <v>0</v>
      </c>
      <c r="AC1009" s="2">
        <f t="shared" si="537"/>
        <v>0</v>
      </c>
      <c r="AF1009" s="11">
        <f t="shared" si="538"/>
        <v>0</v>
      </c>
      <c r="AG1009" s="2">
        <f t="shared" si="539"/>
        <v>0</v>
      </c>
      <c r="AH1009" s="2">
        <f t="shared" si="540"/>
        <v>0</v>
      </c>
      <c r="AI1009" s="2">
        <f t="shared" si="541"/>
        <v>0</v>
      </c>
      <c r="AJ1009" s="2">
        <f t="shared" si="542"/>
        <v>0</v>
      </c>
      <c r="AK1009" s="2">
        <f t="shared" si="543"/>
        <v>0</v>
      </c>
      <c r="AL1009" s="2">
        <f t="shared" si="544"/>
        <v>0</v>
      </c>
      <c r="AM1009" s="11"/>
      <c r="AN1009" s="2" t="e">
        <f t="shared" si="553"/>
        <v>#N/A</v>
      </c>
      <c r="AO1009" s="2" t="e">
        <f t="shared" si="554"/>
        <v>#N/A</v>
      </c>
      <c r="AP1009" s="2" t="e">
        <f t="shared" si="555"/>
        <v>#N/A</v>
      </c>
      <c r="AQ1009" s="2" t="e">
        <f t="shared" si="556"/>
        <v>#N/A</v>
      </c>
      <c r="AR1009" s="2" t="e">
        <f t="shared" si="557"/>
        <v>#N/A</v>
      </c>
      <c r="AS1009" s="2" t="e">
        <f t="shared" si="558"/>
        <v>#DIV/0!</v>
      </c>
      <c r="AT1009" s="9" t="e">
        <f t="shared" ca="1" si="559"/>
        <v>#N/A</v>
      </c>
      <c r="AU1009" s="9" t="e">
        <f t="shared" ca="1" si="560"/>
        <v>#N/A</v>
      </c>
      <c r="AW1009" s="2" t="e">
        <f t="shared" si="545"/>
        <v>#N/A</v>
      </c>
      <c r="AX1009" s="2" t="e">
        <f t="shared" si="546"/>
        <v>#N/A</v>
      </c>
      <c r="AY1009" s="2" t="e">
        <f t="shared" si="547"/>
        <v>#N/A</v>
      </c>
      <c r="AZ1009" s="2" t="e">
        <f t="shared" si="548"/>
        <v>#N/A</v>
      </c>
      <c r="BA1009" s="2" t="e">
        <f t="shared" si="549"/>
        <v>#N/A</v>
      </c>
      <c r="BB1009" s="2" t="e">
        <f t="shared" si="550"/>
        <v>#DIV/0!</v>
      </c>
      <c r="BC1009" s="9" t="e">
        <f t="shared" ca="1" si="551"/>
        <v>#N/A</v>
      </c>
      <c r="BD1009" s="9" t="e">
        <f t="shared" ca="1" si="552"/>
        <v>#N/A</v>
      </c>
    </row>
    <row r="1010" spans="1:56" ht="15" x14ac:dyDescent="0.25">
      <c r="A1010"/>
      <c r="B1010"/>
      <c r="C1010"/>
      <c r="D1010"/>
      <c r="E1010"/>
      <c r="F1010"/>
      <c r="G1010"/>
      <c r="H1010"/>
      <c r="I1010"/>
      <c r="J1010"/>
      <c r="K1010"/>
      <c r="L1010" s="64"/>
      <c r="M1010" s="64"/>
      <c r="N1010" s="16"/>
      <c r="O1010" s="11"/>
      <c r="P1010" s="11"/>
      <c r="Q1010" s="11"/>
      <c r="R1010" s="11"/>
      <c r="S1010" s="11"/>
      <c r="T1010" s="11"/>
      <c r="U1010" s="11">
        <f t="shared" si="561"/>
        <v>0</v>
      </c>
      <c r="V1010" s="2">
        <f t="shared" si="562"/>
        <v>0</v>
      </c>
      <c r="W1010" s="11">
        <f t="shared" si="531"/>
        <v>0</v>
      </c>
      <c r="X1010" s="2">
        <f t="shared" si="532"/>
        <v>0</v>
      </c>
      <c r="Y1010" s="2">
        <f t="shared" si="533"/>
        <v>0</v>
      </c>
      <c r="Z1010" s="11">
        <f t="shared" si="534"/>
        <v>0</v>
      </c>
      <c r="AA1010" s="2">
        <f t="shared" si="535"/>
        <v>0</v>
      </c>
      <c r="AB1010" s="11">
        <f t="shared" si="536"/>
        <v>0</v>
      </c>
      <c r="AC1010" s="2">
        <f t="shared" si="537"/>
        <v>0</v>
      </c>
      <c r="AF1010" s="11">
        <f t="shared" si="538"/>
        <v>0</v>
      </c>
      <c r="AG1010" s="2">
        <f t="shared" si="539"/>
        <v>0</v>
      </c>
      <c r="AH1010" s="2">
        <f t="shared" si="540"/>
        <v>0</v>
      </c>
      <c r="AI1010" s="2">
        <f t="shared" si="541"/>
        <v>0</v>
      </c>
      <c r="AJ1010" s="2">
        <f t="shared" si="542"/>
        <v>0</v>
      </c>
      <c r="AK1010" s="2">
        <f t="shared" si="543"/>
        <v>0</v>
      </c>
      <c r="AL1010" s="2">
        <f t="shared" si="544"/>
        <v>0</v>
      </c>
      <c r="AM1010" s="11"/>
      <c r="AN1010" s="2" t="e">
        <f t="shared" si="553"/>
        <v>#N/A</v>
      </c>
      <c r="AO1010" s="2" t="e">
        <f t="shared" si="554"/>
        <v>#N/A</v>
      </c>
      <c r="AP1010" s="2" t="e">
        <f t="shared" si="555"/>
        <v>#N/A</v>
      </c>
      <c r="AQ1010" s="2" t="e">
        <f t="shared" si="556"/>
        <v>#N/A</v>
      </c>
      <c r="AR1010" s="2" t="e">
        <f t="shared" si="557"/>
        <v>#N/A</v>
      </c>
      <c r="AS1010" s="2" t="e">
        <f t="shared" si="558"/>
        <v>#DIV/0!</v>
      </c>
      <c r="AT1010" s="9" t="e">
        <f t="shared" ca="1" si="559"/>
        <v>#N/A</v>
      </c>
      <c r="AU1010" s="9" t="e">
        <f t="shared" ca="1" si="560"/>
        <v>#N/A</v>
      </c>
      <c r="AW1010" s="2" t="e">
        <f t="shared" si="545"/>
        <v>#N/A</v>
      </c>
      <c r="AX1010" s="2" t="e">
        <f t="shared" si="546"/>
        <v>#N/A</v>
      </c>
      <c r="AY1010" s="2" t="e">
        <f t="shared" si="547"/>
        <v>#N/A</v>
      </c>
      <c r="AZ1010" s="2" t="e">
        <f t="shared" si="548"/>
        <v>#N/A</v>
      </c>
      <c r="BA1010" s="2" t="e">
        <f t="shared" si="549"/>
        <v>#N/A</v>
      </c>
      <c r="BB1010" s="2" t="e">
        <f t="shared" si="550"/>
        <v>#DIV/0!</v>
      </c>
      <c r="BC1010" s="9" t="e">
        <f t="shared" ca="1" si="551"/>
        <v>#N/A</v>
      </c>
      <c r="BD1010" s="9" t="e">
        <f t="shared" ca="1" si="552"/>
        <v>#N/A</v>
      </c>
    </row>
    <row r="1011" spans="1:56" ht="15" x14ac:dyDescent="0.25">
      <c r="A1011"/>
      <c r="B1011"/>
      <c r="C1011"/>
      <c r="D1011"/>
      <c r="E1011"/>
      <c r="F1011"/>
      <c r="G1011"/>
      <c r="H1011"/>
      <c r="I1011"/>
      <c r="J1011"/>
      <c r="K1011"/>
      <c r="L1011" s="64"/>
      <c r="M1011" s="64"/>
      <c r="N1011" s="16"/>
      <c r="O1011" s="11"/>
      <c r="P1011" s="11"/>
      <c r="Q1011" s="11"/>
      <c r="R1011" s="11"/>
      <c r="S1011" s="11"/>
      <c r="T1011" s="11"/>
      <c r="U1011" s="11">
        <f t="shared" si="561"/>
        <v>0</v>
      </c>
      <c r="V1011" s="2">
        <f t="shared" si="562"/>
        <v>0</v>
      </c>
      <c r="W1011" s="11">
        <f t="shared" si="531"/>
        <v>0</v>
      </c>
      <c r="X1011" s="2">
        <f t="shared" si="532"/>
        <v>0</v>
      </c>
      <c r="Y1011" s="2">
        <f t="shared" si="533"/>
        <v>0</v>
      </c>
      <c r="Z1011" s="11">
        <f t="shared" si="534"/>
        <v>0</v>
      </c>
      <c r="AA1011" s="2">
        <f t="shared" si="535"/>
        <v>0</v>
      </c>
      <c r="AB1011" s="11">
        <f t="shared" si="536"/>
        <v>0</v>
      </c>
      <c r="AC1011" s="2">
        <f t="shared" si="537"/>
        <v>0</v>
      </c>
      <c r="AF1011" s="11">
        <f t="shared" si="538"/>
        <v>0</v>
      </c>
      <c r="AG1011" s="2">
        <f t="shared" si="539"/>
        <v>0</v>
      </c>
      <c r="AH1011" s="2">
        <f t="shared" si="540"/>
        <v>0</v>
      </c>
      <c r="AI1011" s="2">
        <f t="shared" si="541"/>
        <v>0</v>
      </c>
      <c r="AJ1011" s="2">
        <f t="shared" si="542"/>
        <v>0</v>
      </c>
      <c r="AK1011" s="2">
        <f t="shared" si="543"/>
        <v>0</v>
      </c>
      <c r="AL1011" s="2">
        <f t="shared" si="544"/>
        <v>0</v>
      </c>
      <c r="AM1011" s="11"/>
      <c r="AN1011" s="2" t="e">
        <f t="shared" si="553"/>
        <v>#N/A</v>
      </c>
      <c r="AO1011" s="2" t="e">
        <f t="shared" si="554"/>
        <v>#N/A</v>
      </c>
      <c r="AP1011" s="2" t="e">
        <f t="shared" si="555"/>
        <v>#N/A</v>
      </c>
      <c r="AQ1011" s="2" t="e">
        <f t="shared" si="556"/>
        <v>#N/A</v>
      </c>
      <c r="AR1011" s="2" t="e">
        <f t="shared" si="557"/>
        <v>#N/A</v>
      </c>
      <c r="AS1011" s="2" t="e">
        <f t="shared" si="558"/>
        <v>#DIV/0!</v>
      </c>
      <c r="AT1011" s="9" t="e">
        <f t="shared" ca="1" si="559"/>
        <v>#N/A</v>
      </c>
      <c r="AU1011" s="9" t="e">
        <f t="shared" ca="1" si="560"/>
        <v>#N/A</v>
      </c>
      <c r="AW1011" s="2" t="e">
        <f t="shared" si="545"/>
        <v>#N/A</v>
      </c>
      <c r="AX1011" s="2" t="e">
        <f t="shared" si="546"/>
        <v>#N/A</v>
      </c>
      <c r="AY1011" s="2" t="e">
        <f t="shared" si="547"/>
        <v>#N/A</v>
      </c>
      <c r="AZ1011" s="2" t="e">
        <f t="shared" si="548"/>
        <v>#N/A</v>
      </c>
      <c r="BA1011" s="2" t="e">
        <f t="shared" si="549"/>
        <v>#N/A</v>
      </c>
      <c r="BB1011" s="2" t="e">
        <f t="shared" si="550"/>
        <v>#DIV/0!</v>
      </c>
      <c r="BC1011" s="9" t="e">
        <f t="shared" ca="1" si="551"/>
        <v>#N/A</v>
      </c>
      <c r="BD1011" s="9" t="e">
        <f t="shared" ca="1" si="552"/>
        <v>#N/A</v>
      </c>
    </row>
    <row r="1012" spans="1:56" ht="15" x14ac:dyDescent="0.25">
      <c r="A1012"/>
      <c r="B1012"/>
      <c r="C1012"/>
      <c r="D1012"/>
      <c r="E1012"/>
      <c r="F1012"/>
      <c r="G1012"/>
      <c r="H1012"/>
      <c r="I1012"/>
      <c r="J1012"/>
      <c r="K1012"/>
      <c r="L1012" s="64"/>
      <c r="M1012" s="64"/>
      <c r="N1012" s="16"/>
      <c r="O1012" s="11"/>
      <c r="P1012" s="11"/>
      <c r="Q1012" s="11"/>
      <c r="R1012" s="11"/>
      <c r="S1012" s="11"/>
      <c r="T1012" s="11"/>
      <c r="U1012" s="11">
        <f t="shared" si="561"/>
        <v>0</v>
      </c>
      <c r="V1012" s="2">
        <f t="shared" si="562"/>
        <v>0</v>
      </c>
      <c r="W1012" s="11">
        <f t="shared" si="531"/>
        <v>0</v>
      </c>
      <c r="X1012" s="2">
        <f t="shared" si="532"/>
        <v>0</v>
      </c>
      <c r="Y1012" s="2">
        <f t="shared" si="533"/>
        <v>0</v>
      </c>
      <c r="Z1012" s="11">
        <f t="shared" si="534"/>
        <v>0</v>
      </c>
      <c r="AA1012" s="2">
        <f t="shared" si="535"/>
        <v>0</v>
      </c>
      <c r="AB1012" s="11">
        <f t="shared" si="536"/>
        <v>0</v>
      </c>
      <c r="AC1012" s="2">
        <f t="shared" si="537"/>
        <v>0</v>
      </c>
      <c r="AF1012" s="11">
        <f t="shared" si="538"/>
        <v>0</v>
      </c>
      <c r="AG1012" s="2">
        <f t="shared" si="539"/>
        <v>0</v>
      </c>
      <c r="AH1012" s="2">
        <f t="shared" si="540"/>
        <v>0</v>
      </c>
      <c r="AI1012" s="2">
        <f t="shared" si="541"/>
        <v>0</v>
      </c>
      <c r="AJ1012" s="2">
        <f t="shared" si="542"/>
        <v>0</v>
      </c>
      <c r="AK1012" s="2">
        <f t="shared" si="543"/>
        <v>0</v>
      </c>
      <c r="AL1012" s="2">
        <f t="shared" si="544"/>
        <v>0</v>
      </c>
      <c r="AM1012" s="11"/>
      <c r="AN1012" s="2" t="e">
        <f t="shared" si="553"/>
        <v>#N/A</v>
      </c>
      <c r="AO1012" s="2" t="e">
        <f t="shared" si="554"/>
        <v>#N/A</v>
      </c>
      <c r="AP1012" s="2" t="e">
        <f t="shared" si="555"/>
        <v>#N/A</v>
      </c>
      <c r="AQ1012" s="2" t="e">
        <f t="shared" si="556"/>
        <v>#N/A</v>
      </c>
      <c r="AR1012" s="2" t="e">
        <f t="shared" si="557"/>
        <v>#N/A</v>
      </c>
      <c r="AS1012" s="2" t="e">
        <f t="shared" si="558"/>
        <v>#DIV/0!</v>
      </c>
      <c r="AT1012" s="9" t="e">
        <f t="shared" ca="1" si="559"/>
        <v>#N/A</v>
      </c>
      <c r="AU1012" s="9" t="e">
        <f t="shared" ca="1" si="560"/>
        <v>#N/A</v>
      </c>
      <c r="AW1012" s="2" t="e">
        <f t="shared" si="545"/>
        <v>#N/A</v>
      </c>
      <c r="AX1012" s="2" t="e">
        <f t="shared" si="546"/>
        <v>#N/A</v>
      </c>
      <c r="AY1012" s="2" t="e">
        <f t="shared" si="547"/>
        <v>#N/A</v>
      </c>
      <c r="AZ1012" s="2" t="e">
        <f t="shared" si="548"/>
        <v>#N/A</v>
      </c>
      <c r="BA1012" s="2" t="e">
        <f t="shared" si="549"/>
        <v>#N/A</v>
      </c>
      <c r="BB1012" s="2" t="e">
        <f t="shared" si="550"/>
        <v>#DIV/0!</v>
      </c>
      <c r="BC1012" s="9" t="e">
        <f t="shared" ca="1" si="551"/>
        <v>#N/A</v>
      </c>
      <c r="BD1012" s="9" t="e">
        <f t="shared" ca="1" si="552"/>
        <v>#N/A</v>
      </c>
    </row>
    <row r="1013" spans="1:56" ht="15" x14ac:dyDescent="0.25">
      <c r="A1013"/>
      <c r="B1013"/>
      <c r="C1013"/>
      <c r="D1013"/>
      <c r="E1013"/>
      <c r="F1013"/>
      <c r="G1013"/>
      <c r="H1013"/>
      <c r="I1013"/>
      <c r="J1013"/>
      <c r="K1013"/>
      <c r="L1013" s="64"/>
      <c r="M1013" s="64"/>
      <c r="N1013" s="16"/>
      <c r="O1013" s="11"/>
      <c r="P1013" s="11"/>
      <c r="Q1013" s="11"/>
      <c r="R1013" s="11"/>
      <c r="S1013" s="11"/>
      <c r="T1013" s="11"/>
      <c r="U1013" s="11">
        <f t="shared" si="561"/>
        <v>0</v>
      </c>
      <c r="V1013" s="2">
        <f t="shared" si="562"/>
        <v>0</v>
      </c>
      <c r="W1013" s="11">
        <f t="shared" si="531"/>
        <v>0</v>
      </c>
      <c r="X1013" s="2">
        <f t="shared" si="532"/>
        <v>0</v>
      </c>
      <c r="Y1013" s="2">
        <f t="shared" si="533"/>
        <v>0</v>
      </c>
      <c r="Z1013" s="11">
        <f t="shared" si="534"/>
        <v>0</v>
      </c>
      <c r="AA1013" s="2">
        <f t="shared" si="535"/>
        <v>0</v>
      </c>
      <c r="AB1013" s="11">
        <f t="shared" si="536"/>
        <v>0</v>
      </c>
      <c r="AC1013" s="2">
        <f t="shared" si="537"/>
        <v>0</v>
      </c>
      <c r="AF1013" s="11">
        <f t="shared" si="538"/>
        <v>0</v>
      </c>
      <c r="AG1013" s="2">
        <f t="shared" si="539"/>
        <v>0</v>
      </c>
      <c r="AH1013" s="2">
        <f t="shared" si="540"/>
        <v>0</v>
      </c>
      <c r="AI1013" s="2">
        <f t="shared" si="541"/>
        <v>0</v>
      </c>
      <c r="AJ1013" s="2">
        <f t="shared" si="542"/>
        <v>0</v>
      </c>
      <c r="AK1013" s="2">
        <f t="shared" si="543"/>
        <v>0</v>
      </c>
      <c r="AL1013" s="2">
        <f t="shared" si="544"/>
        <v>0</v>
      </c>
      <c r="AM1013" s="11"/>
      <c r="AN1013" s="2" t="e">
        <f t="shared" si="553"/>
        <v>#N/A</v>
      </c>
      <c r="AO1013" s="2" t="e">
        <f t="shared" si="554"/>
        <v>#N/A</v>
      </c>
      <c r="AP1013" s="2" t="e">
        <f t="shared" si="555"/>
        <v>#N/A</v>
      </c>
      <c r="AQ1013" s="2" t="e">
        <f t="shared" si="556"/>
        <v>#N/A</v>
      </c>
      <c r="AR1013" s="2" t="e">
        <f t="shared" si="557"/>
        <v>#N/A</v>
      </c>
      <c r="AS1013" s="2" t="e">
        <f t="shared" si="558"/>
        <v>#DIV/0!</v>
      </c>
      <c r="AT1013" s="9" t="e">
        <f t="shared" ca="1" si="559"/>
        <v>#N/A</v>
      </c>
      <c r="AU1013" s="9" t="e">
        <f t="shared" ca="1" si="560"/>
        <v>#N/A</v>
      </c>
      <c r="AW1013" s="2" t="e">
        <f t="shared" si="545"/>
        <v>#N/A</v>
      </c>
      <c r="AX1013" s="2" t="e">
        <f t="shared" si="546"/>
        <v>#N/A</v>
      </c>
      <c r="AY1013" s="2" t="e">
        <f t="shared" si="547"/>
        <v>#N/A</v>
      </c>
      <c r="AZ1013" s="2" t="e">
        <f t="shared" si="548"/>
        <v>#N/A</v>
      </c>
      <c r="BA1013" s="2" t="e">
        <f t="shared" si="549"/>
        <v>#N/A</v>
      </c>
      <c r="BB1013" s="2" t="e">
        <f t="shared" si="550"/>
        <v>#DIV/0!</v>
      </c>
      <c r="BC1013" s="9" t="e">
        <f t="shared" ca="1" si="551"/>
        <v>#N/A</v>
      </c>
      <c r="BD1013" s="9" t="e">
        <f t="shared" ca="1" si="552"/>
        <v>#N/A</v>
      </c>
    </row>
    <row r="1014" spans="1:56" ht="15" x14ac:dyDescent="0.25">
      <c r="A1014"/>
      <c r="B1014"/>
      <c r="C1014"/>
      <c r="D1014"/>
      <c r="E1014"/>
      <c r="F1014"/>
      <c r="G1014"/>
      <c r="H1014"/>
      <c r="I1014"/>
      <c r="J1014"/>
      <c r="K1014"/>
      <c r="L1014" s="64"/>
      <c r="M1014" s="64"/>
      <c r="N1014" s="16"/>
      <c r="O1014" s="11"/>
      <c r="P1014" s="11"/>
      <c r="Q1014" s="11"/>
      <c r="R1014" s="11"/>
      <c r="S1014" s="11"/>
      <c r="T1014" s="11"/>
      <c r="U1014" s="11">
        <f t="shared" si="561"/>
        <v>0</v>
      </c>
      <c r="V1014" s="2">
        <f t="shared" si="562"/>
        <v>0</v>
      </c>
      <c r="W1014" s="11">
        <f t="shared" si="531"/>
        <v>0</v>
      </c>
      <c r="X1014" s="2">
        <f t="shared" si="532"/>
        <v>0</v>
      </c>
      <c r="Y1014" s="2">
        <f t="shared" si="533"/>
        <v>0</v>
      </c>
      <c r="Z1014" s="11">
        <f t="shared" si="534"/>
        <v>0</v>
      </c>
      <c r="AA1014" s="2">
        <f t="shared" si="535"/>
        <v>0</v>
      </c>
      <c r="AB1014" s="11">
        <f t="shared" si="536"/>
        <v>0</v>
      </c>
      <c r="AC1014" s="2">
        <f t="shared" si="537"/>
        <v>0</v>
      </c>
      <c r="AF1014" s="11">
        <f t="shared" si="538"/>
        <v>0</v>
      </c>
      <c r="AG1014" s="2">
        <f t="shared" si="539"/>
        <v>0</v>
      </c>
      <c r="AH1014" s="2">
        <f t="shared" si="540"/>
        <v>0</v>
      </c>
      <c r="AI1014" s="2">
        <f t="shared" si="541"/>
        <v>0</v>
      </c>
      <c r="AJ1014" s="2">
        <f t="shared" si="542"/>
        <v>0</v>
      </c>
      <c r="AK1014" s="2">
        <f t="shared" si="543"/>
        <v>0</v>
      </c>
      <c r="AL1014" s="2">
        <f t="shared" si="544"/>
        <v>0</v>
      </c>
      <c r="AM1014" s="11"/>
      <c r="AN1014" s="2" t="e">
        <f t="shared" si="553"/>
        <v>#N/A</v>
      </c>
      <c r="AO1014" s="2" t="e">
        <f t="shared" si="554"/>
        <v>#N/A</v>
      </c>
      <c r="AP1014" s="2" t="e">
        <f t="shared" si="555"/>
        <v>#N/A</v>
      </c>
      <c r="AQ1014" s="2" t="e">
        <f t="shared" si="556"/>
        <v>#N/A</v>
      </c>
      <c r="AR1014" s="2" t="e">
        <f t="shared" si="557"/>
        <v>#N/A</v>
      </c>
      <c r="AS1014" s="2" t="e">
        <f t="shared" si="558"/>
        <v>#DIV/0!</v>
      </c>
      <c r="AT1014" s="9" t="e">
        <f t="shared" ca="1" si="559"/>
        <v>#N/A</v>
      </c>
      <c r="AU1014" s="9" t="e">
        <f t="shared" ca="1" si="560"/>
        <v>#N/A</v>
      </c>
      <c r="AW1014" s="2" t="e">
        <f t="shared" si="545"/>
        <v>#N/A</v>
      </c>
      <c r="AX1014" s="2" t="e">
        <f t="shared" si="546"/>
        <v>#N/A</v>
      </c>
      <c r="AY1014" s="2" t="e">
        <f t="shared" si="547"/>
        <v>#N/A</v>
      </c>
      <c r="AZ1014" s="2" t="e">
        <f t="shared" si="548"/>
        <v>#N/A</v>
      </c>
      <c r="BA1014" s="2" t="e">
        <f t="shared" si="549"/>
        <v>#N/A</v>
      </c>
      <c r="BB1014" s="2" t="e">
        <f t="shared" si="550"/>
        <v>#DIV/0!</v>
      </c>
      <c r="BC1014" s="9" t="e">
        <f t="shared" ca="1" si="551"/>
        <v>#N/A</v>
      </c>
      <c r="BD1014" s="9" t="e">
        <f t="shared" ca="1" si="552"/>
        <v>#N/A</v>
      </c>
    </row>
    <row r="1015" spans="1:56" ht="15" x14ac:dyDescent="0.25">
      <c r="A1015"/>
      <c r="B1015"/>
      <c r="C1015"/>
      <c r="D1015"/>
      <c r="E1015"/>
      <c r="F1015"/>
      <c r="G1015"/>
      <c r="H1015"/>
      <c r="I1015"/>
      <c r="J1015"/>
      <c r="K1015"/>
      <c r="L1015" s="64"/>
      <c r="M1015" s="64"/>
      <c r="N1015" s="16"/>
      <c r="O1015" s="11"/>
      <c r="P1015" s="11"/>
      <c r="Q1015" s="11"/>
      <c r="R1015" s="11"/>
      <c r="S1015" s="11"/>
      <c r="T1015" s="11"/>
      <c r="U1015" s="11">
        <f t="shared" si="561"/>
        <v>0</v>
      </c>
      <c r="V1015" s="2">
        <f t="shared" si="562"/>
        <v>0</v>
      </c>
      <c r="W1015" s="11">
        <f t="shared" si="531"/>
        <v>0</v>
      </c>
      <c r="X1015" s="2">
        <f t="shared" si="532"/>
        <v>0</v>
      </c>
      <c r="Y1015" s="2">
        <f t="shared" si="533"/>
        <v>0</v>
      </c>
      <c r="Z1015" s="11">
        <f t="shared" si="534"/>
        <v>0</v>
      </c>
      <c r="AA1015" s="2">
        <f t="shared" si="535"/>
        <v>0</v>
      </c>
      <c r="AB1015" s="11">
        <f t="shared" si="536"/>
        <v>0</v>
      </c>
      <c r="AC1015" s="2">
        <f t="shared" si="537"/>
        <v>0</v>
      </c>
      <c r="AF1015" s="11">
        <f t="shared" si="538"/>
        <v>0</v>
      </c>
      <c r="AG1015" s="2">
        <f t="shared" si="539"/>
        <v>0</v>
      </c>
      <c r="AH1015" s="2">
        <f t="shared" si="540"/>
        <v>0</v>
      </c>
      <c r="AI1015" s="2">
        <f t="shared" si="541"/>
        <v>0</v>
      </c>
      <c r="AJ1015" s="2">
        <f t="shared" si="542"/>
        <v>0</v>
      </c>
      <c r="AK1015" s="2">
        <f t="shared" si="543"/>
        <v>0</v>
      </c>
      <c r="AL1015" s="2">
        <f t="shared" si="544"/>
        <v>0</v>
      </c>
      <c r="AM1015" s="11"/>
      <c r="AN1015" s="2" t="e">
        <f t="shared" si="553"/>
        <v>#N/A</v>
      </c>
      <c r="AO1015" s="2" t="e">
        <f t="shared" si="554"/>
        <v>#N/A</v>
      </c>
      <c r="AP1015" s="2" t="e">
        <f t="shared" si="555"/>
        <v>#N/A</v>
      </c>
      <c r="AQ1015" s="2" t="e">
        <f t="shared" si="556"/>
        <v>#N/A</v>
      </c>
      <c r="AR1015" s="2" t="e">
        <f t="shared" si="557"/>
        <v>#N/A</v>
      </c>
      <c r="AS1015" s="2" t="e">
        <f t="shared" si="558"/>
        <v>#DIV/0!</v>
      </c>
      <c r="AT1015" s="9" t="e">
        <f t="shared" ca="1" si="559"/>
        <v>#N/A</v>
      </c>
      <c r="AU1015" s="9" t="e">
        <f t="shared" ca="1" si="560"/>
        <v>#N/A</v>
      </c>
      <c r="AW1015" s="2" t="e">
        <f t="shared" si="545"/>
        <v>#N/A</v>
      </c>
      <c r="AX1015" s="2" t="e">
        <f t="shared" si="546"/>
        <v>#N/A</v>
      </c>
      <c r="AY1015" s="2" t="e">
        <f t="shared" si="547"/>
        <v>#N/A</v>
      </c>
      <c r="AZ1015" s="2" t="e">
        <f t="shared" si="548"/>
        <v>#N/A</v>
      </c>
      <c r="BA1015" s="2" t="e">
        <f t="shared" si="549"/>
        <v>#N/A</v>
      </c>
      <c r="BB1015" s="2" t="e">
        <f t="shared" si="550"/>
        <v>#DIV/0!</v>
      </c>
      <c r="BC1015" s="9" t="e">
        <f t="shared" ca="1" si="551"/>
        <v>#N/A</v>
      </c>
      <c r="BD1015" s="9" t="e">
        <f t="shared" ca="1" si="552"/>
        <v>#N/A</v>
      </c>
    </row>
    <row r="1016" spans="1:56" ht="15" x14ac:dyDescent="0.25">
      <c r="A1016"/>
      <c r="B1016"/>
      <c r="C1016"/>
      <c r="D1016"/>
      <c r="E1016"/>
      <c r="F1016"/>
      <c r="G1016"/>
      <c r="H1016"/>
      <c r="I1016"/>
      <c r="J1016"/>
      <c r="K1016"/>
      <c r="L1016" s="64"/>
      <c r="M1016" s="64"/>
      <c r="N1016" s="16"/>
      <c r="O1016" s="11"/>
      <c r="P1016" s="11"/>
      <c r="Q1016" s="11"/>
      <c r="R1016" s="11"/>
      <c r="S1016" s="11"/>
      <c r="T1016" s="11"/>
      <c r="U1016" s="11">
        <f t="shared" si="561"/>
        <v>0</v>
      </c>
      <c r="V1016" s="2">
        <f t="shared" si="562"/>
        <v>0</v>
      </c>
      <c r="W1016" s="11">
        <f t="shared" si="531"/>
        <v>0</v>
      </c>
      <c r="X1016" s="2">
        <f t="shared" si="532"/>
        <v>0</v>
      </c>
      <c r="Y1016" s="2">
        <f t="shared" si="533"/>
        <v>0</v>
      </c>
      <c r="Z1016" s="11">
        <f t="shared" si="534"/>
        <v>0</v>
      </c>
      <c r="AA1016" s="2">
        <f t="shared" si="535"/>
        <v>0</v>
      </c>
      <c r="AB1016" s="11">
        <f t="shared" si="536"/>
        <v>0</v>
      </c>
      <c r="AC1016" s="2">
        <f t="shared" si="537"/>
        <v>0</v>
      </c>
      <c r="AF1016" s="11">
        <f t="shared" si="538"/>
        <v>0</v>
      </c>
      <c r="AG1016" s="2">
        <f t="shared" si="539"/>
        <v>0</v>
      </c>
      <c r="AH1016" s="2">
        <f t="shared" si="540"/>
        <v>0</v>
      </c>
      <c r="AI1016" s="2">
        <f t="shared" si="541"/>
        <v>0</v>
      </c>
      <c r="AJ1016" s="2">
        <f t="shared" si="542"/>
        <v>0</v>
      </c>
      <c r="AK1016" s="2">
        <f t="shared" si="543"/>
        <v>0</v>
      </c>
      <c r="AL1016" s="2">
        <f t="shared" si="544"/>
        <v>0</v>
      </c>
      <c r="AM1016" s="11"/>
      <c r="AN1016" s="2" t="e">
        <f t="shared" si="553"/>
        <v>#N/A</v>
      </c>
      <c r="AO1016" s="2" t="e">
        <f t="shared" si="554"/>
        <v>#N/A</v>
      </c>
      <c r="AP1016" s="2" t="e">
        <f t="shared" si="555"/>
        <v>#N/A</v>
      </c>
      <c r="AQ1016" s="2" t="e">
        <f t="shared" si="556"/>
        <v>#N/A</v>
      </c>
      <c r="AR1016" s="2" t="e">
        <f t="shared" si="557"/>
        <v>#N/A</v>
      </c>
      <c r="AS1016" s="2" t="e">
        <f t="shared" si="558"/>
        <v>#DIV/0!</v>
      </c>
      <c r="AT1016" s="9" t="e">
        <f t="shared" ca="1" si="559"/>
        <v>#N/A</v>
      </c>
      <c r="AU1016" s="9" t="e">
        <f t="shared" ca="1" si="560"/>
        <v>#N/A</v>
      </c>
      <c r="AW1016" s="2" t="e">
        <f t="shared" si="545"/>
        <v>#N/A</v>
      </c>
      <c r="AX1016" s="2" t="e">
        <f t="shared" si="546"/>
        <v>#N/A</v>
      </c>
      <c r="AY1016" s="2" t="e">
        <f t="shared" si="547"/>
        <v>#N/A</v>
      </c>
      <c r="AZ1016" s="2" t="e">
        <f t="shared" si="548"/>
        <v>#N/A</v>
      </c>
      <c r="BA1016" s="2" t="e">
        <f t="shared" si="549"/>
        <v>#N/A</v>
      </c>
      <c r="BB1016" s="2" t="e">
        <f t="shared" si="550"/>
        <v>#DIV/0!</v>
      </c>
      <c r="BC1016" s="9" t="e">
        <f t="shared" ca="1" si="551"/>
        <v>#N/A</v>
      </c>
      <c r="BD1016" s="9" t="e">
        <f t="shared" ca="1" si="552"/>
        <v>#N/A</v>
      </c>
    </row>
    <row r="1017" spans="1:56" ht="15" x14ac:dyDescent="0.25">
      <c r="A1017"/>
      <c r="B1017"/>
      <c r="C1017"/>
      <c r="D1017"/>
      <c r="E1017"/>
      <c r="F1017"/>
      <c r="G1017"/>
      <c r="H1017"/>
      <c r="I1017"/>
      <c r="J1017"/>
      <c r="K1017"/>
      <c r="L1017" s="64"/>
      <c r="M1017" s="64"/>
      <c r="N1017" s="16"/>
      <c r="O1017" s="11"/>
      <c r="P1017" s="11"/>
      <c r="Q1017" s="11"/>
      <c r="R1017" s="11"/>
      <c r="S1017" s="11"/>
      <c r="T1017" s="11"/>
      <c r="U1017" s="11">
        <f t="shared" si="561"/>
        <v>0</v>
      </c>
      <c r="V1017" s="2">
        <f t="shared" si="562"/>
        <v>0</v>
      </c>
      <c r="W1017" s="11">
        <f t="shared" si="531"/>
        <v>0</v>
      </c>
      <c r="X1017" s="2">
        <f t="shared" si="532"/>
        <v>0</v>
      </c>
      <c r="Y1017" s="2">
        <f t="shared" si="533"/>
        <v>0</v>
      </c>
      <c r="Z1017" s="11">
        <f t="shared" si="534"/>
        <v>0</v>
      </c>
      <c r="AA1017" s="2">
        <f t="shared" si="535"/>
        <v>0</v>
      </c>
      <c r="AB1017" s="11">
        <f t="shared" si="536"/>
        <v>0</v>
      </c>
      <c r="AC1017" s="2">
        <f t="shared" si="537"/>
        <v>0</v>
      </c>
      <c r="AF1017" s="11">
        <f t="shared" si="538"/>
        <v>0</v>
      </c>
      <c r="AG1017" s="2">
        <f t="shared" si="539"/>
        <v>0</v>
      </c>
      <c r="AH1017" s="2">
        <f t="shared" si="540"/>
        <v>0</v>
      </c>
      <c r="AI1017" s="2">
        <f t="shared" si="541"/>
        <v>0</v>
      </c>
      <c r="AJ1017" s="2">
        <f t="shared" si="542"/>
        <v>0</v>
      </c>
      <c r="AK1017" s="2">
        <f t="shared" si="543"/>
        <v>0</v>
      </c>
      <c r="AL1017" s="2">
        <f t="shared" si="544"/>
        <v>0</v>
      </c>
      <c r="AM1017" s="11"/>
      <c r="AN1017" s="2" t="e">
        <f t="shared" si="553"/>
        <v>#N/A</v>
      </c>
      <c r="AO1017" s="2" t="e">
        <f t="shared" si="554"/>
        <v>#N/A</v>
      </c>
      <c r="AP1017" s="2" t="e">
        <f t="shared" si="555"/>
        <v>#N/A</v>
      </c>
      <c r="AQ1017" s="2" t="e">
        <f t="shared" si="556"/>
        <v>#N/A</v>
      </c>
      <c r="AR1017" s="2" t="e">
        <f t="shared" si="557"/>
        <v>#N/A</v>
      </c>
      <c r="AS1017" s="2" t="e">
        <f t="shared" si="558"/>
        <v>#DIV/0!</v>
      </c>
      <c r="AT1017" s="9" t="e">
        <f t="shared" ca="1" si="559"/>
        <v>#N/A</v>
      </c>
      <c r="AU1017" s="9" t="e">
        <f t="shared" ca="1" si="560"/>
        <v>#N/A</v>
      </c>
      <c r="AW1017" s="2" t="e">
        <f t="shared" si="545"/>
        <v>#N/A</v>
      </c>
      <c r="AX1017" s="2" t="e">
        <f t="shared" si="546"/>
        <v>#N/A</v>
      </c>
      <c r="AY1017" s="2" t="e">
        <f t="shared" si="547"/>
        <v>#N/A</v>
      </c>
      <c r="AZ1017" s="2" t="e">
        <f t="shared" si="548"/>
        <v>#N/A</v>
      </c>
      <c r="BA1017" s="2" t="e">
        <f t="shared" si="549"/>
        <v>#N/A</v>
      </c>
      <c r="BB1017" s="2" t="e">
        <f t="shared" si="550"/>
        <v>#DIV/0!</v>
      </c>
      <c r="BC1017" s="9" t="e">
        <f t="shared" ca="1" si="551"/>
        <v>#N/A</v>
      </c>
      <c r="BD1017" s="9" t="e">
        <f t="shared" ca="1" si="552"/>
        <v>#N/A</v>
      </c>
    </row>
    <row r="1018" spans="1:56" ht="15" x14ac:dyDescent="0.25">
      <c r="A1018"/>
      <c r="B1018"/>
      <c r="C1018"/>
      <c r="D1018"/>
      <c r="E1018"/>
      <c r="F1018"/>
      <c r="G1018"/>
      <c r="H1018"/>
      <c r="I1018"/>
      <c r="J1018"/>
      <c r="K1018"/>
      <c r="L1018" s="64"/>
      <c r="M1018" s="64"/>
      <c r="N1018" s="16"/>
      <c r="O1018" s="11"/>
      <c r="P1018" s="11"/>
      <c r="Q1018" s="11"/>
      <c r="R1018" s="11"/>
      <c r="S1018" s="11"/>
      <c r="T1018" s="11"/>
      <c r="U1018" s="11">
        <f t="shared" si="561"/>
        <v>0</v>
      </c>
      <c r="V1018" s="2">
        <f t="shared" si="562"/>
        <v>0</v>
      </c>
      <c r="W1018" s="11">
        <f t="shared" si="531"/>
        <v>0</v>
      </c>
      <c r="X1018" s="2">
        <f t="shared" si="532"/>
        <v>0</v>
      </c>
      <c r="Y1018" s="2">
        <f t="shared" si="533"/>
        <v>0</v>
      </c>
      <c r="Z1018" s="11">
        <f t="shared" si="534"/>
        <v>0</v>
      </c>
      <c r="AA1018" s="2">
        <f t="shared" si="535"/>
        <v>0</v>
      </c>
      <c r="AB1018" s="11">
        <f t="shared" si="536"/>
        <v>0</v>
      </c>
      <c r="AC1018" s="2">
        <f t="shared" si="537"/>
        <v>0</v>
      </c>
      <c r="AF1018" s="11">
        <f t="shared" si="538"/>
        <v>0</v>
      </c>
      <c r="AG1018" s="2">
        <f t="shared" si="539"/>
        <v>0</v>
      </c>
      <c r="AH1018" s="2">
        <f t="shared" si="540"/>
        <v>0</v>
      </c>
      <c r="AI1018" s="2">
        <f t="shared" si="541"/>
        <v>0</v>
      </c>
      <c r="AJ1018" s="2">
        <f t="shared" si="542"/>
        <v>0</v>
      </c>
      <c r="AK1018" s="2">
        <f t="shared" si="543"/>
        <v>0</v>
      </c>
      <c r="AL1018" s="2">
        <f t="shared" si="544"/>
        <v>0</v>
      </c>
      <c r="AM1018" s="11"/>
      <c r="AN1018" s="2" t="e">
        <f t="shared" si="553"/>
        <v>#N/A</v>
      </c>
      <c r="AO1018" s="2" t="e">
        <f t="shared" si="554"/>
        <v>#N/A</v>
      </c>
      <c r="AP1018" s="2" t="e">
        <f t="shared" si="555"/>
        <v>#N/A</v>
      </c>
      <c r="AQ1018" s="2" t="e">
        <f t="shared" si="556"/>
        <v>#N/A</v>
      </c>
      <c r="AR1018" s="2" t="e">
        <f t="shared" si="557"/>
        <v>#N/A</v>
      </c>
      <c r="AS1018" s="2" t="e">
        <f t="shared" si="558"/>
        <v>#DIV/0!</v>
      </c>
      <c r="AT1018" s="9" t="e">
        <f t="shared" ca="1" si="559"/>
        <v>#N/A</v>
      </c>
      <c r="AU1018" s="9" t="e">
        <f t="shared" ca="1" si="560"/>
        <v>#N/A</v>
      </c>
      <c r="AW1018" s="2" t="e">
        <f t="shared" si="545"/>
        <v>#N/A</v>
      </c>
      <c r="AX1018" s="2" t="e">
        <f t="shared" si="546"/>
        <v>#N/A</v>
      </c>
      <c r="AY1018" s="2" t="e">
        <f t="shared" si="547"/>
        <v>#N/A</v>
      </c>
      <c r="AZ1018" s="2" t="e">
        <f t="shared" si="548"/>
        <v>#N/A</v>
      </c>
      <c r="BA1018" s="2" t="e">
        <f t="shared" si="549"/>
        <v>#N/A</v>
      </c>
      <c r="BB1018" s="2" t="e">
        <f t="shared" si="550"/>
        <v>#DIV/0!</v>
      </c>
      <c r="BC1018" s="9" t="e">
        <f t="shared" ca="1" si="551"/>
        <v>#N/A</v>
      </c>
      <c r="BD1018" s="9" t="e">
        <f t="shared" ca="1" si="552"/>
        <v>#N/A</v>
      </c>
    </row>
    <row r="1019" spans="1:56" ht="15" x14ac:dyDescent="0.25">
      <c r="A1019"/>
      <c r="B1019"/>
      <c r="C1019"/>
      <c r="D1019"/>
      <c r="E1019"/>
      <c r="F1019"/>
      <c r="G1019"/>
      <c r="H1019"/>
      <c r="I1019"/>
      <c r="J1019"/>
      <c r="K1019"/>
      <c r="L1019" s="64"/>
      <c r="M1019" s="64"/>
      <c r="N1019" s="16"/>
      <c r="O1019" s="11"/>
      <c r="P1019" s="11"/>
      <c r="Q1019" s="11"/>
      <c r="R1019" s="11"/>
      <c r="S1019" s="11"/>
      <c r="T1019" s="11"/>
      <c r="U1019" s="11">
        <f t="shared" si="561"/>
        <v>0</v>
      </c>
      <c r="V1019" s="2">
        <f t="shared" si="562"/>
        <v>0</v>
      </c>
      <c r="W1019" s="11">
        <f t="shared" si="531"/>
        <v>0</v>
      </c>
      <c r="X1019" s="2">
        <f t="shared" si="532"/>
        <v>0</v>
      </c>
      <c r="Y1019" s="2">
        <f t="shared" si="533"/>
        <v>0</v>
      </c>
      <c r="Z1019" s="11">
        <f t="shared" si="534"/>
        <v>0</v>
      </c>
      <c r="AA1019" s="2">
        <f t="shared" si="535"/>
        <v>0</v>
      </c>
      <c r="AB1019" s="11">
        <f t="shared" si="536"/>
        <v>0</v>
      </c>
      <c r="AC1019" s="2">
        <f t="shared" si="537"/>
        <v>0</v>
      </c>
      <c r="AF1019" s="11">
        <f t="shared" si="538"/>
        <v>0</v>
      </c>
      <c r="AG1019" s="2">
        <f t="shared" si="539"/>
        <v>0</v>
      </c>
      <c r="AH1019" s="2">
        <f t="shared" si="540"/>
        <v>0</v>
      </c>
      <c r="AI1019" s="2">
        <f t="shared" si="541"/>
        <v>0</v>
      </c>
      <c r="AJ1019" s="2">
        <f t="shared" si="542"/>
        <v>0</v>
      </c>
      <c r="AK1019" s="2">
        <f t="shared" si="543"/>
        <v>0</v>
      </c>
      <c r="AL1019" s="2">
        <f t="shared" si="544"/>
        <v>0</v>
      </c>
      <c r="AM1019" s="11"/>
      <c r="AN1019" s="2" t="e">
        <f t="shared" si="553"/>
        <v>#N/A</v>
      </c>
      <c r="AO1019" s="2" t="e">
        <f t="shared" si="554"/>
        <v>#N/A</v>
      </c>
      <c r="AP1019" s="2" t="e">
        <f t="shared" si="555"/>
        <v>#N/A</v>
      </c>
      <c r="AQ1019" s="2" t="e">
        <f t="shared" si="556"/>
        <v>#N/A</v>
      </c>
      <c r="AR1019" s="2" t="e">
        <f t="shared" si="557"/>
        <v>#N/A</v>
      </c>
      <c r="AS1019" s="2" t="e">
        <f t="shared" si="558"/>
        <v>#DIV/0!</v>
      </c>
      <c r="AT1019" s="9" t="e">
        <f t="shared" ca="1" si="559"/>
        <v>#N/A</v>
      </c>
      <c r="AU1019" s="9" t="e">
        <f t="shared" ca="1" si="560"/>
        <v>#N/A</v>
      </c>
      <c r="AW1019" s="2" t="e">
        <f t="shared" si="545"/>
        <v>#N/A</v>
      </c>
      <c r="AX1019" s="2" t="e">
        <f t="shared" si="546"/>
        <v>#N/A</v>
      </c>
      <c r="AY1019" s="2" t="e">
        <f t="shared" si="547"/>
        <v>#N/A</v>
      </c>
      <c r="AZ1019" s="2" t="e">
        <f t="shared" si="548"/>
        <v>#N/A</v>
      </c>
      <c r="BA1019" s="2" t="e">
        <f t="shared" si="549"/>
        <v>#N/A</v>
      </c>
      <c r="BB1019" s="2" t="e">
        <f t="shared" si="550"/>
        <v>#DIV/0!</v>
      </c>
      <c r="BC1019" s="9" t="e">
        <f t="shared" ca="1" si="551"/>
        <v>#N/A</v>
      </c>
      <c r="BD1019" s="9" t="e">
        <f t="shared" ca="1" si="552"/>
        <v>#N/A</v>
      </c>
    </row>
    <row r="1020" spans="1:56" ht="15" x14ac:dyDescent="0.25">
      <c r="A1020"/>
      <c r="B1020"/>
      <c r="C1020"/>
      <c r="D1020"/>
      <c r="E1020"/>
      <c r="F1020"/>
      <c r="G1020"/>
      <c r="H1020"/>
      <c r="I1020"/>
      <c r="J1020"/>
      <c r="K1020"/>
      <c r="L1020" s="64"/>
      <c r="M1020" s="64"/>
      <c r="N1020" s="16"/>
      <c r="O1020" s="11"/>
      <c r="P1020" s="11"/>
      <c r="Q1020" s="11"/>
      <c r="R1020" s="11"/>
      <c r="S1020" s="11"/>
      <c r="T1020" s="11"/>
      <c r="U1020" s="11">
        <f t="shared" si="561"/>
        <v>0</v>
      </c>
      <c r="V1020" s="2">
        <f t="shared" si="562"/>
        <v>0</v>
      </c>
      <c r="W1020" s="11">
        <f t="shared" si="531"/>
        <v>0</v>
      </c>
      <c r="X1020" s="2">
        <f t="shared" si="532"/>
        <v>0</v>
      </c>
      <c r="Y1020" s="2">
        <f t="shared" si="533"/>
        <v>0</v>
      </c>
      <c r="Z1020" s="11">
        <f t="shared" si="534"/>
        <v>0</v>
      </c>
      <c r="AA1020" s="2">
        <f t="shared" si="535"/>
        <v>0</v>
      </c>
      <c r="AB1020" s="11">
        <f t="shared" si="536"/>
        <v>0</v>
      </c>
      <c r="AC1020" s="2">
        <f t="shared" si="537"/>
        <v>0</v>
      </c>
      <c r="AF1020" s="11">
        <f t="shared" si="538"/>
        <v>0</v>
      </c>
      <c r="AG1020" s="2">
        <f t="shared" si="539"/>
        <v>0</v>
      </c>
      <c r="AH1020" s="2">
        <f t="shared" si="540"/>
        <v>0</v>
      </c>
      <c r="AI1020" s="2">
        <f t="shared" si="541"/>
        <v>0</v>
      </c>
      <c r="AJ1020" s="2">
        <f t="shared" si="542"/>
        <v>0</v>
      </c>
      <c r="AK1020" s="2">
        <f t="shared" si="543"/>
        <v>0</v>
      </c>
      <c r="AL1020" s="2">
        <f t="shared" si="544"/>
        <v>0</v>
      </c>
      <c r="AM1020" s="11"/>
      <c r="AN1020" s="2" t="e">
        <f t="shared" si="553"/>
        <v>#N/A</v>
      </c>
      <c r="AO1020" s="2" t="e">
        <f t="shared" si="554"/>
        <v>#N/A</v>
      </c>
      <c r="AP1020" s="2" t="e">
        <f t="shared" si="555"/>
        <v>#N/A</v>
      </c>
      <c r="AQ1020" s="2" t="e">
        <f t="shared" si="556"/>
        <v>#N/A</v>
      </c>
      <c r="AR1020" s="2" t="e">
        <f t="shared" si="557"/>
        <v>#N/A</v>
      </c>
      <c r="AS1020" s="2" t="e">
        <f t="shared" si="558"/>
        <v>#DIV/0!</v>
      </c>
      <c r="AT1020" s="9" t="e">
        <f t="shared" ca="1" si="559"/>
        <v>#N/A</v>
      </c>
      <c r="AU1020" s="9" t="e">
        <f t="shared" ca="1" si="560"/>
        <v>#N/A</v>
      </c>
      <c r="AW1020" s="2" t="e">
        <f t="shared" si="545"/>
        <v>#N/A</v>
      </c>
      <c r="AX1020" s="2" t="e">
        <f t="shared" si="546"/>
        <v>#N/A</v>
      </c>
      <c r="AY1020" s="2" t="e">
        <f t="shared" si="547"/>
        <v>#N/A</v>
      </c>
      <c r="AZ1020" s="2" t="e">
        <f t="shared" si="548"/>
        <v>#N/A</v>
      </c>
      <c r="BA1020" s="2" t="e">
        <f t="shared" si="549"/>
        <v>#N/A</v>
      </c>
      <c r="BB1020" s="2" t="e">
        <f t="shared" si="550"/>
        <v>#DIV/0!</v>
      </c>
      <c r="BC1020" s="9" t="e">
        <f t="shared" ca="1" si="551"/>
        <v>#N/A</v>
      </c>
      <c r="BD1020" s="9" t="e">
        <f t="shared" ca="1" si="552"/>
        <v>#N/A</v>
      </c>
    </row>
    <row r="1021" spans="1:56" ht="15" x14ac:dyDescent="0.25">
      <c r="A1021"/>
      <c r="B1021"/>
      <c r="C1021"/>
      <c r="D1021"/>
      <c r="E1021"/>
      <c r="F1021"/>
      <c r="G1021"/>
      <c r="H1021"/>
      <c r="I1021"/>
      <c r="J1021"/>
      <c r="K1021"/>
      <c r="L1021" s="64"/>
      <c r="M1021" s="64"/>
      <c r="N1021" s="16"/>
      <c r="O1021" s="11"/>
      <c r="P1021" s="11"/>
      <c r="Q1021" s="11"/>
      <c r="R1021" s="11"/>
      <c r="S1021" s="11"/>
      <c r="T1021" s="11"/>
      <c r="U1021" s="11">
        <f t="shared" si="561"/>
        <v>0</v>
      </c>
      <c r="V1021" s="2">
        <f t="shared" si="562"/>
        <v>0</v>
      </c>
      <c r="W1021" s="11">
        <f t="shared" si="531"/>
        <v>0</v>
      </c>
      <c r="X1021" s="2">
        <f t="shared" si="532"/>
        <v>0</v>
      </c>
      <c r="Y1021" s="2">
        <f t="shared" si="533"/>
        <v>0</v>
      </c>
      <c r="Z1021" s="11">
        <f t="shared" si="534"/>
        <v>0</v>
      </c>
      <c r="AA1021" s="2">
        <f t="shared" si="535"/>
        <v>0</v>
      </c>
      <c r="AB1021" s="11">
        <f t="shared" si="536"/>
        <v>0</v>
      </c>
      <c r="AC1021" s="2">
        <f t="shared" si="537"/>
        <v>0</v>
      </c>
      <c r="AF1021" s="11">
        <f t="shared" si="538"/>
        <v>0</v>
      </c>
      <c r="AG1021" s="2">
        <f t="shared" si="539"/>
        <v>0</v>
      </c>
      <c r="AH1021" s="2">
        <f t="shared" si="540"/>
        <v>0</v>
      </c>
      <c r="AI1021" s="2">
        <f t="shared" si="541"/>
        <v>0</v>
      </c>
      <c r="AJ1021" s="2">
        <f t="shared" si="542"/>
        <v>0</v>
      </c>
      <c r="AK1021" s="2">
        <f t="shared" si="543"/>
        <v>0</v>
      </c>
      <c r="AL1021" s="2">
        <f t="shared" si="544"/>
        <v>0</v>
      </c>
      <c r="AM1021" s="11"/>
      <c r="AN1021" s="2" t="e">
        <f t="shared" si="553"/>
        <v>#N/A</v>
      </c>
      <c r="AO1021" s="2" t="e">
        <f t="shared" si="554"/>
        <v>#N/A</v>
      </c>
      <c r="AP1021" s="2" t="e">
        <f t="shared" si="555"/>
        <v>#N/A</v>
      </c>
      <c r="AQ1021" s="2" t="e">
        <f t="shared" si="556"/>
        <v>#N/A</v>
      </c>
      <c r="AR1021" s="2" t="e">
        <f t="shared" si="557"/>
        <v>#N/A</v>
      </c>
      <c r="AS1021" s="2" t="e">
        <f t="shared" si="558"/>
        <v>#DIV/0!</v>
      </c>
      <c r="AT1021" s="9" t="e">
        <f t="shared" ca="1" si="559"/>
        <v>#N/A</v>
      </c>
      <c r="AU1021" s="9" t="e">
        <f t="shared" ca="1" si="560"/>
        <v>#N/A</v>
      </c>
      <c r="AW1021" s="2" t="e">
        <f t="shared" si="545"/>
        <v>#N/A</v>
      </c>
      <c r="AX1021" s="2" t="e">
        <f t="shared" si="546"/>
        <v>#N/A</v>
      </c>
      <c r="AY1021" s="2" t="e">
        <f t="shared" si="547"/>
        <v>#N/A</v>
      </c>
      <c r="AZ1021" s="2" t="e">
        <f t="shared" si="548"/>
        <v>#N/A</v>
      </c>
      <c r="BA1021" s="2" t="e">
        <f t="shared" si="549"/>
        <v>#N/A</v>
      </c>
      <c r="BB1021" s="2" t="e">
        <f t="shared" si="550"/>
        <v>#DIV/0!</v>
      </c>
      <c r="BC1021" s="9" t="e">
        <f t="shared" ca="1" si="551"/>
        <v>#N/A</v>
      </c>
      <c r="BD1021" s="9" t="e">
        <f t="shared" ca="1" si="552"/>
        <v>#N/A</v>
      </c>
    </row>
    <row r="1022" spans="1:56" ht="15" x14ac:dyDescent="0.25">
      <c r="A1022"/>
      <c r="B1022"/>
      <c r="C1022"/>
      <c r="D1022"/>
      <c r="E1022"/>
      <c r="F1022"/>
      <c r="G1022"/>
      <c r="H1022"/>
      <c r="I1022"/>
      <c r="J1022"/>
      <c r="K1022"/>
      <c r="L1022" s="64"/>
      <c r="M1022" s="64"/>
      <c r="N1022" s="16"/>
      <c r="O1022" s="11"/>
      <c r="P1022" s="11"/>
      <c r="Q1022" s="11"/>
      <c r="R1022" s="11"/>
      <c r="S1022" s="11"/>
      <c r="T1022" s="11"/>
      <c r="U1022" s="11">
        <f t="shared" si="561"/>
        <v>0</v>
      </c>
      <c r="V1022" s="2">
        <f t="shared" si="562"/>
        <v>0</v>
      </c>
      <c r="W1022" s="11">
        <f t="shared" si="531"/>
        <v>0</v>
      </c>
      <c r="X1022" s="2">
        <f t="shared" si="532"/>
        <v>0</v>
      </c>
      <c r="Y1022" s="2">
        <f t="shared" si="533"/>
        <v>0</v>
      </c>
      <c r="Z1022" s="11">
        <f t="shared" si="534"/>
        <v>0</v>
      </c>
      <c r="AA1022" s="2">
        <f t="shared" si="535"/>
        <v>0</v>
      </c>
      <c r="AB1022" s="11">
        <f t="shared" si="536"/>
        <v>0</v>
      </c>
      <c r="AC1022" s="2">
        <f t="shared" si="537"/>
        <v>0</v>
      </c>
      <c r="AF1022" s="11">
        <f t="shared" si="538"/>
        <v>0</v>
      </c>
      <c r="AG1022" s="2">
        <f t="shared" si="539"/>
        <v>0</v>
      </c>
      <c r="AH1022" s="2">
        <f t="shared" si="540"/>
        <v>0</v>
      </c>
      <c r="AI1022" s="2">
        <f t="shared" si="541"/>
        <v>0</v>
      </c>
      <c r="AJ1022" s="2">
        <f t="shared" si="542"/>
        <v>0</v>
      </c>
      <c r="AK1022" s="2">
        <f t="shared" si="543"/>
        <v>0</v>
      </c>
      <c r="AL1022" s="2">
        <f t="shared" si="544"/>
        <v>0</v>
      </c>
      <c r="AM1022" s="11"/>
      <c r="AN1022" s="2" t="e">
        <f t="shared" si="553"/>
        <v>#N/A</v>
      </c>
      <c r="AO1022" s="2" t="e">
        <f t="shared" si="554"/>
        <v>#N/A</v>
      </c>
      <c r="AP1022" s="2" t="e">
        <f t="shared" si="555"/>
        <v>#N/A</v>
      </c>
      <c r="AQ1022" s="2" t="e">
        <f t="shared" si="556"/>
        <v>#N/A</v>
      </c>
      <c r="AR1022" s="2" t="e">
        <f t="shared" si="557"/>
        <v>#N/A</v>
      </c>
      <c r="AS1022" s="2" t="e">
        <f t="shared" si="558"/>
        <v>#DIV/0!</v>
      </c>
      <c r="AT1022" s="9" t="e">
        <f t="shared" ca="1" si="559"/>
        <v>#N/A</v>
      </c>
      <c r="AU1022" s="9" t="e">
        <f t="shared" ca="1" si="560"/>
        <v>#N/A</v>
      </c>
      <c r="AW1022" s="2" t="e">
        <f t="shared" si="545"/>
        <v>#N/A</v>
      </c>
      <c r="AX1022" s="2" t="e">
        <f t="shared" si="546"/>
        <v>#N/A</v>
      </c>
      <c r="AY1022" s="2" t="e">
        <f t="shared" si="547"/>
        <v>#N/A</v>
      </c>
      <c r="AZ1022" s="2" t="e">
        <f t="shared" si="548"/>
        <v>#N/A</v>
      </c>
      <c r="BA1022" s="2" t="e">
        <f t="shared" si="549"/>
        <v>#N/A</v>
      </c>
      <c r="BB1022" s="2" t="e">
        <f t="shared" si="550"/>
        <v>#DIV/0!</v>
      </c>
      <c r="BC1022" s="9" t="e">
        <f t="shared" ca="1" si="551"/>
        <v>#N/A</v>
      </c>
      <c r="BD1022" s="9" t="e">
        <f t="shared" ca="1" si="552"/>
        <v>#N/A</v>
      </c>
    </row>
    <row r="1023" spans="1:56" ht="15" x14ac:dyDescent="0.25">
      <c r="A1023"/>
      <c r="B1023"/>
      <c r="C1023"/>
      <c r="D1023"/>
      <c r="E1023"/>
      <c r="F1023"/>
      <c r="G1023"/>
      <c r="H1023"/>
      <c r="I1023"/>
      <c r="J1023"/>
      <c r="K1023"/>
      <c r="L1023" s="64"/>
      <c r="M1023" s="64"/>
      <c r="N1023" s="16"/>
      <c r="O1023" s="11"/>
      <c r="P1023" s="11"/>
      <c r="Q1023" s="11"/>
      <c r="R1023" s="11"/>
      <c r="S1023" s="11"/>
      <c r="T1023" s="11"/>
      <c r="U1023" s="11">
        <f t="shared" si="561"/>
        <v>0</v>
      </c>
      <c r="V1023" s="2">
        <f t="shared" si="562"/>
        <v>0</v>
      </c>
      <c r="W1023" s="11">
        <f t="shared" si="531"/>
        <v>0</v>
      </c>
      <c r="X1023" s="2">
        <f t="shared" si="532"/>
        <v>0</v>
      </c>
      <c r="Y1023" s="2">
        <f t="shared" si="533"/>
        <v>0</v>
      </c>
      <c r="Z1023" s="11">
        <f t="shared" si="534"/>
        <v>0</v>
      </c>
      <c r="AA1023" s="2">
        <f t="shared" si="535"/>
        <v>0</v>
      </c>
      <c r="AB1023" s="11">
        <f t="shared" si="536"/>
        <v>0</v>
      </c>
      <c r="AC1023" s="2">
        <f t="shared" si="537"/>
        <v>0</v>
      </c>
      <c r="AF1023" s="11">
        <f t="shared" si="538"/>
        <v>0</v>
      </c>
      <c r="AG1023" s="2">
        <f t="shared" si="539"/>
        <v>0</v>
      </c>
      <c r="AH1023" s="2">
        <f t="shared" si="540"/>
        <v>0</v>
      </c>
      <c r="AI1023" s="2">
        <f t="shared" si="541"/>
        <v>0</v>
      </c>
      <c r="AJ1023" s="2">
        <f t="shared" si="542"/>
        <v>0</v>
      </c>
      <c r="AK1023" s="2">
        <f t="shared" si="543"/>
        <v>0</v>
      </c>
      <c r="AL1023" s="2">
        <f t="shared" si="544"/>
        <v>0</v>
      </c>
      <c r="AM1023" s="11"/>
      <c r="AN1023" s="2" t="e">
        <f t="shared" si="553"/>
        <v>#N/A</v>
      </c>
      <c r="AO1023" s="2" t="e">
        <f t="shared" si="554"/>
        <v>#N/A</v>
      </c>
      <c r="AP1023" s="2" t="e">
        <f t="shared" si="555"/>
        <v>#N/A</v>
      </c>
      <c r="AQ1023" s="2" t="e">
        <f t="shared" si="556"/>
        <v>#N/A</v>
      </c>
      <c r="AR1023" s="2" t="e">
        <f t="shared" si="557"/>
        <v>#N/A</v>
      </c>
      <c r="AS1023" s="2" t="e">
        <f t="shared" si="558"/>
        <v>#DIV/0!</v>
      </c>
      <c r="AT1023" s="9" t="e">
        <f t="shared" ca="1" si="559"/>
        <v>#N/A</v>
      </c>
      <c r="AU1023" s="9" t="e">
        <f t="shared" ca="1" si="560"/>
        <v>#N/A</v>
      </c>
      <c r="AW1023" s="2" t="e">
        <f t="shared" si="545"/>
        <v>#N/A</v>
      </c>
      <c r="AX1023" s="2" t="e">
        <f t="shared" si="546"/>
        <v>#N/A</v>
      </c>
      <c r="AY1023" s="2" t="e">
        <f t="shared" si="547"/>
        <v>#N/A</v>
      </c>
      <c r="AZ1023" s="2" t="e">
        <f t="shared" si="548"/>
        <v>#N/A</v>
      </c>
      <c r="BA1023" s="2" t="e">
        <f t="shared" si="549"/>
        <v>#N/A</v>
      </c>
      <c r="BB1023" s="2" t="e">
        <f t="shared" si="550"/>
        <v>#DIV/0!</v>
      </c>
      <c r="BC1023" s="9" t="e">
        <f t="shared" ca="1" si="551"/>
        <v>#N/A</v>
      </c>
      <c r="BD1023" s="9" t="e">
        <f t="shared" ca="1" si="552"/>
        <v>#N/A</v>
      </c>
    </row>
    <row r="1024" spans="1:56" ht="15" x14ac:dyDescent="0.25">
      <c r="A1024"/>
      <c r="B1024"/>
      <c r="C1024"/>
      <c r="D1024"/>
      <c r="E1024"/>
      <c r="F1024"/>
      <c r="G1024"/>
      <c r="H1024"/>
      <c r="I1024"/>
      <c r="J1024"/>
      <c r="K1024"/>
      <c r="L1024" s="64"/>
      <c r="M1024" s="64"/>
      <c r="N1024" s="16"/>
      <c r="O1024" s="11"/>
      <c r="P1024" s="11"/>
      <c r="Q1024" s="11"/>
      <c r="R1024" s="11"/>
      <c r="S1024" s="11"/>
      <c r="T1024" s="11"/>
      <c r="U1024" s="11">
        <f t="shared" si="561"/>
        <v>0</v>
      </c>
      <c r="V1024" s="2">
        <f t="shared" si="562"/>
        <v>0</v>
      </c>
      <c r="W1024" s="11">
        <f t="shared" si="531"/>
        <v>0</v>
      </c>
      <c r="X1024" s="2">
        <f t="shared" si="532"/>
        <v>0</v>
      </c>
      <c r="Y1024" s="2">
        <f t="shared" si="533"/>
        <v>0</v>
      </c>
      <c r="Z1024" s="11">
        <f t="shared" si="534"/>
        <v>0</v>
      </c>
      <c r="AA1024" s="2">
        <f t="shared" si="535"/>
        <v>0</v>
      </c>
      <c r="AB1024" s="11">
        <f t="shared" si="536"/>
        <v>0</v>
      </c>
      <c r="AC1024" s="2">
        <f t="shared" si="537"/>
        <v>0</v>
      </c>
      <c r="AF1024" s="11">
        <f t="shared" si="538"/>
        <v>0</v>
      </c>
      <c r="AG1024" s="2">
        <f t="shared" si="539"/>
        <v>0</v>
      </c>
      <c r="AH1024" s="2">
        <f t="shared" si="540"/>
        <v>0</v>
      </c>
      <c r="AI1024" s="2">
        <f t="shared" si="541"/>
        <v>0</v>
      </c>
      <c r="AJ1024" s="2">
        <f t="shared" si="542"/>
        <v>0</v>
      </c>
      <c r="AK1024" s="2">
        <f t="shared" si="543"/>
        <v>0</v>
      </c>
      <c r="AL1024" s="2">
        <f t="shared" si="544"/>
        <v>0</v>
      </c>
      <c r="AM1024" s="11"/>
      <c r="AN1024" s="2" t="e">
        <f t="shared" si="553"/>
        <v>#N/A</v>
      </c>
      <c r="AO1024" s="2" t="e">
        <f t="shared" si="554"/>
        <v>#N/A</v>
      </c>
      <c r="AP1024" s="2" t="e">
        <f t="shared" si="555"/>
        <v>#N/A</v>
      </c>
      <c r="AQ1024" s="2" t="e">
        <f t="shared" si="556"/>
        <v>#N/A</v>
      </c>
      <c r="AR1024" s="2" t="e">
        <f t="shared" si="557"/>
        <v>#N/A</v>
      </c>
      <c r="AS1024" s="2" t="e">
        <f t="shared" si="558"/>
        <v>#DIV/0!</v>
      </c>
      <c r="AT1024" s="9" t="e">
        <f t="shared" ca="1" si="559"/>
        <v>#N/A</v>
      </c>
      <c r="AU1024" s="9" t="e">
        <f t="shared" ca="1" si="560"/>
        <v>#N/A</v>
      </c>
      <c r="AW1024" s="2" t="e">
        <f t="shared" si="545"/>
        <v>#N/A</v>
      </c>
      <c r="AX1024" s="2" t="e">
        <f t="shared" si="546"/>
        <v>#N/A</v>
      </c>
      <c r="AY1024" s="2" t="e">
        <f t="shared" si="547"/>
        <v>#N/A</v>
      </c>
      <c r="AZ1024" s="2" t="e">
        <f t="shared" si="548"/>
        <v>#N/A</v>
      </c>
      <c r="BA1024" s="2" t="e">
        <f t="shared" si="549"/>
        <v>#N/A</v>
      </c>
      <c r="BB1024" s="2" t="e">
        <f t="shared" si="550"/>
        <v>#DIV/0!</v>
      </c>
      <c r="BC1024" s="9" t="e">
        <f t="shared" ca="1" si="551"/>
        <v>#N/A</v>
      </c>
      <c r="BD1024" s="9" t="e">
        <f t="shared" ca="1" si="552"/>
        <v>#N/A</v>
      </c>
    </row>
    <row r="1025" spans="1:56" ht="15" x14ac:dyDescent="0.25">
      <c r="A1025"/>
      <c r="B1025"/>
      <c r="C1025"/>
      <c r="D1025"/>
      <c r="E1025"/>
      <c r="F1025"/>
      <c r="G1025"/>
      <c r="H1025"/>
      <c r="I1025"/>
      <c r="J1025"/>
      <c r="K1025"/>
      <c r="L1025" s="64"/>
      <c r="M1025" s="64"/>
      <c r="N1025" s="16"/>
      <c r="O1025" s="11"/>
      <c r="P1025" s="11"/>
      <c r="Q1025" s="11"/>
      <c r="R1025" s="11"/>
      <c r="S1025" s="11"/>
      <c r="T1025" s="11"/>
      <c r="U1025" s="11">
        <f t="shared" si="561"/>
        <v>0</v>
      </c>
      <c r="V1025" s="2">
        <f t="shared" si="562"/>
        <v>0</v>
      </c>
      <c r="W1025" s="11">
        <f t="shared" si="531"/>
        <v>0</v>
      </c>
      <c r="X1025" s="2">
        <f t="shared" si="532"/>
        <v>0</v>
      </c>
      <c r="Y1025" s="2">
        <f t="shared" si="533"/>
        <v>0</v>
      </c>
      <c r="Z1025" s="11">
        <f t="shared" si="534"/>
        <v>0</v>
      </c>
      <c r="AA1025" s="2">
        <f t="shared" si="535"/>
        <v>0</v>
      </c>
      <c r="AB1025" s="11">
        <f t="shared" si="536"/>
        <v>0</v>
      </c>
      <c r="AC1025" s="2">
        <f t="shared" si="537"/>
        <v>0</v>
      </c>
      <c r="AF1025" s="11">
        <f t="shared" si="538"/>
        <v>0</v>
      </c>
      <c r="AG1025" s="2">
        <f t="shared" si="539"/>
        <v>0</v>
      </c>
      <c r="AH1025" s="2">
        <f t="shared" si="540"/>
        <v>0</v>
      </c>
      <c r="AI1025" s="2">
        <f t="shared" si="541"/>
        <v>0</v>
      </c>
      <c r="AJ1025" s="2">
        <f t="shared" si="542"/>
        <v>0</v>
      </c>
      <c r="AK1025" s="2">
        <f t="shared" si="543"/>
        <v>0</v>
      </c>
      <c r="AL1025" s="2">
        <f t="shared" si="544"/>
        <v>0</v>
      </c>
      <c r="AM1025" s="11"/>
      <c r="AN1025" s="2" t="e">
        <f t="shared" si="553"/>
        <v>#N/A</v>
      </c>
      <c r="AO1025" s="2" t="e">
        <f t="shared" si="554"/>
        <v>#N/A</v>
      </c>
      <c r="AP1025" s="2" t="e">
        <f t="shared" si="555"/>
        <v>#N/A</v>
      </c>
      <c r="AQ1025" s="2" t="e">
        <f t="shared" si="556"/>
        <v>#N/A</v>
      </c>
      <c r="AR1025" s="2" t="e">
        <f t="shared" si="557"/>
        <v>#N/A</v>
      </c>
      <c r="AS1025" s="2" t="e">
        <f t="shared" si="558"/>
        <v>#DIV/0!</v>
      </c>
      <c r="AT1025" s="9" t="e">
        <f t="shared" ca="1" si="559"/>
        <v>#N/A</v>
      </c>
      <c r="AU1025" s="9" t="e">
        <f t="shared" ca="1" si="560"/>
        <v>#N/A</v>
      </c>
      <c r="AW1025" s="2" t="e">
        <f t="shared" si="545"/>
        <v>#N/A</v>
      </c>
      <c r="AX1025" s="2" t="e">
        <f t="shared" si="546"/>
        <v>#N/A</v>
      </c>
      <c r="AY1025" s="2" t="e">
        <f t="shared" si="547"/>
        <v>#N/A</v>
      </c>
      <c r="AZ1025" s="2" t="e">
        <f t="shared" si="548"/>
        <v>#N/A</v>
      </c>
      <c r="BA1025" s="2" t="e">
        <f t="shared" si="549"/>
        <v>#N/A</v>
      </c>
      <c r="BB1025" s="2" t="e">
        <f t="shared" si="550"/>
        <v>#DIV/0!</v>
      </c>
      <c r="BC1025" s="9" t="e">
        <f t="shared" ca="1" si="551"/>
        <v>#N/A</v>
      </c>
      <c r="BD1025" s="9" t="e">
        <f t="shared" ca="1" si="552"/>
        <v>#N/A</v>
      </c>
    </row>
    <row r="1026" spans="1:56" ht="15" x14ac:dyDescent="0.25">
      <c r="A1026"/>
      <c r="B1026"/>
      <c r="C1026"/>
      <c r="D1026"/>
      <c r="E1026"/>
      <c r="F1026"/>
      <c r="G1026"/>
      <c r="H1026"/>
      <c r="I1026"/>
      <c r="J1026"/>
      <c r="K1026"/>
      <c r="L1026" s="64"/>
      <c r="M1026" s="64"/>
      <c r="N1026" s="16"/>
      <c r="O1026" s="11"/>
      <c r="P1026" s="11"/>
      <c r="Q1026" s="11"/>
      <c r="R1026" s="11"/>
      <c r="S1026" s="11"/>
      <c r="T1026" s="11"/>
      <c r="U1026" s="11">
        <f t="shared" si="561"/>
        <v>0</v>
      </c>
      <c r="V1026" s="2">
        <f t="shared" si="562"/>
        <v>0</v>
      </c>
      <c r="W1026" s="11">
        <f t="shared" si="531"/>
        <v>0</v>
      </c>
      <c r="X1026" s="2">
        <f t="shared" si="532"/>
        <v>0</v>
      </c>
      <c r="Y1026" s="2">
        <f t="shared" si="533"/>
        <v>0</v>
      </c>
      <c r="Z1026" s="11">
        <f t="shared" si="534"/>
        <v>0</v>
      </c>
      <c r="AA1026" s="2">
        <f t="shared" si="535"/>
        <v>0</v>
      </c>
      <c r="AB1026" s="11">
        <f t="shared" si="536"/>
        <v>0</v>
      </c>
      <c r="AC1026" s="2">
        <f t="shared" si="537"/>
        <v>0</v>
      </c>
      <c r="AF1026" s="11">
        <f t="shared" si="538"/>
        <v>0</v>
      </c>
      <c r="AG1026" s="2">
        <f t="shared" si="539"/>
        <v>0</v>
      </c>
      <c r="AH1026" s="2">
        <f t="shared" si="540"/>
        <v>0</v>
      </c>
      <c r="AI1026" s="2">
        <f t="shared" si="541"/>
        <v>0</v>
      </c>
      <c r="AJ1026" s="2">
        <f t="shared" si="542"/>
        <v>0</v>
      </c>
      <c r="AK1026" s="2">
        <f t="shared" si="543"/>
        <v>0</v>
      </c>
      <c r="AL1026" s="2">
        <f t="shared" si="544"/>
        <v>0</v>
      </c>
      <c r="AM1026" s="11"/>
      <c r="AN1026" s="2" t="e">
        <f t="shared" si="553"/>
        <v>#N/A</v>
      </c>
      <c r="AO1026" s="2" t="e">
        <f t="shared" si="554"/>
        <v>#N/A</v>
      </c>
      <c r="AP1026" s="2" t="e">
        <f t="shared" si="555"/>
        <v>#N/A</v>
      </c>
      <c r="AQ1026" s="2" t="e">
        <f t="shared" si="556"/>
        <v>#N/A</v>
      </c>
      <c r="AR1026" s="2" t="e">
        <f t="shared" si="557"/>
        <v>#N/A</v>
      </c>
      <c r="AS1026" s="2" t="e">
        <f t="shared" si="558"/>
        <v>#DIV/0!</v>
      </c>
      <c r="AT1026" s="9" t="e">
        <f t="shared" ca="1" si="559"/>
        <v>#N/A</v>
      </c>
      <c r="AU1026" s="9" t="e">
        <f t="shared" ca="1" si="560"/>
        <v>#N/A</v>
      </c>
      <c r="AW1026" s="2" t="e">
        <f t="shared" si="545"/>
        <v>#N/A</v>
      </c>
      <c r="AX1026" s="2" t="e">
        <f t="shared" si="546"/>
        <v>#N/A</v>
      </c>
      <c r="AY1026" s="2" t="e">
        <f t="shared" si="547"/>
        <v>#N/A</v>
      </c>
      <c r="AZ1026" s="2" t="e">
        <f t="shared" si="548"/>
        <v>#N/A</v>
      </c>
      <c r="BA1026" s="2" t="e">
        <f t="shared" si="549"/>
        <v>#N/A</v>
      </c>
      <c r="BB1026" s="2" t="e">
        <f t="shared" si="550"/>
        <v>#DIV/0!</v>
      </c>
      <c r="BC1026" s="9" t="e">
        <f t="shared" ca="1" si="551"/>
        <v>#N/A</v>
      </c>
      <c r="BD1026" s="9" t="e">
        <f t="shared" ca="1" si="552"/>
        <v>#N/A</v>
      </c>
    </row>
    <row r="1027" spans="1:56" ht="15" x14ac:dyDescent="0.25">
      <c r="A1027"/>
      <c r="B1027"/>
      <c r="C1027"/>
      <c r="D1027"/>
      <c r="E1027"/>
      <c r="F1027"/>
      <c r="G1027"/>
      <c r="H1027"/>
      <c r="I1027"/>
      <c r="J1027"/>
      <c r="K1027"/>
      <c r="L1027" s="64"/>
      <c r="M1027" s="64"/>
      <c r="N1027" s="16"/>
      <c r="O1027" s="11"/>
      <c r="P1027" s="11"/>
      <c r="Q1027" s="11"/>
      <c r="R1027" s="11"/>
      <c r="S1027" s="11"/>
      <c r="T1027" s="11"/>
      <c r="U1027" s="11">
        <f t="shared" si="561"/>
        <v>0</v>
      </c>
      <c r="V1027" s="2">
        <f t="shared" si="562"/>
        <v>0</v>
      </c>
      <c r="W1027" s="11">
        <f t="shared" si="531"/>
        <v>0</v>
      </c>
      <c r="X1027" s="2">
        <f t="shared" si="532"/>
        <v>0</v>
      </c>
      <c r="Y1027" s="2">
        <f t="shared" si="533"/>
        <v>0</v>
      </c>
      <c r="Z1027" s="11">
        <f t="shared" si="534"/>
        <v>0</v>
      </c>
      <c r="AA1027" s="2">
        <f t="shared" si="535"/>
        <v>0</v>
      </c>
      <c r="AB1027" s="11">
        <f t="shared" si="536"/>
        <v>0</v>
      </c>
      <c r="AC1027" s="2">
        <f t="shared" si="537"/>
        <v>0</v>
      </c>
      <c r="AF1027" s="11">
        <f t="shared" si="538"/>
        <v>0</v>
      </c>
      <c r="AG1027" s="2">
        <f t="shared" si="539"/>
        <v>0</v>
      </c>
      <c r="AH1027" s="2">
        <f t="shared" si="540"/>
        <v>0</v>
      </c>
      <c r="AI1027" s="2">
        <f t="shared" si="541"/>
        <v>0</v>
      </c>
      <c r="AJ1027" s="2">
        <f t="shared" si="542"/>
        <v>0</v>
      </c>
      <c r="AK1027" s="2">
        <f t="shared" si="543"/>
        <v>0</v>
      </c>
      <c r="AL1027" s="2">
        <f t="shared" si="544"/>
        <v>0</v>
      </c>
      <c r="AM1027" s="11"/>
      <c r="AN1027" s="2" t="e">
        <f t="shared" si="553"/>
        <v>#N/A</v>
      </c>
      <c r="AO1027" s="2" t="e">
        <f t="shared" si="554"/>
        <v>#N/A</v>
      </c>
      <c r="AP1027" s="2" t="e">
        <f t="shared" si="555"/>
        <v>#N/A</v>
      </c>
      <c r="AQ1027" s="2" t="e">
        <f t="shared" si="556"/>
        <v>#N/A</v>
      </c>
      <c r="AR1027" s="2" t="e">
        <f t="shared" si="557"/>
        <v>#N/A</v>
      </c>
      <c r="AS1027" s="2" t="e">
        <f t="shared" si="558"/>
        <v>#DIV/0!</v>
      </c>
      <c r="AT1027" s="9" t="e">
        <f t="shared" ca="1" si="559"/>
        <v>#N/A</v>
      </c>
      <c r="AU1027" s="9" t="e">
        <f t="shared" ca="1" si="560"/>
        <v>#N/A</v>
      </c>
      <c r="AW1027" s="2" t="e">
        <f t="shared" si="545"/>
        <v>#N/A</v>
      </c>
      <c r="AX1027" s="2" t="e">
        <f t="shared" si="546"/>
        <v>#N/A</v>
      </c>
      <c r="AY1027" s="2" t="e">
        <f t="shared" si="547"/>
        <v>#N/A</v>
      </c>
      <c r="AZ1027" s="2" t="e">
        <f t="shared" si="548"/>
        <v>#N/A</v>
      </c>
      <c r="BA1027" s="2" t="e">
        <f t="shared" si="549"/>
        <v>#N/A</v>
      </c>
      <c r="BB1027" s="2" t="e">
        <f t="shared" si="550"/>
        <v>#DIV/0!</v>
      </c>
      <c r="BC1027" s="9" t="e">
        <f t="shared" ca="1" si="551"/>
        <v>#N/A</v>
      </c>
      <c r="BD1027" s="9" t="e">
        <f t="shared" ca="1" si="552"/>
        <v>#N/A</v>
      </c>
    </row>
    <row r="1028" spans="1:56" ht="15" x14ac:dyDescent="0.25">
      <c r="A1028"/>
      <c r="B1028"/>
      <c r="C1028"/>
      <c r="D1028"/>
      <c r="E1028"/>
      <c r="F1028"/>
      <c r="G1028"/>
      <c r="H1028"/>
      <c r="I1028"/>
      <c r="J1028"/>
      <c r="K1028"/>
      <c r="L1028" s="64"/>
      <c r="M1028" s="64"/>
      <c r="N1028" s="16"/>
      <c r="O1028" s="11"/>
      <c r="P1028" s="11"/>
      <c r="Q1028" s="11"/>
      <c r="R1028" s="11"/>
      <c r="S1028" s="11"/>
      <c r="T1028" s="11"/>
      <c r="U1028" s="11">
        <f t="shared" si="561"/>
        <v>0</v>
      </c>
      <c r="V1028" s="2">
        <f t="shared" si="562"/>
        <v>0</v>
      </c>
      <c r="W1028" s="11">
        <f t="shared" ref="W1028:W1091" si="563">O1028-O1028</f>
        <v>0</v>
      </c>
      <c r="X1028" s="2">
        <f t="shared" ref="X1028:X1091" si="564">IF(O1028&gt;0,P1028-(O1028*$X$63/$W$63), P1028)</f>
        <v>0</v>
      </c>
      <c r="Y1028" s="2">
        <f t="shared" ref="Y1028:Y1091" si="565">IF(O1028&gt;0,Q1028-(O1028*$Y$63/$W$63),Q1028)</f>
        <v>0</v>
      </c>
      <c r="Z1028" s="11">
        <f t="shared" ref="Z1028:Z1091" si="566">R1028</f>
        <v>0</v>
      </c>
      <c r="AA1028" s="2">
        <f t="shared" ref="AA1028:AA1091" si="567">IF(O1028&gt;0,S1028-(O1028*$AA$63/$W$63),S1028)</f>
        <v>0</v>
      </c>
      <c r="AB1028" s="11">
        <f t="shared" ref="AB1028:AB1091" si="568">T1028</f>
        <v>0</v>
      </c>
      <c r="AC1028" s="2">
        <f t="shared" ref="AC1028:AC1091" si="569">IF(O1028&gt;0,U1028-(O1028*$AC$63/$W$63),U1028)</f>
        <v>0</v>
      </c>
      <c r="AF1028" s="11">
        <f t="shared" ref="AF1028:AF1091" si="570">W1028</f>
        <v>0</v>
      </c>
      <c r="AG1028" s="2">
        <f t="shared" ref="AG1028:AG1091" si="571">IF(O1028&gt;0, X1028-(O1028*$AG$63/$AF$63), X1028)</f>
        <v>0</v>
      </c>
      <c r="AH1028" s="2">
        <f t="shared" ref="AH1028:AH1091" si="572">IF(O1028&gt;0, Y1028-(O1028*$AH$63/$AF$63), Y1028)</f>
        <v>0</v>
      </c>
      <c r="AI1028" s="2">
        <f t="shared" ref="AI1028:AI1091" si="573">IF(O1028&gt;0, Z1028-(O1028*$AI$63/$AF$63), Z1028)</f>
        <v>0</v>
      </c>
      <c r="AJ1028" s="2">
        <f t="shared" ref="AJ1028:AJ1091" si="574">IF(O1028&gt;0, AA1028-(O1028*$AJ$63/$AF$63), AA1028)</f>
        <v>0</v>
      </c>
      <c r="AK1028" s="2">
        <f t="shared" ref="AK1028:AK1091" si="575">IF(P1028&gt;0, AB1028-(P1028*$AK$63/$AG$63), AB1028)</f>
        <v>0</v>
      </c>
      <c r="AL1028" s="2">
        <f t="shared" ref="AL1028:AL1091" si="576">IF(O1028&gt;0, AC1028-(O1028*$AL$63/$AF$63), AC1028)</f>
        <v>0</v>
      </c>
      <c r="AM1028" s="11"/>
      <c r="AN1028" s="2" t="e">
        <f t="shared" si="553"/>
        <v>#N/A</v>
      </c>
      <c r="AO1028" s="2" t="e">
        <f t="shared" si="554"/>
        <v>#N/A</v>
      </c>
      <c r="AP1028" s="2" t="e">
        <f t="shared" si="555"/>
        <v>#N/A</v>
      </c>
      <c r="AQ1028" s="2" t="e">
        <f t="shared" si="556"/>
        <v>#N/A</v>
      </c>
      <c r="AR1028" s="2" t="e">
        <f t="shared" si="557"/>
        <v>#N/A</v>
      </c>
      <c r="AS1028" s="2" t="e">
        <f t="shared" si="558"/>
        <v>#DIV/0!</v>
      </c>
      <c r="AT1028" s="9" t="e">
        <f t="shared" ca="1" si="559"/>
        <v>#N/A</v>
      </c>
      <c r="AU1028" s="9" t="e">
        <f t="shared" ca="1" si="560"/>
        <v>#N/A</v>
      </c>
      <c r="AW1028" s="2" t="e">
        <f t="shared" si="545"/>
        <v>#N/A</v>
      </c>
      <c r="AX1028" s="2" t="e">
        <f t="shared" si="546"/>
        <v>#N/A</v>
      </c>
      <c r="AY1028" s="2" t="e">
        <f t="shared" si="547"/>
        <v>#N/A</v>
      </c>
      <c r="AZ1028" s="2" t="e">
        <f t="shared" si="548"/>
        <v>#N/A</v>
      </c>
      <c r="BA1028" s="2" t="e">
        <f t="shared" si="549"/>
        <v>#N/A</v>
      </c>
      <c r="BB1028" s="2" t="e">
        <f t="shared" si="550"/>
        <v>#DIV/0!</v>
      </c>
      <c r="BC1028" s="9" t="e">
        <f t="shared" ca="1" si="551"/>
        <v>#N/A</v>
      </c>
      <c r="BD1028" s="9" t="e">
        <f t="shared" ca="1" si="552"/>
        <v>#N/A</v>
      </c>
    </row>
    <row r="1029" spans="1:56" ht="15" x14ac:dyDescent="0.25">
      <c r="A1029"/>
      <c r="B1029"/>
      <c r="C1029"/>
      <c r="D1029"/>
      <c r="E1029"/>
      <c r="F1029"/>
      <c r="G1029"/>
      <c r="H1029"/>
      <c r="I1029"/>
      <c r="J1029"/>
      <c r="K1029"/>
      <c r="L1029" s="64"/>
      <c r="M1029" s="64"/>
      <c r="N1029" s="16"/>
      <c r="O1029" s="11"/>
      <c r="P1029" s="11"/>
      <c r="Q1029" s="11"/>
      <c r="R1029" s="11"/>
      <c r="S1029" s="11"/>
      <c r="T1029" s="11"/>
      <c r="U1029" s="11">
        <f t="shared" si="561"/>
        <v>0</v>
      </c>
      <c r="V1029" s="2">
        <f t="shared" si="562"/>
        <v>0</v>
      </c>
      <c r="W1029" s="11">
        <f t="shared" si="563"/>
        <v>0</v>
      </c>
      <c r="X1029" s="2">
        <f t="shared" si="564"/>
        <v>0</v>
      </c>
      <c r="Y1029" s="2">
        <f t="shared" si="565"/>
        <v>0</v>
      </c>
      <c r="Z1029" s="11">
        <f t="shared" si="566"/>
        <v>0</v>
      </c>
      <c r="AA1029" s="2">
        <f t="shared" si="567"/>
        <v>0</v>
      </c>
      <c r="AB1029" s="11">
        <f t="shared" si="568"/>
        <v>0</v>
      </c>
      <c r="AC1029" s="2">
        <f t="shared" si="569"/>
        <v>0</v>
      </c>
      <c r="AF1029" s="11">
        <f t="shared" si="570"/>
        <v>0</v>
      </c>
      <c r="AG1029" s="2">
        <f t="shared" si="571"/>
        <v>0</v>
      </c>
      <c r="AH1029" s="2">
        <f t="shared" si="572"/>
        <v>0</v>
      </c>
      <c r="AI1029" s="2">
        <f t="shared" si="573"/>
        <v>0</v>
      </c>
      <c r="AJ1029" s="2">
        <f t="shared" si="574"/>
        <v>0</v>
      </c>
      <c r="AK1029" s="2">
        <f t="shared" si="575"/>
        <v>0</v>
      </c>
      <c r="AL1029" s="2">
        <f t="shared" si="576"/>
        <v>0</v>
      </c>
      <c r="AM1029" s="11"/>
      <c r="AN1029" s="2" t="e">
        <f t="shared" si="553"/>
        <v>#N/A</v>
      </c>
      <c r="AO1029" s="2" t="e">
        <f t="shared" si="554"/>
        <v>#N/A</v>
      </c>
      <c r="AP1029" s="2" t="e">
        <f t="shared" si="555"/>
        <v>#N/A</v>
      </c>
      <c r="AQ1029" s="2" t="e">
        <f t="shared" si="556"/>
        <v>#N/A</v>
      </c>
      <c r="AR1029" s="2" t="e">
        <f t="shared" si="557"/>
        <v>#N/A</v>
      </c>
      <c r="AS1029" s="2" t="e">
        <f t="shared" si="558"/>
        <v>#DIV/0!</v>
      </c>
      <c r="AT1029" s="9" t="e">
        <f t="shared" ca="1" si="559"/>
        <v>#N/A</v>
      </c>
      <c r="AU1029" s="9" t="e">
        <f t="shared" ca="1" si="560"/>
        <v>#N/A</v>
      </c>
      <c r="AW1029" s="2" t="e">
        <f t="shared" si="545"/>
        <v>#N/A</v>
      </c>
      <c r="AX1029" s="2" t="e">
        <f t="shared" si="546"/>
        <v>#N/A</v>
      </c>
      <c r="AY1029" s="2" t="e">
        <f t="shared" si="547"/>
        <v>#N/A</v>
      </c>
      <c r="AZ1029" s="2" t="e">
        <f t="shared" si="548"/>
        <v>#N/A</v>
      </c>
      <c r="BA1029" s="2" t="e">
        <f t="shared" si="549"/>
        <v>#N/A</v>
      </c>
      <c r="BB1029" s="2" t="e">
        <f t="shared" si="550"/>
        <v>#DIV/0!</v>
      </c>
      <c r="BC1029" s="9" t="e">
        <f t="shared" ca="1" si="551"/>
        <v>#N/A</v>
      </c>
      <c r="BD1029" s="9" t="e">
        <f t="shared" ca="1" si="552"/>
        <v>#N/A</v>
      </c>
    </row>
    <row r="1030" spans="1:56" ht="15" x14ac:dyDescent="0.25">
      <c r="A1030"/>
      <c r="B1030"/>
      <c r="C1030"/>
      <c r="D1030"/>
      <c r="E1030"/>
      <c r="F1030"/>
      <c r="G1030"/>
      <c r="H1030"/>
      <c r="I1030"/>
      <c r="J1030"/>
      <c r="K1030"/>
      <c r="L1030" s="64"/>
      <c r="M1030" s="64"/>
      <c r="N1030" s="16"/>
      <c r="O1030" s="11"/>
      <c r="P1030" s="11"/>
      <c r="Q1030" s="11"/>
      <c r="R1030" s="11"/>
      <c r="S1030" s="11"/>
      <c r="T1030" s="11"/>
      <c r="U1030" s="11">
        <f t="shared" si="561"/>
        <v>0</v>
      </c>
      <c r="V1030" s="2">
        <f t="shared" si="562"/>
        <v>0</v>
      </c>
      <c r="W1030" s="11">
        <f t="shared" si="563"/>
        <v>0</v>
      </c>
      <c r="X1030" s="2">
        <f t="shared" si="564"/>
        <v>0</v>
      </c>
      <c r="Y1030" s="2">
        <f t="shared" si="565"/>
        <v>0</v>
      </c>
      <c r="Z1030" s="11">
        <f t="shared" si="566"/>
        <v>0</v>
      </c>
      <c r="AA1030" s="2">
        <f t="shared" si="567"/>
        <v>0</v>
      </c>
      <c r="AB1030" s="11">
        <f t="shared" si="568"/>
        <v>0</v>
      </c>
      <c r="AC1030" s="2">
        <f t="shared" si="569"/>
        <v>0</v>
      </c>
      <c r="AF1030" s="11">
        <f t="shared" si="570"/>
        <v>0</v>
      </c>
      <c r="AG1030" s="2">
        <f t="shared" si="571"/>
        <v>0</v>
      </c>
      <c r="AH1030" s="2">
        <f t="shared" si="572"/>
        <v>0</v>
      </c>
      <c r="AI1030" s="2">
        <f t="shared" si="573"/>
        <v>0</v>
      </c>
      <c r="AJ1030" s="2">
        <f t="shared" si="574"/>
        <v>0</v>
      </c>
      <c r="AK1030" s="2">
        <f t="shared" si="575"/>
        <v>0</v>
      </c>
      <c r="AL1030" s="2">
        <f t="shared" si="576"/>
        <v>0</v>
      </c>
      <c r="AM1030" s="11"/>
      <c r="AN1030" s="2" t="e">
        <f t="shared" si="553"/>
        <v>#N/A</v>
      </c>
      <c r="AO1030" s="2" t="e">
        <f t="shared" si="554"/>
        <v>#N/A</v>
      </c>
      <c r="AP1030" s="2" t="e">
        <f t="shared" si="555"/>
        <v>#N/A</v>
      </c>
      <c r="AQ1030" s="2" t="e">
        <f t="shared" si="556"/>
        <v>#N/A</v>
      </c>
      <c r="AR1030" s="2" t="e">
        <f t="shared" si="557"/>
        <v>#N/A</v>
      </c>
      <c r="AS1030" s="2" t="e">
        <f t="shared" si="558"/>
        <v>#DIV/0!</v>
      </c>
      <c r="AT1030" s="9" t="e">
        <f t="shared" ca="1" si="559"/>
        <v>#N/A</v>
      </c>
      <c r="AU1030" s="9" t="e">
        <f t="shared" ca="1" si="560"/>
        <v>#N/A</v>
      </c>
      <c r="AW1030" s="2" t="e">
        <f t="shared" si="545"/>
        <v>#N/A</v>
      </c>
      <c r="AX1030" s="2" t="e">
        <f t="shared" si="546"/>
        <v>#N/A</v>
      </c>
      <c r="AY1030" s="2" t="e">
        <f t="shared" si="547"/>
        <v>#N/A</v>
      </c>
      <c r="AZ1030" s="2" t="e">
        <f t="shared" si="548"/>
        <v>#N/A</v>
      </c>
      <c r="BA1030" s="2" t="e">
        <f t="shared" si="549"/>
        <v>#N/A</v>
      </c>
      <c r="BB1030" s="2" t="e">
        <f t="shared" si="550"/>
        <v>#DIV/0!</v>
      </c>
      <c r="BC1030" s="9" t="e">
        <f t="shared" ca="1" si="551"/>
        <v>#N/A</v>
      </c>
      <c r="BD1030" s="9" t="e">
        <f t="shared" ca="1" si="552"/>
        <v>#N/A</v>
      </c>
    </row>
    <row r="1031" spans="1:56" ht="15" x14ac:dyDescent="0.25">
      <c r="A1031"/>
      <c r="B1031"/>
      <c r="C1031"/>
      <c r="D1031"/>
      <c r="E1031"/>
      <c r="F1031"/>
      <c r="G1031"/>
      <c r="H1031"/>
      <c r="I1031"/>
      <c r="J1031"/>
      <c r="K1031"/>
      <c r="L1031" s="64"/>
      <c r="M1031" s="64"/>
      <c r="N1031" s="16"/>
      <c r="O1031" s="11"/>
      <c r="P1031" s="11"/>
      <c r="Q1031" s="11"/>
      <c r="R1031" s="11"/>
      <c r="S1031" s="11"/>
      <c r="T1031" s="11"/>
      <c r="U1031" s="11">
        <f t="shared" si="561"/>
        <v>0</v>
      </c>
      <c r="V1031" s="2">
        <f t="shared" si="562"/>
        <v>0</v>
      </c>
      <c r="W1031" s="11">
        <f t="shared" si="563"/>
        <v>0</v>
      </c>
      <c r="X1031" s="2">
        <f t="shared" si="564"/>
        <v>0</v>
      </c>
      <c r="Y1031" s="2">
        <f t="shared" si="565"/>
        <v>0</v>
      </c>
      <c r="Z1031" s="11">
        <f t="shared" si="566"/>
        <v>0</v>
      </c>
      <c r="AA1031" s="2">
        <f t="shared" si="567"/>
        <v>0</v>
      </c>
      <c r="AB1031" s="11">
        <f t="shared" si="568"/>
        <v>0</v>
      </c>
      <c r="AC1031" s="2">
        <f t="shared" si="569"/>
        <v>0</v>
      </c>
      <c r="AF1031" s="11">
        <f t="shared" si="570"/>
        <v>0</v>
      </c>
      <c r="AG1031" s="2">
        <f t="shared" si="571"/>
        <v>0</v>
      </c>
      <c r="AH1031" s="2">
        <f t="shared" si="572"/>
        <v>0</v>
      </c>
      <c r="AI1031" s="2">
        <f t="shared" si="573"/>
        <v>0</v>
      </c>
      <c r="AJ1031" s="2">
        <f t="shared" si="574"/>
        <v>0</v>
      </c>
      <c r="AK1031" s="2">
        <f t="shared" si="575"/>
        <v>0</v>
      </c>
      <c r="AL1031" s="2">
        <f t="shared" si="576"/>
        <v>0</v>
      </c>
      <c r="AM1031" s="11"/>
      <c r="AN1031" s="2" t="e">
        <f t="shared" si="553"/>
        <v>#N/A</v>
      </c>
      <c r="AO1031" s="2" t="e">
        <f t="shared" si="554"/>
        <v>#N/A</v>
      </c>
      <c r="AP1031" s="2" t="e">
        <f t="shared" si="555"/>
        <v>#N/A</v>
      </c>
      <c r="AQ1031" s="2" t="e">
        <f t="shared" si="556"/>
        <v>#N/A</v>
      </c>
      <c r="AR1031" s="2" t="e">
        <f t="shared" si="557"/>
        <v>#N/A</v>
      </c>
      <c r="AS1031" s="2" t="e">
        <f t="shared" si="558"/>
        <v>#DIV/0!</v>
      </c>
      <c r="AT1031" s="9" t="e">
        <f t="shared" ca="1" si="559"/>
        <v>#N/A</v>
      </c>
      <c r="AU1031" s="9" t="e">
        <f t="shared" ca="1" si="560"/>
        <v>#N/A</v>
      </c>
      <c r="AW1031" s="2" t="e">
        <f t="shared" si="545"/>
        <v>#N/A</v>
      </c>
      <c r="AX1031" s="2" t="e">
        <f t="shared" si="546"/>
        <v>#N/A</v>
      </c>
      <c r="AY1031" s="2" t="e">
        <f t="shared" si="547"/>
        <v>#N/A</v>
      </c>
      <c r="AZ1031" s="2" t="e">
        <f t="shared" si="548"/>
        <v>#N/A</v>
      </c>
      <c r="BA1031" s="2" t="e">
        <f t="shared" si="549"/>
        <v>#N/A</v>
      </c>
      <c r="BB1031" s="2" t="e">
        <f t="shared" si="550"/>
        <v>#DIV/0!</v>
      </c>
      <c r="BC1031" s="9" t="e">
        <f t="shared" ca="1" si="551"/>
        <v>#N/A</v>
      </c>
      <c r="BD1031" s="9" t="e">
        <f t="shared" ca="1" si="552"/>
        <v>#N/A</v>
      </c>
    </row>
    <row r="1032" spans="1:56" ht="15" x14ac:dyDescent="0.25">
      <c r="A1032"/>
      <c r="B1032"/>
      <c r="C1032"/>
      <c r="D1032"/>
      <c r="E1032"/>
      <c r="F1032"/>
      <c r="G1032"/>
      <c r="H1032"/>
      <c r="I1032"/>
      <c r="J1032"/>
      <c r="K1032"/>
      <c r="L1032" s="64"/>
      <c r="M1032" s="64"/>
      <c r="N1032" s="16"/>
      <c r="O1032" s="11"/>
      <c r="P1032" s="11"/>
      <c r="Q1032" s="11"/>
      <c r="R1032" s="11"/>
      <c r="S1032" s="11"/>
      <c r="T1032" s="11"/>
      <c r="U1032" s="11">
        <f t="shared" si="561"/>
        <v>0</v>
      </c>
      <c r="V1032" s="2">
        <f t="shared" si="562"/>
        <v>0</v>
      </c>
      <c r="W1032" s="11">
        <f t="shared" si="563"/>
        <v>0</v>
      </c>
      <c r="X1032" s="2">
        <f t="shared" si="564"/>
        <v>0</v>
      </c>
      <c r="Y1032" s="2">
        <f t="shared" si="565"/>
        <v>0</v>
      </c>
      <c r="Z1032" s="11">
        <f t="shared" si="566"/>
        <v>0</v>
      </c>
      <c r="AA1032" s="2">
        <f t="shared" si="567"/>
        <v>0</v>
      </c>
      <c r="AB1032" s="11">
        <f t="shared" si="568"/>
        <v>0</v>
      </c>
      <c r="AC1032" s="2">
        <f t="shared" si="569"/>
        <v>0</v>
      </c>
      <c r="AF1032" s="11">
        <f t="shared" si="570"/>
        <v>0</v>
      </c>
      <c r="AG1032" s="2">
        <f t="shared" si="571"/>
        <v>0</v>
      </c>
      <c r="AH1032" s="2">
        <f t="shared" si="572"/>
        <v>0</v>
      </c>
      <c r="AI1032" s="2">
        <f t="shared" si="573"/>
        <v>0</v>
      </c>
      <c r="AJ1032" s="2">
        <f t="shared" si="574"/>
        <v>0</v>
      </c>
      <c r="AK1032" s="2">
        <f t="shared" si="575"/>
        <v>0</v>
      </c>
      <c r="AL1032" s="2">
        <f t="shared" si="576"/>
        <v>0</v>
      </c>
      <c r="AM1032" s="11"/>
      <c r="AN1032" s="2" t="e">
        <f t="shared" si="553"/>
        <v>#N/A</v>
      </c>
      <c r="AO1032" s="2" t="e">
        <f t="shared" si="554"/>
        <v>#N/A</v>
      </c>
      <c r="AP1032" s="2" t="e">
        <f t="shared" si="555"/>
        <v>#N/A</v>
      </c>
      <c r="AQ1032" s="2" t="e">
        <f t="shared" si="556"/>
        <v>#N/A</v>
      </c>
      <c r="AR1032" s="2" t="e">
        <f t="shared" si="557"/>
        <v>#N/A</v>
      </c>
      <c r="AS1032" s="2" t="e">
        <f t="shared" si="558"/>
        <v>#DIV/0!</v>
      </c>
      <c r="AT1032" s="9" t="e">
        <f t="shared" ca="1" si="559"/>
        <v>#N/A</v>
      </c>
      <c r="AU1032" s="9" t="e">
        <f t="shared" ca="1" si="560"/>
        <v>#N/A</v>
      </c>
      <c r="AW1032" s="2" t="e">
        <f t="shared" si="545"/>
        <v>#N/A</v>
      </c>
      <c r="AX1032" s="2" t="e">
        <f t="shared" si="546"/>
        <v>#N/A</v>
      </c>
      <c r="AY1032" s="2" t="e">
        <f t="shared" si="547"/>
        <v>#N/A</v>
      </c>
      <c r="AZ1032" s="2" t="e">
        <f t="shared" si="548"/>
        <v>#N/A</v>
      </c>
      <c r="BA1032" s="2" t="e">
        <f t="shared" si="549"/>
        <v>#N/A</v>
      </c>
      <c r="BB1032" s="2" t="e">
        <f t="shared" si="550"/>
        <v>#DIV/0!</v>
      </c>
      <c r="BC1032" s="9" t="e">
        <f t="shared" ca="1" si="551"/>
        <v>#N/A</v>
      </c>
      <c r="BD1032" s="9" t="e">
        <f t="shared" ca="1" si="552"/>
        <v>#N/A</v>
      </c>
    </row>
    <row r="1033" spans="1:56" ht="15" x14ac:dyDescent="0.25">
      <c r="A1033"/>
      <c r="B1033"/>
      <c r="C1033"/>
      <c r="D1033"/>
      <c r="E1033"/>
      <c r="F1033"/>
      <c r="G1033"/>
      <c r="H1033"/>
      <c r="I1033"/>
      <c r="J1033"/>
      <c r="K1033"/>
      <c r="L1033" s="64"/>
      <c r="M1033" s="64"/>
      <c r="N1033" s="16"/>
      <c r="O1033" s="11"/>
      <c r="P1033" s="11"/>
      <c r="Q1033" s="11"/>
      <c r="R1033" s="11"/>
      <c r="S1033" s="11"/>
      <c r="T1033" s="11"/>
      <c r="U1033" s="11">
        <f t="shared" si="561"/>
        <v>0</v>
      </c>
      <c r="V1033" s="2">
        <f t="shared" si="562"/>
        <v>0</v>
      </c>
      <c r="W1033" s="11">
        <f t="shared" si="563"/>
        <v>0</v>
      </c>
      <c r="X1033" s="2">
        <f t="shared" si="564"/>
        <v>0</v>
      </c>
      <c r="Y1033" s="2">
        <f t="shared" si="565"/>
        <v>0</v>
      </c>
      <c r="Z1033" s="11">
        <f t="shared" si="566"/>
        <v>0</v>
      </c>
      <c r="AA1033" s="2">
        <f t="shared" si="567"/>
        <v>0</v>
      </c>
      <c r="AB1033" s="11">
        <f t="shared" si="568"/>
        <v>0</v>
      </c>
      <c r="AC1033" s="2">
        <f t="shared" si="569"/>
        <v>0</v>
      </c>
      <c r="AF1033" s="11">
        <f t="shared" si="570"/>
        <v>0</v>
      </c>
      <c r="AG1033" s="2">
        <f t="shared" si="571"/>
        <v>0</v>
      </c>
      <c r="AH1033" s="2">
        <f t="shared" si="572"/>
        <v>0</v>
      </c>
      <c r="AI1033" s="2">
        <f t="shared" si="573"/>
        <v>0</v>
      </c>
      <c r="AJ1033" s="2">
        <f t="shared" si="574"/>
        <v>0</v>
      </c>
      <c r="AK1033" s="2">
        <f t="shared" si="575"/>
        <v>0</v>
      </c>
      <c r="AL1033" s="2">
        <f t="shared" si="576"/>
        <v>0</v>
      </c>
      <c r="AM1033" s="11"/>
      <c r="AN1033" s="2" t="e">
        <f t="shared" si="553"/>
        <v>#N/A</v>
      </c>
      <c r="AO1033" s="2" t="e">
        <f t="shared" si="554"/>
        <v>#N/A</v>
      </c>
      <c r="AP1033" s="2" t="e">
        <f t="shared" si="555"/>
        <v>#N/A</v>
      </c>
      <c r="AQ1033" s="2" t="e">
        <f t="shared" si="556"/>
        <v>#N/A</v>
      </c>
      <c r="AR1033" s="2" t="e">
        <f t="shared" si="557"/>
        <v>#N/A</v>
      </c>
      <c r="AS1033" s="2" t="e">
        <f t="shared" si="558"/>
        <v>#DIV/0!</v>
      </c>
      <c r="AT1033" s="9" t="e">
        <f t="shared" ca="1" si="559"/>
        <v>#N/A</v>
      </c>
      <c r="AU1033" s="9" t="e">
        <f t="shared" ca="1" si="560"/>
        <v>#N/A</v>
      </c>
      <c r="AW1033" s="2" t="e">
        <f t="shared" si="545"/>
        <v>#N/A</v>
      </c>
      <c r="AX1033" s="2" t="e">
        <f t="shared" si="546"/>
        <v>#N/A</v>
      </c>
      <c r="AY1033" s="2" t="e">
        <f t="shared" si="547"/>
        <v>#N/A</v>
      </c>
      <c r="AZ1033" s="2" t="e">
        <f t="shared" si="548"/>
        <v>#N/A</v>
      </c>
      <c r="BA1033" s="2" t="e">
        <f t="shared" si="549"/>
        <v>#N/A</v>
      </c>
      <c r="BB1033" s="2" t="e">
        <f t="shared" si="550"/>
        <v>#DIV/0!</v>
      </c>
      <c r="BC1033" s="9" t="e">
        <f t="shared" ca="1" si="551"/>
        <v>#N/A</v>
      </c>
      <c r="BD1033" s="9" t="e">
        <f t="shared" ca="1" si="552"/>
        <v>#N/A</v>
      </c>
    </row>
    <row r="1034" spans="1:56" ht="15" x14ac:dyDescent="0.25">
      <c r="A1034"/>
      <c r="B1034"/>
      <c r="C1034"/>
      <c r="D1034"/>
      <c r="E1034"/>
      <c r="F1034"/>
      <c r="G1034"/>
      <c r="H1034"/>
      <c r="I1034"/>
      <c r="J1034"/>
      <c r="K1034"/>
      <c r="L1034" s="64"/>
      <c r="M1034" s="64"/>
      <c r="N1034" s="16"/>
      <c r="O1034" s="11"/>
      <c r="P1034" s="11"/>
      <c r="Q1034" s="11"/>
      <c r="R1034" s="11"/>
      <c r="S1034" s="11"/>
      <c r="T1034" s="11"/>
      <c r="U1034" s="11">
        <f t="shared" si="561"/>
        <v>0</v>
      </c>
      <c r="V1034" s="2">
        <f t="shared" si="562"/>
        <v>0</v>
      </c>
      <c r="W1034" s="11">
        <f t="shared" si="563"/>
        <v>0</v>
      </c>
      <c r="X1034" s="2">
        <f t="shared" si="564"/>
        <v>0</v>
      </c>
      <c r="Y1034" s="2">
        <f t="shared" si="565"/>
        <v>0</v>
      </c>
      <c r="Z1034" s="11">
        <f t="shared" si="566"/>
        <v>0</v>
      </c>
      <c r="AA1034" s="2">
        <f t="shared" si="567"/>
        <v>0</v>
      </c>
      <c r="AB1034" s="11">
        <f t="shared" si="568"/>
        <v>0</v>
      </c>
      <c r="AC1034" s="2">
        <f t="shared" si="569"/>
        <v>0</v>
      </c>
      <c r="AF1034" s="11">
        <f t="shared" si="570"/>
        <v>0</v>
      </c>
      <c r="AG1034" s="2">
        <f t="shared" si="571"/>
        <v>0</v>
      </c>
      <c r="AH1034" s="2">
        <f t="shared" si="572"/>
        <v>0</v>
      </c>
      <c r="AI1034" s="2">
        <f t="shared" si="573"/>
        <v>0</v>
      </c>
      <c r="AJ1034" s="2">
        <f t="shared" si="574"/>
        <v>0</v>
      </c>
      <c r="AK1034" s="2">
        <f t="shared" si="575"/>
        <v>0</v>
      </c>
      <c r="AL1034" s="2">
        <f t="shared" si="576"/>
        <v>0</v>
      </c>
      <c r="AM1034" s="11"/>
      <c r="AN1034" s="2" t="e">
        <f t="shared" si="553"/>
        <v>#N/A</v>
      </c>
      <c r="AO1034" s="2" t="e">
        <f t="shared" si="554"/>
        <v>#N/A</v>
      </c>
      <c r="AP1034" s="2" t="e">
        <f t="shared" si="555"/>
        <v>#N/A</v>
      </c>
      <c r="AQ1034" s="2" t="e">
        <f t="shared" si="556"/>
        <v>#N/A</v>
      </c>
      <c r="AR1034" s="2" t="e">
        <f t="shared" si="557"/>
        <v>#N/A</v>
      </c>
      <c r="AS1034" s="2" t="e">
        <f t="shared" si="558"/>
        <v>#DIV/0!</v>
      </c>
      <c r="AT1034" s="9" t="e">
        <f t="shared" ca="1" si="559"/>
        <v>#N/A</v>
      </c>
      <c r="AU1034" s="9" t="e">
        <f t="shared" ca="1" si="560"/>
        <v>#N/A</v>
      </c>
      <c r="AW1034" s="2" t="e">
        <f t="shared" si="545"/>
        <v>#N/A</v>
      </c>
      <c r="AX1034" s="2" t="e">
        <f t="shared" si="546"/>
        <v>#N/A</v>
      </c>
      <c r="AY1034" s="2" t="e">
        <f t="shared" si="547"/>
        <v>#N/A</v>
      </c>
      <c r="AZ1034" s="2" t="e">
        <f t="shared" si="548"/>
        <v>#N/A</v>
      </c>
      <c r="BA1034" s="2" t="e">
        <f t="shared" si="549"/>
        <v>#N/A</v>
      </c>
      <c r="BB1034" s="2" t="e">
        <f t="shared" si="550"/>
        <v>#DIV/0!</v>
      </c>
      <c r="BC1034" s="9" t="e">
        <f t="shared" ca="1" si="551"/>
        <v>#N/A</v>
      </c>
      <c r="BD1034" s="9" t="e">
        <f t="shared" ca="1" si="552"/>
        <v>#N/A</v>
      </c>
    </row>
    <row r="1035" spans="1:56" ht="15" x14ac:dyDescent="0.25">
      <c r="A1035"/>
      <c r="B1035"/>
      <c r="C1035"/>
      <c r="D1035"/>
      <c r="E1035"/>
      <c r="F1035"/>
      <c r="G1035"/>
      <c r="H1035"/>
      <c r="I1035"/>
      <c r="J1035"/>
      <c r="K1035"/>
      <c r="L1035" s="64"/>
      <c r="M1035" s="64"/>
      <c r="N1035" s="16"/>
      <c r="O1035" s="11"/>
      <c r="P1035" s="11"/>
      <c r="Q1035" s="11"/>
      <c r="R1035" s="11"/>
      <c r="S1035" s="11"/>
      <c r="T1035" s="11"/>
      <c r="U1035" s="11">
        <f t="shared" si="561"/>
        <v>0</v>
      </c>
      <c r="V1035" s="2">
        <f t="shared" si="562"/>
        <v>0</v>
      </c>
      <c r="W1035" s="11">
        <f t="shared" si="563"/>
        <v>0</v>
      </c>
      <c r="X1035" s="2">
        <f t="shared" si="564"/>
        <v>0</v>
      </c>
      <c r="Y1035" s="2">
        <f t="shared" si="565"/>
        <v>0</v>
      </c>
      <c r="Z1035" s="11">
        <f t="shared" si="566"/>
        <v>0</v>
      </c>
      <c r="AA1035" s="2">
        <f t="shared" si="567"/>
        <v>0</v>
      </c>
      <c r="AB1035" s="11">
        <f t="shared" si="568"/>
        <v>0</v>
      </c>
      <c r="AC1035" s="2">
        <f t="shared" si="569"/>
        <v>0</v>
      </c>
      <c r="AF1035" s="11">
        <f t="shared" si="570"/>
        <v>0</v>
      </c>
      <c r="AG1035" s="2">
        <f t="shared" si="571"/>
        <v>0</v>
      </c>
      <c r="AH1035" s="2">
        <f t="shared" si="572"/>
        <v>0</v>
      </c>
      <c r="AI1035" s="2">
        <f t="shared" si="573"/>
        <v>0</v>
      </c>
      <c r="AJ1035" s="2">
        <f t="shared" si="574"/>
        <v>0</v>
      </c>
      <c r="AK1035" s="2">
        <f t="shared" si="575"/>
        <v>0</v>
      </c>
      <c r="AL1035" s="2">
        <f t="shared" si="576"/>
        <v>0</v>
      </c>
      <c r="AM1035" s="11"/>
      <c r="AN1035" s="2" t="e">
        <f t="shared" si="553"/>
        <v>#N/A</v>
      </c>
      <c r="AO1035" s="2" t="e">
        <f t="shared" si="554"/>
        <v>#N/A</v>
      </c>
      <c r="AP1035" s="2" t="e">
        <f t="shared" si="555"/>
        <v>#N/A</v>
      </c>
      <c r="AQ1035" s="2" t="e">
        <f t="shared" si="556"/>
        <v>#N/A</v>
      </c>
      <c r="AR1035" s="2" t="e">
        <f t="shared" si="557"/>
        <v>#N/A</v>
      </c>
      <c r="AS1035" s="2" t="e">
        <f t="shared" si="558"/>
        <v>#DIV/0!</v>
      </c>
      <c r="AT1035" s="9" t="e">
        <f t="shared" ca="1" si="559"/>
        <v>#N/A</v>
      </c>
      <c r="AU1035" s="9" t="e">
        <f t="shared" ca="1" si="560"/>
        <v>#N/A</v>
      </c>
      <c r="AW1035" s="2" t="e">
        <f t="shared" si="545"/>
        <v>#N/A</v>
      </c>
      <c r="AX1035" s="2" t="e">
        <f t="shared" si="546"/>
        <v>#N/A</v>
      </c>
      <c r="AY1035" s="2" t="e">
        <f t="shared" si="547"/>
        <v>#N/A</v>
      </c>
      <c r="AZ1035" s="2" t="e">
        <f t="shared" si="548"/>
        <v>#N/A</v>
      </c>
      <c r="BA1035" s="2" t="e">
        <f t="shared" si="549"/>
        <v>#N/A</v>
      </c>
      <c r="BB1035" s="2" t="e">
        <f t="shared" si="550"/>
        <v>#DIV/0!</v>
      </c>
      <c r="BC1035" s="9" t="e">
        <f t="shared" ca="1" si="551"/>
        <v>#N/A</v>
      </c>
      <c r="BD1035" s="9" t="e">
        <f t="shared" ca="1" si="552"/>
        <v>#N/A</v>
      </c>
    </row>
    <row r="1036" spans="1:56" ht="15" x14ac:dyDescent="0.25">
      <c r="A1036"/>
      <c r="B1036"/>
      <c r="C1036"/>
      <c r="D1036"/>
      <c r="E1036"/>
      <c r="F1036"/>
      <c r="G1036"/>
      <c r="H1036"/>
      <c r="I1036"/>
      <c r="J1036"/>
      <c r="K1036"/>
      <c r="L1036" s="64"/>
      <c r="M1036" s="64"/>
      <c r="N1036" s="16"/>
      <c r="O1036" s="11"/>
      <c r="P1036" s="11"/>
      <c r="Q1036" s="11"/>
      <c r="R1036" s="11"/>
      <c r="S1036" s="11"/>
      <c r="T1036" s="11"/>
      <c r="U1036" s="11">
        <f t="shared" si="561"/>
        <v>0</v>
      </c>
      <c r="V1036" s="2">
        <f t="shared" si="562"/>
        <v>0</v>
      </c>
      <c r="W1036" s="11">
        <f t="shared" si="563"/>
        <v>0</v>
      </c>
      <c r="X1036" s="2">
        <f t="shared" si="564"/>
        <v>0</v>
      </c>
      <c r="Y1036" s="2">
        <f t="shared" si="565"/>
        <v>0</v>
      </c>
      <c r="Z1036" s="11">
        <f t="shared" si="566"/>
        <v>0</v>
      </c>
      <c r="AA1036" s="2">
        <f t="shared" si="567"/>
        <v>0</v>
      </c>
      <c r="AB1036" s="11">
        <f t="shared" si="568"/>
        <v>0</v>
      </c>
      <c r="AC1036" s="2">
        <f t="shared" si="569"/>
        <v>0</v>
      </c>
      <c r="AF1036" s="11">
        <f t="shared" si="570"/>
        <v>0</v>
      </c>
      <c r="AG1036" s="2">
        <f t="shared" si="571"/>
        <v>0</v>
      </c>
      <c r="AH1036" s="2">
        <f t="shared" si="572"/>
        <v>0</v>
      </c>
      <c r="AI1036" s="2">
        <f t="shared" si="573"/>
        <v>0</v>
      </c>
      <c r="AJ1036" s="2">
        <f t="shared" si="574"/>
        <v>0</v>
      </c>
      <c r="AK1036" s="2">
        <f t="shared" si="575"/>
        <v>0</v>
      </c>
      <c r="AL1036" s="2">
        <f t="shared" si="576"/>
        <v>0</v>
      </c>
      <c r="AM1036" s="11"/>
      <c r="AN1036" s="2" t="e">
        <f t="shared" si="553"/>
        <v>#N/A</v>
      </c>
      <c r="AO1036" s="2" t="e">
        <f t="shared" si="554"/>
        <v>#N/A</v>
      </c>
      <c r="AP1036" s="2" t="e">
        <f t="shared" si="555"/>
        <v>#N/A</v>
      </c>
      <c r="AQ1036" s="2" t="e">
        <f t="shared" si="556"/>
        <v>#N/A</v>
      </c>
      <c r="AR1036" s="2" t="e">
        <f t="shared" si="557"/>
        <v>#N/A</v>
      </c>
      <c r="AS1036" s="2" t="e">
        <f t="shared" si="558"/>
        <v>#DIV/0!</v>
      </c>
      <c r="AT1036" s="9" t="e">
        <f t="shared" ca="1" si="559"/>
        <v>#N/A</v>
      </c>
      <c r="AU1036" s="9" t="e">
        <f t="shared" ca="1" si="560"/>
        <v>#N/A</v>
      </c>
      <c r="AW1036" s="2" t="e">
        <f t="shared" si="545"/>
        <v>#N/A</v>
      </c>
      <c r="AX1036" s="2" t="e">
        <f t="shared" si="546"/>
        <v>#N/A</v>
      </c>
      <c r="AY1036" s="2" t="e">
        <f t="shared" si="547"/>
        <v>#N/A</v>
      </c>
      <c r="AZ1036" s="2" t="e">
        <f t="shared" si="548"/>
        <v>#N/A</v>
      </c>
      <c r="BA1036" s="2" t="e">
        <f t="shared" si="549"/>
        <v>#N/A</v>
      </c>
      <c r="BB1036" s="2" t="e">
        <f t="shared" si="550"/>
        <v>#DIV/0!</v>
      </c>
      <c r="BC1036" s="9" t="e">
        <f t="shared" ca="1" si="551"/>
        <v>#N/A</v>
      </c>
      <c r="BD1036" s="9" t="e">
        <f t="shared" ca="1" si="552"/>
        <v>#N/A</v>
      </c>
    </row>
    <row r="1037" spans="1:56" ht="15" x14ac:dyDescent="0.25">
      <c r="A1037"/>
      <c r="B1037"/>
      <c r="C1037"/>
      <c r="D1037"/>
      <c r="E1037"/>
      <c r="F1037"/>
      <c r="G1037"/>
      <c r="H1037"/>
      <c r="I1037"/>
      <c r="J1037"/>
      <c r="K1037"/>
      <c r="L1037" s="64"/>
      <c r="M1037" s="64"/>
      <c r="N1037" s="16"/>
      <c r="O1037" s="11"/>
      <c r="P1037" s="11"/>
      <c r="Q1037" s="11"/>
      <c r="R1037" s="11"/>
      <c r="S1037" s="11"/>
      <c r="T1037" s="11"/>
      <c r="U1037" s="11">
        <f t="shared" si="561"/>
        <v>0</v>
      </c>
      <c r="V1037" s="2">
        <f t="shared" si="562"/>
        <v>0</v>
      </c>
      <c r="W1037" s="11">
        <f t="shared" si="563"/>
        <v>0</v>
      </c>
      <c r="X1037" s="2">
        <f t="shared" si="564"/>
        <v>0</v>
      </c>
      <c r="Y1037" s="2">
        <f t="shared" si="565"/>
        <v>0</v>
      </c>
      <c r="Z1037" s="11">
        <f t="shared" si="566"/>
        <v>0</v>
      </c>
      <c r="AA1037" s="2">
        <f t="shared" si="567"/>
        <v>0</v>
      </c>
      <c r="AB1037" s="11">
        <f t="shared" si="568"/>
        <v>0</v>
      </c>
      <c r="AC1037" s="2">
        <f t="shared" si="569"/>
        <v>0</v>
      </c>
      <c r="AF1037" s="11">
        <f t="shared" si="570"/>
        <v>0</v>
      </c>
      <c r="AG1037" s="2">
        <f t="shared" si="571"/>
        <v>0</v>
      </c>
      <c r="AH1037" s="2">
        <f t="shared" si="572"/>
        <v>0</v>
      </c>
      <c r="AI1037" s="2">
        <f t="shared" si="573"/>
        <v>0</v>
      </c>
      <c r="AJ1037" s="2">
        <f t="shared" si="574"/>
        <v>0</v>
      </c>
      <c r="AK1037" s="2">
        <f t="shared" si="575"/>
        <v>0</v>
      </c>
      <c r="AL1037" s="2">
        <f t="shared" si="576"/>
        <v>0</v>
      </c>
      <c r="AM1037" s="11"/>
      <c r="AN1037" s="2" t="e">
        <f t="shared" si="553"/>
        <v>#N/A</v>
      </c>
      <c r="AO1037" s="2" t="e">
        <f t="shared" si="554"/>
        <v>#N/A</v>
      </c>
      <c r="AP1037" s="2" t="e">
        <f t="shared" si="555"/>
        <v>#N/A</v>
      </c>
      <c r="AQ1037" s="2" t="e">
        <f t="shared" si="556"/>
        <v>#N/A</v>
      </c>
      <c r="AR1037" s="2" t="e">
        <f t="shared" si="557"/>
        <v>#N/A</v>
      </c>
      <c r="AS1037" s="2" t="e">
        <f t="shared" si="558"/>
        <v>#DIV/0!</v>
      </c>
      <c r="AT1037" s="9" t="e">
        <f t="shared" ca="1" si="559"/>
        <v>#N/A</v>
      </c>
      <c r="AU1037" s="9" t="e">
        <f t="shared" ca="1" si="560"/>
        <v>#N/A</v>
      </c>
      <c r="AW1037" s="2" t="e">
        <f t="shared" si="545"/>
        <v>#N/A</v>
      </c>
      <c r="AX1037" s="2" t="e">
        <f t="shared" si="546"/>
        <v>#N/A</v>
      </c>
      <c r="AY1037" s="2" t="e">
        <f t="shared" si="547"/>
        <v>#N/A</v>
      </c>
      <c r="AZ1037" s="2" t="e">
        <f t="shared" si="548"/>
        <v>#N/A</v>
      </c>
      <c r="BA1037" s="2" t="e">
        <f t="shared" si="549"/>
        <v>#N/A</v>
      </c>
      <c r="BB1037" s="2" t="e">
        <f t="shared" si="550"/>
        <v>#DIV/0!</v>
      </c>
      <c r="BC1037" s="9" t="e">
        <f t="shared" ca="1" si="551"/>
        <v>#N/A</v>
      </c>
      <c r="BD1037" s="9" t="e">
        <f t="shared" ca="1" si="552"/>
        <v>#N/A</v>
      </c>
    </row>
    <row r="1038" spans="1:56" ht="15" x14ac:dyDescent="0.25">
      <c r="A1038"/>
      <c r="B1038"/>
      <c r="C1038"/>
      <c r="D1038"/>
      <c r="E1038"/>
      <c r="F1038"/>
      <c r="G1038"/>
      <c r="H1038"/>
      <c r="I1038"/>
      <c r="J1038"/>
      <c r="K1038"/>
      <c r="L1038" s="64"/>
      <c r="M1038" s="64"/>
      <c r="N1038" s="16"/>
      <c r="O1038" s="11"/>
      <c r="P1038" s="11"/>
      <c r="Q1038" s="11"/>
      <c r="R1038" s="11"/>
      <c r="S1038" s="11"/>
      <c r="T1038" s="11"/>
      <c r="U1038" s="11">
        <f t="shared" si="561"/>
        <v>0</v>
      </c>
      <c r="V1038" s="2">
        <f t="shared" si="562"/>
        <v>0</v>
      </c>
      <c r="W1038" s="11">
        <f t="shared" si="563"/>
        <v>0</v>
      </c>
      <c r="X1038" s="2">
        <f t="shared" si="564"/>
        <v>0</v>
      </c>
      <c r="Y1038" s="2">
        <f t="shared" si="565"/>
        <v>0</v>
      </c>
      <c r="Z1038" s="11">
        <f t="shared" si="566"/>
        <v>0</v>
      </c>
      <c r="AA1038" s="2">
        <f t="shared" si="567"/>
        <v>0</v>
      </c>
      <c r="AB1038" s="11">
        <f t="shared" si="568"/>
        <v>0</v>
      </c>
      <c r="AC1038" s="2">
        <f t="shared" si="569"/>
        <v>0</v>
      </c>
      <c r="AF1038" s="11">
        <f t="shared" si="570"/>
        <v>0</v>
      </c>
      <c r="AG1038" s="2">
        <f t="shared" si="571"/>
        <v>0</v>
      </c>
      <c r="AH1038" s="2">
        <f t="shared" si="572"/>
        <v>0</v>
      </c>
      <c r="AI1038" s="2">
        <f t="shared" si="573"/>
        <v>0</v>
      </c>
      <c r="AJ1038" s="2">
        <f t="shared" si="574"/>
        <v>0</v>
      </c>
      <c r="AK1038" s="2">
        <f t="shared" si="575"/>
        <v>0</v>
      </c>
      <c r="AL1038" s="2">
        <f t="shared" si="576"/>
        <v>0</v>
      </c>
      <c r="AM1038" s="11"/>
      <c r="AN1038" s="2" t="e">
        <f t="shared" si="553"/>
        <v>#N/A</v>
      </c>
      <c r="AO1038" s="2" t="e">
        <f t="shared" si="554"/>
        <v>#N/A</v>
      </c>
      <c r="AP1038" s="2" t="e">
        <f t="shared" si="555"/>
        <v>#N/A</v>
      </c>
      <c r="AQ1038" s="2" t="e">
        <f t="shared" si="556"/>
        <v>#N/A</v>
      </c>
      <c r="AR1038" s="2" t="e">
        <f t="shared" si="557"/>
        <v>#N/A</v>
      </c>
      <c r="AS1038" s="2" t="e">
        <f t="shared" si="558"/>
        <v>#DIV/0!</v>
      </c>
      <c r="AT1038" s="9" t="e">
        <f t="shared" ca="1" si="559"/>
        <v>#N/A</v>
      </c>
      <c r="AU1038" s="9" t="e">
        <f t="shared" ca="1" si="560"/>
        <v>#N/A</v>
      </c>
      <c r="AW1038" s="2" t="e">
        <f t="shared" si="545"/>
        <v>#N/A</v>
      </c>
      <c r="AX1038" s="2" t="e">
        <f t="shared" si="546"/>
        <v>#N/A</v>
      </c>
      <c r="AY1038" s="2" t="e">
        <f t="shared" si="547"/>
        <v>#N/A</v>
      </c>
      <c r="AZ1038" s="2" t="e">
        <f t="shared" si="548"/>
        <v>#N/A</v>
      </c>
      <c r="BA1038" s="2" t="e">
        <f t="shared" si="549"/>
        <v>#N/A</v>
      </c>
      <c r="BB1038" s="2" t="e">
        <f t="shared" si="550"/>
        <v>#DIV/0!</v>
      </c>
      <c r="BC1038" s="9" t="e">
        <f t="shared" ca="1" si="551"/>
        <v>#N/A</v>
      </c>
      <c r="BD1038" s="9" t="e">
        <f t="shared" ca="1" si="552"/>
        <v>#N/A</v>
      </c>
    </row>
    <row r="1039" spans="1:56" ht="15" x14ac:dyDescent="0.25">
      <c r="A1039"/>
      <c r="B1039"/>
      <c r="C1039"/>
      <c r="D1039"/>
      <c r="E1039"/>
      <c r="F1039"/>
      <c r="G1039"/>
      <c r="H1039"/>
      <c r="I1039"/>
      <c r="J1039"/>
      <c r="K1039"/>
      <c r="L1039" s="64"/>
      <c r="M1039" s="64"/>
      <c r="N1039" s="16"/>
      <c r="O1039" s="11"/>
      <c r="P1039" s="11"/>
      <c r="Q1039" s="11"/>
      <c r="R1039" s="11"/>
      <c r="S1039" s="11"/>
      <c r="T1039" s="11"/>
      <c r="U1039" s="11">
        <f t="shared" si="561"/>
        <v>0</v>
      </c>
      <c r="V1039" s="2">
        <f t="shared" si="562"/>
        <v>0</v>
      </c>
      <c r="W1039" s="11">
        <f t="shared" si="563"/>
        <v>0</v>
      </c>
      <c r="X1039" s="2">
        <f t="shared" si="564"/>
        <v>0</v>
      </c>
      <c r="Y1039" s="2">
        <f t="shared" si="565"/>
        <v>0</v>
      </c>
      <c r="Z1039" s="11">
        <f t="shared" si="566"/>
        <v>0</v>
      </c>
      <c r="AA1039" s="2">
        <f t="shared" si="567"/>
        <v>0</v>
      </c>
      <c r="AB1039" s="11">
        <f t="shared" si="568"/>
        <v>0</v>
      </c>
      <c r="AC1039" s="2">
        <f t="shared" si="569"/>
        <v>0</v>
      </c>
      <c r="AF1039" s="11">
        <f t="shared" si="570"/>
        <v>0</v>
      </c>
      <c r="AG1039" s="2">
        <f t="shared" si="571"/>
        <v>0</v>
      </c>
      <c r="AH1039" s="2">
        <f t="shared" si="572"/>
        <v>0</v>
      </c>
      <c r="AI1039" s="2">
        <f t="shared" si="573"/>
        <v>0</v>
      </c>
      <c r="AJ1039" s="2">
        <f t="shared" si="574"/>
        <v>0</v>
      </c>
      <c r="AK1039" s="2">
        <f t="shared" si="575"/>
        <v>0</v>
      </c>
      <c r="AL1039" s="2">
        <f t="shared" si="576"/>
        <v>0</v>
      </c>
      <c r="AM1039" s="11"/>
      <c r="AN1039" s="2" t="e">
        <f t="shared" si="553"/>
        <v>#N/A</v>
      </c>
      <c r="AO1039" s="2" t="e">
        <f t="shared" si="554"/>
        <v>#N/A</v>
      </c>
      <c r="AP1039" s="2" t="e">
        <f t="shared" si="555"/>
        <v>#N/A</v>
      </c>
      <c r="AQ1039" s="2" t="e">
        <f t="shared" si="556"/>
        <v>#N/A</v>
      </c>
      <c r="AR1039" s="2" t="e">
        <f t="shared" si="557"/>
        <v>#N/A</v>
      </c>
      <c r="AS1039" s="2" t="e">
        <f t="shared" si="558"/>
        <v>#DIV/0!</v>
      </c>
      <c r="AT1039" s="9" t="e">
        <f t="shared" ca="1" si="559"/>
        <v>#N/A</v>
      </c>
      <c r="AU1039" s="9" t="e">
        <f t="shared" ca="1" si="560"/>
        <v>#N/A</v>
      </c>
      <c r="AW1039" s="2" t="e">
        <f t="shared" si="545"/>
        <v>#N/A</v>
      </c>
      <c r="AX1039" s="2" t="e">
        <f t="shared" si="546"/>
        <v>#N/A</v>
      </c>
      <c r="AY1039" s="2" t="e">
        <f t="shared" si="547"/>
        <v>#N/A</v>
      </c>
      <c r="AZ1039" s="2" t="e">
        <f t="shared" si="548"/>
        <v>#N/A</v>
      </c>
      <c r="BA1039" s="2" t="e">
        <f t="shared" si="549"/>
        <v>#N/A</v>
      </c>
      <c r="BB1039" s="2" t="e">
        <f t="shared" si="550"/>
        <v>#DIV/0!</v>
      </c>
      <c r="BC1039" s="9" t="e">
        <f t="shared" ca="1" si="551"/>
        <v>#N/A</v>
      </c>
      <c r="BD1039" s="9" t="e">
        <f t="shared" ca="1" si="552"/>
        <v>#N/A</v>
      </c>
    </row>
    <row r="1040" spans="1:56" ht="15" x14ac:dyDescent="0.25">
      <c r="A1040"/>
      <c r="B1040"/>
      <c r="C1040"/>
      <c r="D1040"/>
      <c r="E1040"/>
      <c r="F1040"/>
      <c r="G1040"/>
      <c r="H1040"/>
      <c r="I1040"/>
      <c r="J1040"/>
      <c r="K1040"/>
      <c r="L1040" s="64"/>
      <c r="M1040" s="64"/>
      <c r="N1040" s="16"/>
      <c r="O1040" s="11"/>
      <c r="P1040" s="11"/>
      <c r="Q1040" s="11"/>
      <c r="R1040" s="11"/>
      <c r="S1040" s="11"/>
      <c r="T1040" s="11"/>
      <c r="U1040" s="11">
        <f t="shared" si="561"/>
        <v>0</v>
      </c>
      <c r="V1040" s="2">
        <f t="shared" si="562"/>
        <v>0</v>
      </c>
      <c r="W1040" s="11">
        <f t="shared" si="563"/>
        <v>0</v>
      </c>
      <c r="X1040" s="2">
        <f t="shared" si="564"/>
        <v>0</v>
      </c>
      <c r="Y1040" s="2">
        <f t="shared" si="565"/>
        <v>0</v>
      </c>
      <c r="Z1040" s="11">
        <f t="shared" si="566"/>
        <v>0</v>
      </c>
      <c r="AA1040" s="2">
        <f t="shared" si="567"/>
        <v>0</v>
      </c>
      <c r="AB1040" s="11">
        <f t="shared" si="568"/>
        <v>0</v>
      </c>
      <c r="AC1040" s="2">
        <f t="shared" si="569"/>
        <v>0</v>
      </c>
      <c r="AF1040" s="11">
        <f t="shared" si="570"/>
        <v>0</v>
      </c>
      <c r="AG1040" s="2">
        <f t="shared" si="571"/>
        <v>0</v>
      </c>
      <c r="AH1040" s="2">
        <f t="shared" si="572"/>
        <v>0</v>
      </c>
      <c r="AI1040" s="2">
        <f t="shared" si="573"/>
        <v>0</v>
      </c>
      <c r="AJ1040" s="2">
        <f t="shared" si="574"/>
        <v>0</v>
      </c>
      <c r="AK1040" s="2">
        <f t="shared" si="575"/>
        <v>0</v>
      </c>
      <c r="AL1040" s="2">
        <f t="shared" si="576"/>
        <v>0</v>
      </c>
      <c r="AM1040" s="11"/>
      <c r="AN1040" s="2" t="e">
        <f t="shared" si="553"/>
        <v>#N/A</v>
      </c>
      <c r="AO1040" s="2" t="e">
        <f t="shared" si="554"/>
        <v>#N/A</v>
      </c>
      <c r="AP1040" s="2" t="e">
        <f t="shared" si="555"/>
        <v>#N/A</v>
      </c>
      <c r="AQ1040" s="2" t="e">
        <f t="shared" si="556"/>
        <v>#N/A</v>
      </c>
      <c r="AR1040" s="2" t="e">
        <f t="shared" si="557"/>
        <v>#N/A</v>
      </c>
      <c r="AS1040" s="2" t="e">
        <f t="shared" si="558"/>
        <v>#DIV/0!</v>
      </c>
      <c r="AT1040" s="9" t="e">
        <f t="shared" ca="1" si="559"/>
        <v>#N/A</v>
      </c>
      <c r="AU1040" s="9" t="e">
        <f t="shared" ca="1" si="560"/>
        <v>#N/A</v>
      </c>
      <c r="AW1040" s="2" t="e">
        <f t="shared" si="545"/>
        <v>#N/A</v>
      </c>
      <c r="AX1040" s="2" t="e">
        <f t="shared" si="546"/>
        <v>#N/A</v>
      </c>
      <c r="AY1040" s="2" t="e">
        <f t="shared" si="547"/>
        <v>#N/A</v>
      </c>
      <c r="AZ1040" s="2" t="e">
        <f t="shared" si="548"/>
        <v>#N/A</v>
      </c>
      <c r="BA1040" s="2" t="e">
        <f t="shared" si="549"/>
        <v>#N/A</v>
      </c>
      <c r="BB1040" s="2" t="e">
        <f t="shared" si="550"/>
        <v>#DIV/0!</v>
      </c>
      <c r="BC1040" s="9" t="e">
        <f t="shared" ca="1" si="551"/>
        <v>#N/A</v>
      </c>
      <c r="BD1040" s="9" t="e">
        <f t="shared" ca="1" si="552"/>
        <v>#N/A</v>
      </c>
    </row>
    <row r="1041" spans="1:56" ht="15" x14ac:dyDescent="0.25">
      <c r="A1041"/>
      <c r="B1041"/>
      <c r="C1041"/>
      <c r="D1041"/>
      <c r="E1041"/>
      <c r="F1041"/>
      <c r="G1041"/>
      <c r="H1041"/>
      <c r="I1041"/>
      <c r="J1041"/>
      <c r="K1041"/>
      <c r="L1041" s="64"/>
      <c r="M1041" s="64"/>
      <c r="N1041" s="16"/>
      <c r="O1041" s="11"/>
      <c r="P1041" s="11"/>
      <c r="Q1041" s="11"/>
      <c r="R1041" s="11"/>
      <c r="S1041" s="11"/>
      <c r="T1041" s="11"/>
      <c r="U1041" s="11">
        <f t="shared" si="561"/>
        <v>0</v>
      </c>
      <c r="V1041" s="2">
        <f t="shared" si="562"/>
        <v>0</v>
      </c>
      <c r="W1041" s="11">
        <f t="shared" si="563"/>
        <v>0</v>
      </c>
      <c r="X1041" s="2">
        <f t="shared" si="564"/>
        <v>0</v>
      </c>
      <c r="Y1041" s="2">
        <f t="shared" si="565"/>
        <v>0</v>
      </c>
      <c r="Z1041" s="11">
        <f t="shared" si="566"/>
        <v>0</v>
      </c>
      <c r="AA1041" s="2">
        <f t="shared" si="567"/>
        <v>0</v>
      </c>
      <c r="AB1041" s="11">
        <f t="shared" si="568"/>
        <v>0</v>
      </c>
      <c r="AC1041" s="2">
        <f t="shared" si="569"/>
        <v>0</v>
      </c>
      <c r="AF1041" s="11">
        <f t="shared" si="570"/>
        <v>0</v>
      </c>
      <c r="AG1041" s="2">
        <f t="shared" si="571"/>
        <v>0</v>
      </c>
      <c r="AH1041" s="2">
        <f t="shared" si="572"/>
        <v>0</v>
      </c>
      <c r="AI1041" s="2">
        <f t="shared" si="573"/>
        <v>0</v>
      </c>
      <c r="AJ1041" s="2">
        <f t="shared" si="574"/>
        <v>0</v>
      </c>
      <c r="AK1041" s="2">
        <f t="shared" si="575"/>
        <v>0</v>
      </c>
      <c r="AL1041" s="2">
        <f t="shared" si="576"/>
        <v>0</v>
      </c>
      <c r="AM1041" s="11"/>
      <c r="AN1041" s="2" t="e">
        <f t="shared" si="553"/>
        <v>#N/A</v>
      </c>
      <c r="AO1041" s="2" t="e">
        <f t="shared" si="554"/>
        <v>#N/A</v>
      </c>
      <c r="AP1041" s="2" t="e">
        <f t="shared" si="555"/>
        <v>#N/A</v>
      </c>
      <c r="AQ1041" s="2" t="e">
        <f t="shared" si="556"/>
        <v>#N/A</v>
      </c>
      <c r="AR1041" s="2" t="e">
        <f t="shared" si="557"/>
        <v>#N/A</v>
      </c>
      <c r="AS1041" s="2" t="e">
        <f t="shared" si="558"/>
        <v>#DIV/0!</v>
      </c>
      <c r="AT1041" s="9" t="e">
        <f t="shared" ca="1" si="559"/>
        <v>#N/A</v>
      </c>
      <c r="AU1041" s="9" t="e">
        <f t="shared" ca="1" si="560"/>
        <v>#N/A</v>
      </c>
      <c r="AW1041" s="2" t="e">
        <f t="shared" si="545"/>
        <v>#N/A</v>
      </c>
      <c r="AX1041" s="2" t="e">
        <f t="shared" si="546"/>
        <v>#N/A</v>
      </c>
      <c r="AY1041" s="2" t="e">
        <f t="shared" si="547"/>
        <v>#N/A</v>
      </c>
      <c r="AZ1041" s="2" t="e">
        <f t="shared" si="548"/>
        <v>#N/A</v>
      </c>
      <c r="BA1041" s="2" t="e">
        <f t="shared" si="549"/>
        <v>#N/A</v>
      </c>
      <c r="BB1041" s="2" t="e">
        <f t="shared" si="550"/>
        <v>#DIV/0!</v>
      </c>
      <c r="BC1041" s="9" t="e">
        <f t="shared" ca="1" si="551"/>
        <v>#N/A</v>
      </c>
      <c r="BD1041" s="9" t="e">
        <f t="shared" ca="1" si="552"/>
        <v>#N/A</v>
      </c>
    </row>
    <row r="1042" spans="1:56" ht="15" x14ac:dyDescent="0.25">
      <c r="A1042"/>
      <c r="B1042"/>
      <c r="C1042"/>
      <c r="D1042"/>
      <c r="E1042"/>
      <c r="F1042"/>
      <c r="G1042"/>
      <c r="H1042"/>
      <c r="I1042"/>
      <c r="J1042"/>
      <c r="K1042"/>
      <c r="L1042" s="64"/>
      <c r="M1042" s="64"/>
      <c r="N1042" s="16"/>
      <c r="O1042" s="11"/>
      <c r="P1042" s="11"/>
      <c r="Q1042" s="11"/>
      <c r="R1042" s="11"/>
      <c r="S1042" s="11"/>
      <c r="T1042" s="11"/>
      <c r="U1042" s="11">
        <f t="shared" si="561"/>
        <v>0</v>
      </c>
      <c r="V1042" s="2">
        <f t="shared" si="562"/>
        <v>0</v>
      </c>
      <c r="W1042" s="11">
        <f t="shared" si="563"/>
        <v>0</v>
      </c>
      <c r="X1042" s="2">
        <f t="shared" si="564"/>
        <v>0</v>
      </c>
      <c r="Y1042" s="2">
        <f t="shared" si="565"/>
        <v>0</v>
      </c>
      <c r="Z1042" s="11">
        <f t="shared" si="566"/>
        <v>0</v>
      </c>
      <c r="AA1042" s="2">
        <f t="shared" si="567"/>
        <v>0</v>
      </c>
      <c r="AB1042" s="11">
        <f t="shared" si="568"/>
        <v>0</v>
      </c>
      <c r="AC1042" s="2">
        <f t="shared" si="569"/>
        <v>0</v>
      </c>
      <c r="AF1042" s="11">
        <f t="shared" si="570"/>
        <v>0</v>
      </c>
      <c r="AG1042" s="2">
        <f t="shared" si="571"/>
        <v>0</v>
      </c>
      <c r="AH1042" s="2">
        <f t="shared" si="572"/>
        <v>0</v>
      </c>
      <c r="AI1042" s="2">
        <f t="shared" si="573"/>
        <v>0</v>
      </c>
      <c r="AJ1042" s="2">
        <f t="shared" si="574"/>
        <v>0</v>
      </c>
      <c r="AK1042" s="2">
        <f t="shared" si="575"/>
        <v>0</v>
      </c>
      <c r="AL1042" s="2">
        <f t="shared" si="576"/>
        <v>0</v>
      </c>
      <c r="AM1042" s="11"/>
      <c r="AN1042" s="2" t="e">
        <f t="shared" si="553"/>
        <v>#N/A</v>
      </c>
      <c r="AO1042" s="2" t="e">
        <f t="shared" si="554"/>
        <v>#N/A</v>
      </c>
      <c r="AP1042" s="2" t="e">
        <f t="shared" si="555"/>
        <v>#N/A</v>
      </c>
      <c r="AQ1042" s="2" t="e">
        <f t="shared" si="556"/>
        <v>#N/A</v>
      </c>
      <c r="AR1042" s="2" t="e">
        <f t="shared" si="557"/>
        <v>#N/A</v>
      </c>
      <c r="AS1042" s="2" t="e">
        <f t="shared" si="558"/>
        <v>#DIV/0!</v>
      </c>
      <c r="AT1042" s="9" t="e">
        <f t="shared" ca="1" si="559"/>
        <v>#N/A</v>
      </c>
      <c r="AU1042" s="9" t="e">
        <f t="shared" ca="1" si="560"/>
        <v>#N/A</v>
      </c>
      <c r="AW1042" s="2" t="e">
        <f t="shared" si="545"/>
        <v>#N/A</v>
      </c>
      <c r="AX1042" s="2" t="e">
        <f t="shared" si="546"/>
        <v>#N/A</v>
      </c>
      <c r="AY1042" s="2" t="e">
        <f t="shared" si="547"/>
        <v>#N/A</v>
      </c>
      <c r="AZ1042" s="2" t="e">
        <f t="shared" si="548"/>
        <v>#N/A</v>
      </c>
      <c r="BA1042" s="2" t="e">
        <f t="shared" si="549"/>
        <v>#N/A</v>
      </c>
      <c r="BB1042" s="2" t="e">
        <f t="shared" si="550"/>
        <v>#DIV/0!</v>
      </c>
      <c r="BC1042" s="9" t="e">
        <f t="shared" ca="1" si="551"/>
        <v>#N/A</v>
      </c>
      <c r="BD1042" s="9" t="e">
        <f t="shared" ca="1" si="552"/>
        <v>#N/A</v>
      </c>
    </row>
    <row r="1043" spans="1:56" ht="15" x14ac:dyDescent="0.25">
      <c r="A1043"/>
      <c r="B1043"/>
      <c r="C1043"/>
      <c r="D1043"/>
      <c r="E1043"/>
      <c r="F1043"/>
      <c r="G1043"/>
      <c r="H1043"/>
      <c r="I1043"/>
      <c r="J1043"/>
      <c r="K1043"/>
      <c r="L1043" s="64"/>
      <c r="M1043" s="64"/>
      <c r="N1043" s="16"/>
      <c r="O1043" s="11"/>
      <c r="P1043" s="11"/>
      <c r="Q1043" s="11"/>
      <c r="R1043" s="11"/>
      <c r="S1043" s="11"/>
      <c r="T1043" s="11"/>
      <c r="U1043" s="11">
        <f t="shared" si="561"/>
        <v>0</v>
      </c>
      <c r="V1043" s="2">
        <f t="shared" si="562"/>
        <v>0</v>
      </c>
      <c r="W1043" s="11">
        <f t="shared" si="563"/>
        <v>0</v>
      </c>
      <c r="X1043" s="2">
        <f t="shared" si="564"/>
        <v>0</v>
      </c>
      <c r="Y1043" s="2">
        <f t="shared" si="565"/>
        <v>0</v>
      </c>
      <c r="Z1043" s="11">
        <f t="shared" si="566"/>
        <v>0</v>
      </c>
      <c r="AA1043" s="2">
        <f t="shared" si="567"/>
        <v>0</v>
      </c>
      <c r="AB1043" s="11">
        <f t="shared" si="568"/>
        <v>0</v>
      </c>
      <c r="AC1043" s="2">
        <f t="shared" si="569"/>
        <v>0</v>
      </c>
      <c r="AF1043" s="11">
        <f t="shared" si="570"/>
        <v>0</v>
      </c>
      <c r="AG1043" s="2">
        <f t="shared" si="571"/>
        <v>0</v>
      </c>
      <c r="AH1043" s="2">
        <f t="shared" si="572"/>
        <v>0</v>
      </c>
      <c r="AI1043" s="2">
        <f t="shared" si="573"/>
        <v>0</v>
      </c>
      <c r="AJ1043" s="2">
        <f t="shared" si="574"/>
        <v>0</v>
      </c>
      <c r="AK1043" s="2">
        <f t="shared" si="575"/>
        <v>0</v>
      </c>
      <c r="AL1043" s="2">
        <f t="shared" si="576"/>
        <v>0</v>
      </c>
      <c r="AM1043" s="11"/>
      <c r="AN1043" s="2" t="e">
        <f t="shared" si="553"/>
        <v>#N/A</v>
      </c>
      <c r="AO1043" s="2" t="e">
        <f t="shared" si="554"/>
        <v>#N/A</v>
      </c>
      <c r="AP1043" s="2" t="e">
        <f t="shared" si="555"/>
        <v>#N/A</v>
      </c>
      <c r="AQ1043" s="2" t="e">
        <f t="shared" si="556"/>
        <v>#N/A</v>
      </c>
      <c r="AR1043" s="2" t="e">
        <f t="shared" si="557"/>
        <v>#N/A</v>
      </c>
      <c r="AS1043" s="2" t="e">
        <f t="shared" si="558"/>
        <v>#DIV/0!</v>
      </c>
      <c r="AT1043" s="9" t="e">
        <f t="shared" ca="1" si="559"/>
        <v>#N/A</v>
      </c>
      <c r="AU1043" s="9" t="e">
        <f t="shared" ca="1" si="560"/>
        <v>#N/A</v>
      </c>
      <c r="AW1043" s="2" t="e">
        <f t="shared" si="545"/>
        <v>#N/A</v>
      </c>
      <c r="AX1043" s="2" t="e">
        <f t="shared" si="546"/>
        <v>#N/A</v>
      </c>
      <c r="AY1043" s="2" t="e">
        <f t="shared" si="547"/>
        <v>#N/A</v>
      </c>
      <c r="AZ1043" s="2" t="e">
        <f t="shared" si="548"/>
        <v>#N/A</v>
      </c>
      <c r="BA1043" s="2" t="e">
        <f t="shared" si="549"/>
        <v>#N/A</v>
      </c>
      <c r="BB1043" s="2" t="e">
        <f t="shared" si="550"/>
        <v>#DIV/0!</v>
      </c>
      <c r="BC1043" s="9" t="e">
        <f t="shared" ca="1" si="551"/>
        <v>#N/A</v>
      </c>
      <c r="BD1043" s="9" t="e">
        <f t="shared" ca="1" si="552"/>
        <v>#N/A</v>
      </c>
    </row>
    <row r="1044" spans="1:56" ht="15" x14ac:dyDescent="0.25">
      <c r="A1044"/>
      <c r="B1044"/>
      <c r="C1044"/>
      <c r="D1044"/>
      <c r="E1044"/>
      <c r="F1044"/>
      <c r="G1044"/>
      <c r="H1044"/>
      <c r="I1044"/>
      <c r="J1044"/>
      <c r="K1044"/>
      <c r="L1044" s="64"/>
      <c r="M1044" s="64"/>
      <c r="N1044" s="16"/>
      <c r="O1044" s="11"/>
      <c r="P1044" s="11"/>
      <c r="Q1044" s="11"/>
      <c r="R1044" s="11"/>
      <c r="S1044" s="11"/>
      <c r="T1044" s="11"/>
      <c r="U1044" s="11">
        <f t="shared" si="561"/>
        <v>0</v>
      </c>
      <c r="V1044" s="2">
        <f t="shared" si="562"/>
        <v>0</v>
      </c>
      <c r="W1044" s="11">
        <f t="shared" si="563"/>
        <v>0</v>
      </c>
      <c r="X1044" s="2">
        <f t="shared" si="564"/>
        <v>0</v>
      </c>
      <c r="Y1044" s="2">
        <f t="shared" si="565"/>
        <v>0</v>
      </c>
      <c r="Z1044" s="11">
        <f t="shared" si="566"/>
        <v>0</v>
      </c>
      <c r="AA1044" s="2">
        <f t="shared" si="567"/>
        <v>0</v>
      </c>
      <c r="AB1044" s="11">
        <f t="shared" si="568"/>
        <v>0</v>
      </c>
      <c r="AC1044" s="2">
        <f t="shared" si="569"/>
        <v>0</v>
      </c>
      <c r="AF1044" s="11">
        <f t="shared" si="570"/>
        <v>0</v>
      </c>
      <c r="AG1044" s="2">
        <f t="shared" si="571"/>
        <v>0</v>
      </c>
      <c r="AH1044" s="2">
        <f t="shared" si="572"/>
        <v>0</v>
      </c>
      <c r="AI1044" s="2">
        <f t="shared" si="573"/>
        <v>0</v>
      </c>
      <c r="AJ1044" s="2">
        <f t="shared" si="574"/>
        <v>0</v>
      </c>
      <c r="AK1044" s="2">
        <f t="shared" si="575"/>
        <v>0</v>
      </c>
      <c r="AL1044" s="2">
        <f t="shared" si="576"/>
        <v>0</v>
      </c>
      <c r="AM1044" s="11"/>
      <c r="AN1044" s="2" t="e">
        <f t="shared" si="553"/>
        <v>#N/A</v>
      </c>
      <c r="AO1044" s="2" t="e">
        <f t="shared" si="554"/>
        <v>#N/A</v>
      </c>
      <c r="AP1044" s="2" t="e">
        <f t="shared" si="555"/>
        <v>#N/A</v>
      </c>
      <c r="AQ1044" s="2" t="e">
        <f t="shared" si="556"/>
        <v>#N/A</v>
      </c>
      <c r="AR1044" s="2" t="e">
        <f t="shared" si="557"/>
        <v>#N/A</v>
      </c>
      <c r="AS1044" s="2" t="e">
        <f t="shared" si="558"/>
        <v>#DIV/0!</v>
      </c>
      <c r="AT1044" s="9" t="e">
        <f t="shared" ca="1" si="559"/>
        <v>#N/A</v>
      </c>
      <c r="AU1044" s="9" t="e">
        <f t="shared" ca="1" si="560"/>
        <v>#N/A</v>
      </c>
      <c r="AW1044" s="2" t="e">
        <f t="shared" si="545"/>
        <v>#N/A</v>
      </c>
      <c r="AX1044" s="2" t="e">
        <f t="shared" si="546"/>
        <v>#N/A</v>
      </c>
      <c r="AY1044" s="2" t="e">
        <f t="shared" si="547"/>
        <v>#N/A</v>
      </c>
      <c r="AZ1044" s="2" t="e">
        <f t="shared" si="548"/>
        <v>#N/A</v>
      </c>
      <c r="BA1044" s="2" t="e">
        <f t="shared" si="549"/>
        <v>#N/A</v>
      </c>
      <c r="BB1044" s="2" t="e">
        <f t="shared" si="550"/>
        <v>#DIV/0!</v>
      </c>
      <c r="BC1044" s="9" t="e">
        <f t="shared" ca="1" si="551"/>
        <v>#N/A</v>
      </c>
      <c r="BD1044" s="9" t="e">
        <f t="shared" ca="1" si="552"/>
        <v>#N/A</v>
      </c>
    </row>
    <row r="1045" spans="1:56" ht="15" x14ac:dyDescent="0.25">
      <c r="A1045"/>
      <c r="B1045"/>
      <c r="C1045"/>
      <c r="D1045"/>
      <c r="E1045"/>
      <c r="F1045"/>
      <c r="G1045"/>
      <c r="H1045"/>
      <c r="I1045"/>
      <c r="J1045"/>
      <c r="K1045"/>
      <c r="L1045" s="64"/>
      <c r="M1045" s="64"/>
      <c r="N1045" s="16"/>
      <c r="O1045" s="11"/>
      <c r="P1045" s="11"/>
      <c r="Q1045" s="11"/>
      <c r="R1045" s="11"/>
      <c r="S1045" s="11"/>
      <c r="T1045" s="11"/>
      <c r="U1045" s="11">
        <f t="shared" si="561"/>
        <v>0</v>
      </c>
      <c r="V1045" s="2">
        <f t="shared" si="562"/>
        <v>0</v>
      </c>
      <c r="W1045" s="11">
        <f t="shared" si="563"/>
        <v>0</v>
      </c>
      <c r="X1045" s="2">
        <f t="shared" si="564"/>
        <v>0</v>
      </c>
      <c r="Y1045" s="2">
        <f t="shared" si="565"/>
        <v>0</v>
      </c>
      <c r="Z1045" s="11">
        <f t="shared" si="566"/>
        <v>0</v>
      </c>
      <c r="AA1045" s="2">
        <f t="shared" si="567"/>
        <v>0</v>
      </c>
      <c r="AB1045" s="11">
        <f t="shared" si="568"/>
        <v>0</v>
      </c>
      <c r="AC1045" s="2">
        <f t="shared" si="569"/>
        <v>0</v>
      </c>
      <c r="AF1045" s="11">
        <f t="shared" si="570"/>
        <v>0</v>
      </c>
      <c r="AG1045" s="2">
        <f t="shared" si="571"/>
        <v>0</v>
      </c>
      <c r="AH1045" s="2">
        <f t="shared" si="572"/>
        <v>0</v>
      </c>
      <c r="AI1045" s="2">
        <f t="shared" si="573"/>
        <v>0</v>
      </c>
      <c r="AJ1045" s="2">
        <f t="shared" si="574"/>
        <v>0</v>
      </c>
      <c r="AK1045" s="2">
        <f t="shared" si="575"/>
        <v>0</v>
      </c>
      <c r="AL1045" s="2">
        <f t="shared" si="576"/>
        <v>0</v>
      </c>
      <c r="AM1045" s="11"/>
      <c r="AN1045" s="2" t="e">
        <f t="shared" si="553"/>
        <v>#N/A</v>
      </c>
      <c r="AO1045" s="2" t="e">
        <f t="shared" si="554"/>
        <v>#N/A</v>
      </c>
      <c r="AP1045" s="2" t="e">
        <f t="shared" si="555"/>
        <v>#N/A</v>
      </c>
      <c r="AQ1045" s="2" t="e">
        <f t="shared" si="556"/>
        <v>#N/A</v>
      </c>
      <c r="AR1045" s="2" t="e">
        <f t="shared" si="557"/>
        <v>#N/A</v>
      </c>
      <c r="AS1045" s="2" t="e">
        <f t="shared" si="558"/>
        <v>#DIV/0!</v>
      </c>
      <c r="AT1045" s="9" t="e">
        <f t="shared" ca="1" si="559"/>
        <v>#N/A</v>
      </c>
      <c r="AU1045" s="9" t="e">
        <f t="shared" ca="1" si="560"/>
        <v>#N/A</v>
      </c>
      <c r="AW1045" s="2" t="e">
        <f t="shared" si="545"/>
        <v>#N/A</v>
      </c>
      <c r="AX1045" s="2" t="e">
        <f t="shared" si="546"/>
        <v>#N/A</v>
      </c>
      <c r="AY1045" s="2" t="e">
        <f t="shared" si="547"/>
        <v>#N/A</v>
      </c>
      <c r="AZ1045" s="2" t="e">
        <f t="shared" si="548"/>
        <v>#N/A</v>
      </c>
      <c r="BA1045" s="2" t="e">
        <f t="shared" si="549"/>
        <v>#N/A</v>
      </c>
      <c r="BB1045" s="2" t="e">
        <f t="shared" si="550"/>
        <v>#DIV/0!</v>
      </c>
      <c r="BC1045" s="9" t="e">
        <f t="shared" ca="1" si="551"/>
        <v>#N/A</v>
      </c>
      <c r="BD1045" s="9" t="e">
        <f t="shared" ca="1" si="552"/>
        <v>#N/A</v>
      </c>
    </row>
    <row r="1046" spans="1:56" ht="15" x14ac:dyDescent="0.25">
      <c r="A1046"/>
      <c r="B1046"/>
      <c r="C1046"/>
      <c r="D1046"/>
      <c r="E1046"/>
      <c r="F1046"/>
      <c r="G1046"/>
      <c r="H1046"/>
      <c r="I1046"/>
      <c r="J1046"/>
      <c r="K1046"/>
      <c r="L1046" s="64"/>
      <c r="M1046" s="64"/>
      <c r="N1046" s="16"/>
      <c r="O1046" s="11"/>
      <c r="P1046" s="11"/>
      <c r="Q1046" s="11"/>
      <c r="R1046" s="11"/>
      <c r="S1046" s="11"/>
      <c r="T1046" s="11"/>
      <c r="U1046" s="11">
        <f t="shared" si="561"/>
        <v>0</v>
      </c>
      <c r="V1046" s="2">
        <f t="shared" si="562"/>
        <v>0</v>
      </c>
      <c r="W1046" s="11">
        <f t="shared" si="563"/>
        <v>0</v>
      </c>
      <c r="X1046" s="2">
        <f t="shared" si="564"/>
        <v>0</v>
      </c>
      <c r="Y1046" s="2">
        <f t="shared" si="565"/>
        <v>0</v>
      </c>
      <c r="Z1046" s="11">
        <f t="shared" si="566"/>
        <v>0</v>
      </c>
      <c r="AA1046" s="2">
        <f t="shared" si="567"/>
        <v>0</v>
      </c>
      <c r="AB1046" s="11">
        <f t="shared" si="568"/>
        <v>0</v>
      </c>
      <c r="AC1046" s="2">
        <f t="shared" si="569"/>
        <v>0</v>
      </c>
      <c r="AF1046" s="11">
        <f t="shared" si="570"/>
        <v>0</v>
      </c>
      <c r="AG1046" s="2">
        <f t="shared" si="571"/>
        <v>0</v>
      </c>
      <c r="AH1046" s="2">
        <f t="shared" si="572"/>
        <v>0</v>
      </c>
      <c r="AI1046" s="2">
        <f t="shared" si="573"/>
        <v>0</v>
      </c>
      <c r="AJ1046" s="2">
        <f t="shared" si="574"/>
        <v>0</v>
      </c>
      <c r="AK1046" s="2">
        <f t="shared" si="575"/>
        <v>0</v>
      </c>
      <c r="AL1046" s="2">
        <f t="shared" si="576"/>
        <v>0</v>
      </c>
      <c r="AM1046" s="11"/>
      <c r="AN1046" s="2" t="e">
        <f t="shared" si="553"/>
        <v>#N/A</v>
      </c>
      <c r="AO1046" s="2" t="e">
        <f t="shared" si="554"/>
        <v>#N/A</v>
      </c>
      <c r="AP1046" s="2" t="e">
        <f t="shared" si="555"/>
        <v>#N/A</v>
      </c>
      <c r="AQ1046" s="2" t="e">
        <f t="shared" si="556"/>
        <v>#N/A</v>
      </c>
      <c r="AR1046" s="2" t="e">
        <f t="shared" si="557"/>
        <v>#N/A</v>
      </c>
      <c r="AS1046" s="2" t="e">
        <f t="shared" si="558"/>
        <v>#DIV/0!</v>
      </c>
      <c r="AT1046" s="9" t="e">
        <f t="shared" ca="1" si="559"/>
        <v>#N/A</v>
      </c>
      <c r="AU1046" s="9" t="e">
        <f t="shared" ca="1" si="560"/>
        <v>#N/A</v>
      </c>
      <c r="AW1046" s="2" t="e">
        <f t="shared" si="545"/>
        <v>#N/A</v>
      </c>
      <c r="AX1046" s="2" t="e">
        <f t="shared" si="546"/>
        <v>#N/A</v>
      </c>
      <c r="AY1046" s="2" t="e">
        <f t="shared" si="547"/>
        <v>#N/A</v>
      </c>
      <c r="AZ1046" s="2" t="e">
        <f t="shared" si="548"/>
        <v>#N/A</v>
      </c>
      <c r="BA1046" s="2" t="e">
        <f t="shared" si="549"/>
        <v>#N/A</v>
      </c>
      <c r="BB1046" s="2" t="e">
        <f t="shared" si="550"/>
        <v>#DIV/0!</v>
      </c>
      <c r="BC1046" s="9" t="e">
        <f t="shared" ca="1" si="551"/>
        <v>#N/A</v>
      </c>
      <c r="BD1046" s="9" t="e">
        <f t="shared" ca="1" si="552"/>
        <v>#N/A</v>
      </c>
    </row>
    <row r="1047" spans="1:56" ht="15" x14ac:dyDescent="0.25">
      <c r="A1047"/>
      <c r="B1047"/>
      <c r="C1047"/>
      <c r="D1047"/>
      <c r="E1047"/>
      <c r="F1047"/>
      <c r="G1047"/>
      <c r="H1047"/>
      <c r="I1047"/>
      <c r="J1047"/>
      <c r="K1047"/>
      <c r="L1047" s="64"/>
      <c r="M1047" s="64"/>
      <c r="N1047" s="16"/>
      <c r="O1047" s="11"/>
      <c r="P1047" s="11"/>
      <c r="Q1047" s="11"/>
      <c r="R1047" s="11"/>
      <c r="S1047" s="11"/>
      <c r="T1047" s="11"/>
      <c r="U1047" s="11">
        <f t="shared" si="561"/>
        <v>0</v>
      </c>
      <c r="V1047" s="2">
        <f t="shared" si="562"/>
        <v>0</v>
      </c>
      <c r="W1047" s="11">
        <f t="shared" si="563"/>
        <v>0</v>
      </c>
      <c r="X1047" s="2">
        <f t="shared" si="564"/>
        <v>0</v>
      </c>
      <c r="Y1047" s="2">
        <f t="shared" si="565"/>
        <v>0</v>
      </c>
      <c r="Z1047" s="11">
        <f t="shared" si="566"/>
        <v>0</v>
      </c>
      <c r="AA1047" s="2">
        <f t="shared" si="567"/>
        <v>0</v>
      </c>
      <c r="AB1047" s="11">
        <f t="shared" si="568"/>
        <v>0</v>
      </c>
      <c r="AC1047" s="2">
        <f t="shared" si="569"/>
        <v>0</v>
      </c>
      <c r="AF1047" s="11">
        <f t="shared" si="570"/>
        <v>0</v>
      </c>
      <c r="AG1047" s="2">
        <f t="shared" si="571"/>
        <v>0</v>
      </c>
      <c r="AH1047" s="2">
        <f t="shared" si="572"/>
        <v>0</v>
      </c>
      <c r="AI1047" s="2">
        <f t="shared" si="573"/>
        <v>0</v>
      </c>
      <c r="AJ1047" s="2">
        <f t="shared" si="574"/>
        <v>0</v>
      </c>
      <c r="AK1047" s="2">
        <f t="shared" si="575"/>
        <v>0</v>
      </c>
      <c r="AL1047" s="2">
        <f t="shared" si="576"/>
        <v>0</v>
      </c>
      <c r="AM1047" s="11"/>
      <c r="AN1047" s="2" t="e">
        <f t="shared" si="553"/>
        <v>#N/A</v>
      </c>
      <c r="AO1047" s="2" t="e">
        <f t="shared" si="554"/>
        <v>#N/A</v>
      </c>
      <c r="AP1047" s="2" t="e">
        <f t="shared" si="555"/>
        <v>#N/A</v>
      </c>
      <c r="AQ1047" s="2" t="e">
        <f t="shared" si="556"/>
        <v>#N/A</v>
      </c>
      <c r="AR1047" s="2" t="e">
        <f t="shared" si="557"/>
        <v>#N/A</v>
      </c>
      <c r="AS1047" s="2" t="e">
        <f t="shared" si="558"/>
        <v>#DIV/0!</v>
      </c>
      <c r="AT1047" s="9" t="e">
        <f t="shared" ca="1" si="559"/>
        <v>#N/A</v>
      </c>
      <c r="AU1047" s="9" t="e">
        <f t="shared" ca="1" si="560"/>
        <v>#N/A</v>
      </c>
      <c r="AW1047" s="2" t="e">
        <f t="shared" ref="AW1047:AW1110" si="577">IF(AND(AL1047&gt;0, AJ1047&gt;0), AL1047/AJ1047, #N/A)</f>
        <v>#N/A</v>
      </c>
      <c r="AX1047" s="2" t="e">
        <f t="shared" ref="AX1047:AX1110" si="578">$B$8*((AW1047/$B$10)^$B$11)</f>
        <v>#N/A</v>
      </c>
      <c r="AY1047" s="2" t="e">
        <f t="shared" ref="AY1047:AY1110" si="579">AX1047*AI1047</f>
        <v>#N/A</v>
      </c>
      <c r="AZ1047" s="2" t="e">
        <f t="shared" ref="AZ1047:AZ1110" si="580">AK1047-AY1047</f>
        <v>#N/A</v>
      </c>
      <c r="BA1047" s="2" t="e">
        <f t="shared" ref="BA1047:BA1110" si="581">(AZ1047/AJ1047)/((AW1047/$B$10)^$B$12)</f>
        <v>#N/A</v>
      </c>
      <c r="BB1047" s="2" t="e">
        <f t="shared" ref="BB1047:BB1110" si="582">(AH1047/AJ1047)/((AW1047/$B$10)^$B$13)</f>
        <v>#DIV/0!</v>
      </c>
      <c r="BC1047" s="9" t="e">
        <f t="shared" ref="BC1047:BC1110" ca="1" si="583">IF(AND(BA1047&lt;$P$3,BA1047&gt;$P$4),BA1047,"rejected")</f>
        <v>#N/A</v>
      </c>
      <c r="BD1047" s="9" t="e">
        <f t="shared" ref="BD1047:BD1110" ca="1" si="584">IF(AND(BA1047&lt;$P$3,BA1047&gt;$P$4),BA1047,#N/A)</f>
        <v>#N/A</v>
      </c>
    </row>
    <row r="1048" spans="1:56" ht="15" x14ac:dyDescent="0.25">
      <c r="A1048"/>
      <c r="B1048"/>
      <c r="C1048"/>
      <c r="D1048"/>
      <c r="E1048"/>
      <c r="F1048"/>
      <c r="G1048"/>
      <c r="H1048"/>
      <c r="I1048"/>
      <c r="J1048"/>
      <c r="K1048"/>
      <c r="L1048" s="64"/>
      <c r="M1048" s="64"/>
      <c r="N1048" s="16"/>
      <c r="O1048" s="11"/>
      <c r="P1048" s="11"/>
      <c r="Q1048" s="11"/>
      <c r="R1048" s="11"/>
      <c r="S1048" s="11"/>
      <c r="T1048" s="11"/>
      <c r="U1048" s="11">
        <f t="shared" si="561"/>
        <v>0</v>
      </c>
      <c r="V1048" s="2">
        <f t="shared" si="562"/>
        <v>0</v>
      </c>
      <c r="W1048" s="11">
        <f t="shared" si="563"/>
        <v>0</v>
      </c>
      <c r="X1048" s="2">
        <f t="shared" si="564"/>
        <v>0</v>
      </c>
      <c r="Y1048" s="2">
        <f t="shared" si="565"/>
        <v>0</v>
      </c>
      <c r="Z1048" s="11">
        <f t="shared" si="566"/>
        <v>0</v>
      </c>
      <c r="AA1048" s="2">
        <f t="shared" si="567"/>
        <v>0</v>
      </c>
      <c r="AB1048" s="11">
        <f t="shared" si="568"/>
        <v>0</v>
      </c>
      <c r="AC1048" s="2">
        <f t="shared" si="569"/>
        <v>0</v>
      </c>
      <c r="AF1048" s="11">
        <f t="shared" si="570"/>
        <v>0</v>
      </c>
      <c r="AG1048" s="2">
        <f t="shared" si="571"/>
        <v>0</v>
      </c>
      <c r="AH1048" s="2">
        <f t="shared" si="572"/>
        <v>0</v>
      </c>
      <c r="AI1048" s="2">
        <f t="shared" si="573"/>
        <v>0</v>
      </c>
      <c r="AJ1048" s="2">
        <f t="shared" si="574"/>
        <v>0</v>
      </c>
      <c r="AK1048" s="2">
        <f t="shared" si="575"/>
        <v>0</v>
      </c>
      <c r="AL1048" s="2">
        <f t="shared" si="576"/>
        <v>0</v>
      </c>
      <c r="AM1048" s="11"/>
      <c r="AN1048" s="2" t="e">
        <f t="shared" si="553"/>
        <v>#N/A</v>
      </c>
      <c r="AO1048" s="2" t="e">
        <f t="shared" si="554"/>
        <v>#N/A</v>
      </c>
      <c r="AP1048" s="2" t="e">
        <f t="shared" si="555"/>
        <v>#N/A</v>
      </c>
      <c r="AQ1048" s="2" t="e">
        <f t="shared" si="556"/>
        <v>#N/A</v>
      </c>
      <c r="AR1048" s="2" t="e">
        <f t="shared" si="557"/>
        <v>#N/A</v>
      </c>
      <c r="AS1048" s="2" t="e">
        <f t="shared" si="558"/>
        <v>#DIV/0!</v>
      </c>
      <c r="AT1048" s="9" t="e">
        <f t="shared" ca="1" si="559"/>
        <v>#N/A</v>
      </c>
      <c r="AU1048" s="9" t="e">
        <f t="shared" ca="1" si="560"/>
        <v>#N/A</v>
      </c>
      <c r="AW1048" s="2" t="e">
        <f t="shared" si="577"/>
        <v>#N/A</v>
      </c>
      <c r="AX1048" s="2" t="e">
        <f t="shared" si="578"/>
        <v>#N/A</v>
      </c>
      <c r="AY1048" s="2" t="e">
        <f t="shared" si="579"/>
        <v>#N/A</v>
      </c>
      <c r="AZ1048" s="2" t="e">
        <f t="shared" si="580"/>
        <v>#N/A</v>
      </c>
      <c r="BA1048" s="2" t="e">
        <f t="shared" si="581"/>
        <v>#N/A</v>
      </c>
      <c r="BB1048" s="2" t="e">
        <f t="shared" si="582"/>
        <v>#DIV/0!</v>
      </c>
      <c r="BC1048" s="9" t="e">
        <f t="shared" ca="1" si="583"/>
        <v>#N/A</v>
      </c>
      <c r="BD1048" s="9" t="e">
        <f t="shared" ca="1" si="584"/>
        <v>#N/A</v>
      </c>
    </row>
    <row r="1049" spans="1:56" ht="15" x14ac:dyDescent="0.25">
      <c r="A1049"/>
      <c r="B1049"/>
      <c r="C1049"/>
      <c r="D1049"/>
      <c r="E1049"/>
      <c r="F1049"/>
      <c r="G1049"/>
      <c r="H1049"/>
      <c r="I1049"/>
      <c r="J1049"/>
      <c r="K1049"/>
      <c r="L1049" s="64"/>
      <c r="M1049" s="64"/>
      <c r="N1049" s="16"/>
      <c r="O1049" s="11"/>
      <c r="P1049" s="11"/>
      <c r="Q1049" s="11"/>
      <c r="R1049" s="11"/>
      <c r="S1049" s="11"/>
      <c r="T1049" s="11"/>
      <c r="U1049" s="11">
        <f t="shared" si="561"/>
        <v>0</v>
      </c>
      <c r="V1049" s="2">
        <f t="shared" si="562"/>
        <v>0</v>
      </c>
      <c r="W1049" s="11">
        <f t="shared" si="563"/>
        <v>0</v>
      </c>
      <c r="X1049" s="2">
        <f t="shared" si="564"/>
        <v>0</v>
      </c>
      <c r="Y1049" s="2">
        <f t="shared" si="565"/>
        <v>0</v>
      </c>
      <c r="Z1049" s="11">
        <f t="shared" si="566"/>
        <v>0</v>
      </c>
      <c r="AA1049" s="2">
        <f t="shared" si="567"/>
        <v>0</v>
      </c>
      <c r="AB1049" s="11">
        <f t="shared" si="568"/>
        <v>0</v>
      </c>
      <c r="AC1049" s="2">
        <f t="shared" si="569"/>
        <v>0</v>
      </c>
      <c r="AF1049" s="11">
        <f t="shared" si="570"/>
        <v>0</v>
      </c>
      <c r="AG1049" s="2">
        <f t="shared" si="571"/>
        <v>0</v>
      </c>
      <c r="AH1049" s="2">
        <f t="shared" si="572"/>
        <v>0</v>
      </c>
      <c r="AI1049" s="2">
        <f t="shared" si="573"/>
        <v>0</v>
      </c>
      <c r="AJ1049" s="2">
        <f t="shared" si="574"/>
        <v>0</v>
      </c>
      <c r="AK1049" s="2">
        <f t="shared" si="575"/>
        <v>0</v>
      </c>
      <c r="AL1049" s="2">
        <f t="shared" si="576"/>
        <v>0</v>
      </c>
      <c r="AM1049" s="11"/>
      <c r="AN1049" s="2" t="e">
        <f t="shared" si="553"/>
        <v>#N/A</v>
      </c>
      <c r="AO1049" s="2" t="e">
        <f t="shared" si="554"/>
        <v>#N/A</v>
      </c>
      <c r="AP1049" s="2" t="e">
        <f t="shared" si="555"/>
        <v>#N/A</v>
      </c>
      <c r="AQ1049" s="2" t="e">
        <f t="shared" si="556"/>
        <v>#N/A</v>
      </c>
      <c r="AR1049" s="2" t="e">
        <f t="shared" si="557"/>
        <v>#N/A</v>
      </c>
      <c r="AS1049" s="2" t="e">
        <f t="shared" si="558"/>
        <v>#DIV/0!</v>
      </c>
      <c r="AT1049" s="9" t="e">
        <f t="shared" ca="1" si="559"/>
        <v>#N/A</v>
      </c>
      <c r="AU1049" s="9" t="e">
        <f t="shared" ca="1" si="560"/>
        <v>#N/A</v>
      </c>
      <c r="AW1049" s="2" t="e">
        <f t="shared" si="577"/>
        <v>#N/A</v>
      </c>
      <c r="AX1049" s="2" t="e">
        <f t="shared" si="578"/>
        <v>#N/A</v>
      </c>
      <c r="AY1049" s="2" t="e">
        <f t="shared" si="579"/>
        <v>#N/A</v>
      </c>
      <c r="AZ1049" s="2" t="e">
        <f t="shared" si="580"/>
        <v>#N/A</v>
      </c>
      <c r="BA1049" s="2" t="e">
        <f t="shared" si="581"/>
        <v>#N/A</v>
      </c>
      <c r="BB1049" s="2" t="e">
        <f t="shared" si="582"/>
        <v>#DIV/0!</v>
      </c>
      <c r="BC1049" s="9" t="e">
        <f t="shared" ca="1" si="583"/>
        <v>#N/A</v>
      </c>
      <c r="BD1049" s="9" t="e">
        <f t="shared" ca="1" si="584"/>
        <v>#N/A</v>
      </c>
    </row>
    <row r="1050" spans="1:56" ht="15" x14ac:dyDescent="0.25">
      <c r="A1050"/>
      <c r="B1050"/>
      <c r="C1050"/>
      <c r="D1050"/>
      <c r="E1050"/>
      <c r="F1050"/>
      <c r="G1050"/>
      <c r="H1050"/>
      <c r="I1050"/>
      <c r="J1050"/>
      <c r="K1050"/>
      <c r="L1050" s="64"/>
      <c r="M1050" s="64"/>
      <c r="N1050" s="16"/>
      <c r="O1050" s="11"/>
      <c r="P1050" s="11"/>
      <c r="Q1050" s="11"/>
      <c r="R1050" s="11"/>
      <c r="S1050" s="11"/>
      <c r="T1050" s="11"/>
      <c r="U1050" s="11">
        <f t="shared" si="561"/>
        <v>0</v>
      </c>
      <c r="V1050" s="2">
        <f t="shared" si="562"/>
        <v>0</v>
      </c>
      <c r="W1050" s="11">
        <f t="shared" si="563"/>
        <v>0</v>
      </c>
      <c r="X1050" s="2">
        <f t="shared" si="564"/>
        <v>0</v>
      </c>
      <c r="Y1050" s="2">
        <f t="shared" si="565"/>
        <v>0</v>
      </c>
      <c r="Z1050" s="11">
        <f t="shared" si="566"/>
        <v>0</v>
      </c>
      <c r="AA1050" s="2">
        <f t="shared" si="567"/>
        <v>0</v>
      </c>
      <c r="AB1050" s="11">
        <f t="shared" si="568"/>
        <v>0</v>
      </c>
      <c r="AC1050" s="2">
        <f t="shared" si="569"/>
        <v>0</v>
      </c>
      <c r="AF1050" s="11">
        <f t="shared" si="570"/>
        <v>0</v>
      </c>
      <c r="AG1050" s="2">
        <f t="shared" si="571"/>
        <v>0</v>
      </c>
      <c r="AH1050" s="2">
        <f t="shared" si="572"/>
        <v>0</v>
      </c>
      <c r="AI1050" s="2">
        <f t="shared" si="573"/>
        <v>0</v>
      </c>
      <c r="AJ1050" s="2">
        <f t="shared" si="574"/>
        <v>0</v>
      </c>
      <c r="AK1050" s="2">
        <f t="shared" si="575"/>
        <v>0</v>
      </c>
      <c r="AL1050" s="2">
        <f t="shared" si="576"/>
        <v>0</v>
      </c>
      <c r="AM1050" s="11"/>
      <c r="AN1050" s="2" t="e">
        <f t="shared" si="553"/>
        <v>#N/A</v>
      </c>
      <c r="AO1050" s="2" t="e">
        <f t="shared" si="554"/>
        <v>#N/A</v>
      </c>
      <c r="AP1050" s="2" t="e">
        <f t="shared" si="555"/>
        <v>#N/A</v>
      </c>
      <c r="AQ1050" s="2" t="e">
        <f t="shared" si="556"/>
        <v>#N/A</v>
      </c>
      <c r="AR1050" s="2" t="e">
        <f t="shared" si="557"/>
        <v>#N/A</v>
      </c>
      <c r="AS1050" s="2" t="e">
        <f t="shared" si="558"/>
        <v>#DIV/0!</v>
      </c>
      <c r="AT1050" s="9" t="e">
        <f t="shared" ca="1" si="559"/>
        <v>#N/A</v>
      </c>
      <c r="AU1050" s="9" t="e">
        <f t="shared" ca="1" si="560"/>
        <v>#N/A</v>
      </c>
      <c r="AW1050" s="2" t="e">
        <f t="shared" si="577"/>
        <v>#N/A</v>
      </c>
      <c r="AX1050" s="2" t="e">
        <f t="shared" si="578"/>
        <v>#N/A</v>
      </c>
      <c r="AY1050" s="2" t="e">
        <f t="shared" si="579"/>
        <v>#N/A</v>
      </c>
      <c r="AZ1050" s="2" t="e">
        <f t="shared" si="580"/>
        <v>#N/A</v>
      </c>
      <c r="BA1050" s="2" t="e">
        <f t="shared" si="581"/>
        <v>#N/A</v>
      </c>
      <c r="BB1050" s="2" t="e">
        <f t="shared" si="582"/>
        <v>#DIV/0!</v>
      </c>
      <c r="BC1050" s="9" t="e">
        <f t="shared" ca="1" si="583"/>
        <v>#N/A</v>
      </c>
      <c r="BD1050" s="9" t="e">
        <f t="shared" ca="1" si="584"/>
        <v>#N/A</v>
      </c>
    </row>
    <row r="1051" spans="1:56" ht="15" x14ac:dyDescent="0.25">
      <c r="A1051"/>
      <c r="B1051"/>
      <c r="C1051"/>
      <c r="D1051"/>
      <c r="E1051"/>
      <c r="F1051"/>
      <c r="G1051"/>
      <c r="H1051"/>
      <c r="I1051"/>
      <c r="J1051"/>
      <c r="K1051"/>
      <c r="L1051" s="64"/>
      <c r="M1051" s="64"/>
      <c r="N1051" s="16"/>
      <c r="O1051" s="11"/>
      <c r="P1051" s="11"/>
      <c r="Q1051" s="11"/>
      <c r="R1051" s="11"/>
      <c r="S1051" s="11"/>
      <c r="T1051" s="11"/>
      <c r="U1051" s="11">
        <f t="shared" si="561"/>
        <v>0</v>
      </c>
      <c r="V1051" s="2">
        <f t="shared" si="562"/>
        <v>0</v>
      </c>
      <c r="W1051" s="11">
        <f t="shared" si="563"/>
        <v>0</v>
      </c>
      <c r="X1051" s="2">
        <f t="shared" si="564"/>
        <v>0</v>
      </c>
      <c r="Y1051" s="2">
        <f t="shared" si="565"/>
        <v>0</v>
      </c>
      <c r="Z1051" s="11">
        <f t="shared" si="566"/>
        <v>0</v>
      </c>
      <c r="AA1051" s="2">
        <f t="shared" si="567"/>
        <v>0</v>
      </c>
      <c r="AB1051" s="11">
        <f t="shared" si="568"/>
        <v>0</v>
      </c>
      <c r="AC1051" s="2">
        <f t="shared" si="569"/>
        <v>0</v>
      </c>
      <c r="AF1051" s="11">
        <f t="shared" si="570"/>
        <v>0</v>
      </c>
      <c r="AG1051" s="2">
        <f t="shared" si="571"/>
        <v>0</v>
      </c>
      <c r="AH1051" s="2">
        <f t="shared" si="572"/>
        <v>0</v>
      </c>
      <c r="AI1051" s="2">
        <f t="shared" si="573"/>
        <v>0</v>
      </c>
      <c r="AJ1051" s="2">
        <f t="shared" si="574"/>
        <v>0</v>
      </c>
      <c r="AK1051" s="2">
        <f t="shared" si="575"/>
        <v>0</v>
      </c>
      <c r="AL1051" s="2">
        <f t="shared" si="576"/>
        <v>0</v>
      </c>
      <c r="AM1051" s="11"/>
      <c r="AN1051" s="2" t="e">
        <f t="shared" ref="AN1051:AN1114" si="585">IF(AND(S1051&gt;0,U1051&gt;0),U1051/S1051, #N/A)</f>
        <v>#N/A</v>
      </c>
      <c r="AO1051" s="2" t="e">
        <f t="shared" ref="AO1051:AO1114" si="586">$B$8*((AN1051/$B$10)^$B$11)</f>
        <v>#N/A</v>
      </c>
      <c r="AP1051" s="2" t="e">
        <f t="shared" ref="AP1051:AP1114" si="587">AO1051*R1051</f>
        <v>#N/A</v>
      </c>
      <c r="AQ1051" s="2" t="e">
        <f t="shared" ref="AQ1051:AQ1114" si="588">T1051-AP1051</f>
        <v>#N/A</v>
      </c>
      <c r="AR1051" s="2" t="e">
        <f t="shared" ref="AR1051:AR1114" si="589">(AQ1051/S1051)/((AN1051/$B$10)^$B$12)</f>
        <v>#N/A</v>
      </c>
      <c r="AS1051" s="2" t="e">
        <f t="shared" ref="AS1051:AS1114" si="590">(Q1051/S1051)/((AN1051/$B$10)^$B$13)</f>
        <v>#DIV/0!</v>
      </c>
      <c r="AT1051" s="9" t="e">
        <f t="shared" ref="AT1051:AT1114" ca="1" si="591">IF(AND(AR1051&lt;$M$3,AR1051&gt;$M$4),AR1051,"rejected")</f>
        <v>#N/A</v>
      </c>
      <c r="AU1051" s="9" t="e">
        <f t="shared" ref="AU1051:AU1114" ca="1" si="592">IF(AND(AR1051&lt;$M$3,AR1051&gt;$M$4),AR1051,#N/A)</f>
        <v>#N/A</v>
      </c>
      <c r="AW1051" s="2" t="e">
        <f t="shared" si="577"/>
        <v>#N/A</v>
      </c>
      <c r="AX1051" s="2" t="e">
        <f t="shared" si="578"/>
        <v>#N/A</v>
      </c>
      <c r="AY1051" s="2" t="e">
        <f t="shared" si="579"/>
        <v>#N/A</v>
      </c>
      <c r="AZ1051" s="2" t="e">
        <f t="shared" si="580"/>
        <v>#N/A</v>
      </c>
      <c r="BA1051" s="2" t="e">
        <f t="shared" si="581"/>
        <v>#N/A</v>
      </c>
      <c r="BB1051" s="2" t="e">
        <f t="shared" si="582"/>
        <v>#DIV/0!</v>
      </c>
      <c r="BC1051" s="9" t="e">
        <f t="shared" ca="1" si="583"/>
        <v>#N/A</v>
      </c>
      <c r="BD1051" s="9" t="e">
        <f t="shared" ca="1" si="584"/>
        <v>#N/A</v>
      </c>
    </row>
    <row r="1052" spans="1:56" ht="15" x14ac:dyDescent="0.25">
      <c r="A1052"/>
      <c r="B1052"/>
      <c r="C1052"/>
      <c r="D1052"/>
      <c r="E1052"/>
      <c r="F1052"/>
      <c r="G1052"/>
      <c r="H1052"/>
      <c r="I1052"/>
      <c r="J1052"/>
      <c r="K1052"/>
      <c r="L1052" s="64"/>
      <c r="M1052" s="64"/>
      <c r="N1052" s="16"/>
      <c r="O1052" s="11"/>
      <c r="P1052" s="11"/>
      <c r="Q1052" s="11"/>
      <c r="R1052" s="11"/>
      <c r="S1052" s="11"/>
      <c r="T1052" s="11"/>
      <c r="U1052" s="11">
        <f t="shared" si="561"/>
        <v>0</v>
      </c>
      <c r="V1052" s="2">
        <f t="shared" si="562"/>
        <v>0</v>
      </c>
      <c r="W1052" s="11">
        <f t="shared" si="563"/>
        <v>0</v>
      </c>
      <c r="X1052" s="2">
        <f t="shared" si="564"/>
        <v>0</v>
      </c>
      <c r="Y1052" s="2">
        <f t="shared" si="565"/>
        <v>0</v>
      </c>
      <c r="Z1052" s="11">
        <f t="shared" si="566"/>
        <v>0</v>
      </c>
      <c r="AA1052" s="2">
        <f t="shared" si="567"/>
        <v>0</v>
      </c>
      <c r="AB1052" s="11">
        <f t="shared" si="568"/>
        <v>0</v>
      </c>
      <c r="AC1052" s="2">
        <f t="shared" si="569"/>
        <v>0</v>
      </c>
      <c r="AF1052" s="11">
        <f t="shared" si="570"/>
        <v>0</v>
      </c>
      <c r="AG1052" s="2">
        <f t="shared" si="571"/>
        <v>0</v>
      </c>
      <c r="AH1052" s="2">
        <f t="shared" si="572"/>
        <v>0</v>
      </c>
      <c r="AI1052" s="2">
        <f t="shared" si="573"/>
        <v>0</v>
      </c>
      <c r="AJ1052" s="2">
        <f t="shared" si="574"/>
        <v>0</v>
      </c>
      <c r="AK1052" s="2">
        <f t="shared" si="575"/>
        <v>0</v>
      </c>
      <c r="AL1052" s="2">
        <f t="shared" si="576"/>
        <v>0</v>
      </c>
      <c r="AM1052" s="11"/>
      <c r="AN1052" s="2" t="e">
        <f t="shared" si="585"/>
        <v>#N/A</v>
      </c>
      <c r="AO1052" s="2" t="e">
        <f t="shared" si="586"/>
        <v>#N/A</v>
      </c>
      <c r="AP1052" s="2" t="e">
        <f t="shared" si="587"/>
        <v>#N/A</v>
      </c>
      <c r="AQ1052" s="2" t="e">
        <f t="shared" si="588"/>
        <v>#N/A</v>
      </c>
      <c r="AR1052" s="2" t="e">
        <f t="shared" si="589"/>
        <v>#N/A</v>
      </c>
      <c r="AS1052" s="2" t="e">
        <f t="shared" si="590"/>
        <v>#DIV/0!</v>
      </c>
      <c r="AT1052" s="9" t="e">
        <f t="shared" ca="1" si="591"/>
        <v>#N/A</v>
      </c>
      <c r="AU1052" s="9" t="e">
        <f t="shared" ca="1" si="592"/>
        <v>#N/A</v>
      </c>
      <c r="AW1052" s="2" t="e">
        <f t="shared" si="577"/>
        <v>#N/A</v>
      </c>
      <c r="AX1052" s="2" t="e">
        <f t="shared" si="578"/>
        <v>#N/A</v>
      </c>
      <c r="AY1052" s="2" t="e">
        <f t="shared" si="579"/>
        <v>#N/A</v>
      </c>
      <c r="AZ1052" s="2" t="e">
        <f t="shared" si="580"/>
        <v>#N/A</v>
      </c>
      <c r="BA1052" s="2" t="e">
        <f t="shared" si="581"/>
        <v>#N/A</v>
      </c>
      <c r="BB1052" s="2" t="e">
        <f t="shared" si="582"/>
        <v>#DIV/0!</v>
      </c>
      <c r="BC1052" s="9" t="e">
        <f t="shared" ca="1" si="583"/>
        <v>#N/A</v>
      </c>
      <c r="BD1052" s="9" t="e">
        <f t="shared" ca="1" si="584"/>
        <v>#N/A</v>
      </c>
    </row>
    <row r="1053" spans="1:56" ht="15" x14ac:dyDescent="0.25">
      <c r="A1053"/>
      <c r="B1053"/>
      <c r="C1053"/>
      <c r="D1053"/>
      <c r="E1053"/>
      <c r="F1053"/>
      <c r="G1053"/>
      <c r="H1053"/>
      <c r="I1053"/>
      <c r="J1053"/>
      <c r="K1053"/>
      <c r="L1053" s="64"/>
      <c r="M1053" s="64"/>
      <c r="N1053" s="16"/>
      <c r="O1053" s="11"/>
      <c r="P1053" s="11"/>
      <c r="Q1053" s="11"/>
      <c r="R1053" s="11"/>
      <c r="S1053" s="11"/>
      <c r="T1053" s="11"/>
      <c r="U1053" s="11">
        <f t="shared" si="561"/>
        <v>0</v>
      </c>
      <c r="V1053" s="2">
        <f t="shared" si="562"/>
        <v>0</v>
      </c>
      <c r="W1053" s="11">
        <f t="shared" si="563"/>
        <v>0</v>
      </c>
      <c r="X1053" s="2">
        <f t="shared" si="564"/>
        <v>0</v>
      </c>
      <c r="Y1053" s="2">
        <f t="shared" si="565"/>
        <v>0</v>
      </c>
      <c r="Z1053" s="11">
        <f t="shared" si="566"/>
        <v>0</v>
      </c>
      <c r="AA1053" s="2">
        <f t="shared" si="567"/>
        <v>0</v>
      </c>
      <c r="AB1053" s="11">
        <f t="shared" si="568"/>
        <v>0</v>
      </c>
      <c r="AC1053" s="2">
        <f t="shared" si="569"/>
        <v>0</v>
      </c>
      <c r="AF1053" s="11">
        <f t="shared" si="570"/>
        <v>0</v>
      </c>
      <c r="AG1053" s="2">
        <f t="shared" si="571"/>
        <v>0</v>
      </c>
      <c r="AH1053" s="2">
        <f t="shared" si="572"/>
        <v>0</v>
      </c>
      <c r="AI1053" s="2">
        <f t="shared" si="573"/>
        <v>0</v>
      </c>
      <c r="AJ1053" s="2">
        <f t="shared" si="574"/>
        <v>0</v>
      </c>
      <c r="AK1053" s="2">
        <f t="shared" si="575"/>
        <v>0</v>
      </c>
      <c r="AL1053" s="2">
        <f t="shared" si="576"/>
        <v>0</v>
      </c>
      <c r="AM1053" s="11"/>
      <c r="AN1053" s="2" t="e">
        <f t="shared" si="585"/>
        <v>#N/A</v>
      </c>
      <c r="AO1053" s="2" t="e">
        <f t="shared" si="586"/>
        <v>#N/A</v>
      </c>
      <c r="AP1053" s="2" t="e">
        <f t="shared" si="587"/>
        <v>#N/A</v>
      </c>
      <c r="AQ1053" s="2" t="e">
        <f t="shared" si="588"/>
        <v>#N/A</v>
      </c>
      <c r="AR1053" s="2" t="e">
        <f t="shared" si="589"/>
        <v>#N/A</v>
      </c>
      <c r="AS1053" s="2" t="e">
        <f t="shared" si="590"/>
        <v>#DIV/0!</v>
      </c>
      <c r="AT1053" s="9" t="e">
        <f t="shared" ca="1" si="591"/>
        <v>#N/A</v>
      </c>
      <c r="AU1053" s="9" t="e">
        <f t="shared" ca="1" si="592"/>
        <v>#N/A</v>
      </c>
      <c r="AW1053" s="2" t="e">
        <f t="shared" si="577"/>
        <v>#N/A</v>
      </c>
      <c r="AX1053" s="2" t="e">
        <f t="shared" si="578"/>
        <v>#N/A</v>
      </c>
      <c r="AY1053" s="2" t="e">
        <f t="shared" si="579"/>
        <v>#N/A</v>
      </c>
      <c r="AZ1053" s="2" t="e">
        <f t="shared" si="580"/>
        <v>#N/A</v>
      </c>
      <c r="BA1053" s="2" t="e">
        <f t="shared" si="581"/>
        <v>#N/A</v>
      </c>
      <c r="BB1053" s="2" t="e">
        <f t="shared" si="582"/>
        <v>#DIV/0!</v>
      </c>
      <c r="BC1053" s="9" t="e">
        <f t="shared" ca="1" si="583"/>
        <v>#N/A</v>
      </c>
      <c r="BD1053" s="9" t="e">
        <f t="shared" ca="1" si="584"/>
        <v>#N/A</v>
      </c>
    </row>
    <row r="1054" spans="1:56" ht="15" x14ac:dyDescent="0.25">
      <c r="A1054"/>
      <c r="B1054"/>
      <c r="C1054"/>
      <c r="D1054"/>
      <c r="E1054"/>
      <c r="F1054"/>
      <c r="G1054"/>
      <c r="H1054"/>
      <c r="I1054"/>
      <c r="J1054"/>
      <c r="K1054"/>
      <c r="L1054" s="64"/>
      <c r="M1054" s="64"/>
      <c r="N1054" s="16"/>
      <c r="O1054" s="11"/>
      <c r="P1054" s="11"/>
      <c r="Q1054" s="11"/>
      <c r="R1054" s="11"/>
      <c r="S1054" s="11"/>
      <c r="T1054" s="11"/>
      <c r="U1054" s="11">
        <f t="shared" si="561"/>
        <v>0</v>
      </c>
      <c r="V1054" s="2">
        <f t="shared" si="562"/>
        <v>0</v>
      </c>
      <c r="W1054" s="11">
        <f t="shared" si="563"/>
        <v>0</v>
      </c>
      <c r="X1054" s="2">
        <f t="shared" si="564"/>
        <v>0</v>
      </c>
      <c r="Y1054" s="2">
        <f t="shared" si="565"/>
        <v>0</v>
      </c>
      <c r="Z1054" s="11">
        <f t="shared" si="566"/>
        <v>0</v>
      </c>
      <c r="AA1054" s="2">
        <f t="shared" si="567"/>
        <v>0</v>
      </c>
      <c r="AB1054" s="11">
        <f t="shared" si="568"/>
        <v>0</v>
      </c>
      <c r="AC1054" s="2">
        <f t="shared" si="569"/>
        <v>0</v>
      </c>
      <c r="AF1054" s="11">
        <f t="shared" si="570"/>
        <v>0</v>
      </c>
      <c r="AG1054" s="2">
        <f t="shared" si="571"/>
        <v>0</v>
      </c>
      <c r="AH1054" s="2">
        <f t="shared" si="572"/>
        <v>0</v>
      </c>
      <c r="AI1054" s="2">
        <f t="shared" si="573"/>
        <v>0</v>
      </c>
      <c r="AJ1054" s="2">
        <f t="shared" si="574"/>
        <v>0</v>
      </c>
      <c r="AK1054" s="2">
        <f t="shared" si="575"/>
        <v>0</v>
      </c>
      <c r="AL1054" s="2">
        <f t="shared" si="576"/>
        <v>0</v>
      </c>
      <c r="AM1054" s="11"/>
      <c r="AN1054" s="2" t="e">
        <f t="shared" si="585"/>
        <v>#N/A</v>
      </c>
      <c r="AO1054" s="2" t="e">
        <f t="shared" si="586"/>
        <v>#N/A</v>
      </c>
      <c r="AP1054" s="2" t="e">
        <f t="shared" si="587"/>
        <v>#N/A</v>
      </c>
      <c r="AQ1054" s="2" t="e">
        <f t="shared" si="588"/>
        <v>#N/A</v>
      </c>
      <c r="AR1054" s="2" t="e">
        <f t="shared" si="589"/>
        <v>#N/A</v>
      </c>
      <c r="AS1054" s="2" t="e">
        <f t="shared" si="590"/>
        <v>#DIV/0!</v>
      </c>
      <c r="AT1054" s="9" t="e">
        <f t="shared" ca="1" si="591"/>
        <v>#N/A</v>
      </c>
      <c r="AU1054" s="9" t="e">
        <f t="shared" ca="1" si="592"/>
        <v>#N/A</v>
      </c>
      <c r="AW1054" s="2" t="e">
        <f t="shared" si="577"/>
        <v>#N/A</v>
      </c>
      <c r="AX1054" s="2" t="e">
        <f t="shared" si="578"/>
        <v>#N/A</v>
      </c>
      <c r="AY1054" s="2" t="e">
        <f t="shared" si="579"/>
        <v>#N/A</v>
      </c>
      <c r="AZ1054" s="2" t="e">
        <f t="shared" si="580"/>
        <v>#N/A</v>
      </c>
      <c r="BA1054" s="2" t="e">
        <f t="shared" si="581"/>
        <v>#N/A</v>
      </c>
      <c r="BB1054" s="2" t="e">
        <f t="shared" si="582"/>
        <v>#DIV/0!</v>
      </c>
      <c r="BC1054" s="9" t="e">
        <f t="shared" ca="1" si="583"/>
        <v>#N/A</v>
      </c>
      <c r="BD1054" s="9" t="e">
        <f t="shared" ca="1" si="584"/>
        <v>#N/A</v>
      </c>
    </row>
    <row r="1055" spans="1:56" ht="15" x14ac:dyDescent="0.25">
      <c r="A1055"/>
      <c r="B1055"/>
      <c r="C1055"/>
      <c r="D1055"/>
      <c r="E1055"/>
      <c r="F1055"/>
      <c r="G1055"/>
      <c r="H1055"/>
      <c r="I1055"/>
      <c r="J1055"/>
      <c r="K1055"/>
      <c r="L1055" s="64"/>
      <c r="M1055" s="64"/>
      <c r="N1055" s="16"/>
      <c r="O1055" s="11"/>
      <c r="P1055" s="11"/>
      <c r="Q1055" s="11"/>
      <c r="R1055" s="11"/>
      <c r="S1055" s="11"/>
      <c r="T1055" s="11"/>
      <c r="U1055" s="11">
        <f t="shared" si="561"/>
        <v>0</v>
      </c>
      <c r="V1055" s="2">
        <f t="shared" si="562"/>
        <v>0</v>
      </c>
      <c r="W1055" s="11">
        <f t="shared" si="563"/>
        <v>0</v>
      </c>
      <c r="X1055" s="2">
        <f t="shared" si="564"/>
        <v>0</v>
      </c>
      <c r="Y1055" s="2">
        <f t="shared" si="565"/>
        <v>0</v>
      </c>
      <c r="Z1055" s="11">
        <f t="shared" si="566"/>
        <v>0</v>
      </c>
      <c r="AA1055" s="2">
        <f t="shared" si="567"/>
        <v>0</v>
      </c>
      <c r="AB1055" s="11">
        <f t="shared" si="568"/>
        <v>0</v>
      </c>
      <c r="AC1055" s="2">
        <f t="shared" si="569"/>
        <v>0</v>
      </c>
      <c r="AF1055" s="11">
        <f t="shared" si="570"/>
        <v>0</v>
      </c>
      <c r="AG1055" s="2">
        <f t="shared" si="571"/>
        <v>0</v>
      </c>
      <c r="AH1055" s="2">
        <f t="shared" si="572"/>
        <v>0</v>
      </c>
      <c r="AI1055" s="2">
        <f t="shared" si="573"/>
        <v>0</v>
      </c>
      <c r="AJ1055" s="2">
        <f t="shared" si="574"/>
        <v>0</v>
      </c>
      <c r="AK1055" s="2">
        <f t="shared" si="575"/>
        <v>0</v>
      </c>
      <c r="AL1055" s="2">
        <f t="shared" si="576"/>
        <v>0</v>
      </c>
      <c r="AM1055" s="11"/>
      <c r="AN1055" s="2" t="e">
        <f t="shared" si="585"/>
        <v>#N/A</v>
      </c>
      <c r="AO1055" s="2" t="e">
        <f t="shared" si="586"/>
        <v>#N/A</v>
      </c>
      <c r="AP1055" s="2" t="e">
        <f t="shared" si="587"/>
        <v>#N/A</v>
      </c>
      <c r="AQ1055" s="2" t="e">
        <f t="shared" si="588"/>
        <v>#N/A</v>
      </c>
      <c r="AR1055" s="2" t="e">
        <f t="shared" si="589"/>
        <v>#N/A</v>
      </c>
      <c r="AS1055" s="2" t="e">
        <f t="shared" si="590"/>
        <v>#DIV/0!</v>
      </c>
      <c r="AT1055" s="9" t="e">
        <f t="shared" ca="1" si="591"/>
        <v>#N/A</v>
      </c>
      <c r="AU1055" s="9" t="e">
        <f t="shared" ca="1" si="592"/>
        <v>#N/A</v>
      </c>
      <c r="AW1055" s="2" t="e">
        <f t="shared" si="577"/>
        <v>#N/A</v>
      </c>
      <c r="AX1055" s="2" t="e">
        <f t="shared" si="578"/>
        <v>#N/A</v>
      </c>
      <c r="AY1055" s="2" t="e">
        <f t="shared" si="579"/>
        <v>#N/A</v>
      </c>
      <c r="AZ1055" s="2" t="e">
        <f t="shared" si="580"/>
        <v>#N/A</v>
      </c>
      <c r="BA1055" s="2" t="e">
        <f t="shared" si="581"/>
        <v>#N/A</v>
      </c>
      <c r="BB1055" s="2" t="e">
        <f t="shared" si="582"/>
        <v>#DIV/0!</v>
      </c>
      <c r="BC1055" s="9" t="e">
        <f t="shared" ca="1" si="583"/>
        <v>#N/A</v>
      </c>
      <c r="BD1055" s="9" t="e">
        <f t="shared" ca="1" si="584"/>
        <v>#N/A</v>
      </c>
    </row>
    <row r="1056" spans="1:56" ht="15" x14ac:dyDescent="0.25">
      <c r="A1056"/>
      <c r="B1056"/>
      <c r="C1056"/>
      <c r="D1056"/>
      <c r="E1056"/>
      <c r="F1056"/>
      <c r="G1056"/>
      <c r="H1056"/>
      <c r="I1056"/>
      <c r="J1056"/>
      <c r="K1056"/>
      <c r="L1056" s="64"/>
      <c r="M1056" s="64"/>
      <c r="N1056" s="16"/>
      <c r="O1056" s="11"/>
      <c r="P1056" s="11"/>
      <c r="Q1056" s="11"/>
      <c r="R1056" s="11"/>
      <c r="S1056" s="11"/>
      <c r="T1056" s="11"/>
      <c r="U1056" s="11">
        <f t="shared" si="561"/>
        <v>0</v>
      </c>
      <c r="V1056" s="2">
        <f t="shared" si="562"/>
        <v>0</v>
      </c>
      <c r="W1056" s="11">
        <f t="shared" si="563"/>
        <v>0</v>
      </c>
      <c r="X1056" s="2">
        <f t="shared" si="564"/>
        <v>0</v>
      </c>
      <c r="Y1056" s="2">
        <f t="shared" si="565"/>
        <v>0</v>
      </c>
      <c r="Z1056" s="11">
        <f t="shared" si="566"/>
        <v>0</v>
      </c>
      <c r="AA1056" s="2">
        <f t="shared" si="567"/>
        <v>0</v>
      </c>
      <c r="AB1056" s="11">
        <f t="shared" si="568"/>
        <v>0</v>
      </c>
      <c r="AC1056" s="2">
        <f t="shared" si="569"/>
        <v>0</v>
      </c>
      <c r="AF1056" s="11">
        <f t="shared" si="570"/>
        <v>0</v>
      </c>
      <c r="AG1056" s="2">
        <f t="shared" si="571"/>
        <v>0</v>
      </c>
      <c r="AH1056" s="2">
        <f t="shared" si="572"/>
        <v>0</v>
      </c>
      <c r="AI1056" s="2">
        <f t="shared" si="573"/>
        <v>0</v>
      </c>
      <c r="AJ1056" s="2">
        <f t="shared" si="574"/>
        <v>0</v>
      </c>
      <c r="AK1056" s="2">
        <f t="shared" si="575"/>
        <v>0</v>
      </c>
      <c r="AL1056" s="2">
        <f t="shared" si="576"/>
        <v>0</v>
      </c>
      <c r="AM1056" s="11"/>
      <c r="AN1056" s="2" t="e">
        <f t="shared" si="585"/>
        <v>#N/A</v>
      </c>
      <c r="AO1056" s="2" t="e">
        <f t="shared" si="586"/>
        <v>#N/A</v>
      </c>
      <c r="AP1056" s="2" t="e">
        <f t="shared" si="587"/>
        <v>#N/A</v>
      </c>
      <c r="AQ1056" s="2" t="e">
        <f t="shared" si="588"/>
        <v>#N/A</v>
      </c>
      <c r="AR1056" s="2" t="e">
        <f t="shared" si="589"/>
        <v>#N/A</v>
      </c>
      <c r="AS1056" s="2" t="e">
        <f t="shared" si="590"/>
        <v>#DIV/0!</v>
      </c>
      <c r="AT1056" s="9" t="e">
        <f t="shared" ca="1" si="591"/>
        <v>#N/A</v>
      </c>
      <c r="AU1056" s="9" t="e">
        <f t="shared" ca="1" si="592"/>
        <v>#N/A</v>
      </c>
      <c r="AW1056" s="2" t="e">
        <f t="shared" si="577"/>
        <v>#N/A</v>
      </c>
      <c r="AX1056" s="2" t="e">
        <f t="shared" si="578"/>
        <v>#N/A</v>
      </c>
      <c r="AY1056" s="2" t="e">
        <f t="shared" si="579"/>
        <v>#N/A</v>
      </c>
      <c r="AZ1056" s="2" t="e">
        <f t="shared" si="580"/>
        <v>#N/A</v>
      </c>
      <c r="BA1056" s="2" t="e">
        <f t="shared" si="581"/>
        <v>#N/A</v>
      </c>
      <c r="BB1056" s="2" t="e">
        <f t="shared" si="582"/>
        <v>#DIV/0!</v>
      </c>
      <c r="BC1056" s="9" t="e">
        <f t="shared" ca="1" si="583"/>
        <v>#N/A</v>
      </c>
      <c r="BD1056" s="9" t="e">
        <f t="shared" ca="1" si="584"/>
        <v>#N/A</v>
      </c>
    </row>
    <row r="1057" spans="1:56" ht="15" x14ac:dyDescent="0.25">
      <c r="A1057"/>
      <c r="B1057"/>
      <c r="C1057"/>
      <c r="D1057"/>
      <c r="E1057"/>
      <c r="F1057"/>
      <c r="G1057"/>
      <c r="H1057"/>
      <c r="I1057"/>
      <c r="J1057"/>
      <c r="K1057"/>
      <c r="L1057" s="64"/>
      <c r="M1057" s="64"/>
      <c r="N1057" s="16"/>
      <c r="O1057" s="11"/>
      <c r="P1057" s="11"/>
      <c r="Q1057" s="11"/>
      <c r="R1057" s="11"/>
      <c r="S1057" s="11"/>
      <c r="T1057" s="11"/>
      <c r="U1057" s="11">
        <f t="shared" si="561"/>
        <v>0</v>
      </c>
      <c r="V1057" s="2">
        <f t="shared" si="562"/>
        <v>0</v>
      </c>
      <c r="W1057" s="11">
        <f t="shared" si="563"/>
        <v>0</v>
      </c>
      <c r="X1057" s="2">
        <f t="shared" si="564"/>
        <v>0</v>
      </c>
      <c r="Y1057" s="2">
        <f t="shared" si="565"/>
        <v>0</v>
      </c>
      <c r="Z1057" s="11">
        <f t="shared" si="566"/>
        <v>0</v>
      </c>
      <c r="AA1057" s="2">
        <f t="shared" si="567"/>
        <v>0</v>
      </c>
      <c r="AB1057" s="11">
        <f t="shared" si="568"/>
        <v>0</v>
      </c>
      <c r="AC1057" s="2">
        <f t="shared" si="569"/>
        <v>0</v>
      </c>
      <c r="AF1057" s="11">
        <f t="shared" si="570"/>
        <v>0</v>
      </c>
      <c r="AG1057" s="2">
        <f t="shared" si="571"/>
        <v>0</v>
      </c>
      <c r="AH1057" s="2">
        <f t="shared" si="572"/>
        <v>0</v>
      </c>
      <c r="AI1057" s="2">
        <f t="shared" si="573"/>
        <v>0</v>
      </c>
      <c r="AJ1057" s="2">
        <f t="shared" si="574"/>
        <v>0</v>
      </c>
      <c r="AK1057" s="2">
        <f t="shared" si="575"/>
        <v>0</v>
      </c>
      <c r="AL1057" s="2">
        <f t="shared" si="576"/>
        <v>0</v>
      </c>
      <c r="AM1057" s="11"/>
      <c r="AN1057" s="2" t="e">
        <f t="shared" si="585"/>
        <v>#N/A</v>
      </c>
      <c r="AO1057" s="2" t="e">
        <f t="shared" si="586"/>
        <v>#N/A</v>
      </c>
      <c r="AP1057" s="2" t="e">
        <f t="shared" si="587"/>
        <v>#N/A</v>
      </c>
      <c r="AQ1057" s="2" t="e">
        <f t="shared" si="588"/>
        <v>#N/A</v>
      </c>
      <c r="AR1057" s="2" t="e">
        <f t="shared" si="589"/>
        <v>#N/A</v>
      </c>
      <c r="AS1057" s="2" t="e">
        <f t="shared" si="590"/>
        <v>#DIV/0!</v>
      </c>
      <c r="AT1057" s="9" t="e">
        <f t="shared" ca="1" si="591"/>
        <v>#N/A</v>
      </c>
      <c r="AU1057" s="9" t="e">
        <f t="shared" ca="1" si="592"/>
        <v>#N/A</v>
      </c>
      <c r="AW1057" s="2" t="e">
        <f t="shared" si="577"/>
        <v>#N/A</v>
      </c>
      <c r="AX1057" s="2" t="e">
        <f t="shared" si="578"/>
        <v>#N/A</v>
      </c>
      <c r="AY1057" s="2" t="e">
        <f t="shared" si="579"/>
        <v>#N/A</v>
      </c>
      <c r="AZ1057" s="2" t="e">
        <f t="shared" si="580"/>
        <v>#N/A</v>
      </c>
      <c r="BA1057" s="2" t="e">
        <f t="shared" si="581"/>
        <v>#N/A</v>
      </c>
      <c r="BB1057" s="2" t="e">
        <f t="shared" si="582"/>
        <v>#DIV/0!</v>
      </c>
      <c r="BC1057" s="9" t="e">
        <f t="shared" ca="1" si="583"/>
        <v>#N/A</v>
      </c>
      <c r="BD1057" s="9" t="e">
        <f t="shared" ca="1" si="584"/>
        <v>#N/A</v>
      </c>
    </row>
    <row r="1058" spans="1:56" ht="15" x14ac:dyDescent="0.25">
      <c r="A1058"/>
      <c r="B1058"/>
      <c r="C1058"/>
      <c r="D1058"/>
      <c r="E1058"/>
      <c r="F1058"/>
      <c r="G1058"/>
      <c r="H1058"/>
      <c r="I1058"/>
      <c r="J1058"/>
      <c r="K1058"/>
      <c r="L1058" s="64"/>
      <c r="M1058" s="64"/>
      <c r="N1058" s="16"/>
      <c r="O1058" s="11"/>
      <c r="P1058" s="11"/>
      <c r="Q1058" s="11"/>
      <c r="R1058" s="11"/>
      <c r="S1058" s="11"/>
      <c r="T1058" s="11"/>
      <c r="U1058" s="11">
        <f t="shared" ref="U1058:U1121" si="593">M1058</f>
        <v>0</v>
      </c>
      <c r="V1058" s="2">
        <f t="shared" ref="V1058:V1121" si="594">IF(M1058&gt;0,N1058-(M1058*$X$63/$W$63), N1058)</f>
        <v>0</v>
      </c>
      <c r="W1058" s="11">
        <f t="shared" si="563"/>
        <v>0</v>
      </c>
      <c r="X1058" s="2">
        <f t="shared" si="564"/>
        <v>0</v>
      </c>
      <c r="Y1058" s="2">
        <f t="shared" si="565"/>
        <v>0</v>
      </c>
      <c r="Z1058" s="11">
        <f t="shared" si="566"/>
        <v>0</v>
      </c>
      <c r="AA1058" s="2">
        <f t="shared" si="567"/>
        <v>0</v>
      </c>
      <c r="AB1058" s="11">
        <f t="shared" si="568"/>
        <v>0</v>
      </c>
      <c r="AC1058" s="2">
        <f t="shared" si="569"/>
        <v>0</v>
      </c>
      <c r="AF1058" s="11">
        <f t="shared" si="570"/>
        <v>0</v>
      </c>
      <c r="AG1058" s="2">
        <f t="shared" si="571"/>
        <v>0</v>
      </c>
      <c r="AH1058" s="2">
        <f t="shared" si="572"/>
        <v>0</v>
      </c>
      <c r="AI1058" s="2">
        <f t="shared" si="573"/>
        <v>0</v>
      </c>
      <c r="AJ1058" s="2">
        <f t="shared" si="574"/>
        <v>0</v>
      </c>
      <c r="AK1058" s="2">
        <f t="shared" si="575"/>
        <v>0</v>
      </c>
      <c r="AL1058" s="2">
        <f t="shared" si="576"/>
        <v>0</v>
      </c>
      <c r="AM1058" s="11"/>
      <c r="AN1058" s="2" t="e">
        <f t="shared" si="585"/>
        <v>#N/A</v>
      </c>
      <c r="AO1058" s="2" t="e">
        <f t="shared" si="586"/>
        <v>#N/A</v>
      </c>
      <c r="AP1058" s="2" t="e">
        <f t="shared" si="587"/>
        <v>#N/A</v>
      </c>
      <c r="AQ1058" s="2" t="e">
        <f t="shared" si="588"/>
        <v>#N/A</v>
      </c>
      <c r="AR1058" s="2" t="e">
        <f t="shared" si="589"/>
        <v>#N/A</v>
      </c>
      <c r="AS1058" s="2" t="e">
        <f t="shared" si="590"/>
        <v>#DIV/0!</v>
      </c>
      <c r="AT1058" s="9" t="e">
        <f t="shared" ca="1" si="591"/>
        <v>#N/A</v>
      </c>
      <c r="AU1058" s="9" t="e">
        <f t="shared" ca="1" si="592"/>
        <v>#N/A</v>
      </c>
      <c r="AW1058" s="2" t="e">
        <f t="shared" si="577"/>
        <v>#N/A</v>
      </c>
      <c r="AX1058" s="2" t="e">
        <f t="shared" si="578"/>
        <v>#N/A</v>
      </c>
      <c r="AY1058" s="2" t="e">
        <f t="shared" si="579"/>
        <v>#N/A</v>
      </c>
      <c r="AZ1058" s="2" t="e">
        <f t="shared" si="580"/>
        <v>#N/A</v>
      </c>
      <c r="BA1058" s="2" t="e">
        <f t="shared" si="581"/>
        <v>#N/A</v>
      </c>
      <c r="BB1058" s="2" t="e">
        <f t="shared" si="582"/>
        <v>#DIV/0!</v>
      </c>
      <c r="BC1058" s="9" t="e">
        <f t="shared" ca="1" si="583"/>
        <v>#N/A</v>
      </c>
      <c r="BD1058" s="9" t="e">
        <f t="shared" ca="1" si="584"/>
        <v>#N/A</v>
      </c>
    </row>
    <row r="1059" spans="1:56" ht="15" x14ac:dyDescent="0.25">
      <c r="A1059"/>
      <c r="B1059"/>
      <c r="C1059"/>
      <c r="D1059"/>
      <c r="E1059"/>
      <c r="F1059"/>
      <c r="G1059"/>
      <c r="H1059"/>
      <c r="I1059"/>
      <c r="J1059"/>
      <c r="K1059"/>
      <c r="L1059" s="64"/>
      <c r="M1059" s="64"/>
      <c r="N1059" s="16"/>
      <c r="O1059" s="11"/>
      <c r="P1059" s="11"/>
      <c r="Q1059" s="11"/>
      <c r="R1059" s="11"/>
      <c r="S1059" s="11"/>
      <c r="T1059" s="11"/>
      <c r="U1059" s="11">
        <f t="shared" si="593"/>
        <v>0</v>
      </c>
      <c r="V1059" s="2">
        <f t="shared" si="594"/>
        <v>0</v>
      </c>
      <c r="W1059" s="11">
        <f t="shared" si="563"/>
        <v>0</v>
      </c>
      <c r="X1059" s="2">
        <f t="shared" si="564"/>
        <v>0</v>
      </c>
      <c r="Y1059" s="2">
        <f t="shared" si="565"/>
        <v>0</v>
      </c>
      <c r="Z1059" s="11">
        <f t="shared" si="566"/>
        <v>0</v>
      </c>
      <c r="AA1059" s="2">
        <f t="shared" si="567"/>
        <v>0</v>
      </c>
      <c r="AB1059" s="11">
        <f t="shared" si="568"/>
        <v>0</v>
      </c>
      <c r="AC1059" s="2">
        <f t="shared" si="569"/>
        <v>0</v>
      </c>
      <c r="AF1059" s="11">
        <f t="shared" si="570"/>
        <v>0</v>
      </c>
      <c r="AG1059" s="2">
        <f t="shared" si="571"/>
        <v>0</v>
      </c>
      <c r="AH1059" s="2">
        <f t="shared" si="572"/>
        <v>0</v>
      </c>
      <c r="AI1059" s="2">
        <f t="shared" si="573"/>
        <v>0</v>
      </c>
      <c r="AJ1059" s="2">
        <f t="shared" si="574"/>
        <v>0</v>
      </c>
      <c r="AK1059" s="2">
        <f t="shared" si="575"/>
        <v>0</v>
      </c>
      <c r="AL1059" s="2">
        <f t="shared" si="576"/>
        <v>0</v>
      </c>
      <c r="AM1059" s="11"/>
      <c r="AN1059" s="2" t="e">
        <f t="shared" si="585"/>
        <v>#N/A</v>
      </c>
      <c r="AO1059" s="2" t="e">
        <f t="shared" si="586"/>
        <v>#N/A</v>
      </c>
      <c r="AP1059" s="2" t="e">
        <f t="shared" si="587"/>
        <v>#N/A</v>
      </c>
      <c r="AQ1059" s="2" t="e">
        <f t="shared" si="588"/>
        <v>#N/A</v>
      </c>
      <c r="AR1059" s="2" t="e">
        <f t="shared" si="589"/>
        <v>#N/A</v>
      </c>
      <c r="AS1059" s="2" t="e">
        <f t="shared" si="590"/>
        <v>#DIV/0!</v>
      </c>
      <c r="AT1059" s="9" t="e">
        <f t="shared" ca="1" si="591"/>
        <v>#N/A</v>
      </c>
      <c r="AU1059" s="9" t="e">
        <f t="shared" ca="1" si="592"/>
        <v>#N/A</v>
      </c>
      <c r="AW1059" s="2" t="e">
        <f t="shared" si="577"/>
        <v>#N/A</v>
      </c>
      <c r="AX1059" s="2" t="e">
        <f t="shared" si="578"/>
        <v>#N/A</v>
      </c>
      <c r="AY1059" s="2" t="e">
        <f t="shared" si="579"/>
        <v>#N/A</v>
      </c>
      <c r="AZ1059" s="2" t="e">
        <f t="shared" si="580"/>
        <v>#N/A</v>
      </c>
      <c r="BA1059" s="2" t="e">
        <f t="shared" si="581"/>
        <v>#N/A</v>
      </c>
      <c r="BB1059" s="2" t="e">
        <f t="shared" si="582"/>
        <v>#DIV/0!</v>
      </c>
      <c r="BC1059" s="9" t="e">
        <f t="shared" ca="1" si="583"/>
        <v>#N/A</v>
      </c>
      <c r="BD1059" s="9" t="e">
        <f t="shared" ca="1" si="584"/>
        <v>#N/A</v>
      </c>
    </row>
    <row r="1060" spans="1:56" ht="15" x14ac:dyDescent="0.25">
      <c r="A1060"/>
      <c r="B1060"/>
      <c r="C1060"/>
      <c r="D1060"/>
      <c r="E1060"/>
      <c r="F1060"/>
      <c r="G1060"/>
      <c r="H1060"/>
      <c r="I1060"/>
      <c r="J1060"/>
      <c r="K1060"/>
      <c r="L1060" s="64"/>
      <c r="M1060" s="64"/>
      <c r="N1060" s="16"/>
      <c r="O1060" s="11"/>
      <c r="P1060" s="11"/>
      <c r="Q1060" s="11"/>
      <c r="R1060" s="11"/>
      <c r="S1060" s="11"/>
      <c r="T1060" s="11"/>
      <c r="U1060" s="11">
        <f t="shared" si="593"/>
        <v>0</v>
      </c>
      <c r="V1060" s="2">
        <f t="shared" si="594"/>
        <v>0</v>
      </c>
      <c r="W1060" s="11">
        <f t="shared" si="563"/>
        <v>0</v>
      </c>
      <c r="X1060" s="2">
        <f t="shared" si="564"/>
        <v>0</v>
      </c>
      <c r="Y1060" s="2">
        <f t="shared" si="565"/>
        <v>0</v>
      </c>
      <c r="Z1060" s="11">
        <f t="shared" si="566"/>
        <v>0</v>
      </c>
      <c r="AA1060" s="2">
        <f t="shared" si="567"/>
        <v>0</v>
      </c>
      <c r="AB1060" s="11">
        <f t="shared" si="568"/>
        <v>0</v>
      </c>
      <c r="AC1060" s="2">
        <f t="shared" si="569"/>
        <v>0</v>
      </c>
      <c r="AF1060" s="11">
        <f t="shared" si="570"/>
        <v>0</v>
      </c>
      <c r="AG1060" s="2">
        <f t="shared" si="571"/>
        <v>0</v>
      </c>
      <c r="AH1060" s="2">
        <f t="shared" si="572"/>
        <v>0</v>
      </c>
      <c r="AI1060" s="2">
        <f t="shared" si="573"/>
        <v>0</v>
      </c>
      <c r="AJ1060" s="2">
        <f t="shared" si="574"/>
        <v>0</v>
      </c>
      <c r="AK1060" s="2">
        <f t="shared" si="575"/>
        <v>0</v>
      </c>
      <c r="AL1060" s="2">
        <f t="shared" si="576"/>
        <v>0</v>
      </c>
      <c r="AM1060" s="11"/>
      <c r="AN1060" s="2" t="e">
        <f t="shared" si="585"/>
        <v>#N/A</v>
      </c>
      <c r="AO1060" s="2" t="e">
        <f t="shared" si="586"/>
        <v>#N/A</v>
      </c>
      <c r="AP1060" s="2" t="e">
        <f t="shared" si="587"/>
        <v>#N/A</v>
      </c>
      <c r="AQ1060" s="2" t="e">
        <f t="shared" si="588"/>
        <v>#N/A</v>
      </c>
      <c r="AR1060" s="2" t="e">
        <f t="shared" si="589"/>
        <v>#N/A</v>
      </c>
      <c r="AS1060" s="2" t="e">
        <f t="shared" si="590"/>
        <v>#DIV/0!</v>
      </c>
      <c r="AT1060" s="9" t="e">
        <f t="shared" ca="1" si="591"/>
        <v>#N/A</v>
      </c>
      <c r="AU1060" s="9" t="e">
        <f t="shared" ca="1" si="592"/>
        <v>#N/A</v>
      </c>
      <c r="AW1060" s="2" t="e">
        <f t="shared" si="577"/>
        <v>#N/A</v>
      </c>
      <c r="AX1060" s="2" t="e">
        <f t="shared" si="578"/>
        <v>#N/A</v>
      </c>
      <c r="AY1060" s="2" t="e">
        <f t="shared" si="579"/>
        <v>#N/A</v>
      </c>
      <c r="AZ1060" s="2" t="e">
        <f t="shared" si="580"/>
        <v>#N/A</v>
      </c>
      <c r="BA1060" s="2" t="e">
        <f t="shared" si="581"/>
        <v>#N/A</v>
      </c>
      <c r="BB1060" s="2" t="e">
        <f t="shared" si="582"/>
        <v>#DIV/0!</v>
      </c>
      <c r="BC1060" s="9" t="e">
        <f t="shared" ca="1" si="583"/>
        <v>#N/A</v>
      </c>
      <c r="BD1060" s="9" t="e">
        <f t="shared" ca="1" si="584"/>
        <v>#N/A</v>
      </c>
    </row>
    <row r="1061" spans="1:56" ht="15" x14ac:dyDescent="0.25">
      <c r="A1061"/>
      <c r="B1061"/>
      <c r="C1061"/>
      <c r="D1061"/>
      <c r="E1061"/>
      <c r="F1061"/>
      <c r="G1061"/>
      <c r="H1061"/>
      <c r="I1061"/>
      <c r="J1061"/>
      <c r="K1061"/>
      <c r="L1061" s="64"/>
      <c r="M1061" s="64"/>
      <c r="N1061" s="16"/>
      <c r="O1061" s="11"/>
      <c r="P1061" s="11"/>
      <c r="Q1061" s="11"/>
      <c r="R1061" s="11"/>
      <c r="S1061" s="11"/>
      <c r="T1061" s="11"/>
      <c r="U1061" s="11">
        <f t="shared" si="593"/>
        <v>0</v>
      </c>
      <c r="V1061" s="2">
        <f t="shared" si="594"/>
        <v>0</v>
      </c>
      <c r="W1061" s="11">
        <f t="shared" si="563"/>
        <v>0</v>
      </c>
      <c r="X1061" s="2">
        <f t="shared" si="564"/>
        <v>0</v>
      </c>
      <c r="Y1061" s="2">
        <f t="shared" si="565"/>
        <v>0</v>
      </c>
      <c r="Z1061" s="11">
        <f t="shared" si="566"/>
        <v>0</v>
      </c>
      <c r="AA1061" s="2">
        <f t="shared" si="567"/>
        <v>0</v>
      </c>
      <c r="AB1061" s="11">
        <f t="shared" si="568"/>
        <v>0</v>
      </c>
      <c r="AC1061" s="2">
        <f t="shared" si="569"/>
        <v>0</v>
      </c>
      <c r="AF1061" s="11">
        <f t="shared" si="570"/>
        <v>0</v>
      </c>
      <c r="AG1061" s="2">
        <f t="shared" si="571"/>
        <v>0</v>
      </c>
      <c r="AH1061" s="2">
        <f t="shared" si="572"/>
        <v>0</v>
      </c>
      <c r="AI1061" s="2">
        <f t="shared" si="573"/>
        <v>0</v>
      </c>
      <c r="AJ1061" s="2">
        <f t="shared" si="574"/>
        <v>0</v>
      </c>
      <c r="AK1061" s="2">
        <f t="shared" si="575"/>
        <v>0</v>
      </c>
      <c r="AL1061" s="2">
        <f t="shared" si="576"/>
        <v>0</v>
      </c>
      <c r="AM1061" s="11"/>
      <c r="AN1061" s="2" t="e">
        <f t="shared" si="585"/>
        <v>#N/A</v>
      </c>
      <c r="AO1061" s="2" t="e">
        <f t="shared" si="586"/>
        <v>#N/A</v>
      </c>
      <c r="AP1061" s="2" t="e">
        <f t="shared" si="587"/>
        <v>#N/A</v>
      </c>
      <c r="AQ1061" s="2" t="e">
        <f t="shared" si="588"/>
        <v>#N/A</v>
      </c>
      <c r="AR1061" s="2" t="e">
        <f t="shared" si="589"/>
        <v>#N/A</v>
      </c>
      <c r="AS1061" s="2" t="e">
        <f t="shared" si="590"/>
        <v>#DIV/0!</v>
      </c>
      <c r="AT1061" s="9" t="e">
        <f t="shared" ca="1" si="591"/>
        <v>#N/A</v>
      </c>
      <c r="AU1061" s="9" t="e">
        <f t="shared" ca="1" si="592"/>
        <v>#N/A</v>
      </c>
      <c r="AW1061" s="2" t="e">
        <f t="shared" si="577"/>
        <v>#N/A</v>
      </c>
      <c r="AX1061" s="2" t="e">
        <f t="shared" si="578"/>
        <v>#N/A</v>
      </c>
      <c r="AY1061" s="2" t="e">
        <f t="shared" si="579"/>
        <v>#N/A</v>
      </c>
      <c r="AZ1061" s="2" t="e">
        <f t="shared" si="580"/>
        <v>#N/A</v>
      </c>
      <c r="BA1061" s="2" t="e">
        <f t="shared" si="581"/>
        <v>#N/A</v>
      </c>
      <c r="BB1061" s="2" t="e">
        <f t="shared" si="582"/>
        <v>#DIV/0!</v>
      </c>
      <c r="BC1061" s="9" t="e">
        <f t="shared" ca="1" si="583"/>
        <v>#N/A</v>
      </c>
      <c r="BD1061" s="9" t="e">
        <f t="shared" ca="1" si="584"/>
        <v>#N/A</v>
      </c>
    </row>
    <row r="1062" spans="1:56" ht="15" x14ac:dyDescent="0.25">
      <c r="A1062"/>
      <c r="B1062"/>
      <c r="C1062"/>
      <c r="D1062"/>
      <c r="E1062"/>
      <c r="F1062"/>
      <c r="G1062"/>
      <c r="H1062"/>
      <c r="I1062"/>
      <c r="J1062"/>
      <c r="K1062"/>
      <c r="L1062" s="64"/>
      <c r="M1062" s="64"/>
      <c r="N1062" s="16"/>
      <c r="O1062" s="11"/>
      <c r="P1062" s="11"/>
      <c r="Q1062" s="11"/>
      <c r="R1062" s="11"/>
      <c r="S1062" s="11"/>
      <c r="T1062" s="11"/>
      <c r="U1062" s="11">
        <f t="shared" si="593"/>
        <v>0</v>
      </c>
      <c r="V1062" s="2">
        <f t="shared" si="594"/>
        <v>0</v>
      </c>
      <c r="W1062" s="11">
        <f t="shared" si="563"/>
        <v>0</v>
      </c>
      <c r="X1062" s="2">
        <f t="shared" si="564"/>
        <v>0</v>
      </c>
      <c r="Y1062" s="2">
        <f t="shared" si="565"/>
        <v>0</v>
      </c>
      <c r="Z1062" s="11">
        <f t="shared" si="566"/>
        <v>0</v>
      </c>
      <c r="AA1062" s="2">
        <f t="shared" si="567"/>
        <v>0</v>
      </c>
      <c r="AB1062" s="11">
        <f t="shared" si="568"/>
        <v>0</v>
      </c>
      <c r="AC1062" s="2">
        <f t="shared" si="569"/>
        <v>0</v>
      </c>
      <c r="AF1062" s="11">
        <f t="shared" si="570"/>
        <v>0</v>
      </c>
      <c r="AG1062" s="2">
        <f t="shared" si="571"/>
        <v>0</v>
      </c>
      <c r="AH1062" s="2">
        <f t="shared" si="572"/>
        <v>0</v>
      </c>
      <c r="AI1062" s="2">
        <f t="shared" si="573"/>
        <v>0</v>
      </c>
      <c r="AJ1062" s="2">
        <f t="shared" si="574"/>
        <v>0</v>
      </c>
      <c r="AK1062" s="2">
        <f t="shared" si="575"/>
        <v>0</v>
      </c>
      <c r="AL1062" s="2">
        <f t="shared" si="576"/>
        <v>0</v>
      </c>
      <c r="AM1062" s="11"/>
      <c r="AN1062" s="2" t="e">
        <f t="shared" si="585"/>
        <v>#N/A</v>
      </c>
      <c r="AO1062" s="2" t="e">
        <f t="shared" si="586"/>
        <v>#N/A</v>
      </c>
      <c r="AP1062" s="2" t="e">
        <f t="shared" si="587"/>
        <v>#N/A</v>
      </c>
      <c r="AQ1062" s="2" t="e">
        <f t="shared" si="588"/>
        <v>#N/A</v>
      </c>
      <c r="AR1062" s="2" t="e">
        <f t="shared" si="589"/>
        <v>#N/A</v>
      </c>
      <c r="AS1062" s="2" t="e">
        <f t="shared" si="590"/>
        <v>#DIV/0!</v>
      </c>
      <c r="AT1062" s="9" t="e">
        <f t="shared" ca="1" si="591"/>
        <v>#N/A</v>
      </c>
      <c r="AU1062" s="9" t="e">
        <f t="shared" ca="1" si="592"/>
        <v>#N/A</v>
      </c>
      <c r="AW1062" s="2" t="e">
        <f t="shared" si="577"/>
        <v>#N/A</v>
      </c>
      <c r="AX1062" s="2" t="e">
        <f t="shared" si="578"/>
        <v>#N/A</v>
      </c>
      <c r="AY1062" s="2" t="e">
        <f t="shared" si="579"/>
        <v>#N/A</v>
      </c>
      <c r="AZ1062" s="2" t="e">
        <f t="shared" si="580"/>
        <v>#N/A</v>
      </c>
      <c r="BA1062" s="2" t="e">
        <f t="shared" si="581"/>
        <v>#N/A</v>
      </c>
      <c r="BB1062" s="2" t="e">
        <f t="shared" si="582"/>
        <v>#DIV/0!</v>
      </c>
      <c r="BC1062" s="9" t="e">
        <f t="shared" ca="1" si="583"/>
        <v>#N/A</v>
      </c>
      <c r="BD1062" s="9" t="e">
        <f t="shared" ca="1" si="584"/>
        <v>#N/A</v>
      </c>
    </row>
    <row r="1063" spans="1:56" ht="15" x14ac:dyDescent="0.25">
      <c r="A1063"/>
      <c r="B1063"/>
      <c r="C1063"/>
      <c r="D1063"/>
      <c r="E1063"/>
      <c r="F1063"/>
      <c r="G1063"/>
      <c r="H1063"/>
      <c r="I1063"/>
      <c r="J1063"/>
      <c r="K1063"/>
      <c r="L1063" s="64"/>
      <c r="M1063" s="64"/>
      <c r="N1063" s="16"/>
      <c r="O1063" s="11"/>
      <c r="P1063" s="11"/>
      <c r="Q1063" s="11"/>
      <c r="R1063" s="11"/>
      <c r="S1063" s="11"/>
      <c r="T1063" s="11"/>
      <c r="U1063" s="11">
        <f t="shared" si="593"/>
        <v>0</v>
      </c>
      <c r="V1063" s="2">
        <f t="shared" si="594"/>
        <v>0</v>
      </c>
      <c r="W1063" s="11">
        <f t="shared" si="563"/>
        <v>0</v>
      </c>
      <c r="X1063" s="2">
        <f t="shared" si="564"/>
        <v>0</v>
      </c>
      <c r="Y1063" s="2">
        <f t="shared" si="565"/>
        <v>0</v>
      </c>
      <c r="Z1063" s="11">
        <f t="shared" si="566"/>
        <v>0</v>
      </c>
      <c r="AA1063" s="2">
        <f t="shared" si="567"/>
        <v>0</v>
      </c>
      <c r="AB1063" s="11">
        <f t="shared" si="568"/>
        <v>0</v>
      </c>
      <c r="AC1063" s="2">
        <f t="shared" si="569"/>
        <v>0</v>
      </c>
      <c r="AF1063" s="11">
        <f t="shared" si="570"/>
        <v>0</v>
      </c>
      <c r="AG1063" s="2">
        <f t="shared" si="571"/>
        <v>0</v>
      </c>
      <c r="AH1063" s="2">
        <f t="shared" si="572"/>
        <v>0</v>
      </c>
      <c r="AI1063" s="2">
        <f t="shared" si="573"/>
        <v>0</v>
      </c>
      <c r="AJ1063" s="2">
        <f t="shared" si="574"/>
        <v>0</v>
      </c>
      <c r="AK1063" s="2">
        <f t="shared" si="575"/>
        <v>0</v>
      </c>
      <c r="AL1063" s="2">
        <f t="shared" si="576"/>
        <v>0</v>
      </c>
      <c r="AM1063" s="11"/>
      <c r="AN1063" s="2" t="e">
        <f t="shared" si="585"/>
        <v>#N/A</v>
      </c>
      <c r="AO1063" s="2" t="e">
        <f t="shared" si="586"/>
        <v>#N/A</v>
      </c>
      <c r="AP1063" s="2" t="e">
        <f t="shared" si="587"/>
        <v>#N/A</v>
      </c>
      <c r="AQ1063" s="2" t="e">
        <f t="shared" si="588"/>
        <v>#N/A</v>
      </c>
      <c r="AR1063" s="2" t="e">
        <f t="shared" si="589"/>
        <v>#N/A</v>
      </c>
      <c r="AS1063" s="2" t="e">
        <f t="shared" si="590"/>
        <v>#DIV/0!</v>
      </c>
      <c r="AT1063" s="9" t="e">
        <f t="shared" ca="1" si="591"/>
        <v>#N/A</v>
      </c>
      <c r="AU1063" s="9" t="e">
        <f t="shared" ca="1" si="592"/>
        <v>#N/A</v>
      </c>
      <c r="AW1063" s="2" t="e">
        <f t="shared" si="577"/>
        <v>#N/A</v>
      </c>
      <c r="AX1063" s="2" t="e">
        <f t="shared" si="578"/>
        <v>#N/A</v>
      </c>
      <c r="AY1063" s="2" t="e">
        <f t="shared" si="579"/>
        <v>#N/A</v>
      </c>
      <c r="AZ1063" s="2" t="e">
        <f t="shared" si="580"/>
        <v>#N/A</v>
      </c>
      <c r="BA1063" s="2" t="e">
        <f t="shared" si="581"/>
        <v>#N/A</v>
      </c>
      <c r="BB1063" s="2" t="e">
        <f t="shared" si="582"/>
        <v>#DIV/0!</v>
      </c>
      <c r="BC1063" s="9" t="e">
        <f t="shared" ca="1" si="583"/>
        <v>#N/A</v>
      </c>
      <c r="BD1063" s="9" t="e">
        <f t="shared" ca="1" si="584"/>
        <v>#N/A</v>
      </c>
    </row>
    <row r="1064" spans="1:56" ht="15" x14ac:dyDescent="0.25">
      <c r="A1064"/>
      <c r="B1064"/>
      <c r="C1064"/>
      <c r="D1064"/>
      <c r="E1064"/>
      <c r="F1064"/>
      <c r="G1064"/>
      <c r="H1064"/>
      <c r="I1064"/>
      <c r="J1064"/>
      <c r="K1064"/>
      <c r="L1064" s="64"/>
      <c r="M1064" s="64"/>
      <c r="N1064" s="16"/>
      <c r="O1064" s="11"/>
      <c r="P1064" s="11"/>
      <c r="Q1064" s="11"/>
      <c r="R1064" s="11"/>
      <c r="S1064" s="11"/>
      <c r="T1064" s="11"/>
      <c r="U1064" s="11">
        <f t="shared" si="593"/>
        <v>0</v>
      </c>
      <c r="V1064" s="2">
        <f t="shared" si="594"/>
        <v>0</v>
      </c>
      <c r="W1064" s="11">
        <f t="shared" si="563"/>
        <v>0</v>
      </c>
      <c r="X1064" s="2">
        <f t="shared" si="564"/>
        <v>0</v>
      </c>
      <c r="Y1064" s="2">
        <f t="shared" si="565"/>
        <v>0</v>
      </c>
      <c r="Z1064" s="11">
        <f t="shared" si="566"/>
        <v>0</v>
      </c>
      <c r="AA1064" s="2">
        <f t="shared" si="567"/>
        <v>0</v>
      </c>
      <c r="AB1064" s="11">
        <f t="shared" si="568"/>
        <v>0</v>
      </c>
      <c r="AC1064" s="2">
        <f t="shared" si="569"/>
        <v>0</v>
      </c>
      <c r="AF1064" s="11">
        <f t="shared" si="570"/>
        <v>0</v>
      </c>
      <c r="AG1064" s="2">
        <f t="shared" si="571"/>
        <v>0</v>
      </c>
      <c r="AH1064" s="2">
        <f t="shared" si="572"/>
        <v>0</v>
      </c>
      <c r="AI1064" s="2">
        <f t="shared" si="573"/>
        <v>0</v>
      </c>
      <c r="AJ1064" s="2">
        <f t="shared" si="574"/>
        <v>0</v>
      </c>
      <c r="AK1064" s="2">
        <f t="shared" si="575"/>
        <v>0</v>
      </c>
      <c r="AL1064" s="2">
        <f t="shared" si="576"/>
        <v>0</v>
      </c>
      <c r="AM1064" s="11"/>
      <c r="AN1064" s="2" t="e">
        <f t="shared" si="585"/>
        <v>#N/A</v>
      </c>
      <c r="AO1064" s="2" t="e">
        <f t="shared" si="586"/>
        <v>#N/A</v>
      </c>
      <c r="AP1064" s="2" t="e">
        <f t="shared" si="587"/>
        <v>#N/A</v>
      </c>
      <c r="AQ1064" s="2" t="e">
        <f t="shared" si="588"/>
        <v>#N/A</v>
      </c>
      <c r="AR1064" s="2" t="e">
        <f t="shared" si="589"/>
        <v>#N/A</v>
      </c>
      <c r="AS1064" s="2" t="e">
        <f t="shared" si="590"/>
        <v>#DIV/0!</v>
      </c>
      <c r="AT1064" s="9" t="e">
        <f t="shared" ca="1" si="591"/>
        <v>#N/A</v>
      </c>
      <c r="AU1064" s="9" t="e">
        <f t="shared" ca="1" si="592"/>
        <v>#N/A</v>
      </c>
      <c r="AW1064" s="2" t="e">
        <f t="shared" si="577"/>
        <v>#N/A</v>
      </c>
      <c r="AX1064" s="2" t="e">
        <f t="shared" si="578"/>
        <v>#N/A</v>
      </c>
      <c r="AY1064" s="2" t="e">
        <f t="shared" si="579"/>
        <v>#N/A</v>
      </c>
      <c r="AZ1064" s="2" t="e">
        <f t="shared" si="580"/>
        <v>#N/A</v>
      </c>
      <c r="BA1064" s="2" t="e">
        <f t="shared" si="581"/>
        <v>#N/A</v>
      </c>
      <c r="BB1064" s="2" t="e">
        <f t="shared" si="582"/>
        <v>#DIV/0!</v>
      </c>
      <c r="BC1064" s="9" t="e">
        <f t="shared" ca="1" si="583"/>
        <v>#N/A</v>
      </c>
      <c r="BD1064" s="9" t="e">
        <f t="shared" ca="1" si="584"/>
        <v>#N/A</v>
      </c>
    </row>
    <row r="1065" spans="1:56" ht="15" x14ac:dyDescent="0.25">
      <c r="A1065"/>
      <c r="B1065"/>
      <c r="C1065"/>
      <c r="D1065"/>
      <c r="E1065"/>
      <c r="F1065"/>
      <c r="G1065"/>
      <c r="H1065"/>
      <c r="I1065"/>
      <c r="J1065"/>
      <c r="K1065"/>
      <c r="L1065" s="64"/>
      <c r="M1065" s="64"/>
      <c r="N1065" s="16"/>
      <c r="O1065" s="11"/>
      <c r="P1065" s="11"/>
      <c r="Q1065" s="11"/>
      <c r="R1065" s="11"/>
      <c r="S1065" s="11"/>
      <c r="T1065" s="11"/>
      <c r="U1065" s="11">
        <f t="shared" si="593"/>
        <v>0</v>
      </c>
      <c r="V1065" s="2">
        <f t="shared" si="594"/>
        <v>0</v>
      </c>
      <c r="W1065" s="11">
        <f t="shared" si="563"/>
        <v>0</v>
      </c>
      <c r="X1065" s="2">
        <f t="shared" si="564"/>
        <v>0</v>
      </c>
      <c r="Y1065" s="2">
        <f t="shared" si="565"/>
        <v>0</v>
      </c>
      <c r="Z1065" s="11">
        <f t="shared" si="566"/>
        <v>0</v>
      </c>
      <c r="AA1065" s="2">
        <f t="shared" si="567"/>
        <v>0</v>
      </c>
      <c r="AB1065" s="11">
        <f t="shared" si="568"/>
        <v>0</v>
      </c>
      <c r="AC1065" s="2">
        <f t="shared" si="569"/>
        <v>0</v>
      </c>
      <c r="AF1065" s="11">
        <f t="shared" si="570"/>
        <v>0</v>
      </c>
      <c r="AG1065" s="2">
        <f t="shared" si="571"/>
        <v>0</v>
      </c>
      <c r="AH1065" s="2">
        <f t="shared" si="572"/>
        <v>0</v>
      </c>
      <c r="AI1065" s="2">
        <f t="shared" si="573"/>
        <v>0</v>
      </c>
      <c r="AJ1065" s="2">
        <f t="shared" si="574"/>
        <v>0</v>
      </c>
      <c r="AK1065" s="2">
        <f t="shared" si="575"/>
        <v>0</v>
      </c>
      <c r="AL1065" s="2">
        <f t="shared" si="576"/>
        <v>0</v>
      </c>
      <c r="AM1065" s="11"/>
      <c r="AN1065" s="2" t="e">
        <f t="shared" si="585"/>
        <v>#N/A</v>
      </c>
      <c r="AO1065" s="2" t="e">
        <f t="shared" si="586"/>
        <v>#N/A</v>
      </c>
      <c r="AP1065" s="2" t="e">
        <f t="shared" si="587"/>
        <v>#N/A</v>
      </c>
      <c r="AQ1065" s="2" t="e">
        <f t="shared" si="588"/>
        <v>#N/A</v>
      </c>
      <c r="AR1065" s="2" t="e">
        <f t="shared" si="589"/>
        <v>#N/A</v>
      </c>
      <c r="AS1065" s="2" t="e">
        <f t="shared" si="590"/>
        <v>#DIV/0!</v>
      </c>
      <c r="AT1065" s="9" t="e">
        <f t="shared" ca="1" si="591"/>
        <v>#N/A</v>
      </c>
      <c r="AU1065" s="9" t="e">
        <f t="shared" ca="1" si="592"/>
        <v>#N/A</v>
      </c>
      <c r="AW1065" s="2" t="e">
        <f t="shared" si="577"/>
        <v>#N/A</v>
      </c>
      <c r="AX1065" s="2" t="e">
        <f t="shared" si="578"/>
        <v>#N/A</v>
      </c>
      <c r="AY1065" s="2" t="e">
        <f t="shared" si="579"/>
        <v>#N/A</v>
      </c>
      <c r="AZ1065" s="2" t="e">
        <f t="shared" si="580"/>
        <v>#N/A</v>
      </c>
      <c r="BA1065" s="2" t="e">
        <f t="shared" si="581"/>
        <v>#N/A</v>
      </c>
      <c r="BB1065" s="2" t="e">
        <f t="shared" si="582"/>
        <v>#DIV/0!</v>
      </c>
      <c r="BC1065" s="9" t="e">
        <f t="shared" ca="1" si="583"/>
        <v>#N/A</v>
      </c>
      <c r="BD1065" s="9" t="e">
        <f t="shared" ca="1" si="584"/>
        <v>#N/A</v>
      </c>
    </row>
    <row r="1066" spans="1:56" ht="15" x14ac:dyDescent="0.25">
      <c r="A1066"/>
      <c r="B1066"/>
      <c r="C1066"/>
      <c r="D1066"/>
      <c r="E1066"/>
      <c r="F1066"/>
      <c r="G1066"/>
      <c r="H1066"/>
      <c r="I1066"/>
      <c r="J1066"/>
      <c r="K1066"/>
      <c r="L1066" s="64"/>
      <c r="M1066" s="64"/>
      <c r="N1066" s="16"/>
      <c r="O1066" s="11"/>
      <c r="P1066" s="11"/>
      <c r="Q1066" s="11"/>
      <c r="R1066" s="11"/>
      <c r="S1066" s="11"/>
      <c r="T1066" s="11"/>
      <c r="U1066" s="11">
        <f t="shared" si="593"/>
        <v>0</v>
      </c>
      <c r="V1066" s="2">
        <f t="shared" si="594"/>
        <v>0</v>
      </c>
      <c r="W1066" s="11">
        <f t="shared" si="563"/>
        <v>0</v>
      </c>
      <c r="X1066" s="2">
        <f t="shared" si="564"/>
        <v>0</v>
      </c>
      <c r="Y1066" s="2">
        <f t="shared" si="565"/>
        <v>0</v>
      </c>
      <c r="Z1066" s="11">
        <f t="shared" si="566"/>
        <v>0</v>
      </c>
      <c r="AA1066" s="2">
        <f t="shared" si="567"/>
        <v>0</v>
      </c>
      <c r="AB1066" s="11">
        <f t="shared" si="568"/>
        <v>0</v>
      </c>
      <c r="AC1066" s="2">
        <f t="shared" si="569"/>
        <v>0</v>
      </c>
      <c r="AF1066" s="11">
        <f t="shared" si="570"/>
        <v>0</v>
      </c>
      <c r="AG1066" s="2">
        <f t="shared" si="571"/>
        <v>0</v>
      </c>
      <c r="AH1066" s="2">
        <f t="shared" si="572"/>
        <v>0</v>
      </c>
      <c r="AI1066" s="2">
        <f t="shared" si="573"/>
        <v>0</v>
      </c>
      <c r="AJ1066" s="2">
        <f t="shared" si="574"/>
        <v>0</v>
      </c>
      <c r="AK1066" s="2">
        <f t="shared" si="575"/>
        <v>0</v>
      </c>
      <c r="AL1066" s="2">
        <f t="shared" si="576"/>
        <v>0</v>
      </c>
      <c r="AM1066" s="11"/>
      <c r="AN1066" s="2" t="e">
        <f t="shared" si="585"/>
        <v>#N/A</v>
      </c>
      <c r="AO1066" s="2" t="e">
        <f t="shared" si="586"/>
        <v>#N/A</v>
      </c>
      <c r="AP1066" s="2" t="e">
        <f t="shared" si="587"/>
        <v>#N/A</v>
      </c>
      <c r="AQ1066" s="2" t="e">
        <f t="shared" si="588"/>
        <v>#N/A</v>
      </c>
      <c r="AR1066" s="2" t="e">
        <f t="shared" si="589"/>
        <v>#N/A</v>
      </c>
      <c r="AS1066" s="2" t="e">
        <f t="shared" si="590"/>
        <v>#DIV/0!</v>
      </c>
      <c r="AT1066" s="9" t="e">
        <f t="shared" ca="1" si="591"/>
        <v>#N/A</v>
      </c>
      <c r="AU1066" s="9" t="e">
        <f t="shared" ca="1" si="592"/>
        <v>#N/A</v>
      </c>
      <c r="AW1066" s="2" t="e">
        <f t="shared" si="577"/>
        <v>#N/A</v>
      </c>
      <c r="AX1066" s="2" t="e">
        <f t="shared" si="578"/>
        <v>#N/A</v>
      </c>
      <c r="AY1066" s="2" t="e">
        <f t="shared" si="579"/>
        <v>#N/A</v>
      </c>
      <c r="AZ1066" s="2" t="e">
        <f t="shared" si="580"/>
        <v>#N/A</v>
      </c>
      <c r="BA1066" s="2" t="e">
        <f t="shared" si="581"/>
        <v>#N/A</v>
      </c>
      <c r="BB1066" s="2" t="e">
        <f t="shared" si="582"/>
        <v>#DIV/0!</v>
      </c>
      <c r="BC1066" s="9" t="e">
        <f t="shared" ca="1" si="583"/>
        <v>#N/A</v>
      </c>
      <c r="BD1066" s="9" t="e">
        <f t="shared" ca="1" si="584"/>
        <v>#N/A</v>
      </c>
    </row>
    <row r="1067" spans="1:56" ht="15" x14ac:dyDescent="0.25">
      <c r="A1067"/>
      <c r="B1067"/>
      <c r="C1067"/>
      <c r="D1067"/>
      <c r="E1067"/>
      <c r="F1067"/>
      <c r="G1067"/>
      <c r="H1067"/>
      <c r="I1067"/>
      <c r="J1067"/>
      <c r="K1067"/>
      <c r="L1067" s="64"/>
      <c r="M1067" s="64"/>
      <c r="N1067" s="16"/>
      <c r="O1067" s="11"/>
      <c r="P1067" s="11"/>
      <c r="Q1067" s="11"/>
      <c r="R1067" s="11"/>
      <c r="S1067" s="11"/>
      <c r="T1067" s="11"/>
      <c r="U1067" s="11">
        <f t="shared" si="593"/>
        <v>0</v>
      </c>
      <c r="V1067" s="2">
        <f t="shared" si="594"/>
        <v>0</v>
      </c>
      <c r="W1067" s="11">
        <f t="shared" si="563"/>
        <v>0</v>
      </c>
      <c r="X1067" s="2">
        <f t="shared" si="564"/>
        <v>0</v>
      </c>
      <c r="Y1067" s="2">
        <f t="shared" si="565"/>
        <v>0</v>
      </c>
      <c r="Z1067" s="11">
        <f t="shared" si="566"/>
        <v>0</v>
      </c>
      <c r="AA1067" s="2">
        <f t="shared" si="567"/>
        <v>0</v>
      </c>
      <c r="AB1067" s="11">
        <f t="shared" si="568"/>
        <v>0</v>
      </c>
      <c r="AC1067" s="2">
        <f t="shared" si="569"/>
        <v>0</v>
      </c>
      <c r="AF1067" s="11">
        <f t="shared" si="570"/>
        <v>0</v>
      </c>
      <c r="AG1067" s="2">
        <f t="shared" si="571"/>
        <v>0</v>
      </c>
      <c r="AH1067" s="2">
        <f t="shared" si="572"/>
        <v>0</v>
      </c>
      <c r="AI1067" s="2">
        <f t="shared" si="573"/>
        <v>0</v>
      </c>
      <c r="AJ1067" s="2">
        <f t="shared" si="574"/>
        <v>0</v>
      </c>
      <c r="AK1067" s="2">
        <f t="shared" si="575"/>
        <v>0</v>
      </c>
      <c r="AL1067" s="2">
        <f t="shared" si="576"/>
        <v>0</v>
      </c>
      <c r="AM1067" s="11"/>
      <c r="AN1067" s="2" t="e">
        <f t="shared" si="585"/>
        <v>#N/A</v>
      </c>
      <c r="AO1067" s="2" t="e">
        <f t="shared" si="586"/>
        <v>#N/A</v>
      </c>
      <c r="AP1067" s="2" t="e">
        <f t="shared" si="587"/>
        <v>#N/A</v>
      </c>
      <c r="AQ1067" s="2" t="e">
        <f t="shared" si="588"/>
        <v>#N/A</v>
      </c>
      <c r="AR1067" s="2" t="e">
        <f t="shared" si="589"/>
        <v>#N/A</v>
      </c>
      <c r="AS1067" s="2" t="e">
        <f t="shared" si="590"/>
        <v>#DIV/0!</v>
      </c>
      <c r="AT1067" s="9" t="e">
        <f t="shared" ca="1" si="591"/>
        <v>#N/A</v>
      </c>
      <c r="AU1067" s="9" t="e">
        <f t="shared" ca="1" si="592"/>
        <v>#N/A</v>
      </c>
      <c r="AW1067" s="2" t="e">
        <f t="shared" si="577"/>
        <v>#N/A</v>
      </c>
      <c r="AX1067" s="2" t="e">
        <f t="shared" si="578"/>
        <v>#N/A</v>
      </c>
      <c r="AY1067" s="2" t="e">
        <f t="shared" si="579"/>
        <v>#N/A</v>
      </c>
      <c r="AZ1067" s="2" t="e">
        <f t="shared" si="580"/>
        <v>#N/A</v>
      </c>
      <c r="BA1067" s="2" t="e">
        <f t="shared" si="581"/>
        <v>#N/A</v>
      </c>
      <c r="BB1067" s="2" t="e">
        <f t="shared" si="582"/>
        <v>#DIV/0!</v>
      </c>
      <c r="BC1067" s="9" t="e">
        <f t="shared" ca="1" si="583"/>
        <v>#N/A</v>
      </c>
      <c r="BD1067" s="9" t="e">
        <f t="shared" ca="1" si="584"/>
        <v>#N/A</v>
      </c>
    </row>
    <row r="1068" spans="1:56" ht="15" x14ac:dyDescent="0.25">
      <c r="A1068"/>
      <c r="B1068"/>
      <c r="C1068"/>
      <c r="D1068"/>
      <c r="E1068"/>
      <c r="F1068"/>
      <c r="G1068"/>
      <c r="H1068"/>
      <c r="I1068"/>
      <c r="J1068"/>
      <c r="K1068"/>
      <c r="L1068" s="64"/>
      <c r="M1068" s="64"/>
      <c r="N1068" s="16"/>
      <c r="O1068" s="11"/>
      <c r="P1068" s="11"/>
      <c r="Q1068" s="11"/>
      <c r="R1068" s="11"/>
      <c r="S1068" s="11"/>
      <c r="T1068" s="11"/>
      <c r="U1068" s="11">
        <f t="shared" si="593"/>
        <v>0</v>
      </c>
      <c r="V1068" s="2">
        <f t="shared" si="594"/>
        <v>0</v>
      </c>
      <c r="W1068" s="11">
        <f t="shared" si="563"/>
        <v>0</v>
      </c>
      <c r="X1068" s="2">
        <f t="shared" si="564"/>
        <v>0</v>
      </c>
      <c r="Y1068" s="2">
        <f t="shared" si="565"/>
        <v>0</v>
      </c>
      <c r="Z1068" s="11">
        <f t="shared" si="566"/>
        <v>0</v>
      </c>
      <c r="AA1068" s="2">
        <f t="shared" si="567"/>
        <v>0</v>
      </c>
      <c r="AB1068" s="11">
        <f t="shared" si="568"/>
        <v>0</v>
      </c>
      <c r="AC1068" s="2">
        <f t="shared" si="569"/>
        <v>0</v>
      </c>
      <c r="AF1068" s="11">
        <f t="shared" si="570"/>
        <v>0</v>
      </c>
      <c r="AG1068" s="2">
        <f t="shared" si="571"/>
        <v>0</v>
      </c>
      <c r="AH1068" s="2">
        <f t="shared" si="572"/>
        <v>0</v>
      </c>
      <c r="AI1068" s="2">
        <f t="shared" si="573"/>
        <v>0</v>
      </c>
      <c r="AJ1068" s="2">
        <f t="shared" si="574"/>
        <v>0</v>
      </c>
      <c r="AK1068" s="2">
        <f t="shared" si="575"/>
        <v>0</v>
      </c>
      <c r="AL1068" s="2">
        <f t="shared" si="576"/>
        <v>0</v>
      </c>
      <c r="AM1068" s="11"/>
      <c r="AN1068" s="2" t="e">
        <f t="shared" si="585"/>
        <v>#N/A</v>
      </c>
      <c r="AO1068" s="2" t="e">
        <f t="shared" si="586"/>
        <v>#N/A</v>
      </c>
      <c r="AP1068" s="2" t="e">
        <f t="shared" si="587"/>
        <v>#N/A</v>
      </c>
      <c r="AQ1068" s="2" t="e">
        <f t="shared" si="588"/>
        <v>#N/A</v>
      </c>
      <c r="AR1068" s="2" t="e">
        <f t="shared" si="589"/>
        <v>#N/A</v>
      </c>
      <c r="AS1068" s="2" t="e">
        <f t="shared" si="590"/>
        <v>#DIV/0!</v>
      </c>
      <c r="AT1068" s="9" t="e">
        <f t="shared" ca="1" si="591"/>
        <v>#N/A</v>
      </c>
      <c r="AU1068" s="9" t="e">
        <f t="shared" ca="1" si="592"/>
        <v>#N/A</v>
      </c>
      <c r="AW1068" s="2" t="e">
        <f t="shared" si="577"/>
        <v>#N/A</v>
      </c>
      <c r="AX1068" s="2" t="e">
        <f t="shared" si="578"/>
        <v>#N/A</v>
      </c>
      <c r="AY1068" s="2" t="e">
        <f t="shared" si="579"/>
        <v>#N/A</v>
      </c>
      <c r="AZ1068" s="2" t="e">
        <f t="shared" si="580"/>
        <v>#N/A</v>
      </c>
      <c r="BA1068" s="2" t="e">
        <f t="shared" si="581"/>
        <v>#N/A</v>
      </c>
      <c r="BB1068" s="2" t="e">
        <f t="shared" si="582"/>
        <v>#DIV/0!</v>
      </c>
      <c r="BC1068" s="9" t="e">
        <f t="shared" ca="1" si="583"/>
        <v>#N/A</v>
      </c>
      <c r="BD1068" s="9" t="e">
        <f t="shared" ca="1" si="584"/>
        <v>#N/A</v>
      </c>
    </row>
    <row r="1069" spans="1:56" ht="15" x14ac:dyDescent="0.25">
      <c r="A1069"/>
      <c r="B1069"/>
      <c r="C1069"/>
      <c r="D1069"/>
      <c r="E1069"/>
      <c r="F1069"/>
      <c r="G1069"/>
      <c r="H1069"/>
      <c r="I1069"/>
      <c r="J1069"/>
      <c r="K1069"/>
      <c r="L1069" s="64"/>
      <c r="M1069" s="64"/>
      <c r="N1069" s="16"/>
      <c r="O1069" s="11"/>
      <c r="P1069" s="11"/>
      <c r="Q1069" s="11"/>
      <c r="R1069" s="11"/>
      <c r="S1069" s="11"/>
      <c r="T1069" s="11"/>
      <c r="U1069" s="11">
        <f t="shared" si="593"/>
        <v>0</v>
      </c>
      <c r="V1069" s="2">
        <f t="shared" si="594"/>
        <v>0</v>
      </c>
      <c r="W1069" s="11">
        <f t="shared" si="563"/>
        <v>0</v>
      </c>
      <c r="X1069" s="2">
        <f t="shared" si="564"/>
        <v>0</v>
      </c>
      <c r="Y1069" s="2">
        <f t="shared" si="565"/>
        <v>0</v>
      </c>
      <c r="Z1069" s="11">
        <f t="shared" si="566"/>
        <v>0</v>
      </c>
      <c r="AA1069" s="2">
        <f t="shared" si="567"/>
        <v>0</v>
      </c>
      <c r="AB1069" s="11">
        <f t="shared" si="568"/>
        <v>0</v>
      </c>
      <c r="AC1069" s="2">
        <f t="shared" si="569"/>
        <v>0</v>
      </c>
      <c r="AF1069" s="11">
        <f t="shared" si="570"/>
        <v>0</v>
      </c>
      <c r="AG1069" s="2">
        <f t="shared" si="571"/>
        <v>0</v>
      </c>
      <c r="AH1069" s="2">
        <f t="shared" si="572"/>
        <v>0</v>
      </c>
      <c r="AI1069" s="2">
        <f t="shared" si="573"/>
        <v>0</v>
      </c>
      <c r="AJ1069" s="2">
        <f t="shared" si="574"/>
        <v>0</v>
      </c>
      <c r="AK1069" s="2">
        <f t="shared" si="575"/>
        <v>0</v>
      </c>
      <c r="AL1069" s="2">
        <f t="shared" si="576"/>
        <v>0</v>
      </c>
      <c r="AM1069" s="11"/>
      <c r="AN1069" s="2" t="e">
        <f t="shared" si="585"/>
        <v>#N/A</v>
      </c>
      <c r="AO1069" s="2" t="e">
        <f t="shared" si="586"/>
        <v>#N/A</v>
      </c>
      <c r="AP1069" s="2" t="e">
        <f t="shared" si="587"/>
        <v>#N/A</v>
      </c>
      <c r="AQ1069" s="2" t="e">
        <f t="shared" si="588"/>
        <v>#N/A</v>
      </c>
      <c r="AR1069" s="2" t="e">
        <f t="shared" si="589"/>
        <v>#N/A</v>
      </c>
      <c r="AS1069" s="2" t="e">
        <f t="shared" si="590"/>
        <v>#DIV/0!</v>
      </c>
      <c r="AT1069" s="9" t="e">
        <f t="shared" ca="1" si="591"/>
        <v>#N/A</v>
      </c>
      <c r="AU1069" s="9" t="e">
        <f t="shared" ca="1" si="592"/>
        <v>#N/A</v>
      </c>
      <c r="AW1069" s="2" t="e">
        <f t="shared" si="577"/>
        <v>#N/A</v>
      </c>
      <c r="AX1069" s="2" t="e">
        <f t="shared" si="578"/>
        <v>#N/A</v>
      </c>
      <c r="AY1069" s="2" t="e">
        <f t="shared" si="579"/>
        <v>#N/A</v>
      </c>
      <c r="AZ1069" s="2" t="e">
        <f t="shared" si="580"/>
        <v>#N/A</v>
      </c>
      <c r="BA1069" s="2" t="e">
        <f t="shared" si="581"/>
        <v>#N/A</v>
      </c>
      <c r="BB1069" s="2" t="e">
        <f t="shared" si="582"/>
        <v>#DIV/0!</v>
      </c>
      <c r="BC1069" s="9" t="e">
        <f t="shared" ca="1" si="583"/>
        <v>#N/A</v>
      </c>
      <c r="BD1069" s="9" t="e">
        <f t="shared" ca="1" si="584"/>
        <v>#N/A</v>
      </c>
    </row>
    <row r="1070" spans="1:56" ht="15" x14ac:dyDescent="0.25">
      <c r="A1070"/>
      <c r="B1070"/>
      <c r="C1070"/>
      <c r="D1070"/>
      <c r="E1070"/>
      <c r="F1070"/>
      <c r="G1070"/>
      <c r="H1070"/>
      <c r="I1070"/>
      <c r="J1070"/>
      <c r="K1070"/>
      <c r="L1070" s="64"/>
      <c r="M1070" s="64"/>
      <c r="N1070" s="16"/>
      <c r="O1070" s="11"/>
      <c r="P1070" s="11"/>
      <c r="Q1070" s="11"/>
      <c r="R1070" s="11"/>
      <c r="S1070" s="11"/>
      <c r="T1070" s="11"/>
      <c r="U1070" s="11">
        <f t="shared" si="593"/>
        <v>0</v>
      </c>
      <c r="V1070" s="2">
        <f t="shared" si="594"/>
        <v>0</v>
      </c>
      <c r="W1070" s="11">
        <f t="shared" si="563"/>
        <v>0</v>
      </c>
      <c r="X1070" s="2">
        <f t="shared" si="564"/>
        <v>0</v>
      </c>
      <c r="Y1070" s="2">
        <f t="shared" si="565"/>
        <v>0</v>
      </c>
      <c r="Z1070" s="11">
        <f t="shared" si="566"/>
        <v>0</v>
      </c>
      <c r="AA1070" s="2">
        <f t="shared" si="567"/>
        <v>0</v>
      </c>
      <c r="AB1070" s="11">
        <f t="shared" si="568"/>
        <v>0</v>
      </c>
      <c r="AC1070" s="2">
        <f t="shared" si="569"/>
        <v>0</v>
      </c>
      <c r="AF1070" s="11">
        <f t="shared" si="570"/>
        <v>0</v>
      </c>
      <c r="AG1070" s="2">
        <f t="shared" si="571"/>
        <v>0</v>
      </c>
      <c r="AH1070" s="2">
        <f t="shared" si="572"/>
        <v>0</v>
      </c>
      <c r="AI1070" s="2">
        <f t="shared" si="573"/>
        <v>0</v>
      </c>
      <c r="AJ1070" s="2">
        <f t="shared" si="574"/>
        <v>0</v>
      </c>
      <c r="AK1070" s="2">
        <f t="shared" si="575"/>
        <v>0</v>
      </c>
      <c r="AL1070" s="2">
        <f t="shared" si="576"/>
        <v>0</v>
      </c>
      <c r="AM1070" s="11"/>
      <c r="AN1070" s="2" t="e">
        <f t="shared" si="585"/>
        <v>#N/A</v>
      </c>
      <c r="AO1070" s="2" t="e">
        <f t="shared" si="586"/>
        <v>#N/A</v>
      </c>
      <c r="AP1070" s="2" t="e">
        <f t="shared" si="587"/>
        <v>#N/A</v>
      </c>
      <c r="AQ1070" s="2" t="e">
        <f t="shared" si="588"/>
        <v>#N/A</v>
      </c>
      <c r="AR1070" s="2" t="e">
        <f t="shared" si="589"/>
        <v>#N/A</v>
      </c>
      <c r="AS1070" s="2" t="e">
        <f t="shared" si="590"/>
        <v>#DIV/0!</v>
      </c>
      <c r="AT1070" s="9" t="e">
        <f t="shared" ca="1" si="591"/>
        <v>#N/A</v>
      </c>
      <c r="AU1070" s="9" t="e">
        <f t="shared" ca="1" si="592"/>
        <v>#N/A</v>
      </c>
      <c r="AW1070" s="2" t="e">
        <f t="shared" si="577"/>
        <v>#N/A</v>
      </c>
      <c r="AX1070" s="2" t="e">
        <f t="shared" si="578"/>
        <v>#N/A</v>
      </c>
      <c r="AY1070" s="2" t="e">
        <f t="shared" si="579"/>
        <v>#N/A</v>
      </c>
      <c r="AZ1070" s="2" t="e">
        <f t="shared" si="580"/>
        <v>#N/A</v>
      </c>
      <c r="BA1070" s="2" t="e">
        <f t="shared" si="581"/>
        <v>#N/A</v>
      </c>
      <c r="BB1070" s="2" t="e">
        <f t="shared" si="582"/>
        <v>#DIV/0!</v>
      </c>
      <c r="BC1070" s="9" t="e">
        <f t="shared" ca="1" si="583"/>
        <v>#N/A</v>
      </c>
      <c r="BD1070" s="9" t="e">
        <f t="shared" ca="1" si="584"/>
        <v>#N/A</v>
      </c>
    </row>
    <row r="1071" spans="1:56" ht="15" x14ac:dyDescent="0.25">
      <c r="A1071"/>
      <c r="B1071"/>
      <c r="C1071"/>
      <c r="D1071"/>
      <c r="E1071"/>
      <c r="F1071"/>
      <c r="G1071"/>
      <c r="H1071"/>
      <c r="I1071"/>
      <c r="J1071"/>
      <c r="K1071"/>
      <c r="L1071" s="64"/>
      <c r="M1071" s="64"/>
      <c r="N1071" s="16"/>
      <c r="O1071" s="11"/>
      <c r="P1071" s="11"/>
      <c r="Q1071" s="11"/>
      <c r="R1071" s="11"/>
      <c r="S1071" s="11"/>
      <c r="T1071" s="11"/>
      <c r="U1071" s="11">
        <f t="shared" si="593"/>
        <v>0</v>
      </c>
      <c r="V1071" s="2">
        <f t="shared" si="594"/>
        <v>0</v>
      </c>
      <c r="W1071" s="11">
        <f t="shared" si="563"/>
        <v>0</v>
      </c>
      <c r="X1071" s="2">
        <f t="shared" si="564"/>
        <v>0</v>
      </c>
      <c r="Y1071" s="2">
        <f t="shared" si="565"/>
        <v>0</v>
      </c>
      <c r="Z1071" s="11">
        <f t="shared" si="566"/>
        <v>0</v>
      </c>
      <c r="AA1071" s="2">
        <f t="shared" si="567"/>
        <v>0</v>
      </c>
      <c r="AB1071" s="11">
        <f t="shared" si="568"/>
        <v>0</v>
      </c>
      <c r="AC1071" s="2">
        <f t="shared" si="569"/>
        <v>0</v>
      </c>
      <c r="AF1071" s="11">
        <f t="shared" si="570"/>
        <v>0</v>
      </c>
      <c r="AG1071" s="2">
        <f t="shared" si="571"/>
        <v>0</v>
      </c>
      <c r="AH1071" s="2">
        <f t="shared" si="572"/>
        <v>0</v>
      </c>
      <c r="AI1071" s="2">
        <f t="shared" si="573"/>
        <v>0</v>
      </c>
      <c r="AJ1071" s="2">
        <f t="shared" si="574"/>
        <v>0</v>
      </c>
      <c r="AK1071" s="2">
        <f t="shared" si="575"/>
        <v>0</v>
      </c>
      <c r="AL1071" s="2">
        <f t="shared" si="576"/>
        <v>0</v>
      </c>
      <c r="AM1071" s="11"/>
      <c r="AN1071" s="2" t="e">
        <f t="shared" si="585"/>
        <v>#N/A</v>
      </c>
      <c r="AO1071" s="2" t="e">
        <f t="shared" si="586"/>
        <v>#N/A</v>
      </c>
      <c r="AP1071" s="2" t="e">
        <f t="shared" si="587"/>
        <v>#N/A</v>
      </c>
      <c r="AQ1071" s="2" t="e">
        <f t="shared" si="588"/>
        <v>#N/A</v>
      </c>
      <c r="AR1071" s="2" t="e">
        <f t="shared" si="589"/>
        <v>#N/A</v>
      </c>
      <c r="AS1071" s="2" t="e">
        <f t="shared" si="590"/>
        <v>#DIV/0!</v>
      </c>
      <c r="AT1071" s="9" t="e">
        <f t="shared" ca="1" si="591"/>
        <v>#N/A</v>
      </c>
      <c r="AU1071" s="9" t="e">
        <f t="shared" ca="1" si="592"/>
        <v>#N/A</v>
      </c>
      <c r="AW1071" s="2" t="e">
        <f t="shared" si="577"/>
        <v>#N/A</v>
      </c>
      <c r="AX1071" s="2" t="e">
        <f t="shared" si="578"/>
        <v>#N/A</v>
      </c>
      <c r="AY1071" s="2" t="e">
        <f t="shared" si="579"/>
        <v>#N/A</v>
      </c>
      <c r="AZ1071" s="2" t="e">
        <f t="shared" si="580"/>
        <v>#N/A</v>
      </c>
      <c r="BA1071" s="2" t="e">
        <f t="shared" si="581"/>
        <v>#N/A</v>
      </c>
      <c r="BB1071" s="2" t="e">
        <f t="shared" si="582"/>
        <v>#DIV/0!</v>
      </c>
      <c r="BC1071" s="9" t="e">
        <f t="shared" ca="1" si="583"/>
        <v>#N/A</v>
      </c>
      <c r="BD1071" s="9" t="e">
        <f t="shared" ca="1" si="584"/>
        <v>#N/A</v>
      </c>
    </row>
    <row r="1072" spans="1:56" ht="15" x14ac:dyDescent="0.25">
      <c r="A1072"/>
      <c r="B1072"/>
      <c r="C1072"/>
      <c r="D1072"/>
      <c r="E1072"/>
      <c r="F1072"/>
      <c r="G1072"/>
      <c r="H1072"/>
      <c r="I1072"/>
      <c r="J1072"/>
      <c r="K1072"/>
      <c r="L1072" s="64"/>
      <c r="M1072" s="64"/>
      <c r="N1072" s="16"/>
      <c r="O1072" s="11"/>
      <c r="P1072" s="11"/>
      <c r="Q1072" s="11"/>
      <c r="R1072" s="11"/>
      <c r="S1072" s="11"/>
      <c r="T1072" s="11"/>
      <c r="U1072" s="11">
        <f t="shared" si="593"/>
        <v>0</v>
      </c>
      <c r="V1072" s="2">
        <f t="shared" si="594"/>
        <v>0</v>
      </c>
      <c r="W1072" s="11">
        <f t="shared" si="563"/>
        <v>0</v>
      </c>
      <c r="X1072" s="2">
        <f t="shared" si="564"/>
        <v>0</v>
      </c>
      <c r="Y1072" s="2">
        <f t="shared" si="565"/>
        <v>0</v>
      </c>
      <c r="Z1072" s="11">
        <f t="shared" si="566"/>
        <v>0</v>
      </c>
      <c r="AA1072" s="2">
        <f t="shared" si="567"/>
        <v>0</v>
      </c>
      <c r="AB1072" s="11">
        <f t="shared" si="568"/>
        <v>0</v>
      </c>
      <c r="AC1072" s="2">
        <f t="shared" si="569"/>
        <v>0</v>
      </c>
      <c r="AF1072" s="11">
        <f t="shared" si="570"/>
        <v>0</v>
      </c>
      <c r="AG1072" s="2">
        <f t="shared" si="571"/>
        <v>0</v>
      </c>
      <c r="AH1072" s="2">
        <f t="shared" si="572"/>
        <v>0</v>
      </c>
      <c r="AI1072" s="2">
        <f t="shared" si="573"/>
        <v>0</v>
      </c>
      <c r="AJ1072" s="2">
        <f t="shared" si="574"/>
        <v>0</v>
      </c>
      <c r="AK1072" s="2">
        <f t="shared" si="575"/>
        <v>0</v>
      </c>
      <c r="AL1072" s="2">
        <f t="shared" si="576"/>
        <v>0</v>
      </c>
      <c r="AM1072" s="11"/>
      <c r="AN1072" s="2" t="e">
        <f t="shared" si="585"/>
        <v>#N/A</v>
      </c>
      <c r="AO1072" s="2" t="e">
        <f t="shared" si="586"/>
        <v>#N/A</v>
      </c>
      <c r="AP1072" s="2" t="e">
        <f t="shared" si="587"/>
        <v>#N/A</v>
      </c>
      <c r="AQ1072" s="2" t="e">
        <f t="shared" si="588"/>
        <v>#N/A</v>
      </c>
      <c r="AR1072" s="2" t="e">
        <f t="shared" si="589"/>
        <v>#N/A</v>
      </c>
      <c r="AS1072" s="2" t="e">
        <f t="shared" si="590"/>
        <v>#DIV/0!</v>
      </c>
      <c r="AT1072" s="9" t="e">
        <f t="shared" ca="1" si="591"/>
        <v>#N/A</v>
      </c>
      <c r="AU1072" s="9" t="e">
        <f t="shared" ca="1" si="592"/>
        <v>#N/A</v>
      </c>
      <c r="AW1072" s="2" t="e">
        <f t="shared" si="577"/>
        <v>#N/A</v>
      </c>
      <c r="AX1072" s="2" t="e">
        <f t="shared" si="578"/>
        <v>#N/A</v>
      </c>
      <c r="AY1072" s="2" t="e">
        <f t="shared" si="579"/>
        <v>#N/A</v>
      </c>
      <c r="AZ1072" s="2" t="e">
        <f t="shared" si="580"/>
        <v>#N/A</v>
      </c>
      <c r="BA1072" s="2" t="e">
        <f t="shared" si="581"/>
        <v>#N/A</v>
      </c>
      <c r="BB1072" s="2" t="e">
        <f t="shared" si="582"/>
        <v>#DIV/0!</v>
      </c>
      <c r="BC1072" s="9" t="e">
        <f t="shared" ca="1" si="583"/>
        <v>#N/A</v>
      </c>
      <c r="BD1072" s="9" t="e">
        <f t="shared" ca="1" si="584"/>
        <v>#N/A</v>
      </c>
    </row>
    <row r="1073" spans="1:56" ht="15" x14ac:dyDescent="0.25">
      <c r="A1073"/>
      <c r="B1073"/>
      <c r="C1073"/>
      <c r="D1073"/>
      <c r="E1073"/>
      <c r="F1073"/>
      <c r="G1073"/>
      <c r="H1073"/>
      <c r="I1073"/>
      <c r="J1073"/>
      <c r="K1073"/>
      <c r="L1073" s="64"/>
      <c r="M1073" s="64"/>
      <c r="N1073" s="16"/>
      <c r="O1073" s="11"/>
      <c r="P1073" s="11"/>
      <c r="Q1073" s="11"/>
      <c r="R1073" s="11"/>
      <c r="S1073" s="11"/>
      <c r="T1073" s="11"/>
      <c r="U1073" s="11">
        <f t="shared" si="593"/>
        <v>0</v>
      </c>
      <c r="V1073" s="2">
        <f t="shared" si="594"/>
        <v>0</v>
      </c>
      <c r="W1073" s="11">
        <f t="shared" si="563"/>
        <v>0</v>
      </c>
      <c r="X1073" s="2">
        <f t="shared" si="564"/>
        <v>0</v>
      </c>
      <c r="Y1073" s="2">
        <f t="shared" si="565"/>
        <v>0</v>
      </c>
      <c r="Z1073" s="11">
        <f t="shared" si="566"/>
        <v>0</v>
      </c>
      <c r="AA1073" s="2">
        <f t="shared" si="567"/>
        <v>0</v>
      </c>
      <c r="AB1073" s="11">
        <f t="shared" si="568"/>
        <v>0</v>
      </c>
      <c r="AC1073" s="2">
        <f t="shared" si="569"/>
        <v>0</v>
      </c>
      <c r="AF1073" s="11">
        <f t="shared" si="570"/>
        <v>0</v>
      </c>
      <c r="AG1073" s="2">
        <f t="shared" si="571"/>
        <v>0</v>
      </c>
      <c r="AH1073" s="2">
        <f t="shared" si="572"/>
        <v>0</v>
      </c>
      <c r="AI1073" s="2">
        <f t="shared" si="573"/>
        <v>0</v>
      </c>
      <c r="AJ1073" s="2">
        <f t="shared" si="574"/>
        <v>0</v>
      </c>
      <c r="AK1073" s="2">
        <f t="shared" si="575"/>
        <v>0</v>
      </c>
      <c r="AL1073" s="2">
        <f t="shared" si="576"/>
        <v>0</v>
      </c>
      <c r="AM1073" s="11"/>
      <c r="AN1073" s="2" t="e">
        <f t="shared" si="585"/>
        <v>#N/A</v>
      </c>
      <c r="AO1073" s="2" t="e">
        <f t="shared" si="586"/>
        <v>#N/A</v>
      </c>
      <c r="AP1073" s="2" t="e">
        <f t="shared" si="587"/>
        <v>#N/A</v>
      </c>
      <c r="AQ1073" s="2" t="e">
        <f t="shared" si="588"/>
        <v>#N/A</v>
      </c>
      <c r="AR1073" s="2" t="e">
        <f t="shared" si="589"/>
        <v>#N/A</v>
      </c>
      <c r="AS1073" s="2" t="e">
        <f t="shared" si="590"/>
        <v>#DIV/0!</v>
      </c>
      <c r="AT1073" s="9" t="e">
        <f t="shared" ca="1" si="591"/>
        <v>#N/A</v>
      </c>
      <c r="AU1073" s="9" t="e">
        <f t="shared" ca="1" si="592"/>
        <v>#N/A</v>
      </c>
      <c r="AW1073" s="2" t="e">
        <f t="shared" si="577"/>
        <v>#N/A</v>
      </c>
      <c r="AX1073" s="2" t="e">
        <f t="shared" si="578"/>
        <v>#N/A</v>
      </c>
      <c r="AY1073" s="2" t="e">
        <f t="shared" si="579"/>
        <v>#N/A</v>
      </c>
      <c r="AZ1073" s="2" t="e">
        <f t="shared" si="580"/>
        <v>#N/A</v>
      </c>
      <c r="BA1073" s="2" t="e">
        <f t="shared" si="581"/>
        <v>#N/A</v>
      </c>
      <c r="BB1073" s="2" t="e">
        <f t="shared" si="582"/>
        <v>#DIV/0!</v>
      </c>
      <c r="BC1073" s="9" t="e">
        <f t="shared" ca="1" si="583"/>
        <v>#N/A</v>
      </c>
      <c r="BD1073" s="9" t="e">
        <f t="shared" ca="1" si="584"/>
        <v>#N/A</v>
      </c>
    </row>
    <row r="1074" spans="1:56" ht="15" x14ac:dyDescent="0.25">
      <c r="A1074"/>
      <c r="B1074"/>
      <c r="C1074"/>
      <c r="D1074"/>
      <c r="E1074"/>
      <c r="F1074"/>
      <c r="G1074"/>
      <c r="H1074"/>
      <c r="I1074"/>
      <c r="J1074"/>
      <c r="K1074"/>
      <c r="L1074" s="64"/>
      <c r="M1074" s="64"/>
      <c r="N1074" s="16"/>
      <c r="O1074" s="11"/>
      <c r="P1074" s="11"/>
      <c r="Q1074" s="11"/>
      <c r="R1074" s="11"/>
      <c r="S1074" s="11"/>
      <c r="T1074" s="11"/>
      <c r="U1074" s="11">
        <f t="shared" si="593"/>
        <v>0</v>
      </c>
      <c r="V1074" s="2">
        <f t="shared" si="594"/>
        <v>0</v>
      </c>
      <c r="W1074" s="11">
        <f t="shared" si="563"/>
        <v>0</v>
      </c>
      <c r="X1074" s="2">
        <f t="shared" si="564"/>
        <v>0</v>
      </c>
      <c r="Y1074" s="2">
        <f t="shared" si="565"/>
        <v>0</v>
      </c>
      <c r="Z1074" s="11">
        <f t="shared" si="566"/>
        <v>0</v>
      </c>
      <c r="AA1074" s="2">
        <f t="shared" si="567"/>
        <v>0</v>
      </c>
      <c r="AB1074" s="11">
        <f t="shared" si="568"/>
        <v>0</v>
      </c>
      <c r="AC1074" s="2">
        <f t="shared" si="569"/>
        <v>0</v>
      </c>
      <c r="AF1074" s="11">
        <f t="shared" si="570"/>
        <v>0</v>
      </c>
      <c r="AG1074" s="2">
        <f t="shared" si="571"/>
        <v>0</v>
      </c>
      <c r="AH1074" s="2">
        <f t="shared" si="572"/>
        <v>0</v>
      </c>
      <c r="AI1074" s="2">
        <f t="shared" si="573"/>
        <v>0</v>
      </c>
      <c r="AJ1074" s="2">
        <f t="shared" si="574"/>
        <v>0</v>
      </c>
      <c r="AK1074" s="2">
        <f t="shared" si="575"/>
        <v>0</v>
      </c>
      <c r="AL1074" s="2">
        <f t="shared" si="576"/>
        <v>0</v>
      </c>
      <c r="AM1074" s="11"/>
      <c r="AN1074" s="2" t="e">
        <f t="shared" si="585"/>
        <v>#N/A</v>
      </c>
      <c r="AO1074" s="2" t="e">
        <f t="shared" si="586"/>
        <v>#N/A</v>
      </c>
      <c r="AP1074" s="2" t="e">
        <f t="shared" si="587"/>
        <v>#N/A</v>
      </c>
      <c r="AQ1074" s="2" t="e">
        <f t="shared" si="588"/>
        <v>#N/A</v>
      </c>
      <c r="AR1074" s="2" t="e">
        <f t="shared" si="589"/>
        <v>#N/A</v>
      </c>
      <c r="AS1074" s="2" t="e">
        <f t="shared" si="590"/>
        <v>#DIV/0!</v>
      </c>
      <c r="AT1074" s="9" t="e">
        <f t="shared" ca="1" si="591"/>
        <v>#N/A</v>
      </c>
      <c r="AU1074" s="9" t="e">
        <f t="shared" ca="1" si="592"/>
        <v>#N/A</v>
      </c>
      <c r="AW1074" s="2" t="e">
        <f t="shared" si="577"/>
        <v>#N/A</v>
      </c>
      <c r="AX1074" s="2" t="e">
        <f t="shared" si="578"/>
        <v>#N/A</v>
      </c>
      <c r="AY1074" s="2" t="e">
        <f t="shared" si="579"/>
        <v>#N/A</v>
      </c>
      <c r="AZ1074" s="2" t="e">
        <f t="shared" si="580"/>
        <v>#N/A</v>
      </c>
      <c r="BA1074" s="2" t="e">
        <f t="shared" si="581"/>
        <v>#N/A</v>
      </c>
      <c r="BB1074" s="2" t="e">
        <f t="shared" si="582"/>
        <v>#DIV/0!</v>
      </c>
      <c r="BC1074" s="9" t="e">
        <f t="shared" ca="1" si="583"/>
        <v>#N/A</v>
      </c>
      <c r="BD1074" s="9" t="e">
        <f t="shared" ca="1" si="584"/>
        <v>#N/A</v>
      </c>
    </row>
    <row r="1075" spans="1:56" ht="15" x14ac:dyDescent="0.25">
      <c r="A1075"/>
      <c r="B1075"/>
      <c r="C1075"/>
      <c r="D1075"/>
      <c r="E1075"/>
      <c r="F1075"/>
      <c r="G1075"/>
      <c r="H1075"/>
      <c r="I1075"/>
      <c r="J1075"/>
      <c r="K1075"/>
      <c r="L1075" s="64"/>
      <c r="M1075" s="64"/>
      <c r="N1075" s="16"/>
      <c r="O1075" s="11"/>
      <c r="P1075" s="11"/>
      <c r="Q1075" s="11"/>
      <c r="R1075" s="11"/>
      <c r="S1075" s="11"/>
      <c r="T1075" s="11"/>
      <c r="U1075" s="11">
        <f t="shared" si="593"/>
        <v>0</v>
      </c>
      <c r="V1075" s="2">
        <f t="shared" si="594"/>
        <v>0</v>
      </c>
      <c r="W1075" s="11">
        <f t="shared" si="563"/>
        <v>0</v>
      </c>
      <c r="X1075" s="2">
        <f t="shared" si="564"/>
        <v>0</v>
      </c>
      <c r="Y1075" s="2">
        <f t="shared" si="565"/>
        <v>0</v>
      </c>
      <c r="Z1075" s="11">
        <f t="shared" si="566"/>
        <v>0</v>
      </c>
      <c r="AA1075" s="2">
        <f t="shared" si="567"/>
        <v>0</v>
      </c>
      <c r="AB1075" s="11">
        <f t="shared" si="568"/>
        <v>0</v>
      </c>
      <c r="AC1075" s="2">
        <f t="shared" si="569"/>
        <v>0</v>
      </c>
      <c r="AF1075" s="11">
        <f t="shared" si="570"/>
        <v>0</v>
      </c>
      <c r="AG1075" s="2">
        <f t="shared" si="571"/>
        <v>0</v>
      </c>
      <c r="AH1075" s="2">
        <f t="shared" si="572"/>
        <v>0</v>
      </c>
      <c r="AI1075" s="2">
        <f t="shared" si="573"/>
        <v>0</v>
      </c>
      <c r="AJ1075" s="2">
        <f t="shared" si="574"/>
        <v>0</v>
      </c>
      <c r="AK1075" s="2">
        <f t="shared" si="575"/>
        <v>0</v>
      </c>
      <c r="AL1075" s="2">
        <f t="shared" si="576"/>
        <v>0</v>
      </c>
      <c r="AM1075" s="11"/>
      <c r="AN1075" s="2" t="e">
        <f t="shared" si="585"/>
        <v>#N/A</v>
      </c>
      <c r="AO1075" s="2" t="e">
        <f t="shared" si="586"/>
        <v>#N/A</v>
      </c>
      <c r="AP1075" s="2" t="e">
        <f t="shared" si="587"/>
        <v>#N/A</v>
      </c>
      <c r="AQ1075" s="2" t="e">
        <f t="shared" si="588"/>
        <v>#N/A</v>
      </c>
      <c r="AR1075" s="2" t="e">
        <f t="shared" si="589"/>
        <v>#N/A</v>
      </c>
      <c r="AS1075" s="2" t="e">
        <f t="shared" si="590"/>
        <v>#DIV/0!</v>
      </c>
      <c r="AT1075" s="9" t="e">
        <f t="shared" ca="1" si="591"/>
        <v>#N/A</v>
      </c>
      <c r="AU1075" s="9" t="e">
        <f t="shared" ca="1" si="592"/>
        <v>#N/A</v>
      </c>
      <c r="AW1075" s="2" t="e">
        <f t="shared" si="577"/>
        <v>#N/A</v>
      </c>
      <c r="AX1075" s="2" t="e">
        <f t="shared" si="578"/>
        <v>#N/A</v>
      </c>
      <c r="AY1075" s="2" t="e">
        <f t="shared" si="579"/>
        <v>#N/A</v>
      </c>
      <c r="AZ1075" s="2" t="e">
        <f t="shared" si="580"/>
        <v>#N/A</v>
      </c>
      <c r="BA1075" s="2" t="e">
        <f t="shared" si="581"/>
        <v>#N/A</v>
      </c>
      <c r="BB1075" s="2" t="e">
        <f t="shared" si="582"/>
        <v>#DIV/0!</v>
      </c>
      <c r="BC1075" s="9" t="e">
        <f t="shared" ca="1" si="583"/>
        <v>#N/A</v>
      </c>
      <c r="BD1075" s="9" t="e">
        <f t="shared" ca="1" si="584"/>
        <v>#N/A</v>
      </c>
    </row>
    <row r="1076" spans="1:56" ht="15" x14ac:dyDescent="0.25">
      <c r="A1076"/>
      <c r="B1076"/>
      <c r="C1076"/>
      <c r="D1076"/>
      <c r="E1076"/>
      <c r="F1076"/>
      <c r="G1076"/>
      <c r="H1076"/>
      <c r="I1076"/>
      <c r="J1076"/>
      <c r="K1076"/>
      <c r="L1076" s="64"/>
      <c r="M1076" s="64"/>
      <c r="N1076" s="16"/>
      <c r="O1076" s="11"/>
      <c r="P1076" s="11"/>
      <c r="Q1076" s="11"/>
      <c r="R1076" s="11"/>
      <c r="S1076" s="11"/>
      <c r="T1076" s="11"/>
      <c r="U1076" s="11">
        <f t="shared" si="593"/>
        <v>0</v>
      </c>
      <c r="V1076" s="2">
        <f t="shared" si="594"/>
        <v>0</v>
      </c>
      <c r="W1076" s="11">
        <f t="shared" si="563"/>
        <v>0</v>
      </c>
      <c r="X1076" s="2">
        <f t="shared" si="564"/>
        <v>0</v>
      </c>
      <c r="Y1076" s="2">
        <f t="shared" si="565"/>
        <v>0</v>
      </c>
      <c r="Z1076" s="11">
        <f t="shared" si="566"/>
        <v>0</v>
      </c>
      <c r="AA1076" s="2">
        <f t="shared" si="567"/>
        <v>0</v>
      </c>
      <c r="AB1076" s="11">
        <f t="shared" si="568"/>
        <v>0</v>
      </c>
      <c r="AC1076" s="2">
        <f t="shared" si="569"/>
        <v>0</v>
      </c>
      <c r="AF1076" s="11">
        <f t="shared" si="570"/>
        <v>0</v>
      </c>
      <c r="AG1076" s="2">
        <f t="shared" si="571"/>
        <v>0</v>
      </c>
      <c r="AH1076" s="2">
        <f t="shared" si="572"/>
        <v>0</v>
      </c>
      <c r="AI1076" s="2">
        <f t="shared" si="573"/>
        <v>0</v>
      </c>
      <c r="AJ1076" s="2">
        <f t="shared" si="574"/>
        <v>0</v>
      </c>
      <c r="AK1076" s="2">
        <f t="shared" si="575"/>
        <v>0</v>
      </c>
      <c r="AL1076" s="2">
        <f t="shared" si="576"/>
        <v>0</v>
      </c>
      <c r="AM1076" s="11"/>
      <c r="AN1076" s="2" t="e">
        <f t="shared" si="585"/>
        <v>#N/A</v>
      </c>
      <c r="AO1076" s="2" t="e">
        <f t="shared" si="586"/>
        <v>#N/A</v>
      </c>
      <c r="AP1076" s="2" t="e">
        <f t="shared" si="587"/>
        <v>#N/A</v>
      </c>
      <c r="AQ1076" s="2" t="e">
        <f t="shared" si="588"/>
        <v>#N/A</v>
      </c>
      <c r="AR1076" s="2" t="e">
        <f t="shared" si="589"/>
        <v>#N/A</v>
      </c>
      <c r="AS1076" s="2" t="e">
        <f t="shared" si="590"/>
        <v>#DIV/0!</v>
      </c>
      <c r="AT1076" s="9" t="e">
        <f t="shared" ca="1" si="591"/>
        <v>#N/A</v>
      </c>
      <c r="AU1076" s="9" t="e">
        <f t="shared" ca="1" si="592"/>
        <v>#N/A</v>
      </c>
      <c r="AW1076" s="2" t="e">
        <f t="shared" si="577"/>
        <v>#N/A</v>
      </c>
      <c r="AX1076" s="2" t="e">
        <f t="shared" si="578"/>
        <v>#N/A</v>
      </c>
      <c r="AY1076" s="2" t="e">
        <f t="shared" si="579"/>
        <v>#N/A</v>
      </c>
      <c r="AZ1076" s="2" t="e">
        <f t="shared" si="580"/>
        <v>#N/A</v>
      </c>
      <c r="BA1076" s="2" t="e">
        <f t="shared" si="581"/>
        <v>#N/A</v>
      </c>
      <c r="BB1076" s="2" t="e">
        <f t="shared" si="582"/>
        <v>#DIV/0!</v>
      </c>
      <c r="BC1076" s="9" t="e">
        <f t="shared" ca="1" si="583"/>
        <v>#N/A</v>
      </c>
      <c r="BD1076" s="9" t="e">
        <f t="shared" ca="1" si="584"/>
        <v>#N/A</v>
      </c>
    </row>
    <row r="1077" spans="1:56" ht="15" x14ac:dyDescent="0.25">
      <c r="A1077"/>
      <c r="B1077"/>
      <c r="C1077"/>
      <c r="D1077"/>
      <c r="E1077"/>
      <c r="F1077"/>
      <c r="G1077"/>
      <c r="H1077"/>
      <c r="I1077"/>
      <c r="J1077"/>
      <c r="K1077"/>
      <c r="L1077" s="64"/>
      <c r="M1077" s="64"/>
      <c r="N1077" s="16"/>
      <c r="O1077" s="11"/>
      <c r="P1077" s="11"/>
      <c r="Q1077" s="11"/>
      <c r="R1077" s="11"/>
      <c r="S1077" s="11"/>
      <c r="T1077" s="11"/>
      <c r="U1077" s="11">
        <f t="shared" si="593"/>
        <v>0</v>
      </c>
      <c r="V1077" s="2">
        <f t="shared" si="594"/>
        <v>0</v>
      </c>
      <c r="W1077" s="11">
        <f t="shared" si="563"/>
        <v>0</v>
      </c>
      <c r="X1077" s="2">
        <f t="shared" si="564"/>
        <v>0</v>
      </c>
      <c r="Y1077" s="2">
        <f t="shared" si="565"/>
        <v>0</v>
      </c>
      <c r="Z1077" s="11">
        <f t="shared" si="566"/>
        <v>0</v>
      </c>
      <c r="AA1077" s="2">
        <f t="shared" si="567"/>
        <v>0</v>
      </c>
      <c r="AB1077" s="11">
        <f t="shared" si="568"/>
        <v>0</v>
      </c>
      <c r="AC1077" s="2">
        <f t="shared" si="569"/>
        <v>0</v>
      </c>
      <c r="AF1077" s="11">
        <f t="shared" si="570"/>
        <v>0</v>
      </c>
      <c r="AG1077" s="2">
        <f t="shared" si="571"/>
        <v>0</v>
      </c>
      <c r="AH1077" s="2">
        <f t="shared" si="572"/>
        <v>0</v>
      </c>
      <c r="AI1077" s="2">
        <f t="shared" si="573"/>
        <v>0</v>
      </c>
      <c r="AJ1077" s="2">
        <f t="shared" si="574"/>
        <v>0</v>
      </c>
      <c r="AK1077" s="2">
        <f t="shared" si="575"/>
        <v>0</v>
      </c>
      <c r="AL1077" s="2">
        <f t="shared" si="576"/>
        <v>0</v>
      </c>
      <c r="AM1077" s="11"/>
      <c r="AN1077" s="2" t="e">
        <f t="shared" si="585"/>
        <v>#N/A</v>
      </c>
      <c r="AO1077" s="2" t="e">
        <f t="shared" si="586"/>
        <v>#N/A</v>
      </c>
      <c r="AP1077" s="2" t="e">
        <f t="shared" si="587"/>
        <v>#N/A</v>
      </c>
      <c r="AQ1077" s="2" t="e">
        <f t="shared" si="588"/>
        <v>#N/A</v>
      </c>
      <c r="AR1077" s="2" t="e">
        <f t="shared" si="589"/>
        <v>#N/A</v>
      </c>
      <c r="AS1077" s="2" t="e">
        <f t="shared" si="590"/>
        <v>#DIV/0!</v>
      </c>
      <c r="AT1077" s="9" t="e">
        <f t="shared" ca="1" si="591"/>
        <v>#N/A</v>
      </c>
      <c r="AU1077" s="9" t="e">
        <f t="shared" ca="1" si="592"/>
        <v>#N/A</v>
      </c>
      <c r="AW1077" s="2" t="e">
        <f t="shared" si="577"/>
        <v>#N/A</v>
      </c>
      <c r="AX1077" s="2" t="e">
        <f t="shared" si="578"/>
        <v>#N/A</v>
      </c>
      <c r="AY1077" s="2" t="e">
        <f t="shared" si="579"/>
        <v>#N/A</v>
      </c>
      <c r="AZ1077" s="2" t="e">
        <f t="shared" si="580"/>
        <v>#N/A</v>
      </c>
      <c r="BA1077" s="2" t="e">
        <f t="shared" si="581"/>
        <v>#N/A</v>
      </c>
      <c r="BB1077" s="2" t="e">
        <f t="shared" si="582"/>
        <v>#DIV/0!</v>
      </c>
      <c r="BC1077" s="9" t="e">
        <f t="shared" ca="1" si="583"/>
        <v>#N/A</v>
      </c>
      <c r="BD1077" s="9" t="e">
        <f t="shared" ca="1" si="584"/>
        <v>#N/A</v>
      </c>
    </row>
    <row r="1078" spans="1:56" ht="15" x14ac:dyDescent="0.25">
      <c r="A1078"/>
      <c r="B1078"/>
      <c r="C1078"/>
      <c r="D1078"/>
      <c r="E1078"/>
      <c r="F1078"/>
      <c r="G1078"/>
      <c r="H1078"/>
      <c r="I1078"/>
      <c r="J1078"/>
      <c r="K1078"/>
      <c r="L1078" s="64"/>
      <c r="M1078" s="64"/>
      <c r="N1078" s="16"/>
      <c r="O1078" s="11"/>
      <c r="P1078" s="11"/>
      <c r="Q1078" s="11"/>
      <c r="R1078" s="11"/>
      <c r="S1078" s="11"/>
      <c r="T1078" s="11"/>
      <c r="U1078" s="11">
        <f t="shared" si="593"/>
        <v>0</v>
      </c>
      <c r="V1078" s="2">
        <f t="shared" si="594"/>
        <v>0</v>
      </c>
      <c r="W1078" s="11">
        <f t="shared" si="563"/>
        <v>0</v>
      </c>
      <c r="X1078" s="2">
        <f t="shared" si="564"/>
        <v>0</v>
      </c>
      <c r="Y1078" s="2">
        <f t="shared" si="565"/>
        <v>0</v>
      </c>
      <c r="Z1078" s="11">
        <f t="shared" si="566"/>
        <v>0</v>
      </c>
      <c r="AA1078" s="2">
        <f t="shared" si="567"/>
        <v>0</v>
      </c>
      <c r="AB1078" s="11">
        <f t="shared" si="568"/>
        <v>0</v>
      </c>
      <c r="AC1078" s="2">
        <f t="shared" si="569"/>
        <v>0</v>
      </c>
      <c r="AF1078" s="11">
        <f t="shared" si="570"/>
        <v>0</v>
      </c>
      <c r="AG1078" s="2">
        <f t="shared" si="571"/>
        <v>0</v>
      </c>
      <c r="AH1078" s="2">
        <f t="shared" si="572"/>
        <v>0</v>
      </c>
      <c r="AI1078" s="2">
        <f t="shared" si="573"/>
        <v>0</v>
      </c>
      <c r="AJ1078" s="2">
        <f t="shared" si="574"/>
        <v>0</v>
      </c>
      <c r="AK1078" s="2">
        <f t="shared" si="575"/>
        <v>0</v>
      </c>
      <c r="AL1078" s="2">
        <f t="shared" si="576"/>
        <v>0</v>
      </c>
      <c r="AM1078" s="11"/>
      <c r="AN1078" s="2" t="e">
        <f t="shared" si="585"/>
        <v>#N/A</v>
      </c>
      <c r="AO1078" s="2" t="e">
        <f t="shared" si="586"/>
        <v>#N/A</v>
      </c>
      <c r="AP1078" s="2" t="e">
        <f t="shared" si="587"/>
        <v>#N/A</v>
      </c>
      <c r="AQ1078" s="2" t="e">
        <f t="shared" si="588"/>
        <v>#N/A</v>
      </c>
      <c r="AR1078" s="2" t="e">
        <f t="shared" si="589"/>
        <v>#N/A</v>
      </c>
      <c r="AS1078" s="2" t="e">
        <f t="shared" si="590"/>
        <v>#DIV/0!</v>
      </c>
      <c r="AT1078" s="9" t="e">
        <f t="shared" ca="1" si="591"/>
        <v>#N/A</v>
      </c>
      <c r="AU1078" s="9" t="e">
        <f t="shared" ca="1" si="592"/>
        <v>#N/A</v>
      </c>
      <c r="AW1078" s="2" t="e">
        <f t="shared" si="577"/>
        <v>#N/A</v>
      </c>
      <c r="AX1078" s="2" t="e">
        <f t="shared" si="578"/>
        <v>#N/A</v>
      </c>
      <c r="AY1078" s="2" t="e">
        <f t="shared" si="579"/>
        <v>#N/A</v>
      </c>
      <c r="AZ1078" s="2" t="e">
        <f t="shared" si="580"/>
        <v>#N/A</v>
      </c>
      <c r="BA1078" s="2" t="e">
        <f t="shared" si="581"/>
        <v>#N/A</v>
      </c>
      <c r="BB1078" s="2" t="e">
        <f t="shared" si="582"/>
        <v>#DIV/0!</v>
      </c>
      <c r="BC1078" s="9" t="e">
        <f t="shared" ca="1" si="583"/>
        <v>#N/A</v>
      </c>
      <c r="BD1078" s="9" t="e">
        <f t="shared" ca="1" si="584"/>
        <v>#N/A</v>
      </c>
    </row>
    <row r="1079" spans="1:56" ht="15" x14ac:dyDescent="0.25">
      <c r="A1079"/>
      <c r="B1079"/>
      <c r="C1079"/>
      <c r="D1079"/>
      <c r="E1079"/>
      <c r="F1079"/>
      <c r="G1079"/>
      <c r="H1079"/>
      <c r="I1079"/>
      <c r="J1079"/>
      <c r="K1079"/>
      <c r="L1079" s="64"/>
      <c r="M1079" s="64"/>
      <c r="N1079" s="16"/>
      <c r="O1079" s="11"/>
      <c r="P1079" s="11"/>
      <c r="Q1079" s="11"/>
      <c r="R1079" s="11"/>
      <c r="S1079" s="11"/>
      <c r="T1079" s="11"/>
      <c r="U1079" s="11">
        <f t="shared" si="593"/>
        <v>0</v>
      </c>
      <c r="V1079" s="2">
        <f t="shared" si="594"/>
        <v>0</v>
      </c>
      <c r="W1079" s="11">
        <f t="shared" si="563"/>
        <v>0</v>
      </c>
      <c r="X1079" s="2">
        <f t="shared" si="564"/>
        <v>0</v>
      </c>
      <c r="Y1079" s="2">
        <f t="shared" si="565"/>
        <v>0</v>
      </c>
      <c r="Z1079" s="11">
        <f t="shared" si="566"/>
        <v>0</v>
      </c>
      <c r="AA1079" s="2">
        <f t="shared" si="567"/>
        <v>0</v>
      </c>
      <c r="AB1079" s="11">
        <f t="shared" si="568"/>
        <v>0</v>
      </c>
      <c r="AC1079" s="2">
        <f t="shared" si="569"/>
        <v>0</v>
      </c>
      <c r="AF1079" s="11">
        <f t="shared" si="570"/>
        <v>0</v>
      </c>
      <c r="AG1079" s="2">
        <f t="shared" si="571"/>
        <v>0</v>
      </c>
      <c r="AH1079" s="2">
        <f t="shared" si="572"/>
        <v>0</v>
      </c>
      <c r="AI1079" s="2">
        <f t="shared" si="573"/>
        <v>0</v>
      </c>
      <c r="AJ1079" s="2">
        <f t="shared" si="574"/>
        <v>0</v>
      </c>
      <c r="AK1079" s="2">
        <f t="shared" si="575"/>
        <v>0</v>
      </c>
      <c r="AL1079" s="2">
        <f t="shared" si="576"/>
        <v>0</v>
      </c>
      <c r="AM1079" s="11"/>
      <c r="AN1079" s="2" t="e">
        <f t="shared" si="585"/>
        <v>#N/A</v>
      </c>
      <c r="AO1079" s="2" t="e">
        <f t="shared" si="586"/>
        <v>#N/A</v>
      </c>
      <c r="AP1079" s="2" t="e">
        <f t="shared" si="587"/>
        <v>#N/A</v>
      </c>
      <c r="AQ1079" s="2" t="e">
        <f t="shared" si="588"/>
        <v>#N/A</v>
      </c>
      <c r="AR1079" s="2" t="e">
        <f t="shared" si="589"/>
        <v>#N/A</v>
      </c>
      <c r="AS1079" s="2" t="e">
        <f t="shared" si="590"/>
        <v>#DIV/0!</v>
      </c>
      <c r="AT1079" s="9" t="e">
        <f t="shared" ca="1" si="591"/>
        <v>#N/A</v>
      </c>
      <c r="AU1079" s="9" t="e">
        <f t="shared" ca="1" si="592"/>
        <v>#N/A</v>
      </c>
      <c r="AW1079" s="2" t="e">
        <f t="shared" si="577"/>
        <v>#N/A</v>
      </c>
      <c r="AX1079" s="2" t="e">
        <f t="shared" si="578"/>
        <v>#N/A</v>
      </c>
      <c r="AY1079" s="2" t="e">
        <f t="shared" si="579"/>
        <v>#N/A</v>
      </c>
      <c r="AZ1079" s="2" t="e">
        <f t="shared" si="580"/>
        <v>#N/A</v>
      </c>
      <c r="BA1079" s="2" t="e">
        <f t="shared" si="581"/>
        <v>#N/A</v>
      </c>
      <c r="BB1079" s="2" t="e">
        <f t="shared" si="582"/>
        <v>#DIV/0!</v>
      </c>
      <c r="BC1079" s="9" t="e">
        <f t="shared" ca="1" si="583"/>
        <v>#N/A</v>
      </c>
      <c r="BD1079" s="9" t="e">
        <f t="shared" ca="1" si="584"/>
        <v>#N/A</v>
      </c>
    </row>
    <row r="1080" spans="1:56" ht="15" x14ac:dyDescent="0.25">
      <c r="A1080"/>
      <c r="B1080"/>
      <c r="C1080"/>
      <c r="D1080"/>
      <c r="E1080"/>
      <c r="F1080"/>
      <c r="G1080"/>
      <c r="H1080"/>
      <c r="I1080"/>
      <c r="J1080"/>
      <c r="K1080"/>
      <c r="L1080" s="64"/>
      <c r="M1080" s="64"/>
      <c r="N1080" s="16"/>
      <c r="O1080" s="11"/>
      <c r="P1080" s="11"/>
      <c r="Q1080" s="11"/>
      <c r="R1080" s="11"/>
      <c r="S1080" s="11"/>
      <c r="T1080" s="11"/>
      <c r="U1080" s="11">
        <f t="shared" si="593"/>
        <v>0</v>
      </c>
      <c r="V1080" s="2">
        <f t="shared" si="594"/>
        <v>0</v>
      </c>
      <c r="W1080" s="11">
        <f t="shared" si="563"/>
        <v>0</v>
      </c>
      <c r="X1080" s="2">
        <f t="shared" si="564"/>
        <v>0</v>
      </c>
      <c r="Y1080" s="2">
        <f t="shared" si="565"/>
        <v>0</v>
      </c>
      <c r="Z1080" s="11">
        <f t="shared" si="566"/>
        <v>0</v>
      </c>
      <c r="AA1080" s="2">
        <f t="shared" si="567"/>
        <v>0</v>
      </c>
      <c r="AB1080" s="11">
        <f t="shared" si="568"/>
        <v>0</v>
      </c>
      <c r="AC1080" s="2">
        <f t="shared" si="569"/>
        <v>0</v>
      </c>
      <c r="AF1080" s="11">
        <f t="shared" si="570"/>
        <v>0</v>
      </c>
      <c r="AG1080" s="2">
        <f t="shared" si="571"/>
        <v>0</v>
      </c>
      <c r="AH1080" s="2">
        <f t="shared" si="572"/>
        <v>0</v>
      </c>
      <c r="AI1080" s="2">
        <f t="shared" si="573"/>
        <v>0</v>
      </c>
      <c r="AJ1080" s="2">
        <f t="shared" si="574"/>
        <v>0</v>
      </c>
      <c r="AK1080" s="2">
        <f t="shared" si="575"/>
        <v>0</v>
      </c>
      <c r="AL1080" s="2">
        <f t="shared" si="576"/>
        <v>0</v>
      </c>
      <c r="AM1080" s="11"/>
      <c r="AN1080" s="2" t="e">
        <f t="shared" si="585"/>
        <v>#N/A</v>
      </c>
      <c r="AO1080" s="2" t="e">
        <f t="shared" si="586"/>
        <v>#N/A</v>
      </c>
      <c r="AP1080" s="2" t="e">
        <f t="shared" si="587"/>
        <v>#N/A</v>
      </c>
      <c r="AQ1080" s="2" t="e">
        <f t="shared" si="588"/>
        <v>#N/A</v>
      </c>
      <c r="AR1080" s="2" t="e">
        <f t="shared" si="589"/>
        <v>#N/A</v>
      </c>
      <c r="AS1080" s="2" t="e">
        <f t="shared" si="590"/>
        <v>#DIV/0!</v>
      </c>
      <c r="AT1080" s="9" t="e">
        <f t="shared" ca="1" si="591"/>
        <v>#N/A</v>
      </c>
      <c r="AU1080" s="9" t="e">
        <f t="shared" ca="1" si="592"/>
        <v>#N/A</v>
      </c>
      <c r="AW1080" s="2" t="e">
        <f t="shared" si="577"/>
        <v>#N/A</v>
      </c>
      <c r="AX1080" s="2" t="e">
        <f t="shared" si="578"/>
        <v>#N/A</v>
      </c>
      <c r="AY1080" s="2" t="e">
        <f t="shared" si="579"/>
        <v>#N/A</v>
      </c>
      <c r="AZ1080" s="2" t="e">
        <f t="shared" si="580"/>
        <v>#N/A</v>
      </c>
      <c r="BA1080" s="2" t="e">
        <f t="shared" si="581"/>
        <v>#N/A</v>
      </c>
      <c r="BB1080" s="2" t="e">
        <f t="shared" si="582"/>
        <v>#DIV/0!</v>
      </c>
      <c r="BC1080" s="9" t="e">
        <f t="shared" ca="1" si="583"/>
        <v>#N/A</v>
      </c>
      <c r="BD1080" s="9" t="e">
        <f t="shared" ca="1" si="584"/>
        <v>#N/A</v>
      </c>
    </row>
    <row r="1081" spans="1:56" ht="15" x14ac:dyDescent="0.25">
      <c r="A1081"/>
      <c r="B1081"/>
      <c r="C1081"/>
      <c r="D1081"/>
      <c r="E1081"/>
      <c r="F1081"/>
      <c r="G1081"/>
      <c r="H1081"/>
      <c r="I1081"/>
      <c r="J1081"/>
      <c r="K1081"/>
      <c r="L1081" s="64"/>
      <c r="M1081" s="64"/>
      <c r="N1081" s="16"/>
      <c r="O1081" s="11"/>
      <c r="P1081" s="11"/>
      <c r="Q1081" s="11"/>
      <c r="R1081" s="11"/>
      <c r="S1081" s="11"/>
      <c r="T1081" s="11"/>
      <c r="U1081" s="11">
        <f t="shared" si="593"/>
        <v>0</v>
      </c>
      <c r="V1081" s="2">
        <f t="shared" si="594"/>
        <v>0</v>
      </c>
      <c r="W1081" s="11">
        <f t="shared" si="563"/>
        <v>0</v>
      </c>
      <c r="X1081" s="2">
        <f t="shared" si="564"/>
        <v>0</v>
      </c>
      <c r="Y1081" s="2">
        <f t="shared" si="565"/>
        <v>0</v>
      </c>
      <c r="Z1081" s="11">
        <f t="shared" si="566"/>
        <v>0</v>
      </c>
      <c r="AA1081" s="2">
        <f t="shared" si="567"/>
        <v>0</v>
      </c>
      <c r="AB1081" s="11">
        <f t="shared" si="568"/>
        <v>0</v>
      </c>
      <c r="AC1081" s="2">
        <f t="shared" si="569"/>
        <v>0</v>
      </c>
      <c r="AF1081" s="11">
        <f t="shared" si="570"/>
        <v>0</v>
      </c>
      <c r="AG1081" s="2">
        <f t="shared" si="571"/>
        <v>0</v>
      </c>
      <c r="AH1081" s="2">
        <f t="shared" si="572"/>
        <v>0</v>
      </c>
      <c r="AI1081" s="2">
        <f t="shared" si="573"/>
        <v>0</v>
      </c>
      <c r="AJ1081" s="2">
        <f t="shared" si="574"/>
        <v>0</v>
      </c>
      <c r="AK1081" s="2">
        <f t="shared" si="575"/>
        <v>0</v>
      </c>
      <c r="AL1081" s="2">
        <f t="shared" si="576"/>
        <v>0</v>
      </c>
      <c r="AM1081" s="11"/>
      <c r="AN1081" s="2" t="e">
        <f t="shared" si="585"/>
        <v>#N/A</v>
      </c>
      <c r="AO1081" s="2" t="e">
        <f t="shared" si="586"/>
        <v>#N/A</v>
      </c>
      <c r="AP1081" s="2" t="e">
        <f t="shared" si="587"/>
        <v>#N/A</v>
      </c>
      <c r="AQ1081" s="2" t="e">
        <f t="shared" si="588"/>
        <v>#N/A</v>
      </c>
      <c r="AR1081" s="2" t="e">
        <f t="shared" si="589"/>
        <v>#N/A</v>
      </c>
      <c r="AS1081" s="2" t="e">
        <f t="shared" si="590"/>
        <v>#DIV/0!</v>
      </c>
      <c r="AT1081" s="9" t="e">
        <f t="shared" ca="1" si="591"/>
        <v>#N/A</v>
      </c>
      <c r="AU1081" s="9" t="e">
        <f t="shared" ca="1" si="592"/>
        <v>#N/A</v>
      </c>
      <c r="AW1081" s="2" t="e">
        <f t="shared" si="577"/>
        <v>#N/A</v>
      </c>
      <c r="AX1081" s="2" t="e">
        <f t="shared" si="578"/>
        <v>#N/A</v>
      </c>
      <c r="AY1081" s="2" t="e">
        <f t="shared" si="579"/>
        <v>#N/A</v>
      </c>
      <c r="AZ1081" s="2" t="e">
        <f t="shared" si="580"/>
        <v>#N/A</v>
      </c>
      <c r="BA1081" s="2" t="e">
        <f t="shared" si="581"/>
        <v>#N/A</v>
      </c>
      <c r="BB1081" s="2" t="e">
        <f t="shared" si="582"/>
        <v>#DIV/0!</v>
      </c>
      <c r="BC1081" s="9" t="e">
        <f t="shared" ca="1" si="583"/>
        <v>#N/A</v>
      </c>
      <c r="BD1081" s="9" t="e">
        <f t="shared" ca="1" si="584"/>
        <v>#N/A</v>
      </c>
    </row>
    <row r="1082" spans="1:56" ht="15" x14ac:dyDescent="0.25">
      <c r="A1082"/>
      <c r="B1082"/>
      <c r="C1082"/>
      <c r="D1082"/>
      <c r="E1082"/>
      <c r="F1082"/>
      <c r="G1082"/>
      <c r="H1082"/>
      <c r="I1082"/>
      <c r="J1082"/>
      <c r="K1082"/>
      <c r="L1082" s="64"/>
      <c r="M1082" s="64"/>
      <c r="N1082" s="16"/>
      <c r="O1082" s="11"/>
      <c r="P1082" s="11"/>
      <c r="Q1082" s="11"/>
      <c r="R1082" s="11"/>
      <c r="S1082" s="11"/>
      <c r="T1082" s="11"/>
      <c r="U1082" s="11">
        <f t="shared" si="593"/>
        <v>0</v>
      </c>
      <c r="V1082" s="2">
        <f t="shared" si="594"/>
        <v>0</v>
      </c>
      <c r="W1082" s="11">
        <f t="shared" si="563"/>
        <v>0</v>
      </c>
      <c r="X1082" s="2">
        <f t="shared" si="564"/>
        <v>0</v>
      </c>
      <c r="Y1082" s="2">
        <f t="shared" si="565"/>
        <v>0</v>
      </c>
      <c r="Z1082" s="11">
        <f t="shared" si="566"/>
        <v>0</v>
      </c>
      <c r="AA1082" s="2">
        <f t="shared" si="567"/>
        <v>0</v>
      </c>
      <c r="AB1082" s="11">
        <f t="shared" si="568"/>
        <v>0</v>
      </c>
      <c r="AC1082" s="2">
        <f t="shared" si="569"/>
        <v>0</v>
      </c>
      <c r="AF1082" s="11">
        <f t="shared" si="570"/>
        <v>0</v>
      </c>
      <c r="AG1082" s="2">
        <f t="shared" si="571"/>
        <v>0</v>
      </c>
      <c r="AH1082" s="2">
        <f t="shared" si="572"/>
        <v>0</v>
      </c>
      <c r="AI1082" s="2">
        <f t="shared" si="573"/>
        <v>0</v>
      </c>
      <c r="AJ1082" s="2">
        <f t="shared" si="574"/>
        <v>0</v>
      </c>
      <c r="AK1082" s="2">
        <f t="shared" si="575"/>
        <v>0</v>
      </c>
      <c r="AL1082" s="2">
        <f t="shared" si="576"/>
        <v>0</v>
      </c>
      <c r="AM1082" s="11"/>
      <c r="AN1082" s="2" t="e">
        <f t="shared" si="585"/>
        <v>#N/A</v>
      </c>
      <c r="AO1082" s="2" t="e">
        <f t="shared" si="586"/>
        <v>#N/A</v>
      </c>
      <c r="AP1082" s="2" t="e">
        <f t="shared" si="587"/>
        <v>#N/A</v>
      </c>
      <c r="AQ1082" s="2" t="e">
        <f t="shared" si="588"/>
        <v>#N/A</v>
      </c>
      <c r="AR1082" s="2" t="e">
        <f t="shared" si="589"/>
        <v>#N/A</v>
      </c>
      <c r="AS1082" s="2" t="e">
        <f t="shared" si="590"/>
        <v>#DIV/0!</v>
      </c>
      <c r="AT1082" s="9" t="e">
        <f t="shared" ca="1" si="591"/>
        <v>#N/A</v>
      </c>
      <c r="AU1082" s="9" t="e">
        <f t="shared" ca="1" si="592"/>
        <v>#N/A</v>
      </c>
      <c r="AW1082" s="2" t="e">
        <f t="shared" si="577"/>
        <v>#N/A</v>
      </c>
      <c r="AX1082" s="2" t="e">
        <f t="shared" si="578"/>
        <v>#N/A</v>
      </c>
      <c r="AY1082" s="2" t="e">
        <f t="shared" si="579"/>
        <v>#N/A</v>
      </c>
      <c r="AZ1082" s="2" t="e">
        <f t="shared" si="580"/>
        <v>#N/A</v>
      </c>
      <c r="BA1082" s="2" t="e">
        <f t="shared" si="581"/>
        <v>#N/A</v>
      </c>
      <c r="BB1082" s="2" t="e">
        <f t="shared" si="582"/>
        <v>#DIV/0!</v>
      </c>
      <c r="BC1082" s="9" t="e">
        <f t="shared" ca="1" si="583"/>
        <v>#N/A</v>
      </c>
      <c r="BD1082" s="9" t="e">
        <f t="shared" ca="1" si="584"/>
        <v>#N/A</v>
      </c>
    </row>
    <row r="1083" spans="1:56" ht="15" x14ac:dyDescent="0.25">
      <c r="A1083"/>
      <c r="B1083"/>
      <c r="C1083"/>
      <c r="D1083"/>
      <c r="E1083"/>
      <c r="F1083"/>
      <c r="G1083"/>
      <c r="H1083"/>
      <c r="I1083"/>
      <c r="J1083"/>
      <c r="K1083"/>
      <c r="L1083" s="64"/>
      <c r="M1083" s="64"/>
      <c r="N1083" s="16"/>
      <c r="O1083" s="11"/>
      <c r="P1083" s="11"/>
      <c r="Q1083" s="11"/>
      <c r="R1083" s="11"/>
      <c r="S1083" s="11"/>
      <c r="T1083" s="11"/>
      <c r="U1083" s="11">
        <f t="shared" si="593"/>
        <v>0</v>
      </c>
      <c r="V1083" s="2">
        <f t="shared" si="594"/>
        <v>0</v>
      </c>
      <c r="W1083" s="11">
        <f t="shared" si="563"/>
        <v>0</v>
      </c>
      <c r="X1083" s="2">
        <f t="shared" si="564"/>
        <v>0</v>
      </c>
      <c r="Y1083" s="2">
        <f t="shared" si="565"/>
        <v>0</v>
      </c>
      <c r="Z1083" s="11">
        <f t="shared" si="566"/>
        <v>0</v>
      </c>
      <c r="AA1083" s="2">
        <f t="shared" si="567"/>
        <v>0</v>
      </c>
      <c r="AB1083" s="11">
        <f t="shared" si="568"/>
        <v>0</v>
      </c>
      <c r="AC1083" s="2">
        <f t="shared" si="569"/>
        <v>0</v>
      </c>
      <c r="AF1083" s="11">
        <f t="shared" si="570"/>
        <v>0</v>
      </c>
      <c r="AG1083" s="2">
        <f t="shared" si="571"/>
        <v>0</v>
      </c>
      <c r="AH1083" s="2">
        <f t="shared" si="572"/>
        <v>0</v>
      </c>
      <c r="AI1083" s="2">
        <f t="shared" si="573"/>
        <v>0</v>
      </c>
      <c r="AJ1083" s="2">
        <f t="shared" si="574"/>
        <v>0</v>
      </c>
      <c r="AK1083" s="2">
        <f t="shared" si="575"/>
        <v>0</v>
      </c>
      <c r="AL1083" s="2">
        <f t="shared" si="576"/>
        <v>0</v>
      </c>
      <c r="AM1083" s="11"/>
      <c r="AN1083" s="2" t="e">
        <f t="shared" si="585"/>
        <v>#N/A</v>
      </c>
      <c r="AO1083" s="2" t="e">
        <f t="shared" si="586"/>
        <v>#N/A</v>
      </c>
      <c r="AP1083" s="2" t="e">
        <f t="shared" si="587"/>
        <v>#N/A</v>
      </c>
      <c r="AQ1083" s="2" t="e">
        <f t="shared" si="588"/>
        <v>#N/A</v>
      </c>
      <c r="AR1083" s="2" t="e">
        <f t="shared" si="589"/>
        <v>#N/A</v>
      </c>
      <c r="AS1083" s="2" t="e">
        <f t="shared" si="590"/>
        <v>#DIV/0!</v>
      </c>
      <c r="AT1083" s="9" t="e">
        <f t="shared" ca="1" si="591"/>
        <v>#N/A</v>
      </c>
      <c r="AU1083" s="9" t="e">
        <f t="shared" ca="1" si="592"/>
        <v>#N/A</v>
      </c>
      <c r="AW1083" s="2" t="e">
        <f t="shared" si="577"/>
        <v>#N/A</v>
      </c>
      <c r="AX1083" s="2" t="e">
        <f t="shared" si="578"/>
        <v>#N/A</v>
      </c>
      <c r="AY1083" s="2" t="e">
        <f t="shared" si="579"/>
        <v>#N/A</v>
      </c>
      <c r="AZ1083" s="2" t="e">
        <f t="shared" si="580"/>
        <v>#N/A</v>
      </c>
      <c r="BA1083" s="2" t="e">
        <f t="shared" si="581"/>
        <v>#N/A</v>
      </c>
      <c r="BB1083" s="2" t="e">
        <f t="shared" si="582"/>
        <v>#DIV/0!</v>
      </c>
      <c r="BC1083" s="9" t="e">
        <f t="shared" ca="1" si="583"/>
        <v>#N/A</v>
      </c>
      <c r="BD1083" s="9" t="e">
        <f t="shared" ca="1" si="584"/>
        <v>#N/A</v>
      </c>
    </row>
    <row r="1084" spans="1:56" ht="15" x14ac:dyDescent="0.25">
      <c r="A1084"/>
      <c r="B1084"/>
      <c r="C1084"/>
      <c r="D1084"/>
      <c r="E1084"/>
      <c r="F1084"/>
      <c r="G1084"/>
      <c r="H1084"/>
      <c r="I1084"/>
      <c r="J1084"/>
      <c r="K1084"/>
      <c r="L1084" s="64"/>
      <c r="M1084" s="64"/>
      <c r="N1084" s="16"/>
      <c r="O1084" s="11"/>
      <c r="P1084" s="11"/>
      <c r="Q1084" s="11"/>
      <c r="R1084" s="11"/>
      <c r="S1084" s="11"/>
      <c r="T1084" s="11"/>
      <c r="U1084" s="11">
        <f t="shared" si="593"/>
        <v>0</v>
      </c>
      <c r="V1084" s="2">
        <f t="shared" si="594"/>
        <v>0</v>
      </c>
      <c r="W1084" s="11">
        <f t="shared" si="563"/>
        <v>0</v>
      </c>
      <c r="X1084" s="2">
        <f t="shared" si="564"/>
        <v>0</v>
      </c>
      <c r="Y1084" s="2">
        <f t="shared" si="565"/>
        <v>0</v>
      </c>
      <c r="Z1084" s="11">
        <f t="shared" si="566"/>
        <v>0</v>
      </c>
      <c r="AA1084" s="2">
        <f t="shared" si="567"/>
        <v>0</v>
      </c>
      <c r="AB1084" s="11">
        <f t="shared" si="568"/>
        <v>0</v>
      </c>
      <c r="AC1084" s="2">
        <f t="shared" si="569"/>
        <v>0</v>
      </c>
      <c r="AF1084" s="11">
        <f t="shared" si="570"/>
        <v>0</v>
      </c>
      <c r="AG1084" s="2">
        <f t="shared" si="571"/>
        <v>0</v>
      </c>
      <c r="AH1084" s="2">
        <f t="shared" si="572"/>
        <v>0</v>
      </c>
      <c r="AI1084" s="2">
        <f t="shared" si="573"/>
        <v>0</v>
      </c>
      <c r="AJ1084" s="2">
        <f t="shared" si="574"/>
        <v>0</v>
      </c>
      <c r="AK1084" s="2">
        <f t="shared" si="575"/>
        <v>0</v>
      </c>
      <c r="AL1084" s="2">
        <f t="shared" si="576"/>
        <v>0</v>
      </c>
      <c r="AM1084" s="11"/>
      <c r="AN1084" s="2" t="e">
        <f t="shared" si="585"/>
        <v>#N/A</v>
      </c>
      <c r="AO1084" s="2" t="e">
        <f t="shared" si="586"/>
        <v>#N/A</v>
      </c>
      <c r="AP1084" s="2" t="e">
        <f t="shared" si="587"/>
        <v>#N/A</v>
      </c>
      <c r="AQ1084" s="2" t="e">
        <f t="shared" si="588"/>
        <v>#N/A</v>
      </c>
      <c r="AR1084" s="2" t="e">
        <f t="shared" si="589"/>
        <v>#N/A</v>
      </c>
      <c r="AS1084" s="2" t="e">
        <f t="shared" si="590"/>
        <v>#DIV/0!</v>
      </c>
      <c r="AT1084" s="9" t="e">
        <f t="shared" ca="1" si="591"/>
        <v>#N/A</v>
      </c>
      <c r="AU1084" s="9" t="e">
        <f t="shared" ca="1" si="592"/>
        <v>#N/A</v>
      </c>
      <c r="AW1084" s="2" t="e">
        <f t="shared" si="577"/>
        <v>#N/A</v>
      </c>
      <c r="AX1084" s="2" t="e">
        <f t="shared" si="578"/>
        <v>#N/A</v>
      </c>
      <c r="AY1084" s="2" t="e">
        <f t="shared" si="579"/>
        <v>#N/A</v>
      </c>
      <c r="AZ1084" s="2" t="e">
        <f t="shared" si="580"/>
        <v>#N/A</v>
      </c>
      <c r="BA1084" s="2" t="e">
        <f t="shared" si="581"/>
        <v>#N/A</v>
      </c>
      <c r="BB1084" s="2" t="e">
        <f t="shared" si="582"/>
        <v>#DIV/0!</v>
      </c>
      <c r="BC1084" s="9" t="e">
        <f t="shared" ca="1" si="583"/>
        <v>#N/A</v>
      </c>
      <c r="BD1084" s="9" t="e">
        <f t="shared" ca="1" si="584"/>
        <v>#N/A</v>
      </c>
    </row>
    <row r="1085" spans="1:56" ht="15" x14ac:dyDescent="0.25">
      <c r="A1085"/>
      <c r="B1085"/>
      <c r="C1085"/>
      <c r="D1085"/>
      <c r="E1085"/>
      <c r="F1085"/>
      <c r="G1085"/>
      <c r="H1085"/>
      <c r="I1085"/>
      <c r="J1085"/>
      <c r="K1085"/>
      <c r="L1085" s="64"/>
      <c r="M1085" s="64"/>
      <c r="N1085" s="16"/>
      <c r="O1085" s="11"/>
      <c r="P1085" s="11"/>
      <c r="Q1085" s="11"/>
      <c r="R1085" s="11"/>
      <c r="S1085" s="11"/>
      <c r="T1085" s="11"/>
      <c r="U1085" s="11">
        <f t="shared" si="593"/>
        <v>0</v>
      </c>
      <c r="V1085" s="2">
        <f t="shared" si="594"/>
        <v>0</v>
      </c>
      <c r="W1085" s="11">
        <f t="shared" si="563"/>
        <v>0</v>
      </c>
      <c r="X1085" s="2">
        <f t="shared" si="564"/>
        <v>0</v>
      </c>
      <c r="Y1085" s="2">
        <f t="shared" si="565"/>
        <v>0</v>
      </c>
      <c r="Z1085" s="11">
        <f t="shared" si="566"/>
        <v>0</v>
      </c>
      <c r="AA1085" s="2">
        <f t="shared" si="567"/>
        <v>0</v>
      </c>
      <c r="AB1085" s="11">
        <f t="shared" si="568"/>
        <v>0</v>
      </c>
      <c r="AC1085" s="2">
        <f t="shared" si="569"/>
        <v>0</v>
      </c>
      <c r="AF1085" s="11">
        <f t="shared" si="570"/>
        <v>0</v>
      </c>
      <c r="AG1085" s="2">
        <f t="shared" si="571"/>
        <v>0</v>
      </c>
      <c r="AH1085" s="2">
        <f t="shared" si="572"/>
        <v>0</v>
      </c>
      <c r="AI1085" s="2">
        <f t="shared" si="573"/>
        <v>0</v>
      </c>
      <c r="AJ1085" s="2">
        <f t="shared" si="574"/>
        <v>0</v>
      </c>
      <c r="AK1085" s="2">
        <f t="shared" si="575"/>
        <v>0</v>
      </c>
      <c r="AL1085" s="2">
        <f t="shared" si="576"/>
        <v>0</v>
      </c>
      <c r="AM1085" s="11"/>
      <c r="AN1085" s="2" t="e">
        <f t="shared" si="585"/>
        <v>#N/A</v>
      </c>
      <c r="AO1085" s="2" t="e">
        <f t="shared" si="586"/>
        <v>#N/A</v>
      </c>
      <c r="AP1085" s="2" t="e">
        <f t="shared" si="587"/>
        <v>#N/A</v>
      </c>
      <c r="AQ1085" s="2" t="e">
        <f t="shared" si="588"/>
        <v>#N/A</v>
      </c>
      <c r="AR1085" s="2" t="e">
        <f t="shared" si="589"/>
        <v>#N/A</v>
      </c>
      <c r="AS1085" s="2" t="e">
        <f t="shared" si="590"/>
        <v>#DIV/0!</v>
      </c>
      <c r="AT1085" s="9" t="e">
        <f t="shared" ca="1" si="591"/>
        <v>#N/A</v>
      </c>
      <c r="AU1085" s="9" t="e">
        <f t="shared" ca="1" si="592"/>
        <v>#N/A</v>
      </c>
      <c r="AW1085" s="2" t="e">
        <f t="shared" si="577"/>
        <v>#N/A</v>
      </c>
      <c r="AX1085" s="2" t="e">
        <f t="shared" si="578"/>
        <v>#N/A</v>
      </c>
      <c r="AY1085" s="2" t="e">
        <f t="shared" si="579"/>
        <v>#N/A</v>
      </c>
      <c r="AZ1085" s="2" t="e">
        <f t="shared" si="580"/>
        <v>#N/A</v>
      </c>
      <c r="BA1085" s="2" t="e">
        <f t="shared" si="581"/>
        <v>#N/A</v>
      </c>
      <c r="BB1085" s="2" t="e">
        <f t="shared" si="582"/>
        <v>#DIV/0!</v>
      </c>
      <c r="BC1085" s="9" t="e">
        <f t="shared" ca="1" si="583"/>
        <v>#N/A</v>
      </c>
      <c r="BD1085" s="9" t="e">
        <f t="shared" ca="1" si="584"/>
        <v>#N/A</v>
      </c>
    </row>
    <row r="1086" spans="1:56" ht="15" x14ac:dyDescent="0.25">
      <c r="A1086"/>
      <c r="B1086"/>
      <c r="C1086"/>
      <c r="D1086"/>
      <c r="E1086"/>
      <c r="F1086"/>
      <c r="G1086"/>
      <c r="H1086"/>
      <c r="I1086"/>
      <c r="J1086"/>
      <c r="K1086"/>
      <c r="L1086" s="64"/>
      <c r="M1086" s="64"/>
      <c r="N1086" s="16"/>
      <c r="O1086" s="11"/>
      <c r="P1086" s="11"/>
      <c r="Q1086" s="11"/>
      <c r="R1086" s="11"/>
      <c r="S1086" s="11"/>
      <c r="T1086" s="11"/>
      <c r="U1086" s="11">
        <f t="shared" si="593"/>
        <v>0</v>
      </c>
      <c r="V1086" s="2">
        <f t="shared" si="594"/>
        <v>0</v>
      </c>
      <c r="W1086" s="11">
        <f t="shared" si="563"/>
        <v>0</v>
      </c>
      <c r="X1086" s="2">
        <f t="shared" si="564"/>
        <v>0</v>
      </c>
      <c r="Y1086" s="2">
        <f t="shared" si="565"/>
        <v>0</v>
      </c>
      <c r="Z1086" s="11">
        <f t="shared" si="566"/>
        <v>0</v>
      </c>
      <c r="AA1086" s="2">
        <f t="shared" si="567"/>
        <v>0</v>
      </c>
      <c r="AB1086" s="11">
        <f t="shared" si="568"/>
        <v>0</v>
      </c>
      <c r="AC1086" s="2">
        <f t="shared" si="569"/>
        <v>0</v>
      </c>
      <c r="AF1086" s="11">
        <f t="shared" si="570"/>
        <v>0</v>
      </c>
      <c r="AG1086" s="2">
        <f t="shared" si="571"/>
        <v>0</v>
      </c>
      <c r="AH1086" s="2">
        <f t="shared" si="572"/>
        <v>0</v>
      </c>
      <c r="AI1086" s="2">
        <f t="shared" si="573"/>
        <v>0</v>
      </c>
      <c r="AJ1086" s="2">
        <f t="shared" si="574"/>
        <v>0</v>
      </c>
      <c r="AK1086" s="2">
        <f t="shared" si="575"/>
        <v>0</v>
      </c>
      <c r="AL1086" s="2">
        <f t="shared" si="576"/>
        <v>0</v>
      </c>
      <c r="AM1086" s="11"/>
      <c r="AN1086" s="2" t="e">
        <f t="shared" si="585"/>
        <v>#N/A</v>
      </c>
      <c r="AO1086" s="2" t="e">
        <f t="shared" si="586"/>
        <v>#N/A</v>
      </c>
      <c r="AP1086" s="2" t="e">
        <f t="shared" si="587"/>
        <v>#N/A</v>
      </c>
      <c r="AQ1086" s="2" t="e">
        <f t="shared" si="588"/>
        <v>#N/A</v>
      </c>
      <c r="AR1086" s="2" t="e">
        <f t="shared" si="589"/>
        <v>#N/A</v>
      </c>
      <c r="AS1086" s="2" t="e">
        <f t="shared" si="590"/>
        <v>#DIV/0!</v>
      </c>
      <c r="AT1086" s="9" t="e">
        <f t="shared" ca="1" si="591"/>
        <v>#N/A</v>
      </c>
      <c r="AU1086" s="9" t="e">
        <f t="shared" ca="1" si="592"/>
        <v>#N/A</v>
      </c>
      <c r="AW1086" s="2" t="e">
        <f t="shared" si="577"/>
        <v>#N/A</v>
      </c>
      <c r="AX1086" s="2" t="e">
        <f t="shared" si="578"/>
        <v>#N/A</v>
      </c>
      <c r="AY1086" s="2" t="e">
        <f t="shared" si="579"/>
        <v>#N/A</v>
      </c>
      <c r="AZ1086" s="2" t="e">
        <f t="shared" si="580"/>
        <v>#N/A</v>
      </c>
      <c r="BA1086" s="2" t="e">
        <f t="shared" si="581"/>
        <v>#N/A</v>
      </c>
      <c r="BB1086" s="2" t="e">
        <f t="shared" si="582"/>
        <v>#DIV/0!</v>
      </c>
      <c r="BC1086" s="9" t="e">
        <f t="shared" ca="1" si="583"/>
        <v>#N/A</v>
      </c>
      <c r="BD1086" s="9" t="e">
        <f t="shared" ca="1" si="584"/>
        <v>#N/A</v>
      </c>
    </row>
    <row r="1087" spans="1:56" ht="15" x14ac:dyDescent="0.25">
      <c r="A1087"/>
      <c r="B1087"/>
      <c r="C1087"/>
      <c r="D1087"/>
      <c r="E1087"/>
      <c r="F1087"/>
      <c r="G1087"/>
      <c r="H1087"/>
      <c r="I1087"/>
      <c r="J1087"/>
      <c r="K1087"/>
      <c r="L1087" s="64"/>
      <c r="M1087" s="64"/>
      <c r="N1087" s="16"/>
      <c r="O1087" s="11"/>
      <c r="P1087" s="11"/>
      <c r="Q1087" s="11"/>
      <c r="R1087" s="11"/>
      <c r="S1087" s="11"/>
      <c r="T1087" s="11"/>
      <c r="U1087" s="11">
        <f t="shared" si="593"/>
        <v>0</v>
      </c>
      <c r="V1087" s="2">
        <f t="shared" si="594"/>
        <v>0</v>
      </c>
      <c r="W1087" s="11">
        <f t="shared" si="563"/>
        <v>0</v>
      </c>
      <c r="X1087" s="2">
        <f t="shared" si="564"/>
        <v>0</v>
      </c>
      <c r="Y1087" s="2">
        <f t="shared" si="565"/>
        <v>0</v>
      </c>
      <c r="Z1087" s="11">
        <f t="shared" si="566"/>
        <v>0</v>
      </c>
      <c r="AA1087" s="2">
        <f t="shared" si="567"/>
        <v>0</v>
      </c>
      <c r="AB1087" s="11">
        <f t="shared" si="568"/>
        <v>0</v>
      </c>
      <c r="AC1087" s="2">
        <f t="shared" si="569"/>
        <v>0</v>
      </c>
      <c r="AF1087" s="11">
        <f t="shared" si="570"/>
        <v>0</v>
      </c>
      <c r="AG1087" s="2">
        <f t="shared" si="571"/>
        <v>0</v>
      </c>
      <c r="AH1087" s="2">
        <f t="shared" si="572"/>
        <v>0</v>
      </c>
      <c r="AI1087" s="2">
        <f t="shared" si="573"/>
        <v>0</v>
      </c>
      <c r="AJ1087" s="2">
        <f t="shared" si="574"/>
        <v>0</v>
      </c>
      <c r="AK1087" s="2">
        <f t="shared" si="575"/>
        <v>0</v>
      </c>
      <c r="AL1087" s="2">
        <f t="shared" si="576"/>
        <v>0</v>
      </c>
      <c r="AM1087" s="11"/>
      <c r="AN1087" s="2" t="e">
        <f t="shared" si="585"/>
        <v>#N/A</v>
      </c>
      <c r="AO1087" s="2" t="e">
        <f t="shared" si="586"/>
        <v>#N/A</v>
      </c>
      <c r="AP1087" s="2" t="e">
        <f t="shared" si="587"/>
        <v>#N/A</v>
      </c>
      <c r="AQ1087" s="2" t="e">
        <f t="shared" si="588"/>
        <v>#N/A</v>
      </c>
      <c r="AR1087" s="2" t="e">
        <f t="shared" si="589"/>
        <v>#N/A</v>
      </c>
      <c r="AS1087" s="2" t="e">
        <f t="shared" si="590"/>
        <v>#DIV/0!</v>
      </c>
      <c r="AT1087" s="9" t="e">
        <f t="shared" ca="1" si="591"/>
        <v>#N/A</v>
      </c>
      <c r="AU1087" s="9" t="e">
        <f t="shared" ca="1" si="592"/>
        <v>#N/A</v>
      </c>
      <c r="AW1087" s="2" t="e">
        <f t="shared" si="577"/>
        <v>#N/A</v>
      </c>
      <c r="AX1087" s="2" t="e">
        <f t="shared" si="578"/>
        <v>#N/A</v>
      </c>
      <c r="AY1087" s="2" t="e">
        <f t="shared" si="579"/>
        <v>#N/A</v>
      </c>
      <c r="AZ1087" s="2" t="e">
        <f t="shared" si="580"/>
        <v>#N/A</v>
      </c>
      <c r="BA1087" s="2" t="e">
        <f t="shared" si="581"/>
        <v>#N/A</v>
      </c>
      <c r="BB1087" s="2" t="e">
        <f t="shared" si="582"/>
        <v>#DIV/0!</v>
      </c>
      <c r="BC1087" s="9" t="e">
        <f t="shared" ca="1" si="583"/>
        <v>#N/A</v>
      </c>
      <c r="BD1087" s="9" t="e">
        <f t="shared" ca="1" si="584"/>
        <v>#N/A</v>
      </c>
    </row>
    <row r="1088" spans="1:56" ht="15" x14ac:dyDescent="0.25">
      <c r="A1088"/>
      <c r="B1088"/>
      <c r="C1088"/>
      <c r="D1088"/>
      <c r="E1088"/>
      <c r="F1088"/>
      <c r="G1088"/>
      <c r="H1088"/>
      <c r="I1088"/>
      <c r="J1088"/>
      <c r="K1088"/>
      <c r="L1088" s="64"/>
      <c r="M1088" s="64"/>
      <c r="N1088" s="16"/>
      <c r="O1088" s="11"/>
      <c r="P1088" s="11"/>
      <c r="Q1088" s="11"/>
      <c r="R1088" s="11"/>
      <c r="S1088" s="11"/>
      <c r="T1088" s="11"/>
      <c r="U1088" s="11">
        <f t="shared" si="593"/>
        <v>0</v>
      </c>
      <c r="V1088" s="2">
        <f t="shared" si="594"/>
        <v>0</v>
      </c>
      <c r="W1088" s="11">
        <f t="shared" si="563"/>
        <v>0</v>
      </c>
      <c r="X1088" s="2">
        <f t="shared" si="564"/>
        <v>0</v>
      </c>
      <c r="Y1088" s="2">
        <f t="shared" si="565"/>
        <v>0</v>
      </c>
      <c r="Z1088" s="11">
        <f t="shared" si="566"/>
        <v>0</v>
      </c>
      <c r="AA1088" s="2">
        <f t="shared" si="567"/>
        <v>0</v>
      </c>
      <c r="AB1088" s="11">
        <f t="shared" si="568"/>
        <v>0</v>
      </c>
      <c r="AC1088" s="2">
        <f t="shared" si="569"/>
        <v>0</v>
      </c>
      <c r="AF1088" s="11">
        <f t="shared" si="570"/>
        <v>0</v>
      </c>
      <c r="AG1088" s="2">
        <f t="shared" si="571"/>
        <v>0</v>
      </c>
      <c r="AH1088" s="2">
        <f t="shared" si="572"/>
        <v>0</v>
      </c>
      <c r="AI1088" s="2">
        <f t="shared" si="573"/>
        <v>0</v>
      </c>
      <c r="AJ1088" s="2">
        <f t="shared" si="574"/>
        <v>0</v>
      </c>
      <c r="AK1088" s="2">
        <f t="shared" si="575"/>
        <v>0</v>
      </c>
      <c r="AL1088" s="2">
        <f t="shared" si="576"/>
        <v>0</v>
      </c>
      <c r="AM1088" s="11"/>
      <c r="AN1088" s="2" t="e">
        <f t="shared" si="585"/>
        <v>#N/A</v>
      </c>
      <c r="AO1088" s="2" t="e">
        <f t="shared" si="586"/>
        <v>#N/A</v>
      </c>
      <c r="AP1088" s="2" t="e">
        <f t="shared" si="587"/>
        <v>#N/A</v>
      </c>
      <c r="AQ1088" s="2" t="e">
        <f t="shared" si="588"/>
        <v>#N/A</v>
      </c>
      <c r="AR1088" s="2" t="e">
        <f t="shared" si="589"/>
        <v>#N/A</v>
      </c>
      <c r="AS1088" s="2" t="e">
        <f t="shared" si="590"/>
        <v>#DIV/0!</v>
      </c>
      <c r="AT1088" s="9" t="e">
        <f t="shared" ca="1" si="591"/>
        <v>#N/A</v>
      </c>
      <c r="AU1088" s="9" t="e">
        <f t="shared" ca="1" si="592"/>
        <v>#N/A</v>
      </c>
      <c r="AW1088" s="2" t="e">
        <f t="shared" si="577"/>
        <v>#N/A</v>
      </c>
      <c r="AX1088" s="2" t="e">
        <f t="shared" si="578"/>
        <v>#N/A</v>
      </c>
      <c r="AY1088" s="2" t="e">
        <f t="shared" si="579"/>
        <v>#N/A</v>
      </c>
      <c r="AZ1088" s="2" t="e">
        <f t="shared" si="580"/>
        <v>#N/A</v>
      </c>
      <c r="BA1088" s="2" t="e">
        <f t="shared" si="581"/>
        <v>#N/A</v>
      </c>
      <c r="BB1088" s="2" t="e">
        <f t="shared" si="582"/>
        <v>#DIV/0!</v>
      </c>
      <c r="BC1088" s="9" t="e">
        <f t="shared" ca="1" si="583"/>
        <v>#N/A</v>
      </c>
      <c r="BD1088" s="9" t="e">
        <f t="shared" ca="1" si="584"/>
        <v>#N/A</v>
      </c>
    </row>
    <row r="1089" spans="1:56" ht="15" x14ac:dyDescent="0.25">
      <c r="A1089"/>
      <c r="B1089"/>
      <c r="C1089"/>
      <c r="D1089"/>
      <c r="E1089"/>
      <c r="F1089"/>
      <c r="G1089"/>
      <c r="H1089"/>
      <c r="I1089"/>
      <c r="J1089"/>
      <c r="K1089"/>
      <c r="L1089" s="64"/>
      <c r="M1089" s="64"/>
      <c r="N1089" s="16"/>
      <c r="O1089" s="11"/>
      <c r="P1089" s="11"/>
      <c r="Q1089" s="11"/>
      <c r="R1089" s="11"/>
      <c r="S1089" s="11"/>
      <c r="T1089" s="11"/>
      <c r="U1089" s="11">
        <f t="shared" si="593"/>
        <v>0</v>
      </c>
      <c r="V1089" s="2">
        <f t="shared" si="594"/>
        <v>0</v>
      </c>
      <c r="W1089" s="11">
        <f t="shared" si="563"/>
        <v>0</v>
      </c>
      <c r="X1089" s="2">
        <f t="shared" si="564"/>
        <v>0</v>
      </c>
      <c r="Y1089" s="2">
        <f t="shared" si="565"/>
        <v>0</v>
      </c>
      <c r="Z1089" s="11">
        <f t="shared" si="566"/>
        <v>0</v>
      </c>
      <c r="AA1089" s="2">
        <f t="shared" si="567"/>
        <v>0</v>
      </c>
      <c r="AB1089" s="11">
        <f t="shared" si="568"/>
        <v>0</v>
      </c>
      <c r="AC1089" s="2">
        <f t="shared" si="569"/>
        <v>0</v>
      </c>
      <c r="AF1089" s="11">
        <f t="shared" si="570"/>
        <v>0</v>
      </c>
      <c r="AG1089" s="2">
        <f t="shared" si="571"/>
        <v>0</v>
      </c>
      <c r="AH1089" s="2">
        <f t="shared" si="572"/>
        <v>0</v>
      </c>
      <c r="AI1089" s="2">
        <f t="shared" si="573"/>
        <v>0</v>
      </c>
      <c r="AJ1089" s="2">
        <f t="shared" si="574"/>
        <v>0</v>
      </c>
      <c r="AK1089" s="2">
        <f t="shared" si="575"/>
        <v>0</v>
      </c>
      <c r="AL1089" s="2">
        <f t="shared" si="576"/>
        <v>0</v>
      </c>
      <c r="AM1089" s="11"/>
      <c r="AN1089" s="2" t="e">
        <f t="shared" si="585"/>
        <v>#N/A</v>
      </c>
      <c r="AO1089" s="2" t="e">
        <f t="shared" si="586"/>
        <v>#N/A</v>
      </c>
      <c r="AP1089" s="2" t="e">
        <f t="shared" si="587"/>
        <v>#N/A</v>
      </c>
      <c r="AQ1089" s="2" t="e">
        <f t="shared" si="588"/>
        <v>#N/A</v>
      </c>
      <c r="AR1089" s="2" t="e">
        <f t="shared" si="589"/>
        <v>#N/A</v>
      </c>
      <c r="AS1089" s="2" t="e">
        <f t="shared" si="590"/>
        <v>#DIV/0!</v>
      </c>
      <c r="AT1089" s="9" t="e">
        <f t="shared" ca="1" si="591"/>
        <v>#N/A</v>
      </c>
      <c r="AU1089" s="9" t="e">
        <f t="shared" ca="1" si="592"/>
        <v>#N/A</v>
      </c>
      <c r="AW1089" s="2" t="e">
        <f t="shared" si="577"/>
        <v>#N/A</v>
      </c>
      <c r="AX1089" s="2" t="e">
        <f t="shared" si="578"/>
        <v>#N/A</v>
      </c>
      <c r="AY1089" s="2" t="e">
        <f t="shared" si="579"/>
        <v>#N/A</v>
      </c>
      <c r="AZ1089" s="2" t="e">
        <f t="shared" si="580"/>
        <v>#N/A</v>
      </c>
      <c r="BA1089" s="2" t="e">
        <f t="shared" si="581"/>
        <v>#N/A</v>
      </c>
      <c r="BB1089" s="2" t="e">
        <f t="shared" si="582"/>
        <v>#DIV/0!</v>
      </c>
      <c r="BC1089" s="9" t="e">
        <f t="shared" ca="1" si="583"/>
        <v>#N/A</v>
      </c>
      <c r="BD1089" s="9" t="e">
        <f t="shared" ca="1" si="584"/>
        <v>#N/A</v>
      </c>
    </row>
    <row r="1090" spans="1:56" ht="15" x14ac:dyDescent="0.25">
      <c r="A1090"/>
      <c r="B1090"/>
      <c r="C1090"/>
      <c r="D1090"/>
      <c r="E1090"/>
      <c r="F1090"/>
      <c r="G1090"/>
      <c r="H1090"/>
      <c r="I1090"/>
      <c r="J1090"/>
      <c r="K1090"/>
      <c r="L1090" s="64"/>
      <c r="M1090" s="64"/>
      <c r="N1090" s="16"/>
      <c r="O1090" s="11"/>
      <c r="P1090" s="11"/>
      <c r="Q1090" s="11"/>
      <c r="R1090" s="11"/>
      <c r="S1090" s="11"/>
      <c r="T1090" s="11"/>
      <c r="U1090" s="11">
        <f t="shared" si="593"/>
        <v>0</v>
      </c>
      <c r="V1090" s="2">
        <f t="shared" si="594"/>
        <v>0</v>
      </c>
      <c r="W1090" s="11">
        <f t="shared" si="563"/>
        <v>0</v>
      </c>
      <c r="X1090" s="2">
        <f t="shared" si="564"/>
        <v>0</v>
      </c>
      <c r="Y1090" s="2">
        <f t="shared" si="565"/>
        <v>0</v>
      </c>
      <c r="Z1090" s="11">
        <f t="shared" si="566"/>
        <v>0</v>
      </c>
      <c r="AA1090" s="2">
        <f t="shared" si="567"/>
        <v>0</v>
      </c>
      <c r="AB1090" s="11">
        <f t="shared" si="568"/>
        <v>0</v>
      </c>
      <c r="AC1090" s="2">
        <f t="shared" si="569"/>
        <v>0</v>
      </c>
      <c r="AF1090" s="11">
        <f t="shared" si="570"/>
        <v>0</v>
      </c>
      <c r="AG1090" s="2">
        <f t="shared" si="571"/>
        <v>0</v>
      </c>
      <c r="AH1090" s="2">
        <f t="shared" si="572"/>
        <v>0</v>
      </c>
      <c r="AI1090" s="2">
        <f t="shared" si="573"/>
        <v>0</v>
      </c>
      <c r="AJ1090" s="2">
        <f t="shared" si="574"/>
        <v>0</v>
      </c>
      <c r="AK1090" s="2">
        <f t="shared" si="575"/>
        <v>0</v>
      </c>
      <c r="AL1090" s="2">
        <f t="shared" si="576"/>
        <v>0</v>
      </c>
      <c r="AM1090" s="11"/>
      <c r="AN1090" s="2" t="e">
        <f t="shared" si="585"/>
        <v>#N/A</v>
      </c>
      <c r="AO1090" s="2" t="e">
        <f t="shared" si="586"/>
        <v>#N/A</v>
      </c>
      <c r="AP1090" s="2" t="e">
        <f t="shared" si="587"/>
        <v>#N/A</v>
      </c>
      <c r="AQ1090" s="2" t="e">
        <f t="shared" si="588"/>
        <v>#N/A</v>
      </c>
      <c r="AR1090" s="2" t="e">
        <f t="shared" si="589"/>
        <v>#N/A</v>
      </c>
      <c r="AS1090" s="2" t="e">
        <f t="shared" si="590"/>
        <v>#DIV/0!</v>
      </c>
      <c r="AT1090" s="9" t="e">
        <f t="shared" ca="1" si="591"/>
        <v>#N/A</v>
      </c>
      <c r="AU1090" s="9" t="e">
        <f t="shared" ca="1" si="592"/>
        <v>#N/A</v>
      </c>
      <c r="AW1090" s="2" t="e">
        <f t="shared" si="577"/>
        <v>#N/A</v>
      </c>
      <c r="AX1090" s="2" t="e">
        <f t="shared" si="578"/>
        <v>#N/A</v>
      </c>
      <c r="AY1090" s="2" t="e">
        <f t="shared" si="579"/>
        <v>#N/A</v>
      </c>
      <c r="AZ1090" s="2" t="e">
        <f t="shared" si="580"/>
        <v>#N/A</v>
      </c>
      <c r="BA1090" s="2" t="e">
        <f t="shared" si="581"/>
        <v>#N/A</v>
      </c>
      <c r="BB1090" s="2" t="e">
        <f t="shared" si="582"/>
        <v>#DIV/0!</v>
      </c>
      <c r="BC1090" s="9" t="e">
        <f t="shared" ca="1" si="583"/>
        <v>#N/A</v>
      </c>
      <c r="BD1090" s="9" t="e">
        <f t="shared" ca="1" si="584"/>
        <v>#N/A</v>
      </c>
    </row>
    <row r="1091" spans="1:56" ht="15" x14ac:dyDescent="0.25">
      <c r="A1091"/>
      <c r="B1091"/>
      <c r="C1091"/>
      <c r="D1091"/>
      <c r="E1091"/>
      <c r="F1091"/>
      <c r="G1091"/>
      <c r="H1091"/>
      <c r="I1091"/>
      <c r="J1091"/>
      <c r="K1091"/>
      <c r="L1091" s="64"/>
      <c r="M1091" s="64"/>
      <c r="N1091" s="16"/>
      <c r="O1091" s="11"/>
      <c r="P1091" s="11"/>
      <c r="Q1091" s="11"/>
      <c r="R1091" s="11"/>
      <c r="S1091" s="11"/>
      <c r="T1091" s="11"/>
      <c r="U1091" s="11">
        <f t="shared" si="593"/>
        <v>0</v>
      </c>
      <c r="V1091" s="2">
        <f t="shared" si="594"/>
        <v>0</v>
      </c>
      <c r="W1091" s="11">
        <f t="shared" si="563"/>
        <v>0</v>
      </c>
      <c r="X1091" s="2">
        <f t="shared" si="564"/>
        <v>0</v>
      </c>
      <c r="Y1091" s="2">
        <f t="shared" si="565"/>
        <v>0</v>
      </c>
      <c r="Z1091" s="11">
        <f t="shared" si="566"/>
        <v>0</v>
      </c>
      <c r="AA1091" s="2">
        <f t="shared" si="567"/>
        <v>0</v>
      </c>
      <c r="AB1091" s="11">
        <f t="shared" si="568"/>
        <v>0</v>
      </c>
      <c r="AC1091" s="2">
        <f t="shared" si="569"/>
        <v>0</v>
      </c>
      <c r="AF1091" s="11">
        <f t="shared" si="570"/>
        <v>0</v>
      </c>
      <c r="AG1091" s="2">
        <f t="shared" si="571"/>
        <v>0</v>
      </c>
      <c r="AH1091" s="2">
        <f t="shared" si="572"/>
        <v>0</v>
      </c>
      <c r="AI1091" s="2">
        <f t="shared" si="573"/>
        <v>0</v>
      </c>
      <c r="AJ1091" s="2">
        <f t="shared" si="574"/>
        <v>0</v>
      </c>
      <c r="AK1091" s="2">
        <f t="shared" si="575"/>
        <v>0</v>
      </c>
      <c r="AL1091" s="2">
        <f t="shared" si="576"/>
        <v>0</v>
      </c>
      <c r="AM1091" s="11"/>
      <c r="AN1091" s="2" t="e">
        <f t="shared" si="585"/>
        <v>#N/A</v>
      </c>
      <c r="AO1091" s="2" t="e">
        <f t="shared" si="586"/>
        <v>#N/A</v>
      </c>
      <c r="AP1091" s="2" t="e">
        <f t="shared" si="587"/>
        <v>#N/A</v>
      </c>
      <c r="AQ1091" s="2" t="e">
        <f t="shared" si="588"/>
        <v>#N/A</v>
      </c>
      <c r="AR1091" s="2" t="e">
        <f t="shared" si="589"/>
        <v>#N/A</v>
      </c>
      <c r="AS1091" s="2" t="e">
        <f t="shared" si="590"/>
        <v>#DIV/0!</v>
      </c>
      <c r="AT1091" s="9" t="e">
        <f t="shared" ca="1" si="591"/>
        <v>#N/A</v>
      </c>
      <c r="AU1091" s="9" t="e">
        <f t="shared" ca="1" si="592"/>
        <v>#N/A</v>
      </c>
      <c r="AW1091" s="2" t="e">
        <f t="shared" si="577"/>
        <v>#N/A</v>
      </c>
      <c r="AX1091" s="2" t="e">
        <f t="shared" si="578"/>
        <v>#N/A</v>
      </c>
      <c r="AY1091" s="2" t="e">
        <f t="shared" si="579"/>
        <v>#N/A</v>
      </c>
      <c r="AZ1091" s="2" t="e">
        <f t="shared" si="580"/>
        <v>#N/A</v>
      </c>
      <c r="BA1091" s="2" t="e">
        <f t="shared" si="581"/>
        <v>#N/A</v>
      </c>
      <c r="BB1091" s="2" t="e">
        <f t="shared" si="582"/>
        <v>#DIV/0!</v>
      </c>
      <c r="BC1091" s="9" t="e">
        <f t="shared" ca="1" si="583"/>
        <v>#N/A</v>
      </c>
      <c r="BD1091" s="9" t="e">
        <f t="shared" ca="1" si="584"/>
        <v>#N/A</v>
      </c>
    </row>
    <row r="1092" spans="1:56" ht="15" x14ac:dyDescent="0.25">
      <c r="A1092"/>
      <c r="B1092"/>
      <c r="C1092"/>
      <c r="D1092"/>
      <c r="E1092"/>
      <c r="F1092"/>
      <c r="G1092"/>
      <c r="H1092"/>
      <c r="I1092"/>
      <c r="J1092"/>
      <c r="K1092"/>
      <c r="L1092" s="64"/>
      <c r="M1092" s="64"/>
      <c r="N1092" s="16"/>
      <c r="O1092" s="11"/>
      <c r="P1092" s="11"/>
      <c r="Q1092" s="11"/>
      <c r="R1092" s="11"/>
      <c r="S1092" s="11"/>
      <c r="T1092" s="11"/>
      <c r="U1092" s="11">
        <f t="shared" si="593"/>
        <v>0</v>
      </c>
      <c r="V1092" s="2">
        <f t="shared" si="594"/>
        <v>0</v>
      </c>
      <c r="W1092" s="11">
        <f t="shared" ref="W1092:W1155" si="595">O1092-O1092</f>
        <v>0</v>
      </c>
      <c r="X1092" s="2">
        <f t="shared" ref="X1092:X1155" si="596">IF(O1092&gt;0,P1092-(O1092*$X$63/$W$63), P1092)</f>
        <v>0</v>
      </c>
      <c r="Y1092" s="2">
        <f t="shared" ref="Y1092:Y1155" si="597">IF(O1092&gt;0,Q1092-(O1092*$Y$63/$W$63),Q1092)</f>
        <v>0</v>
      </c>
      <c r="Z1092" s="11">
        <f t="shared" ref="Z1092:Z1155" si="598">R1092</f>
        <v>0</v>
      </c>
      <c r="AA1092" s="2">
        <f t="shared" ref="AA1092:AA1155" si="599">IF(O1092&gt;0,S1092-(O1092*$AA$63/$W$63),S1092)</f>
        <v>0</v>
      </c>
      <c r="AB1092" s="11">
        <f t="shared" ref="AB1092:AB1155" si="600">T1092</f>
        <v>0</v>
      </c>
      <c r="AC1092" s="2">
        <f t="shared" ref="AC1092:AC1155" si="601">IF(O1092&gt;0,U1092-(O1092*$AC$63/$W$63),U1092)</f>
        <v>0</v>
      </c>
      <c r="AF1092" s="11">
        <f t="shared" ref="AF1092:AF1155" si="602">W1092</f>
        <v>0</v>
      </c>
      <c r="AG1092" s="2">
        <f t="shared" ref="AG1092:AG1155" si="603">IF(O1092&gt;0, X1092-(O1092*$AG$63/$AF$63), X1092)</f>
        <v>0</v>
      </c>
      <c r="AH1092" s="2">
        <f t="shared" ref="AH1092:AH1155" si="604">IF(O1092&gt;0, Y1092-(O1092*$AH$63/$AF$63), Y1092)</f>
        <v>0</v>
      </c>
      <c r="AI1092" s="2">
        <f t="shared" ref="AI1092:AI1155" si="605">IF(O1092&gt;0, Z1092-(O1092*$AI$63/$AF$63), Z1092)</f>
        <v>0</v>
      </c>
      <c r="AJ1092" s="2">
        <f t="shared" ref="AJ1092:AJ1155" si="606">IF(O1092&gt;0, AA1092-(O1092*$AJ$63/$AF$63), AA1092)</f>
        <v>0</v>
      </c>
      <c r="AK1092" s="2">
        <f t="shared" ref="AK1092:AK1155" si="607">IF(P1092&gt;0, AB1092-(P1092*$AK$63/$AG$63), AB1092)</f>
        <v>0</v>
      </c>
      <c r="AL1092" s="2">
        <f t="shared" ref="AL1092:AL1155" si="608">IF(O1092&gt;0, AC1092-(O1092*$AL$63/$AF$63), AC1092)</f>
        <v>0</v>
      </c>
      <c r="AM1092" s="11"/>
      <c r="AN1092" s="2" t="e">
        <f t="shared" si="585"/>
        <v>#N/A</v>
      </c>
      <c r="AO1092" s="2" t="e">
        <f t="shared" si="586"/>
        <v>#N/A</v>
      </c>
      <c r="AP1092" s="2" t="e">
        <f t="shared" si="587"/>
        <v>#N/A</v>
      </c>
      <c r="AQ1092" s="2" t="e">
        <f t="shared" si="588"/>
        <v>#N/A</v>
      </c>
      <c r="AR1092" s="2" t="e">
        <f t="shared" si="589"/>
        <v>#N/A</v>
      </c>
      <c r="AS1092" s="2" t="e">
        <f t="shared" si="590"/>
        <v>#DIV/0!</v>
      </c>
      <c r="AT1092" s="9" t="e">
        <f t="shared" ca="1" si="591"/>
        <v>#N/A</v>
      </c>
      <c r="AU1092" s="9" t="e">
        <f t="shared" ca="1" si="592"/>
        <v>#N/A</v>
      </c>
      <c r="AW1092" s="2" t="e">
        <f t="shared" si="577"/>
        <v>#N/A</v>
      </c>
      <c r="AX1092" s="2" t="e">
        <f t="shared" si="578"/>
        <v>#N/A</v>
      </c>
      <c r="AY1092" s="2" t="e">
        <f t="shared" si="579"/>
        <v>#N/A</v>
      </c>
      <c r="AZ1092" s="2" t="e">
        <f t="shared" si="580"/>
        <v>#N/A</v>
      </c>
      <c r="BA1092" s="2" t="e">
        <f t="shared" si="581"/>
        <v>#N/A</v>
      </c>
      <c r="BB1092" s="2" t="e">
        <f t="shared" si="582"/>
        <v>#DIV/0!</v>
      </c>
      <c r="BC1092" s="9" t="e">
        <f t="shared" ca="1" si="583"/>
        <v>#N/A</v>
      </c>
      <c r="BD1092" s="9" t="e">
        <f t="shared" ca="1" si="584"/>
        <v>#N/A</v>
      </c>
    </row>
    <row r="1093" spans="1:56" ht="15" x14ac:dyDescent="0.25">
      <c r="A1093"/>
      <c r="B1093"/>
      <c r="C1093"/>
      <c r="D1093"/>
      <c r="E1093"/>
      <c r="F1093"/>
      <c r="G1093"/>
      <c r="H1093"/>
      <c r="I1093"/>
      <c r="J1093"/>
      <c r="K1093"/>
      <c r="L1093" s="64"/>
      <c r="M1093" s="64"/>
      <c r="N1093" s="16"/>
      <c r="O1093" s="11"/>
      <c r="P1093" s="11"/>
      <c r="Q1093" s="11"/>
      <c r="R1093" s="11"/>
      <c r="S1093" s="11"/>
      <c r="T1093" s="11"/>
      <c r="U1093" s="11">
        <f t="shared" si="593"/>
        <v>0</v>
      </c>
      <c r="V1093" s="2">
        <f t="shared" si="594"/>
        <v>0</v>
      </c>
      <c r="W1093" s="11">
        <f t="shared" si="595"/>
        <v>0</v>
      </c>
      <c r="X1093" s="2">
        <f t="shared" si="596"/>
        <v>0</v>
      </c>
      <c r="Y1093" s="2">
        <f t="shared" si="597"/>
        <v>0</v>
      </c>
      <c r="Z1093" s="11">
        <f t="shared" si="598"/>
        <v>0</v>
      </c>
      <c r="AA1093" s="2">
        <f t="shared" si="599"/>
        <v>0</v>
      </c>
      <c r="AB1093" s="11">
        <f t="shared" si="600"/>
        <v>0</v>
      </c>
      <c r="AC1093" s="2">
        <f t="shared" si="601"/>
        <v>0</v>
      </c>
      <c r="AF1093" s="11">
        <f t="shared" si="602"/>
        <v>0</v>
      </c>
      <c r="AG1093" s="2">
        <f t="shared" si="603"/>
        <v>0</v>
      </c>
      <c r="AH1093" s="2">
        <f t="shared" si="604"/>
        <v>0</v>
      </c>
      <c r="AI1093" s="2">
        <f t="shared" si="605"/>
        <v>0</v>
      </c>
      <c r="AJ1093" s="2">
        <f t="shared" si="606"/>
        <v>0</v>
      </c>
      <c r="AK1093" s="2">
        <f t="shared" si="607"/>
        <v>0</v>
      </c>
      <c r="AL1093" s="2">
        <f t="shared" si="608"/>
        <v>0</v>
      </c>
      <c r="AM1093" s="11"/>
      <c r="AN1093" s="2" t="e">
        <f t="shared" si="585"/>
        <v>#N/A</v>
      </c>
      <c r="AO1093" s="2" t="e">
        <f t="shared" si="586"/>
        <v>#N/A</v>
      </c>
      <c r="AP1093" s="2" t="e">
        <f t="shared" si="587"/>
        <v>#N/A</v>
      </c>
      <c r="AQ1093" s="2" t="e">
        <f t="shared" si="588"/>
        <v>#N/A</v>
      </c>
      <c r="AR1093" s="2" t="e">
        <f t="shared" si="589"/>
        <v>#N/A</v>
      </c>
      <c r="AS1093" s="2" t="e">
        <f t="shared" si="590"/>
        <v>#DIV/0!</v>
      </c>
      <c r="AT1093" s="9" t="e">
        <f t="shared" ca="1" si="591"/>
        <v>#N/A</v>
      </c>
      <c r="AU1093" s="9" t="e">
        <f t="shared" ca="1" si="592"/>
        <v>#N/A</v>
      </c>
      <c r="AW1093" s="2" t="e">
        <f t="shared" si="577"/>
        <v>#N/A</v>
      </c>
      <c r="AX1093" s="2" t="e">
        <f t="shared" si="578"/>
        <v>#N/A</v>
      </c>
      <c r="AY1093" s="2" t="e">
        <f t="shared" si="579"/>
        <v>#N/A</v>
      </c>
      <c r="AZ1093" s="2" t="e">
        <f t="shared" si="580"/>
        <v>#N/A</v>
      </c>
      <c r="BA1093" s="2" t="e">
        <f t="shared" si="581"/>
        <v>#N/A</v>
      </c>
      <c r="BB1093" s="2" t="e">
        <f t="shared" si="582"/>
        <v>#DIV/0!</v>
      </c>
      <c r="BC1093" s="9" t="e">
        <f t="shared" ca="1" si="583"/>
        <v>#N/A</v>
      </c>
      <c r="BD1093" s="9" t="e">
        <f t="shared" ca="1" si="584"/>
        <v>#N/A</v>
      </c>
    </row>
    <row r="1094" spans="1:56" ht="15" x14ac:dyDescent="0.25">
      <c r="A1094"/>
      <c r="B1094"/>
      <c r="C1094"/>
      <c r="D1094"/>
      <c r="E1094"/>
      <c r="F1094"/>
      <c r="G1094"/>
      <c r="H1094"/>
      <c r="I1094"/>
      <c r="J1094"/>
      <c r="K1094"/>
      <c r="L1094" s="64"/>
      <c r="M1094" s="64"/>
      <c r="N1094" s="16"/>
      <c r="O1094" s="11"/>
      <c r="P1094" s="11"/>
      <c r="Q1094" s="11"/>
      <c r="R1094" s="11"/>
      <c r="S1094" s="11"/>
      <c r="T1094" s="11"/>
      <c r="U1094" s="11">
        <f t="shared" si="593"/>
        <v>0</v>
      </c>
      <c r="V1094" s="2">
        <f t="shared" si="594"/>
        <v>0</v>
      </c>
      <c r="W1094" s="11">
        <f t="shared" si="595"/>
        <v>0</v>
      </c>
      <c r="X1094" s="2">
        <f t="shared" si="596"/>
        <v>0</v>
      </c>
      <c r="Y1094" s="2">
        <f t="shared" si="597"/>
        <v>0</v>
      </c>
      <c r="Z1094" s="11">
        <f t="shared" si="598"/>
        <v>0</v>
      </c>
      <c r="AA1094" s="2">
        <f t="shared" si="599"/>
        <v>0</v>
      </c>
      <c r="AB1094" s="11">
        <f t="shared" si="600"/>
        <v>0</v>
      </c>
      <c r="AC1094" s="2">
        <f t="shared" si="601"/>
        <v>0</v>
      </c>
      <c r="AF1094" s="11">
        <f t="shared" si="602"/>
        <v>0</v>
      </c>
      <c r="AG1094" s="2">
        <f t="shared" si="603"/>
        <v>0</v>
      </c>
      <c r="AH1094" s="2">
        <f t="shared" si="604"/>
        <v>0</v>
      </c>
      <c r="AI1094" s="2">
        <f t="shared" si="605"/>
        <v>0</v>
      </c>
      <c r="AJ1094" s="2">
        <f t="shared" si="606"/>
        <v>0</v>
      </c>
      <c r="AK1094" s="2">
        <f t="shared" si="607"/>
        <v>0</v>
      </c>
      <c r="AL1094" s="2">
        <f t="shared" si="608"/>
        <v>0</v>
      </c>
      <c r="AM1094" s="11"/>
      <c r="AN1094" s="2" t="e">
        <f t="shared" si="585"/>
        <v>#N/A</v>
      </c>
      <c r="AO1094" s="2" t="e">
        <f t="shared" si="586"/>
        <v>#N/A</v>
      </c>
      <c r="AP1094" s="2" t="e">
        <f t="shared" si="587"/>
        <v>#N/A</v>
      </c>
      <c r="AQ1094" s="2" t="e">
        <f t="shared" si="588"/>
        <v>#N/A</v>
      </c>
      <c r="AR1094" s="2" t="e">
        <f t="shared" si="589"/>
        <v>#N/A</v>
      </c>
      <c r="AS1094" s="2" t="e">
        <f t="shared" si="590"/>
        <v>#DIV/0!</v>
      </c>
      <c r="AT1094" s="9" t="e">
        <f t="shared" ca="1" si="591"/>
        <v>#N/A</v>
      </c>
      <c r="AU1094" s="9" t="e">
        <f t="shared" ca="1" si="592"/>
        <v>#N/A</v>
      </c>
      <c r="AW1094" s="2" t="e">
        <f t="shared" si="577"/>
        <v>#N/A</v>
      </c>
      <c r="AX1094" s="2" t="e">
        <f t="shared" si="578"/>
        <v>#N/A</v>
      </c>
      <c r="AY1094" s="2" t="e">
        <f t="shared" si="579"/>
        <v>#N/A</v>
      </c>
      <c r="AZ1094" s="2" t="e">
        <f t="shared" si="580"/>
        <v>#N/A</v>
      </c>
      <c r="BA1094" s="2" t="e">
        <f t="shared" si="581"/>
        <v>#N/A</v>
      </c>
      <c r="BB1094" s="2" t="e">
        <f t="shared" si="582"/>
        <v>#DIV/0!</v>
      </c>
      <c r="BC1094" s="9" t="e">
        <f t="shared" ca="1" si="583"/>
        <v>#N/A</v>
      </c>
      <c r="BD1094" s="9" t="e">
        <f t="shared" ca="1" si="584"/>
        <v>#N/A</v>
      </c>
    </row>
    <row r="1095" spans="1:56" ht="15" x14ac:dyDescent="0.25">
      <c r="A1095"/>
      <c r="B1095"/>
      <c r="C1095"/>
      <c r="D1095"/>
      <c r="E1095"/>
      <c r="F1095"/>
      <c r="G1095"/>
      <c r="H1095"/>
      <c r="I1095"/>
      <c r="J1095"/>
      <c r="K1095"/>
      <c r="L1095" s="64"/>
      <c r="M1095" s="64"/>
      <c r="N1095" s="16"/>
      <c r="O1095" s="11"/>
      <c r="P1095" s="11"/>
      <c r="Q1095" s="11"/>
      <c r="R1095" s="11"/>
      <c r="S1095" s="11"/>
      <c r="T1095" s="11"/>
      <c r="U1095" s="11">
        <f t="shared" si="593"/>
        <v>0</v>
      </c>
      <c r="V1095" s="2">
        <f t="shared" si="594"/>
        <v>0</v>
      </c>
      <c r="W1095" s="11">
        <f t="shared" si="595"/>
        <v>0</v>
      </c>
      <c r="X1095" s="2">
        <f t="shared" si="596"/>
        <v>0</v>
      </c>
      <c r="Y1095" s="2">
        <f t="shared" si="597"/>
        <v>0</v>
      </c>
      <c r="Z1095" s="11">
        <f t="shared" si="598"/>
        <v>0</v>
      </c>
      <c r="AA1095" s="2">
        <f t="shared" si="599"/>
        <v>0</v>
      </c>
      <c r="AB1095" s="11">
        <f t="shared" si="600"/>
        <v>0</v>
      </c>
      <c r="AC1095" s="2">
        <f t="shared" si="601"/>
        <v>0</v>
      </c>
      <c r="AF1095" s="11">
        <f t="shared" si="602"/>
        <v>0</v>
      </c>
      <c r="AG1095" s="2">
        <f t="shared" si="603"/>
        <v>0</v>
      </c>
      <c r="AH1095" s="2">
        <f t="shared" si="604"/>
        <v>0</v>
      </c>
      <c r="AI1095" s="2">
        <f t="shared" si="605"/>
        <v>0</v>
      </c>
      <c r="AJ1095" s="2">
        <f t="shared" si="606"/>
        <v>0</v>
      </c>
      <c r="AK1095" s="2">
        <f t="shared" si="607"/>
        <v>0</v>
      </c>
      <c r="AL1095" s="2">
        <f t="shared" si="608"/>
        <v>0</v>
      </c>
      <c r="AM1095" s="11"/>
      <c r="AN1095" s="2" t="e">
        <f t="shared" si="585"/>
        <v>#N/A</v>
      </c>
      <c r="AO1095" s="2" t="e">
        <f t="shared" si="586"/>
        <v>#N/A</v>
      </c>
      <c r="AP1095" s="2" t="e">
        <f t="shared" si="587"/>
        <v>#N/A</v>
      </c>
      <c r="AQ1095" s="2" t="e">
        <f t="shared" si="588"/>
        <v>#N/A</v>
      </c>
      <c r="AR1095" s="2" t="e">
        <f t="shared" si="589"/>
        <v>#N/A</v>
      </c>
      <c r="AS1095" s="2" t="e">
        <f t="shared" si="590"/>
        <v>#DIV/0!</v>
      </c>
      <c r="AT1095" s="9" t="e">
        <f t="shared" ca="1" si="591"/>
        <v>#N/A</v>
      </c>
      <c r="AU1095" s="9" t="e">
        <f t="shared" ca="1" si="592"/>
        <v>#N/A</v>
      </c>
      <c r="AW1095" s="2" t="e">
        <f t="shared" si="577"/>
        <v>#N/A</v>
      </c>
      <c r="AX1095" s="2" t="e">
        <f t="shared" si="578"/>
        <v>#N/A</v>
      </c>
      <c r="AY1095" s="2" t="e">
        <f t="shared" si="579"/>
        <v>#N/A</v>
      </c>
      <c r="AZ1095" s="2" t="e">
        <f t="shared" si="580"/>
        <v>#N/A</v>
      </c>
      <c r="BA1095" s="2" t="e">
        <f t="shared" si="581"/>
        <v>#N/A</v>
      </c>
      <c r="BB1095" s="2" t="e">
        <f t="shared" si="582"/>
        <v>#DIV/0!</v>
      </c>
      <c r="BC1095" s="9" t="e">
        <f t="shared" ca="1" si="583"/>
        <v>#N/A</v>
      </c>
      <c r="BD1095" s="9" t="e">
        <f t="shared" ca="1" si="584"/>
        <v>#N/A</v>
      </c>
    </row>
    <row r="1096" spans="1:56" ht="15" x14ac:dyDescent="0.25">
      <c r="A1096"/>
      <c r="B1096"/>
      <c r="C1096"/>
      <c r="D1096"/>
      <c r="E1096"/>
      <c r="F1096"/>
      <c r="G1096"/>
      <c r="H1096"/>
      <c r="I1096"/>
      <c r="J1096"/>
      <c r="K1096"/>
      <c r="L1096" s="64"/>
      <c r="M1096" s="64"/>
      <c r="N1096" s="16"/>
      <c r="O1096" s="11"/>
      <c r="P1096" s="11"/>
      <c r="Q1096" s="11"/>
      <c r="R1096" s="11"/>
      <c r="S1096" s="11"/>
      <c r="T1096" s="11"/>
      <c r="U1096" s="11">
        <f t="shared" si="593"/>
        <v>0</v>
      </c>
      <c r="V1096" s="2">
        <f t="shared" si="594"/>
        <v>0</v>
      </c>
      <c r="W1096" s="11">
        <f t="shared" si="595"/>
        <v>0</v>
      </c>
      <c r="X1096" s="2">
        <f t="shared" si="596"/>
        <v>0</v>
      </c>
      <c r="Y1096" s="2">
        <f t="shared" si="597"/>
        <v>0</v>
      </c>
      <c r="Z1096" s="11">
        <f t="shared" si="598"/>
        <v>0</v>
      </c>
      <c r="AA1096" s="2">
        <f t="shared" si="599"/>
        <v>0</v>
      </c>
      <c r="AB1096" s="11">
        <f t="shared" si="600"/>
        <v>0</v>
      </c>
      <c r="AC1096" s="2">
        <f t="shared" si="601"/>
        <v>0</v>
      </c>
      <c r="AF1096" s="11">
        <f t="shared" si="602"/>
        <v>0</v>
      </c>
      <c r="AG1096" s="2">
        <f t="shared" si="603"/>
        <v>0</v>
      </c>
      <c r="AH1096" s="2">
        <f t="shared" si="604"/>
        <v>0</v>
      </c>
      <c r="AI1096" s="2">
        <f t="shared" si="605"/>
        <v>0</v>
      </c>
      <c r="AJ1096" s="2">
        <f t="shared" si="606"/>
        <v>0</v>
      </c>
      <c r="AK1096" s="2">
        <f t="shared" si="607"/>
        <v>0</v>
      </c>
      <c r="AL1096" s="2">
        <f t="shared" si="608"/>
        <v>0</v>
      </c>
      <c r="AM1096" s="11"/>
      <c r="AN1096" s="2" t="e">
        <f t="shared" si="585"/>
        <v>#N/A</v>
      </c>
      <c r="AO1096" s="2" t="e">
        <f t="shared" si="586"/>
        <v>#N/A</v>
      </c>
      <c r="AP1096" s="2" t="e">
        <f t="shared" si="587"/>
        <v>#N/A</v>
      </c>
      <c r="AQ1096" s="2" t="e">
        <f t="shared" si="588"/>
        <v>#N/A</v>
      </c>
      <c r="AR1096" s="2" t="e">
        <f t="shared" si="589"/>
        <v>#N/A</v>
      </c>
      <c r="AS1096" s="2" t="e">
        <f t="shared" si="590"/>
        <v>#DIV/0!</v>
      </c>
      <c r="AT1096" s="9" t="e">
        <f t="shared" ca="1" si="591"/>
        <v>#N/A</v>
      </c>
      <c r="AU1096" s="9" t="e">
        <f t="shared" ca="1" si="592"/>
        <v>#N/A</v>
      </c>
      <c r="AW1096" s="2" t="e">
        <f t="shared" si="577"/>
        <v>#N/A</v>
      </c>
      <c r="AX1096" s="2" t="e">
        <f t="shared" si="578"/>
        <v>#N/A</v>
      </c>
      <c r="AY1096" s="2" t="e">
        <f t="shared" si="579"/>
        <v>#N/A</v>
      </c>
      <c r="AZ1096" s="2" t="e">
        <f t="shared" si="580"/>
        <v>#N/A</v>
      </c>
      <c r="BA1096" s="2" t="e">
        <f t="shared" si="581"/>
        <v>#N/A</v>
      </c>
      <c r="BB1096" s="2" t="e">
        <f t="shared" si="582"/>
        <v>#DIV/0!</v>
      </c>
      <c r="BC1096" s="9" t="e">
        <f t="shared" ca="1" si="583"/>
        <v>#N/A</v>
      </c>
      <c r="BD1096" s="9" t="e">
        <f t="shared" ca="1" si="584"/>
        <v>#N/A</v>
      </c>
    </row>
    <row r="1097" spans="1:56" ht="15" x14ac:dyDescent="0.25">
      <c r="A1097"/>
      <c r="B1097"/>
      <c r="C1097"/>
      <c r="D1097"/>
      <c r="E1097"/>
      <c r="F1097"/>
      <c r="G1097"/>
      <c r="H1097"/>
      <c r="I1097"/>
      <c r="J1097"/>
      <c r="K1097"/>
      <c r="L1097" s="64"/>
      <c r="M1097" s="64"/>
      <c r="N1097" s="16"/>
      <c r="O1097" s="11"/>
      <c r="P1097" s="11"/>
      <c r="Q1097" s="11"/>
      <c r="R1097" s="11"/>
      <c r="S1097" s="11"/>
      <c r="T1097" s="11"/>
      <c r="U1097" s="11">
        <f t="shared" si="593"/>
        <v>0</v>
      </c>
      <c r="V1097" s="2">
        <f t="shared" si="594"/>
        <v>0</v>
      </c>
      <c r="W1097" s="11">
        <f t="shared" si="595"/>
        <v>0</v>
      </c>
      <c r="X1097" s="2">
        <f t="shared" si="596"/>
        <v>0</v>
      </c>
      <c r="Y1097" s="2">
        <f t="shared" si="597"/>
        <v>0</v>
      </c>
      <c r="Z1097" s="11">
        <f t="shared" si="598"/>
        <v>0</v>
      </c>
      <c r="AA1097" s="2">
        <f t="shared" si="599"/>
        <v>0</v>
      </c>
      <c r="AB1097" s="11">
        <f t="shared" si="600"/>
        <v>0</v>
      </c>
      <c r="AC1097" s="2">
        <f t="shared" si="601"/>
        <v>0</v>
      </c>
      <c r="AF1097" s="11">
        <f t="shared" si="602"/>
        <v>0</v>
      </c>
      <c r="AG1097" s="2">
        <f t="shared" si="603"/>
        <v>0</v>
      </c>
      <c r="AH1097" s="2">
        <f t="shared" si="604"/>
        <v>0</v>
      </c>
      <c r="AI1097" s="2">
        <f t="shared" si="605"/>
        <v>0</v>
      </c>
      <c r="AJ1097" s="2">
        <f t="shared" si="606"/>
        <v>0</v>
      </c>
      <c r="AK1097" s="2">
        <f t="shared" si="607"/>
        <v>0</v>
      </c>
      <c r="AL1097" s="2">
        <f t="shared" si="608"/>
        <v>0</v>
      </c>
      <c r="AM1097" s="11"/>
      <c r="AN1097" s="2" t="e">
        <f t="shared" si="585"/>
        <v>#N/A</v>
      </c>
      <c r="AO1097" s="2" t="e">
        <f t="shared" si="586"/>
        <v>#N/A</v>
      </c>
      <c r="AP1097" s="2" t="e">
        <f t="shared" si="587"/>
        <v>#N/A</v>
      </c>
      <c r="AQ1097" s="2" t="e">
        <f t="shared" si="588"/>
        <v>#N/A</v>
      </c>
      <c r="AR1097" s="2" t="e">
        <f t="shared" si="589"/>
        <v>#N/A</v>
      </c>
      <c r="AS1097" s="2" t="e">
        <f t="shared" si="590"/>
        <v>#DIV/0!</v>
      </c>
      <c r="AT1097" s="9" t="e">
        <f t="shared" ca="1" si="591"/>
        <v>#N/A</v>
      </c>
      <c r="AU1097" s="9" t="e">
        <f t="shared" ca="1" si="592"/>
        <v>#N/A</v>
      </c>
      <c r="AW1097" s="2" t="e">
        <f t="shared" si="577"/>
        <v>#N/A</v>
      </c>
      <c r="AX1097" s="2" t="e">
        <f t="shared" si="578"/>
        <v>#N/A</v>
      </c>
      <c r="AY1097" s="2" t="e">
        <f t="shared" si="579"/>
        <v>#N/A</v>
      </c>
      <c r="AZ1097" s="2" t="e">
        <f t="shared" si="580"/>
        <v>#N/A</v>
      </c>
      <c r="BA1097" s="2" t="e">
        <f t="shared" si="581"/>
        <v>#N/A</v>
      </c>
      <c r="BB1097" s="2" t="e">
        <f t="shared" si="582"/>
        <v>#DIV/0!</v>
      </c>
      <c r="BC1097" s="9" t="e">
        <f t="shared" ca="1" si="583"/>
        <v>#N/A</v>
      </c>
      <c r="BD1097" s="9" t="e">
        <f t="shared" ca="1" si="584"/>
        <v>#N/A</v>
      </c>
    </row>
    <row r="1098" spans="1:56" ht="15" x14ac:dyDescent="0.25">
      <c r="A1098"/>
      <c r="B1098"/>
      <c r="C1098"/>
      <c r="D1098"/>
      <c r="E1098"/>
      <c r="F1098"/>
      <c r="G1098"/>
      <c r="H1098"/>
      <c r="I1098"/>
      <c r="J1098"/>
      <c r="K1098"/>
      <c r="L1098" s="64"/>
      <c r="M1098" s="64"/>
      <c r="N1098" s="16"/>
      <c r="O1098" s="11"/>
      <c r="P1098" s="11"/>
      <c r="Q1098" s="11"/>
      <c r="R1098" s="11"/>
      <c r="S1098" s="11"/>
      <c r="T1098" s="11"/>
      <c r="U1098" s="11">
        <f t="shared" si="593"/>
        <v>0</v>
      </c>
      <c r="V1098" s="2">
        <f t="shared" si="594"/>
        <v>0</v>
      </c>
      <c r="W1098" s="11">
        <f t="shared" si="595"/>
        <v>0</v>
      </c>
      <c r="X1098" s="2">
        <f t="shared" si="596"/>
        <v>0</v>
      </c>
      <c r="Y1098" s="2">
        <f t="shared" si="597"/>
        <v>0</v>
      </c>
      <c r="Z1098" s="11">
        <f t="shared" si="598"/>
        <v>0</v>
      </c>
      <c r="AA1098" s="2">
        <f t="shared" si="599"/>
        <v>0</v>
      </c>
      <c r="AB1098" s="11">
        <f t="shared" si="600"/>
        <v>0</v>
      </c>
      <c r="AC1098" s="2">
        <f t="shared" si="601"/>
        <v>0</v>
      </c>
      <c r="AF1098" s="11">
        <f t="shared" si="602"/>
        <v>0</v>
      </c>
      <c r="AG1098" s="2">
        <f t="shared" si="603"/>
        <v>0</v>
      </c>
      <c r="AH1098" s="2">
        <f t="shared" si="604"/>
        <v>0</v>
      </c>
      <c r="AI1098" s="2">
        <f t="shared" si="605"/>
        <v>0</v>
      </c>
      <c r="AJ1098" s="2">
        <f t="shared" si="606"/>
        <v>0</v>
      </c>
      <c r="AK1098" s="2">
        <f t="shared" si="607"/>
        <v>0</v>
      </c>
      <c r="AL1098" s="2">
        <f t="shared" si="608"/>
        <v>0</v>
      </c>
      <c r="AM1098" s="11"/>
      <c r="AN1098" s="2" t="e">
        <f t="shared" si="585"/>
        <v>#N/A</v>
      </c>
      <c r="AO1098" s="2" t="e">
        <f t="shared" si="586"/>
        <v>#N/A</v>
      </c>
      <c r="AP1098" s="2" t="e">
        <f t="shared" si="587"/>
        <v>#N/A</v>
      </c>
      <c r="AQ1098" s="2" t="e">
        <f t="shared" si="588"/>
        <v>#N/A</v>
      </c>
      <c r="AR1098" s="2" t="e">
        <f t="shared" si="589"/>
        <v>#N/A</v>
      </c>
      <c r="AS1098" s="2" t="e">
        <f t="shared" si="590"/>
        <v>#DIV/0!</v>
      </c>
      <c r="AT1098" s="9" t="e">
        <f t="shared" ca="1" si="591"/>
        <v>#N/A</v>
      </c>
      <c r="AU1098" s="9" t="e">
        <f t="shared" ca="1" si="592"/>
        <v>#N/A</v>
      </c>
      <c r="AW1098" s="2" t="e">
        <f t="shared" si="577"/>
        <v>#N/A</v>
      </c>
      <c r="AX1098" s="2" t="e">
        <f t="shared" si="578"/>
        <v>#N/A</v>
      </c>
      <c r="AY1098" s="2" t="e">
        <f t="shared" si="579"/>
        <v>#N/A</v>
      </c>
      <c r="AZ1098" s="2" t="e">
        <f t="shared" si="580"/>
        <v>#N/A</v>
      </c>
      <c r="BA1098" s="2" t="e">
        <f t="shared" si="581"/>
        <v>#N/A</v>
      </c>
      <c r="BB1098" s="2" t="e">
        <f t="shared" si="582"/>
        <v>#DIV/0!</v>
      </c>
      <c r="BC1098" s="9" t="e">
        <f t="shared" ca="1" si="583"/>
        <v>#N/A</v>
      </c>
      <c r="BD1098" s="9" t="e">
        <f t="shared" ca="1" si="584"/>
        <v>#N/A</v>
      </c>
    </row>
    <row r="1099" spans="1:56" ht="15" x14ac:dyDescent="0.25">
      <c r="A1099"/>
      <c r="B1099"/>
      <c r="C1099"/>
      <c r="D1099"/>
      <c r="E1099"/>
      <c r="F1099"/>
      <c r="G1099"/>
      <c r="H1099"/>
      <c r="I1099"/>
      <c r="J1099"/>
      <c r="K1099"/>
      <c r="L1099" s="64"/>
      <c r="M1099" s="64"/>
      <c r="N1099" s="16"/>
      <c r="O1099" s="11"/>
      <c r="P1099" s="11"/>
      <c r="Q1099" s="11"/>
      <c r="R1099" s="11"/>
      <c r="S1099" s="11"/>
      <c r="T1099" s="11"/>
      <c r="U1099" s="11">
        <f t="shared" si="593"/>
        <v>0</v>
      </c>
      <c r="V1099" s="2">
        <f t="shared" si="594"/>
        <v>0</v>
      </c>
      <c r="W1099" s="11">
        <f t="shared" si="595"/>
        <v>0</v>
      </c>
      <c r="X1099" s="2">
        <f t="shared" si="596"/>
        <v>0</v>
      </c>
      <c r="Y1099" s="2">
        <f t="shared" si="597"/>
        <v>0</v>
      </c>
      <c r="Z1099" s="11">
        <f t="shared" si="598"/>
        <v>0</v>
      </c>
      <c r="AA1099" s="2">
        <f t="shared" si="599"/>
        <v>0</v>
      </c>
      <c r="AB1099" s="11">
        <f t="shared" si="600"/>
        <v>0</v>
      </c>
      <c r="AC1099" s="2">
        <f t="shared" si="601"/>
        <v>0</v>
      </c>
      <c r="AF1099" s="11">
        <f t="shared" si="602"/>
        <v>0</v>
      </c>
      <c r="AG1099" s="2">
        <f t="shared" si="603"/>
        <v>0</v>
      </c>
      <c r="AH1099" s="2">
        <f t="shared" si="604"/>
        <v>0</v>
      </c>
      <c r="AI1099" s="2">
        <f t="shared" si="605"/>
        <v>0</v>
      </c>
      <c r="AJ1099" s="2">
        <f t="shared" si="606"/>
        <v>0</v>
      </c>
      <c r="AK1099" s="2">
        <f t="shared" si="607"/>
        <v>0</v>
      </c>
      <c r="AL1099" s="2">
        <f t="shared" si="608"/>
        <v>0</v>
      </c>
      <c r="AM1099" s="11"/>
      <c r="AN1099" s="2" t="e">
        <f t="shared" si="585"/>
        <v>#N/A</v>
      </c>
      <c r="AO1099" s="2" t="e">
        <f t="shared" si="586"/>
        <v>#N/A</v>
      </c>
      <c r="AP1099" s="2" t="e">
        <f t="shared" si="587"/>
        <v>#N/A</v>
      </c>
      <c r="AQ1099" s="2" t="e">
        <f t="shared" si="588"/>
        <v>#N/A</v>
      </c>
      <c r="AR1099" s="2" t="e">
        <f t="shared" si="589"/>
        <v>#N/A</v>
      </c>
      <c r="AS1099" s="2" t="e">
        <f t="shared" si="590"/>
        <v>#DIV/0!</v>
      </c>
      <c r="AT1099" s="9" t="e">
        <f t="shared" ca="1" si="591"/>
        <v>#N/A</v>
      </c>
      <c r="AU1099" s="9" t="e">
        <f t="shared" ca="1" si="592"/>
        <v>#N/A</v>
      </c>
      <c r="AW1099" s="2" t="e">
        <f t="shared" si="577"/>
        <v>#N/A</v>
      </c>
      <c r="AX1099" s="2" t="e">
        <f t="shared" si="578"/>
        <v>#N/A</v>
      </c>
      <c r="AY1099" s="2" t="e">
        <f t="shared" si="579"/>
        <v>#N/A</v>
      </c>
      <c r="AZ1099" s="2" t="e">
        <f t="shared" si="580"/>
        <v>#N/A</v>
      </c>
      <c r="BA1099" s="2" t="e">
        <f t="shared" si="581"/>
        <v>#N/A</v>
      </c>
      <c r="BB1099" s="2" t="e">
        <f t="shared" si="582"/>
        <v>#DIV/0!</v>
      </c>
      <c r="BC1099" s="9" t="e">
        <f t="shared" ca="1" si="583"/>
        <v>#N/A</v>
      </c>
      <c r="BD1099" s="9" t="e">
        <f t="shared" ca="1" si="584"/>
        <v>#N/A</v>
      </c>
    </row>
    <row r="1100" spans="1:56" ht="15" x14ac:dyDescent="0.25">
      <c r="A1100"/>
      <c r="B1100"/>
      <c r="C1100"/>
      <c r="D1100"/>
      <c r="E1100"/>
      <c r="F1100"/>
      <c r="G1100"/>
      <c r="H1100"/>
      <c r="I1100"/>
      <c r="J1100"/>
      <c r="K1100"/>
      <c r="L1100" s="64"/>
      <c r="M1100" s="64"/>
      <c r="N1100" s="16"/>
      <c r="O1100" s="11"/>
      <c r="P1100" s="11"/>
      <c r="Q1100" s="11"/>
      <c r="R1100" s="11"/>
      <c r="S1100" s="11"/>
      <c r="T1100" s="11"/>
      <c r="U1100" s="11">
        <f t="shared" si="593"/>
        <v>0</v>
      </c>
      <c r="V1100" s="2">
        <f t="shared" si="594"/>
        <v>0</v>
      </c>
      <c r="W1100" s="11">
        <f t="shared" si="595"/>
        <v>0</v>
      </c>
      <c r="X1100" s="2">
        <f t="shared" si="596"/>
        <v>0</v>
      </c>
      <c r="Y1100" s="2">
        <f t="shared" si="597"/>
        <v>0</v>
      </c>
      <c r="Z1100" s="11">
        <f t="shared" si="598"/>
        <v>0</v>
      </c>
      <c r="AA1100" s="2">
        <f t="shared" si="599"/>
        <v>0</v>
      </c>
      <c r="AB1100" s="11">
        <f t="shared" si="600"/>
        <v>0</v>
      </c>
      <c r="AC1100" s="2">
        <f t="shared" si="601"/>
        <v>0</v>
      </c>
      <c r="AF1100" s="11">
        <f t="shared" si="602"/>
        <v>0</v>
      </c>
      <c r="AG1100" s="2">
        <f t="shared" si="603"/>
        <v>0</v>
      </c>
      <c r="AH1100" s="2">
        <f t="shared" si="604"/>
        <v>0</v>
      </c>
      <c r="AI1100" s="2">
        <f t="shared" si="605"/>
        <v>0</v>
      </c>
      <c r="AJ1100" s="2">
        <f t="shared" si="606"/>
        <v>0</v>
      </c>
      <c r="AK1100" s="2">
        <f t="shared" si="607"/>
        <v>0</v>
      </c>
      <c r="AL1100" s="2">
        <f t="shared" si="608"/>
        <v>0</v>
      </c>
      <c r="AM1100" s="11"/>
      <c r="AN1100" s="2" t="e">
        <f t="shared" si="585"/>
        <v>#N/A</v>
      </c>
      <c r="AO1100" s="2" t="e">
        <f t="shared" si="586"/>
        <v>#N/A</v>
      </c>
      <c r="AP1100" s="2" t="e">
        <f t="shared" si="587"/>
        <v>#N/A</v>
      </c>
      <c r="AQ1100" s="2" t="e">
        <f t="shared" si="588"/>
        <v>#N/A</v>
      </c>
      <c r="AR1100" s="2" t="e">
        <f t="shared" si="589"/>
        <v>#N/A</v>
      </c>
      <c r="AS1100" s="2" t="e">
        <f t="shared" si="590"/>
        <v>#DIV/0!</v>
      </c>
      <c r="AT1100" s="9" t="e">
        <f t="shared" ca="1" si="591"/>
        <v>#N/A</v>
      </c>
      <c r="AU1100" s="9" t="e">
        <f t="shared" ca="1" si="592"/>
        <v>#N/A</v>
      </c>
      <c r="AW1100" s="2" t="e">
        <f t="shared" si="577"/>
        <v>#N/A</v>
      </c>
      <c r="AX1100" s="2" t="e">
        <f t="shared" si="578"/>
        <v>#N/A</v>
      </c>
      <c r="AY1100" s="2" t="e">
        <f t="shared" si="579"/>
        <v>#N/A</v>
      </c>
      <c r="AZ1100" s="2" t="e">
        <f t="shared" si="580"/>
        <v>#N/A</v>
      </c>
      <c r="BA1100" s="2" t="e">
        <f t="shared" si="581"/>
        <v>#N/A</v>
      </c>
      <c r="BB1100" s="2" t="e">
        <f t="shared" si="582"/>
        <v>#DIV/0!</v>
      </c>
      <c r="BC1100" s="9" t="e">
        <f t="shared" ca="1" si="583"/>
        <v>#N/A</v>
      </c>
      <c r="BD1100" s="9" t="e">
        <f t="shared" ca="1" si="584"/>
        <v>#N/A</v>
      </c>
    </row>
    <row r="1101" spans="1:56" ht="15" x14ac:dyDescent="0.25">
      <c r="A1101"/>
      <c r="B1101"/>
      <c r="C1101"/>
      <c r="D1101"/>
      <c r="E1101"/>
      <c r="F1101"/>
      <c r="G1101"/>
      <c r="H1101"/>
      <c r="I1101"/>
      <c r="J1101"/>
      <c r="K1101"/>
      <c r="L1101" s="64"/>
      <c r="M1101" s="64"/>
      <c r="N1101" s="16"/>
      <c r="O1101" s="11"/>
      <c r="P1101" s="11"/>
      <c r="Q1101" s="11"/>
      <c r="R1101" s="11"/>
      <c r="S1101" s="11"/>
      <c r="T1101" s="11"/>
      <c r="U1101" s="11">
        <f t="shared" si="593"/>
        <v>0</v>
      </c>
      <c r="V1101" s="2">
        <f t="shared" si="594"/>
        <v>0</v>
      </c>
      <c r="W1101" s="11">
        <f t="shared" si="595"/>
        <v>0</v>
      </c>
      <c r="X1101" s="2">
        <f t="shared" si="596"/>
        <v>0</v>
      </c>
      <c r="Y1101" s="2">
        <f t="shared" si="597"/>
        <v>0</v>
      </c>
      <c r="Z1101" s="11">
        <f t="shared" si="598"/>
        <v>0</v>
      </c>
      <c r="AA1101" s="2">
        <f t="shared" si="599"/>
        <v>0</v>
      </c>
      <c r="AB1101" s="11">
        <f t="shared" si="600"/>
        <v>0</v>
      </c>
      <c r="AC1101" s="2">
        <f t="shared" si="601"/>
        <v>0</v>
      </c>
      <c r="AF1101" s="11">
        <f t="shared" si="602"/>
        <v>0</v>
      </c>
      <c r="AG1101" s="2">
        <f t="shared" si="603"/>
        <v>0</v>
      </c>
      <c r="AH1101" s="2">
        <f t="shared" si="604"/>
        <v>0</v>
      </c>
      <c r="AI1101" s="2">
        <f t="shared" si="605"/>
        <v>0</v>
      </c>
      <c r="AJ1101" s="2">
        <f t="shared" si="606"/>
        <v>0</v>
      </c>
      <c r="AK1101" s="2">
        <f t="shared" si="607"/>
        <v>0</v>
      </c>
      <c r="AL1101" s="2">
        <f t="shared" si="608"/>
        <v>0</v>
      </c>
      <c r="AM1101" s="11"/>
      <c r="AN1101" s="2" t="e">
        <f t="shared" si="585"/>
        <v>#N/A</v>
      </c>
      <c r="AO1101" s="2" t="e">
        <f t="shared" si="586"/>
        <v>#N/A</v>
      </c>
      <c r="AP1101" s="2" t="e">
        <f t="shared" si="587"/>
        <v>#N/A</v>
      </c>
      <c r="AQ1101" s="2" t="e">
        <f t="shared" si="588"/>
        <v>#N/A</v>
      </c>
      <c r="AR1101" s="2" t="e">
        <f t="shared" si="589"/>
        <v>#N/A</v>
      </c>
      <c r="AS1101" s="2" t="e">
        <f t="shared" si="590"/>
        <v>#DIV/0!</v>
      </c>
      <c r="AT1101" s="9" t="e">
        <f t="shared" ca="1" si="591"/>
        <v>#N/A</v>
      </c>
      <c r="AU1101" s="9" t="e">
        <f t="shared" ca="1" si="592"/>
        <v>#N/A</v>
      </c>
      <c r="AW1101" s="2" t="e">
        <f t="shared" si="577"/>
        <v>#N/A</v>
      </c>
      <c r="AX1101" s="2" t="e">
        <f t="shared" si="578"/>
        <v>#N/A</v>
      </c>
      <c r="AY1101" s="2" t="e">
        <f t="shared" si="579"/>
        <v>#N/A</v>
      </c>
      <c r="AZ1101" s="2" t="e">
        <f t="shared" si="580"/>
        <v>#N/A</v>
      </c>
      <c r="BA1101" s="2" t="e">
        <f t="shared" si="581"/>
        <v>#N/A</v>
      </c>
      <c r="BB1101" s="2" t="e">
        <f t="shared" si="582"/>
        <v>#DIV/0!</v>
      </c>
      <c r="BC1101" s="9" t="e">
        <f t="shared" ca="1" si="583"/>
        <v>#N/A</v>
      </c>
      <c r="BD1101" s="9" t="e">
        <f t="shared" ca="1" si="584"/>
        <v>#N/A</v>
      </c>
    </row>
    <row r="1102" spans="1:56" ht="15" x14ac:dyDescent="0.25">
      <c r="A1102"/>
      <c r="B1102"/>
      <c r="C1102"/>
      <c r="D1102"/>
      <c r="E1102"/>
      <c r="F1102"/>
      <c r="G1102"/>
      <c r="H1102"/>
      <c r="I1102"/>
      <c r="J1102"/>
      <c r="K1102"/>
      <c r="L1102" s="64"/>
      <c r="M1102" s="64"/>
      <c r="N1102" s="16"/>
      <c r="O1102" s="11"/>
      <c r="P1102" s="11"/>
      <c r="Q1102" s="11"/>
      <c r="R1102" s="11"/>
      <c r="S1102" s="11"/>
      <c r="T1102" s="11"/>
      <c r="U1102" s="11">
        <f t="shared" si="593"/>
        <v>0</v>
      </c>
      <c r="V1102" s="2">
        <f t="shared" si="594"/>
        <v>0</v>
      </c>
      <c r="W1102" s="11">
        <f t="shared" si="595"/>
        <v>0</v>
      </c>
      <c r="X1102" s="2">
        <f t="shared" si="596"/>
        <v>0</v>
      </c>
      <c r="Y1102" s="2">
        <f t="shared" si="597"/>
        <v>0</v>
      </c>
      <c r="Z1102" s="11">
        <f t="shared" si="598"/>
        <v>0</v>
      </c>
      <c r="AA1102" s="2">
        <f t="shared" si="599"/>
        <v>0</v>
      </c>
      <c r="AB1102" s="11">
        <f t="shared" si="600"/>
        <v>0</v>
      </c>
      <c r="AC1102" s="2">
        <f t="shared" si="601"/>
        <v>0</v>
      </c>
      <c r="AF1102" s="11">
        <f t="shared" si="602"/>
        <v>0</v>
      </c>
      <c r="AG1102" s="2">
        <f t="shared" si="603"/>
        <v>0</v>
      </c>
      <c r="AH1102" s="2">
        <f t="shared" si="604"/>
        <v>0</v>
      </c>
      <c r="AI1102" s="2">
        <f t="shared" si="605"/>
        <v>0</v>
      </c>
      <c r="AJ1102" s="2">
        <f t="shared" si="606"/>
        <v>0</v>
      </c>
      <c r="AK1102" s="2">
        <f t="shared" si="607"/>
        <v>0</v>
      </c>
      <c r="AL1102" s="2">
        <f t="shared" si="608"/>
        <v>0</v>
      </c>
      <c r="AM1102" s="11"/>
      <c r="AN1102" s="2" t="e">
        <f t="shared" si="585"/>
        <v>#N/A</v>
      </c>
      <c r="AO1102" s="2" t="e">
        <f t="shared" si="586"/>
        <v>#N/A</v>
      </c>
      <c r="AP1102" s="2" t="e">
        <f t="shared" si="587"/>
        <v>#N/A</v>
      </c>
      <c r="AQ1102" s="2" t="e">
        <f t="shared" si="588"/>
        <v>#N/A</v>
      </c>
      <c r="AR1102" s="2" t="e">
        <f t="shared" si="589"/>
        <v>#N/A</v>
      </c>
      <c r="AS1102" s="2" t="e">
        <f t="shared" si="590"/>
        <v>#DIV/0!</v>
      </c>
      <c r="AT1102" s="9" t="e">
        <f t="shared" ca="1" si="591"/>
        <v>#N/A</v>
      </c>
      <c r="AU1102" s="9" t="e">
        <f t="shared" ca="1" si="592"/>
        <v>#N/A</v>
      </c>
      <c r="AW1102" s="2" t="e">
        <f t="shared" si="577"/>
        <v>#N/A</v>
      </c>
      <c r="AX1102" s="2" t="e">
        <f t="shared" si="578"/>
        <v>#N/A</v>
      </c>
      <c r="AY1102" s="2" t="e">
        <f t="shared" si="579"/>
        <v>#N/A</v>
      </c>
      <c r="AZ1102" s="2" t="e">
        <f t="shared" si="580"/>
        <v>#N/A</v>
      </c>
      <c r="BA1102" s="2" t="e">
        <f t="shared" si="581"/>
        <v>#N/A</v>
      </c>
      <c r="BB1102" s="2" t="e">
        <f t="shared" si="582"/>
        <v>#DIV/0!</v>
      </c>
      <c r="BC1102" s="9" t="e">
        <f t="shared" ca="1" si="583"/>
        <v>#N/A</v>
      </c>
      <c r="BD1102" s="9" t="e">
        <f t="shared" ca="1" si="584"/>
        <v>#N/A</v>
      </c>
    </row>
    <row r="1103" spans="1:56" ht="15" x14ac:dyDescent="0.25">
      <c r="A1103"/>
      <c r="B1103"/>
      <c r="C1103"/>
      <c r="D1103"/>
      <c r="E1103"/>
      <c r="F1103"/>
      <c r="G1103"/>
      <c r="H1103"/>
      <c r="I1103"/>
      <c r="J1103"/>
      <c r="K1103"/>
      <c r="L1103" s="64"/>
      <c r="M1103" s="64"/>
      <c r="N1103" s="16"/>
      <c r="O1103" s="11"/>
      <c r="P1103" s="11"/>
      <c r="Q1103" s="11"/>
      <c r="R1103" s="11"/>
      <c r="S1103" s="11"/>
      <c r="T1103" s="11"/>
      <c r="U1103" s="11">
        <f t="shared" si="593"/>
        <v>0</v>
      </c>
      <c r="V1103" s="2">
        <f t="shared" si="594"/>
        <v>0</v>
      </c>
      <c r="W1103" s="11">
        <f t="shared" si="595"/>
        <v>0</v>
      </c>
      <c r="X1103" s="2">
        <f t="shared" si="596"/>
        <v>0</v>
      </c>
      <c r="Y1103" s="2">
        <f t="shared" si="597"/>
        <v>0</v>
      </c>
      <c r="Z1103" s="11">
        <f t="shared" si="598"/>
        <v>0</v>
      </c>
      <c r="AA1103" s="2">
        <f t="shared" si="599"/>
        <v>0</v>
      </c>
      <c r="AB1103" s="11">
        <f t="shared" si="600"/>
        <v>0</v>
      </c>
      <c r="AC1103" s="2">
        <f t="shared" si="601"/>
        <v>0</v>
      </c>
      <c r="AF1103" s="11">
        <f t="shared" si="602"/>
        <v>0</v>
      </c>
      <c r="AG1103" s="2">
        <f t="shared" si="603"/>
        <v>0</v>
      </c>
      <c r="AH1103" s="2">
        <f t="shared" si="604"/>
        <v>0</v>
      </c>
      <c r="AI1103" s="2">
        <f t="shared" si="605"/>
        <v>0</v>
      </c>
      <c r="AJ1103" s="2">
        <f t="shared" si="606"/>
        <v>0</v>
      </c>
      <c r="AK1103" s="2">
        <f t="shared" si="607"/>
        <v>0</v>
      </c>
      <c r="AL1103" s="2">
        <f t="shared" si="608"/>
        <v>0</v>
      </c>
      <c r="AM1103" s="11"/>
      <c r="AN1103" s="2" t="e">
        <f t="shared" si="585"/>
        <v>#N/A</v>
      </c>
      <c r="AO1103" s="2" t="e">
        <f t="shared" si="586"/>
        <v>#N/A</v>
      </c>
      <c r="AP1103" s="2" t="e">
        <f t="shared" si="587"/>
        <v>#N/A</v>
      </c>
      <c r="AQ1103" s="2" t="e">
        <f t="shared" si="588"/>
        <v>#N/A</v>
      </c>
      <c r="AR1103" s="2" t="e">
        <f t="shared" si="589"/>
        <v>#N/A</v>
      </c>
      <c r="AS1103" s="2" t="e">
        <f t="shared" si="590"/>
        <v>#DIV/0!</v>
      </c>
      <c r="AT1103" s="9" t="e">
        <f t="shared" ca="1" si="591"/>
        <v>#N/A</v>
      </c>
      <c r="AU1103" s="9" t="e">
        <f t="shared" ca="1" si="592"/>
        <v>#N/A</v>
      </c>
      <c r="AW1103" s="2" t="e">
        <f t="shared" si="577"/>
        <v>#N/A</v>
      </c>
      <c r="AX1103" s="2" t="e">
        <f t="shared" si="578"/>
        <v>#N/A</v>
      </c>
      <c r="AY1103" s="2" t="e">
        <f t="shared" si="579"/>
        <v>#N/A</v>
      </c>
      <c r="AZ1103" s="2" t="e">
        <f t="shared" si="580"/>
        <v>#N/A</v>
      </c>
      <c r="BA1103" s="2" t="e">
        <f t="shared" si="581"/>
        <v>#N/A</v>
      </c>
      <c r="BB1103" s="2" t="e">
        <f t="shared" si="582"/>
        <v>#DIV/0!</v>
      </c>
      <c r="BC1103" s="9" t="e">
        <f t="shared" ca="1" si="583"/>
        <v>#N/A</v>
      </c>
      <c r="BD1103" s="9" t="e">
        <f t="shared" ca="1" si="584"/>
        <v>#N/A</v>
      </c>
    </row>
    <row r="1104" spans="1:56" ht="15" x14ac:dyDescent="0.25">
      <c r="A1104"/>
      <c r="B1104"/>
      <c r="C1104"/>
      <c r="D1104"/>
      <c r="E1104"/>
      <c r="F1104"/>
      <c r="G1104"/>
      <c r="H1104"/>
      <c r="I1104"/>
      <c r="J1104"/>
      <c r="K1104"/>
      <c r="L1104" s="64"/>
      <c r="M1104" s="64"/>
      <c r="N1104" s="16"/>
      <c r="O1104" s="11"/>
      <c r="P1104" s="11"/>
      <c r="Q1104" s="11"/>
      <c r="R1104" s="11"/>
      <c r="S1104" s="11"/>
      <c r="T1104" s="11"/>
      <c r="U1104" s="11">
        <f t="shared" si="593"/>
        <v>0</v>
      </c>
      <c r="V1104" s="2">
        <f t="shared" si="594"/>
        <v>0</v>
      </c>
      <c r="W1104" s="11">
        <f t="shared" si="595"/>
        <v>0</v>
      </c>
      <c r="X1104" s="2">
        <f t="shared" si="596"/>
        <v>0</v>
      </c>
      <c r="Y1104" s="2">
        <f t="shared" si="597"/>
        <v>0</v>
      </c>
      <c r="Z1104" s="11">
        <f t="shared" si="598"/>
        <v>0</v>
      </c>
      <c r="AA1104" s="2">
        <f t="shared" si="599"/>
        <v>0</v>
      </c>
      <c r="AB1104" s="11">
        <f t="shared" si="600"/>
        <v>0</v>
      </c>
      <c r="AC1104" s="2">
        <f t="shared" si="601"/>
        <v>0</v>
      </c>
      <c r="AF1104" s="11">
        <f t="shared" si="602"/>
        <v>0</v>
      </c>
      <c r="AG1104" s="2">
        <f t="shared" si="603"/>
        <v>0</v>
      </c>
      <c r="AH1104" s="2">
        <f t="shared" si="604"/>
        <v>0</v>
      </c>
      <c r="AI1104" s="2">
        <f t="shared" si="605"/>
        <v>0</v>
      </c>
      <c r="AJ1104" s="2">
        <f t="shared" si="606"/>
        <v>0</v>
      </c>
      <c r="AK1104" s="2">
        <f t="shared" si="607"/>
        <v>0</v>
      </c>
      <c r="AL1104" s="2">
        <f t="shared" si="608"/>
        <v>0</v>
      </c>
      <c r="AM1104" s="11"/>
      <c r="AN1104" s="2" t="e">
        <f t="shared" si="585"/>
        <v>#N/A</v>
      </c>
      <c r="AO1104" s="2" t="e">
        <f t="shared" si="586"/>
        <v>#N/A</v>
      </c>
      <c r="AP1104" s="2" t="e">
        <f t="shared" si="587"/>
        <v>#N/A</v>
      </c>
      <c r="AQ1104" s="2" t="e">
        <f t="shared" si="588"/>
        <v>#N/A</v>
      </c>
      <c r="AR1104" s="2" t="e">
        <f t="shared" si="589"/>
        <v>#N/A</v>
      </c>
      <c r="AS1104" s="2" t="e">
        <f t="shared" si="590"/>
        <v>#DIV/0!</v>
      </c>
      <c r="AT1104" s="9" t="e">
        <f t="shared" ca="1" si="591"/>
        <v>#N/A</v>
      </c>
      <c r="AU1104" s="9" t="e">
        <f t="shared" ca="1" si="592"/>
        <v>#N/A</v>
      </c>
      <c r="AW1104" s="2" t="e">
        <f t="shared" si="577"/>
        <v>#N/A</v>
      </c>
      <c r="AX1104" s="2" t="e">
        <f t="shared" si="578"/>
        <v>#N/A</v>
      </c>
      <c r="AY1104" s="2" t="e">
        <f t="shared" si="579"/>
        <v>#N/A</v>
      </c>
      <c r="AZ1104" s="2" t="e">
        <f t="shared" si="580"/>
        <v>#N/A</v>
      </c>
      <c r="BA1104" s="2" t="e">
        <f t="shared" si="581"/>
        <v>#N/A</v>
      </c>
      <c r="BB1104" s="2" t="e">
        <f t="shared" si="582"/>
        <v>#DIV/0!</v>
      </c>
      <c r="BC1104" s="9" t="e">
        <f t="shared" ca="1" si="583"/>
        <v>#N/A</v>
      </c>
      <c r="BD1104" s="9" t="e">
        <f t="shared" ca="1" si="584"/>
        <v>#N/A</v>
      </c>
    </row>
    <row r="1105" spans="1:56" ht="15" x14ac:dyDescent="0.25">
      <c r="A1105"/>
      <c r="B1105"/>
      <c r="C1105"/>
      <c r="D1105"/>
      <c r="E1105"/>
      <c r="F1105"/>
      <c r="G1105"/>
      <c r="H1105"/>
      <c r="I1105"/>
      <c r="J1105"/>
      <c r="K1105"/>
      <c r="L1105" s="64"/>
      <c r="M1105" s="64"/>
      <c r="N1105" s="16"/>
      <c r="O1105" s="11"/>
      <c r="P1105" s="11"/>
      <c r="Q1105" s="11"/>
      <c r="R1105" s="11"/>
      <c r="S1105" s="11"/>
      <c r="T1105" s="11"/>
      <c r="U1105" s="11">
        <f t="shared" si="593"/>
        <v>0</v>
      </c>
      <c r="V1105" s="2">
        <f t="shared" si="594"/>
        <v>0</v>
      </c>
      <c r="W1105" s="11">
        <f t="shared" si="595"/>
        <v>0</v>
      </c>
      <c r="X1105" s="2">
        <f t="shared" si="596"/>
        <v>0</v>
      </c>
      <c r="Y1105" s="2">
        <f t="shared" si="597"/>
        <v>0</v>
      </c>
      <c r="Z1105" s="11">
        <f t="shared" si="598"/>
        <v>0</v>
      </c>
      <c r="AA1105" s="2">
        <f t="shared" si="599"/>
        <v>0</v>
      </c>
      <c r="AB1105" s="11">
        <f t="shared" si="600"/>
        <v>0</v>
      </c>
      <c r="AC1105" s="2">
        <f t="shared" si="601"/>
        <v>0</v>
      </c>
      <c r="AF1105" s="11">
        <f t="shared" si="602"/>
        <v>0</v>
      </c>
      <c r="AG1105" s="2">
        <f t="shared" si="603"/>
        <v>0</v>
      </c>
      <c r="AH1105" s="2">
        <f t="shared" si="604"/>
        <v>0</v>
      </c>
      <c r="AI1105" s="2">
        <f t="shared" si="605"/>
        <v>0</v>
      </c>
      <c r="AJ1105" s="2">
        <f t="shared" si="606"/>
        <v>0</v>
      </c>
      <c r="AK1105" s="2">
        <f t="shared" si="607"/>
        <v>0</v>
      </c>
      <c r="AL1105" s="2">
        <f t="shared" si="608"/>
        <v>0</v>
      </c>
      <c r="AM1105" s="11"/>
      <c r="AN1105" s="2" t="e">
        <f t="shared" si="585"/>
        <v>#N/A</v>
      </c>
      <c r="AO1105" s="2" t="e">
        <f t="shared" si="586"/>
        <v>#N/A</v>
      </c>
      <c r="AP1105" s="2" t="e">
        <f t="shared" si="587"/>
        <v>#N/A</v>
      </c>
      <c r="AQ1105" s="2" t="e">
        <f t="shared" si="588"/>
        <v>#N/A</v>
      </c>
      <c r="AR1105" s="2" t="e">
        <f t="shared" si="589"/>
        <v>#N/A</v>
      </c>
      <c r="AS1105" s="2" t="e">
        <f t="shared" si="590"/>
        <v>#DIV/0!</v>
      </c>
      <c r="AT1105" s="9" t="e">
        <f t="shared" ca="1" si="591"/>
        <v>#N/A</v>
      </c>
      <c r="AU1105" s="9" t="e">
        <f t="shared" ca="1" si="592"/>
        <v>#N/A</v>
      </c>
      <c r="AW1105" s="2" t="e">
        <f t="shared" si="577"/>
        <v>#N/A</v>
      </c>
      <c r="AX1105" s="2" t="e">
        <f t="shared" si="578"/>
        <v>#N/A</v>
      </c>
      <c r="AY1105" s="2" t="e">
        <f t="shared" si="579"/>
        <v>#N/A</v>
      </c>
      <c r="AZ1105" s="2" t="e">
        <f t="shared" si="580"/>
        <v>#N/A</v>
      </c>
      <c r="BA1105" s="2" t="e">
        <f t="shared" si="581"/>
        <v>#N/A</v>
      </c>
      <c r="BB1105" s="2" t="e">
        <f t="shared" si="582"/>
        <v>#DIV/0!</v>
      </c>
      <c r="BC1105" s="9" t="e">
        <f t="shared" ca="1" si="583"/>
        <v>#N/A</v>
      </c>
      <c r="BD1105" s="9" t="e">
        <f t="shared" ca="1" si="584"/>
        <v>#N/A</v>
      </c>
    </row>
    <row r="1106" spans="1:56" ht="15" x14ac:dyDescent="0.25">
      <c r="A1106"/>
      <c r="B1106"/>
      <c r="C1106"/>
      <c r="D1106"/>
      <c r="E1106"/>
      <c r="F1106"/>
      <c r="G1106"/>
      <c r="H1106"/>
      <c r="I1106"/>
      <c r="J1106"/>
      <c r="K1106"/>
      <c r="L1106" s="64"/>
      <c r="M1106" s="64"/>
      <c r="N1106" s="16"/>
      <c r="O1106" s="11"/>
      <c r="P1106" s="11"/>
      <c r="Q1106" s="11"/>
      <c r="R1106" s="11"/>
      <c r="S1106" s="11"/>
      <c r="T1106" s="11"/>
      <c r="U1106" s="11">
        <f t="shared" si="593"/>
        <v>0</v>
      </c>
      <c r="V1106" s="2">
        <f t="shared" si="594"/>
        <v>0</v>
      </c>
      <c r="W1106" s="11">
        <f t="shared" si="595"/>
        <v>0</v>
      </c>
      <c r="X1106" s="2">
        <f t="shared" si="596"/>
        <v>0</v>
      </c>
      <c r="Y1106" s="2">
        <f t="shared" si="597"/>
        <v>0</v>
      </c>
      <c r="Z1106" s="11">
        <f t="shared" si="598"/>
        <v>0</v>
      </c>
      <c r="AA1106" s="2">
        <f t="shared" si="599"/>
        <v>0</v>
      </c>
      <c r="AB1106" s="11">
        <f t="shared" si="600"/>
        <v>0</v>
      </c>
      <c r="AC1106" s="2">
        <f t="shared" si="601"/>
        <v>0</v>
      </c>
      <c r="AF1106" s="11">
        <f t="shared" si="602"/>
        <v>0</v>
      </c>
      <c r="AG1106" s="2">
        <f t="shared" si="603"/>
        <v>0</v>
      </c>
      <c r="AH1106" s="2">
        <f t="shared" si="604"/>
        <v>0</v>
      </c>
      <c r="AI1106" s="2">
        <f t="shared" si="605"/>
        <v>0</v>
      </c>
      <c r="AJ1106" s="2">
        <f t="shared" si="606"/>
        <v>0</v>
      </c>
      <c r="AK1106" s="2">
        <f t="shared" si="607"/>
        <v>0</v>
      </c>
      <c r="AL1106" s="2">
        <f t="shared" si="608"/>
        <v>0</v>
      </c>
      <c r="AM1106" s="11"/>
      <c r="AN1106" s="2" t="e">
        <f t="shared" si="585"/>
        <v>#N/A</v>
      </c>
      <c r="AO1106" s="2" t="e">
        <f t="shared" si="586"/>
        <v>#N/A</v>
      </c>
      <c r="AP1106" s="2" t="e">
        <f t="shared" si="587"/>
        <v>#N/A</v>
      </c>
      <c r="AQ1106" s="2" t="e">
        <f t="shared" si="588"/>
        <v>#N/A</v>
      </c>
      <c r="AR1106" s="2" t="e">
        <f t="shared" si="589"/>
        <v>#N/A</v>
      </c>
      <c r="AS1106" s="2" t="e">
        <f t="shared" si="590"/>
        <v>#DIV/0!</v>
      </c>
      <c r="AT1106" s="9" t="e">
        <f t="shared" ca="1" si="591"/>
        <v>#N/A</v>
      </c>
      <c r="AU1106" s="9" t="e">
        <f t="shared" ca="1" si="592"/>
        <v>#N/A</v>
      </c>
      <c r="AW1106" s="2" t="e">
        <f t="shared" si="577"/>
        <v>#N/A</v>
      </c>
      <c r="AX1106" s="2" t="e">
        <f t="shared" si="578"/>
        <v>#N/A</v>
      </c>
      <c r="AY1106" s="2" t="e">
        <f t="shared" si="579"/>
        <v>#N/A</v>
      </c>
      <c r="AZ1106" s="2" t="e">
        <f t="shared" si="580"/>
        <v>#N/A</v>
      </c>
      <c r="BA1106" s="2" t="e">
        <f t="shared" si="581"/>
        <v>#N/A</v>
      </c>
      <c r="BB1106" s="2" t="e">
        <f t="shared" si="582"/>
        <v>#DIV/0!</v>
      </c>
      <c r="BC1106" s="9" t="e">
        <f t="shared" ca="1" si="583"/>
        <v>#N/A</v>
      </c>
      <c r="BD1106" s="9" t="e">
        <f t="shared" ca="1" si="584"/>
        <v>#N/A</v>
      </c>
    </row>
    <row r="1107" spans="1:56" ht="15" x14ac:dyDescent="0.25">
      <c r="A1107"/>
      <c r="B1107"/>
      <c r="C1107"/>
      <c r="D1107"/>
      <c r="E1107"/>
      <c r="F1107"/>
      <c r="G1107"/>
      <c r="H1107"/>
      <c r="I1107"/>
      <c r="J1107"/>
      <c r="K1107"/>
      <c r="L1107" s="64"/>
      <c r="M1107" s="64"/>
      <c r="N1107" s="16"/>
      <c r="O1107" s="11"/>
      <c r="P1107" s="11"/>
      <c r="Q1107" s="11"/>
      <c r="R1107" s="11"/>
      <c r="S1107" s="11"/>
      <c r="T1107" s="11"/>
      <c r="U1107" s="11">
        <f t="shared" si="593"/>
        <v>0</v>
      </c>
      <c r="V1107" s="2">
        <f t="shared" si="594"/>
        <v>0</v>
      </c>
      <c r="W1107" s="11">
        <f t="shared" si="595"/>
        <v>0</v>
      </c>
      <c r="X1107" s="2">
        <f t="shared" si="596"/>
        <v>0</v>
      </c>
      <c r="Y1107" s="2">
        <f t="shared" si="597"/>
        <v>0</v>
      </c>
      <c r="Z1107" s="11">
        <f t="shared" si="598"/>
        <v>0</v>
      </c>
      <c r="AA1107" s="2">
        <f t="shared" si="599"/>
        <v>0</v>
      </c>
      <c r="AB1107" s="11">
        <f t="shared" si="600"/>
        <v>0</v>
      </c>
      <c r="AC1107" s="2">
        <f t="shared" si="601"/>
        <v>0</v>
      </c>
      <c r="AF1107" s="11">
        <f t="shared" si="602"/>
        <v>0</v>
      </c>
      <c r="AG1107" s="2">
        <f t="shared" si="603"/>
        <v>0</v>
      </c>
      <c r="AH1107" s="2">
        <f t="shared" si="604"/>
        <v>0</v>
      </c>
      <c r="AI1107" s="2">
        <f t="shared" si="605"/>
        <v>0</v>
      </c>
      <c r="AJ1107" s="2">
        <f t="shared" si="606"/>
        <v>0</v>
      </c>
      <c r="AK1107" s="2">
        <f t="shared" si="607"/>
        <v>0</v>
      </c>
      <c r="AL1107" s="2">
        <f t="shared" si="608"/>
        <v>0</v>
      </c>
      <c r="AM1107" s="11"/>
      <c r="AN1107" s="2" t="e">
        <f t="shared" si="585"/>
        <v>#N/A</v>
      </c>
      <c r="AO1107" s="2" t="e">
        <f t="shared" si="586"/>
        <v>#N/A</v>
      </c>
      <c r="AP1107" s="2" t="e">
        <f t="shared" si="587"/>
        <v>#N/A</v>
      </c>
      <c r="AQ1107" s="2" t="e">
        <f t="shared" si="588"/>
        <v>#N/A</v>
      </c>
      <c r="AR1107" s="2" t="e">
        <f t="shared" si="589"/>
        <v>#N/A</v>
      </c>
      <c r="AS1107" s="2" t="e">
        <f t="shared" si="590"/>
        <v>#DIV/0!</v>
      </c>
      <c r="AT1107" s="9" t="e">
        <f t="shared" ca="1" si="591"/>
        <v>#N/A</v>
      </c>
      <c r="AU1107" s="9" t="e">
        <f t="shared" ca="1" si="592"/>
        <v>#N/A</v>
      </c>
      <c r="AW1107" s="2" t="e">
        <f t="shared" si="577"/>
        <v>#N/A</v>
      </c>
      <c r="AX1107" s="2" t="e">
        <f t="shared" si="578"/>
        <v>#N/A</v>
      </c>
      <c r="AY1107" s="2" t="e">
        <f t="shared" si="579"/>
        <v>#N/A</v>
      </c>
      <c r="AZ1107" s="2" t="e">
        <f t="shared" si="580"/>
        <v>#N/A</v>
      </c>
      <c r="BA1107" s="2" t="e">
        <f t="shared" si="581"/>
        <v>#N/A</v>
      </c>
      <c r="BB1107" s="2" t="e">
        <f t="shared" si="582"/>
        <v>#DIV/0!</v>
      </c>
      <c r="BC1107" s="9" t="e">
        <f t="shared" ca="1" si="583"/>
        <v>#N/A</v>
      </c>
      <c r="BD1107" s="9" t="e">
        <f t="shared" ca="1" si="584"/>
        <v>#N/A</v>
      </c>
    </row>
    <row r="1108" spans="1:56" ht="15" x14ac:dyDescent="0.25">
      <c r="A1108"/>
      <c r="B1108"/>
      <c r="C1108"/>
      <c r="D1108"/>
      <c r="E1108"/>
      <c r="F1108"/>
      <c r="G1108"/>
      <c r="H1108"/>
      <c r="I1108"/>
      <c r="J1108"/>
      <c r="K1108"/>
      <c r="L1108" s="64"/>
      <c r="M1108" s="64"/>
      <c r="N1108" s="16"/>
      <c r="O1108" s="11"/>
      <c r="P1108" s="11"/>
      <c r="Q1108" s="11"/>
      <c r="R1108" s="11"/>
      <c r="S1108" s="11"/>
      <c r="T1108" s="11"/>
      <c r="U1108" s="11">
        <f t="shared" si="593"/>
        <v>0</v>
      </c>
      <c r="V1108" s="2">
        <f t="shared" si="594"/>
        <v>0</v>
      </c>
      <c r="W1108" s="11">
        <f t="shared" si="595"/>
        <v>0</v>
      </c>
      <c r="X1108" s="2">
        <f t="shared" si="596"/>
        <v>0</v>
      </c>
      <c r="Y1108" s="2">
        <f t="shared" si="597"/>
        <v>0</v>
      </c>
      <c r="Z1108" s="11">
        <f t="shared" si="598"/>
        <v>0</v>
      </c>
      <c r="AA1108" s="2">
        <f t="shared" si="599"/>
        <v>0</v>
      </c>
      <c r="AB1108" s="11">
        <f t="shared" si="600"/>
        <v>0</v>
      </c>
      <c r="AC1108" s="2">
        <f t="shared" si="601"/>
        <v>0</v>
      </c>
      <c r="AF1108" s="11">
        <f t="shared" si="602"/>
        <v>0</v>
      </c>
      <c r="AG1108" s="2">
        <f t="shared" si="603"/>
        <v>0</v>
      </c>
      <c r="AH1108" s="2">
        <f t="shared" si="604"/>
        <v>0</v>
      </c>
      <c r="AI1108" s="2">
        <f t="shared" si="605"/>
        <v>0</v>
      </c>
      <c r="AJ1108" s="2">
        <f t="shared" si="606"/>
        <v>0</v>
      </c>
      <c r="AK1108" s="2">
        <f t="shared" si="607"/>
        <v>0</v>
      </c>
      <c r="AL1108" s="2">
        <f t="shared" si="608"/>
        <v>0</v>
      </c>
      <c r="AM1108" s="11"/>
      <c r="AN1108" s="2" t="e">
        <f t="shared" si="585"/>
        <v>#N/A</v>
      </c>
      <c r="AO1108" s="2" t="e">
        <f t="shared" si="586"/>
        <v>#N/A</v>
      </c>
      <c r="AP1108" s="2" t="e">
        <f t="shared" si="587"/>
        <v>#N/A</v>
      </c>
      <c r="AQ1108" s="2" t="e">
        <f t="shared" si="588"/>
        <v>#N/A</v>
      </c>
      <c r="AR1108" s="2" t="e">
        <f t="shared" si="589"/>
        <v>#N/A</v>
      </c>
      <c r="AS1108" s="2" t="e">
        <f t="shared" si="590"/>
        <v>#DIV/0!</v>
      </c>
      <c r="AT1108" s="9" t="e">
        <f t="shared" ca="1" si="591"/>
        <v>#N/A</v>
      </c>
      <c r="AU1108" s="9" t="e">
        <f t="shared" ca="1" si="592"/>
        <v>#N/A</v>
      </c>
      <c r="AW1108" s="2" t="e">
        <f t="shared" si="577"/>
        <v>#N/A</v>
      </c>
      <c r="AX1108" s="2" t="e">
        <f t="shared" si="578"/>
        <v>#N/A</v>
      </c>
      <c r="AY1108" s="2" t="e">
        <f t="shared" si="579"/>
        <v>#N/A</v>
      </c>
      <c r="AZ1108" s="2" t="e">
        <f t="shared" si="580"/>
        <v>#N/A</v>
      </c>
      <c r="BA1108" s="2" t="e">
        <f t="shared" si="581"/>
        <v>#N/A</v>
      </c>
      <c r="BB1108" s="2" t="e">
        <f t="shared" si="582"/>
        <v>#DIV/0!</v>
      </c>
      <c r="BC1108" s="9" t="e">
        <f t="shared" ca="1" si="583"/>
        <v>#N/A</v>
      </c>
      <c r="BD1108" s="9" t="e">
        <f t="shared" ca="1" si="584"/>
        <v>#N/A</v>
      </c>
    </row>
    <row r="1109" spans="1:56" ht="15" x14ac:dyDescent="0.25">
      <c r="A1109"/>
      <c r="B1109"/>
      <c r="C1109"/>
      <c r="D1109"/>
      <c r="E1109"/>
      <c r="F1109"/>
      <c r="G1109"/>
      <c r="H1109"/>
      <c r="I1109"/>
      <c r="J1109"/>
      <c r="K1109"/>
      <c r="L1109" s="64"/>
      <c r="M1109" s="64"/>
      <c r="N1109" s="16"/>
      <c r="O1109" s="11"/>
      <c r="P1109" s="11"/>
      <c r="Q1109" s="11"/>
      <c r="R1109" s="11"/>
      <c r="S1109" s="11"/>
      <c r="T1109" s="11"/>
      <c r="U1109" s="11">
        <f t="shared" si="593"/>
        <v>0</v>
      </c>
      <c r="V1109" s="2">
        <f t="shared" si="594"/>
        <v>0</v>
      </c>
      <c r="W1109" s="11">
        <f t="shared" si="595"/>
        <v>0</v>
      </c>
      <c r="X1109" s="2">
        <f t="shared" si="596"/>
        <v>0</v>
      </c>
      <c r="Y1109" s="2">
        <f t="shared" si="597"/>
        <v>0</v>
      </c>
      <c r="Z1109" s="11">
        <f t="shared" si="598"/>
        <v>0</v>
      </c>
      <c r="AA1109" s="2">
        <f t="shared" si="599"/>
        <v>0</v>
      </c>
      <c r="AB1109" s="11">
        <f t="shared" si="600"/>
        <v>0</v>
      </c>
      <c r="AC1109" s="2">
        <f t="shared" si="601"/>
        <v>0</v>
      </c>
      <c r="AF1109" s="11">
        <f t="shared" si="602"/>
        <v>0</v>
      </c>
      <c r="AG1109" s="2">
        <f t="shared" si="603"/>
        <v>0</v>
      </c>
      <c r="AH1109" s="2">
        <f t="shared" si="604"/>
        <v>0</v>
      </c>
      <c r="AI1109" s="2">
        <f t="shared" si="605"/>
        <v>0</v>
      </c>
      <c r="AJ1109" s="2">
        <f t="shared" si="606"/>
        <v>0</v>
      </c>
      <c r="AK1109" s="2">
        <f t="shared" si="607"/>
        <v>0</v>
      </c>
      <c r="AL1109" s="2">
        <f t="shared" si="608"/>
        <v>0</v>
      </c>
      <c r="AM1109" s="11"/>
      <c r="AN1109" s="2" t="e">
        <f t="shared" si="585"/>
        <v>#N/A</v>
      </c>
      <c r="AO1109" s="2" t="e">
        <f t="shared" si="586"/>
        <v>#N/A</v>
      </c>
      <c r="AP1109" s="2" t="e">
        <f t="shared" si="587"/>
        <v>#N/A</v>
      </c>
      <c r="AQ1109" s="2" t="e">
        <f t="shared" si="588"/>
        <v>#N/A</v>
      </c>
      <c r="AR1109" s="2" t="e">
        <f t="shared" si="589"/>
        <v>#N/A</v>
      </c>
      <c r="AS1109" s="2" t="e">
        <f t="shared" si="590"/>
        <v>#DIV/0!</v>
      </c>
      <c r="AT1109" s="9" t="e">
        <f t="shared" ca="1" si="591"/>
        <v>#N/A</v>
      </c>
      <c r="AU1109" s="9" t="e">
        <f t="shared" ca="1" si="592"/>
        <v>#N/A</v>
      </c>
      <c r="AW1109" s="2" t="e">
        <f t="shared" si="577"/>
        <v>#N/A</v>
      </c>
      <c r="AX1109" s="2" t="e">
        <f t="shared" si="578"/>
        <v>#N/A</v>
      </c>
      <c r="AY1109" s="2" t="e">
        <f t="shared" si="579"/>
        <v>#N/A</v>
      </c>
      <c r="AZ1109" s="2" t="e">
        <f t="shared" si="580"/>
        <v>#N/A</v>
      </c>
      <c r="BA1109" s="2" t="e">
        <f t="shared" si="581"/>
        <v>#N/A</v>
      </c>
      <c r="BB1109" s="2" t="e">
        <f t="shared" si="582"/>
        <v>#DIV/0!</v>
      </c>
      <c r="BC1109" s="9" t="e">
        <f t="shared" ca="1" si="583"/>
        <v>#N/A</v>
      </c>
      <c r="BD1109" s="9" t="e">
        <f t="shared" ca="1" si="584"/>
        <v>#N/A</v>
      </c>
    </row>
    <row r="1110" spans="1:56" ht="15" x14ac:dyDescent="0.25">
      <c r="A1110"/>
      <c r="B1110"/>
      <c r="C1110"/>
      <c r="D1110"/>
      <c r="E1110"/>
      <c r="F1110"/>
      <c r="G1110"/>
      <c r="H1110"/>
      <c r="I1110"/>
      <c r="J1110"/>
      <c r="K1110"/>
      <c r="L1110" s="64"/>
      <c r="M1110" s="64"/>
      <c r="N1110" s="16"/>
      <c r="O1110" s="11"/>
      <c r="P1110" s="11"/>
      <c r="Q1110" s="11"/>
      <c r="R1110" s="11"/>
      <c r="S1110" s="11"/>
      <c r="T1110" s="11"/>
      <c r="U1110" s="11">
        <f t="shared" si="593"/>
        <v>0</v>
      </c>
      <c r="V1110" s="2">
        <f t="shared" si="594"/>
        <v>0</v>
      </c>
      <c r="W1110" s="11">
        <f t="shared" si="595"/>
        <v>0</v>
      </c>
      <c r="X1110" s="2">
        <f t="shared" si="596"/>
        <v>0</v>
      </c>
      <c r="Y1110" s="2">
        <f t="shared" si="597"/>
        <v>0</v>
      </c>
      <c r="Z1110" s="11">
        <f t="shared" si="598"/>
        <v>0</v>
      </c>
      <c r="AA1110" s="2">
        <f t="shared" si="599"/>
        <v>0</v>
      </c>
      <c r="AB1110" s="11">
        <f t="shared" si="600"/>
        <v>0</v>
      </c>
      <c r="AC1110" s="2">
        <f t="shared" si="601"/>
        <v>0</v>
      </c>
      <c r="AF1110" s="11">
        <f t="shared" si="602"/>
        <v>0</v>
      </c>
      <c r="AG1110" s="2">
        <f t="shared" si="603"/>
        <v>0</v>
      </c>
      <c r="AH1110" s="2">
        <f t="shared" si="604"/>
        <v>0</v>
      </c>
      <c r="AI1110" s="2">
        <f t="shared" si="605"/>
        <v>0</v>
      </c>
      <c r="AJ1110" s="2">
        <f t="shared" si="606"/>
        <v>0</v>
      </c>
      <c r="AK1110" s="2">
        <f t="shared" si="607"/>
        <v>0</v>
      </c>
      <c r="AL1110" s="2">
        <f t="shared" si="608"/>
        <v>0</v>
      </c>
      <c r="AM1110" s="11"/>
      <c r="AN1110" s="2" t="e">
        <f t="shared" si="585"/>
        <v>#N/A</v>
      </c>
      <c r="AO1110" s="2" t="e">
        <f t="shared" si="586"/>
        <v>#N/A</v>
      </c>
      <c r="AP1110" s="2" t="e">
        <f t="shared" si="587"/>
        <v>#N/A</v>
      </c>
      <c r="AQ1110" s="2" t="e">
        <f t="shared" si="588"/>
        <v>#N/A</v>
      </c>
      <c r="AR1110" s="2" t="e">
        <f t="shared" si="589"/>
        <v>#N/A</v>
      </c>
      <c r="AS1110" s="2" t="e">
        <f t="shared" si="590"/>
        <v>#DIV/0!</v>
      </c>
      <c r="AT1110" s="9" t="e">
        <f t="shared" ca="1" si="591"/>
        <v>#N/A</v>
      </c>
      <c r="AU1110" s="9" t="e">
        <f t="shared" ca="1" si="592"/>
        <v>#N/A</v>
      </c>
      <c r="AW1110" s="2" t="e">
        <f t="shared" si="577"/>
        <v>#N/A</v>
      </c>
      <c r="AX1110" s="2" t="e">
        <f t="shared" si="578"/>
        <v>#N/A</v>
      </c>
      <c r="AY1110" s="2" t="e">
        <f t="shared" si="579"/>
        <v>#N/A</v>
      </c>
      <c r="AZ1110" s="2" t="e">
        <f t="shared" si="580"/>
        <v>#N/A</v>
      </c>
      <c r="BA1110" s="2" t="e">
        <f t="shared" si="581"/>
        <v>#N/A</v>
      </c>
      <c r="BB1110" s="2" t="e">
        <f t="shared" si="582"/>
        <v>#DIV/0!</v>
      </c>
      <c r="BC1110" s="9" t="e">
        <f t="shared" ca="1" si="583"/>
        <v>#N/A</v>
      </c>
      <c r="BD1110" s="9" t="e">
        <f t="shared" ca="1" si="584"/>
        <v>#N/A</v>
      </c>
    </row>
    <row r="1111" spans="1:56" ht="15" x14ac:dyDescent="0.25">
      <c r="A1111"/>
      <c r="B1111"/>
      <c r="C1111"/>
      <c r="D1111"/>
      <c r="E1111"/>
      <c r="F1111"/>
      <c r="G1111"/>
      <c r="H1111"/>
      <c r="I1111"/>
      <c r="J1111"/>
      <c r="K1111"/>
      <c r="L1111" s="64"/>
      <c r="M1111" s="64"/>
      <c r="N1111" s="16"/>
      <c r="O1111" s="11"/>
      <c r="P1111" s="11"/>
      <c r="Q1111" s="11"/>
      <c r="R1111" s="11"/>
      <c r="S1111" s="11"/>
      <c r="T1111" s="11"/>
      <c r="U1111" s="11">
        <f t="shared" si="593"/>
        <v>0</v>
      </c>
      <c r="V1111" s="2">
        <f t="shared" si="594"/>
        <v>0</v>
      </c>
      <c r="W1111" s="11">
        <f t="shared" si="595"/>
        <v>0</v>
      </c>
      <c r="X1111" s="2">
        <f t="shared" si="596"/>
        <v>0</v>
      </c>
      <c r="Y1111" s="2">
        <f t="shared" si="597"/>
        <v>0</v>
      </c>
      <c r="Z1111" s="11">
        <f t="shared" si="598"/>
        <v>0</v>
      </c>
      <c r="AA1111" s="2">
        <f t="shared" si="599"/>
        <v>0</v>
      </c>
      <c r="AB1111" s="11">
        <f t="shared" si="600"/>
        <v>0</v>
      </c>
      <c r="AC1111" s="2">
        <f t="shared" si="601"/>
        <v>0</v>
      </c>
      <c r="AF1111" s="11">
        <f t="shared" si="602"/>
        <v>0</v>
      </c>
      <c r="AG1111" s="2">
        <f t="shared" si="603"/>
        <v>0</v>
      </c>
      <c r="AH1111" s="2">
        <f t="shared" si="604"/>
        <v>0</v>
      </c>
      <c r="AI1111" s="2">
        <f t="shared" si="605"/>
        <v>0</v>
      </c>
      <c r="AJ1111" s="2">
        <f t="shared" si="606"/>
        <v>0</v>
      </c>
      <c r="AK1111" s="2">
        <f t="shared" si="607"/>
        <v>0</v>
      </c>
      <c r="AL1111" s="2">
        <f t="shared" si="608"/>
        <v>0</v>
      </c>
      <c r="AM1111" s="11"/>
      <c r="AN1111" s="2" t="e">
        <f t="shared" si="585"/>
        <v>#N/A</v>
      </c>
      <c r="AO1111" s="2" t="e">
        <f t="shared" si="586"/>
        <v>#N/A</v>
      </c>
      <c r="AP1111" s="2" t="e">
        <f t="shared" si="587"/>
        <v>#N/A</v>
      </c>
      <c r="AQ1111" s="2" t="e">
        <f t="shared" si="588"/>
        <v>#N/A</v>
      </c>
      <c r="AR1111" s="2" t="e">
        <f t="shared" si="589"/>
        <v>#N/A</v>
      </c>
      <c r="AS1111" s="2" t="e">
        <f t="shared" si="590"/>
        <v>#DIV/0!</v>
      </c>
      <c r="AT1111" s="9" t="e">
        <f t="shared" ca="1" si="591"/>
        <v>#N/A</v>
      </c>
      <c r="AU1111" s="9" t="e">
        <f t="shared" ca="1" si="592"/>
        <v>#N/A</v>
      </c>
      <c r="AW1111" s="2" t="e">
        <f t="shared" ref="AW1111:AW1174" si="609">IF(AND(AL1111&gt;0, AJ1111&gt;0), AL1111/AJ1111, #N/A)</f>
        <v>#N/A</v>
      </c>
      <c r="AX1111" s="2" t="e">
        <f t="shared" ref="AX1111:AX1174" si="610">$B$8*((AW1111/$B$10)^$B$11)</f>
        <v>#N/A</v>
      </c>
      <c r="AY1111" s="2" t="e">
        <f t="shared" ref="AY1111:AY1174" si="611">AX1111*AI1111</f>
        <v>#N/A</v>
      </c>
      <c r="AZ1111" s="2" t="e">
        <f t="shared" ref="AZ1111:AZ1174" si="612">AK1111-AY1111</f>
        <v>#N/A</v>
      </c>
      <c r="BA1111" s="2" t="e">
        <f t="shared" ref="BA1111:BA1174" si="613">(AZ1111/AJ1111)/((AW1111/$B$10)^$B$12)</f>
        <v>#N/A</v>
      </c>
      <c r="BB1111" s="2" t="e">
        <f t="shared" ref="BB1111:BB1174" si="614">(AH1111/AJ1111)/((AW1111/$B$10)^$B$13)</f>
        <v>#DIV/0!</v>
      </c>
      <c r="BC1111" s="9" t="e">
        <f t="shared" ref="BC1111:BC1174" ca="1" si="615">IF(AND(BA1111&lt;$P$3,BA1111&gt;$P$4),BA1111,"rejected")</f>
        <v>#N/A</v>
      </c>
      <c r="BD1111" s="9" t="e">
        <f t="shared" ref="BD1111:BD1174" ca="1" si="616">IF(AND(BA1111&lt;$P$3,BA1111&gt;$P$4),BA1111,#N/A)</f>
        <v>#N/A</v>
      </c>
    </row>
    <row r="1112" spans="1:56" ht="15" x14ac:dyDescent="0.25">
      <c r="A1112"/>
      <c r="B1112"/>
      <c r="C1112"/>
      <c r="D1112"/>
      <c r="E1112"/>
      <c r="F1112"/>
      <c r="G1112"/>
      <c r="H1112"/>
      <c r="I1112"/>
      <c r="J1112"/>
      <c r="K1112"/>
      <c r="L1112" s="64"/>
      <c r="M1112" s="64"/>
      <c r="N1112" s="16"/>
      <c r="O1112" s="11"/>
      <c r="P1112" s="11"/>
      <c r="Q1112" s="11"/>
      <c r="R1112" s="11"/>
      <c r="S1112" s="11"/>
      <c r="T1112" s="11"/>
      <c r="U1112" s="11">
        <f t="shared" si="593"/>
        <v>0</v>
      </c>
      <c r="V1112" s="2">
        <f t="shared" si="594"/>
        <v>0</v>
      </c>
      <c r="W1112" s="11">
        <f t="shared" si="595"/>
        <v>0</v>
      </c>
      <c r="X1112" s="2">
        <f t="shared" si="596"/>
        <v>0</v>
      </c>
      <c r="Y1112" s="2">
        <f t="shared" si="597"/>
        <v>0</v>
      </c>
      <c r="Z1112" s="11">
        <f t="shared" si="598"/>
        <v>0</v>
      </c>
      <c r="AA1112" s="2">
        <f t="shared" si="599"/>
        <v>0</v>
      </c>
      <c r="AB1112" s="11">
        <f t="shared" si="600"/>
        <v>0</v>
      </c>
      <c r="AC1112" s="2">
        <f t="shared" si="601"/>
        <v>0</v>
      </c>
      <c r="AF1112" s="11">
        <f t="shared" si="602"/>
        <v>0</v>
      </c>
      <c r="AG1112" s="2">
        <f t="shared" si="603"/>
        <v>0</v>
      </c>
      <c r="AH1112" s="2">
        <f t="shared" si="604"/>
        <v>0</v>
      </c>
      <c r="AI1112" s="2">
        <f t="shared" si="605"/>
        <v>0</v>
      </c>
      <c r="AJ1112" s="2">
        <f t="shared" si="606"/>
        <v>0</v>
      </c>
      <c r="AK1112" s="2">
        <f t="shared" si="607"/>
        <v>0</v>
      </c>
      <c r="AL1112" s="2">
        <f t="shared" si="608"/>
        <v>0</v>
      </c>
      <c r="AM1112" s="11"/>
      <c r="AN1112" s="2" t="e">
        <f t="shared" si="585"/>
        <v>#N/A</v>
      </c>
      <c r="AO1112" s="2" t="e">
        <f t="shared" si="586"/>
        <v>#N/A</v>
      </c>
      <c r="AP1112" s="2" t="e">
        <f t="shared" si="587"/>
        <v>#N/A</v>
      </c>
      <c r="AQ1112" s="2" t="e">
        <f t="shared" si="588"/>
        <v>#N/A</v>
      </c>
      <c r="AR1112" s="2" t="e">
        <f t="shared" si="589"/>
        <v>#N/A</v>
      </c>
      <c r="AS1112" s="2" t="e">
        <f t="shared" si="590"/>
        <v>#DIV/0!</v>
      </c>
      <c r="AT1112" s="9" t="e">
        <f t="shared" ca="1" si="591"/>
        <v>#N/A</v>
      </c>
      <c r="AU1112" s="9" t="e">
        <f t="shared" ca="1" si="592"/>
        <v>#N/A</v>
      </c>
      <c r="AW1112" s="2" t="e">
        <f t="shared" si="609"/>
        <v>#N/A</v>
      </c>
      <c r="AX1112" s="2" t="e">
        <f t="shared" si="610"/>
        <v>#N/A</v>
      </c>
      <c r="AY1112" s="2" t="e">
        <f t="shared" si="611"/>
        <v>#N/A</v>
      </c>
      <c r="AZ1112" s="2" t="e">
        <f t="shared" si="612"/>
        <v>#N/A</v>
      </c>
      <c r="BA1112" s="2" t="e">
        <f t="shared" si="613"/>
        <v>#N/A</v>
      </c>
      <c r="BB1112" s="2" t="e">
        <f t="shared" si="614"/>
        <v>#DIV/0!</v>
      </c>
      <c r="BC1112" s="9" t="e">
        <f t="shared" ca="1" si="615"/>
        <v>#N/A</v>
      </c>
      <c r="BD1112" s="9" t="e">
        <f t="shared" ca="1" si="616"/>
        <v>#N/A</v>
      </c>
    </row>
    <row r="1113" spans="1:56" ht="15" x14ac:dyDescent="0.25">
      <c r="A1113"/>
      <c r="B1113"/>
      <c r="C1113"/>
      <c r="D1113"/>
      <c r="E1113"/>
      <c r="F1113"/>
      <c r="G1113"/>
      <c r="H1113"/>
      <c r="I1113"/>
      <c r="J1113"/>
      <c r="K1113"/>
      <c r="L1113" s="64"/>
      <c r="M1113" s="64"/>
      <c r="N1113" s="16"/>
      <c r="O1113" s="11"/>
      <c r="P1113" s="11"/>
      <c r="Q1113" s="11"/>
      <c r="R1113" s="11"/>
      <c r="S1113" s="11"/>
      <c r="T1113" s="11"/>
      <c r="U1113" s="11">
        <f t="shared" si="593"/>
        <v>0</v>
      </c>
      <c r="V1113" s="2">
        <f t="shared" si="594"/>
        <v>0</v>
      </c>
      <c r="W1113" s="11">
        <f t="shared" si="595"/>
        <v>0</v>
      </c>
      <c r="X1113" s="2">
        <f t="shared" si="596"/>
        <v>0</v>
      </c>
      <c r="Y1113" s="2">
        <f t="shared" si="597"/>
        <v>0</v>
      </c>
      <c r="Z1113" s="11">
        <f t="shared" si="598"/>
        <v>0</v>
      </c>
      <c r="AA1113" s="2">
        <f t="shared" si="599"/>
        <v>0</v>
      </c>
      <c r="AB1113" s="11">
        <f t="shared" si="600"/>
        <v>0</v>
      </c>
      <c r="AC1113" s="2">
        <f t="shared" si="601"/>
        <v>0</v>
      </c>
      <c r="AF1113" s="11">
        <f t="shared" si="602"/>
        <v>0</v>
      </c>
      <c r="AG1113" s="2">
        <f t="shared" si="603"/>
        <v>0</v>
      </c>
      <c r="AH1113" s="2">
        <f t="shared" si="604"/>
        <v>0</v>
      </c>
      <c r="AI1113" s="2">
        <f t="shared" si="605"/>
        <v>0</v>
      </c>
      <c r="AJ1113" s="2">
        <f t="shared" si="606"/>
        <v>0</v>
      </c>
      <c r="AK1113" s="2">
        <f t="shared" si="607"/>
        <v>0</v>
      </c>
      <c r="AL1113" s="2">
        <f t="shared" si="608"/>
        <v>0</v>
      </c>
      <c r="AM1113" s="11"/>
      <c r="AN1113" s="2" t="e">
        <f t="shared" si="585"/>
        <v>#N/A</v>
      </c>
      <c r="AO1113" s="2" t="e">
        <f t="shared" si="586"/>
        <v>#N/A</v>
      </c>
      <c r="AP1113" s="2" t="e">
        <f t="shared" si="587"/>
        <v>#N/A</v>
      </c>
      <c r="AQ1113" s="2" t="e">
        <f t="shared" si="588"/>
        <v>#N/A</v>
      </c>
      <c r="AR1113" s="2" t="e">
        <f t="shared" si="589"/>
        <v>#N/A</v>
      </c>
      <c r="AS1113" s="2" t="e">
        <f t="shared" si="590"/>
        <v>#DIV/0!</v>
      </c>
      <c r="AT1113" s="9" t="e">
        <f t="shared" ca="1" si="591"/>
        <v>#N/A</v>
      </c>
      <c r="AU1113" s="9" t="e">
        <f t="shared" ca="1" si="592"/>
        <v>#N/A</v>
      </c>
      <c r="AW1113" s="2" t="e">
        <f t="shared" si="609"/>
        <v>#N/A</v>
      </c>
      <c r="AX1113" s="2" t="e">
        <f t="shared" si="610"/>
        <v>#N/A</v>
      </c>
      <c r="AY1113" s="2" t="e">
        <f t="shared" si="611"/>
        <v>#N/A</v>
      </c>
      <c r="AZ1113" s="2" t="e">
        <f t="shared" si="612"/>
        <v>#N/A</v>
      </c>
      <c r="BA1113" s="2" t="e">
        <f t="shared" si="613"/>
        <v>#N/A</v>
      </c>
      <c r="BB1113" s="2" t="e">
        <f t="shared" si="614"/>
        <v>#DIV/0!</v>
      </c>
      <c r="BC1113" s="9" t="e">
        <f t="shared" ca="1" si="615"/>
        <v>#N/A</v>
      </c>
      <c r="BD1113" s="9" t="e">
        <f t="shared" ca="1" si="616"/>
        <v>#N/A</v>
      </c>
    </row>
    <row r="1114" spans="1:56" ht="15" x14ac:dyDescent="0.25">
      <c r="A1114"/>
      <c r="B1114"/>
      <c r="C1114"/>
      <c r="D1114"/>
      <c r="E1114"/>
      <c r="F1114"/>
      <c r="G1114"/>
      <c r="H1114"/>
      <c r="I1114"/>
      <c r="J1114"/>
      <c r="K1114"/>
      <c r="L1114" s="64"/>
      <c r="M1114" s="64"/>
      <c r="N1114" s="16"/>
      <c r="O1114" s="11"/>
      <c r="P1114" s="11"/>
      <c r="Q1114" s="11"/>
      <c r="R1114" s="11"/>
      <c r="S1114" s="11"/>
      <c r="T1114" s="11"/>
      <c r="U1114" s="11">
        <f t="shared" si="593"/>
        <v>0</v>
      </c>
      <c r="V1114" s="2">
        <f t="shared" si="594"/>
        <v>0</v>
      </c>
      <c r="W1114" s="11">
        <f t="shared" si="595"/>
        <v>0</v>
      </c>
      <c r="X1114" s="2">
        <f t="shared" si="596"/>
        <v>0</v>
      </c>
      <c r="Y1114" s="2">
        <f t="shared" si="597"/>
        <v>0</v>
      </c>
      <c r="Z1114" s="11">
        <f t="shared" si="598"/>
        <v>0</v>
      </c>
      <c r="AA1114" s="2">
        <f t="shared" si="599"/>
        <v>0</v>
      </c>
      <c r="AB1114" s="11">
        <f t="shared" si="600"/>
        <v>0</v>
      </c>
      <c r="AC1114" s="2">
        <f t="shared" si="601"/>
        <v>0</v>
      </c>
      <c r="AF1114" s="11">
        <f t="shared" si="602"/>
        <v>0</v>
      </c>
      <c r="AG1114" s="2">
        <f t="shared" si="603"/>
        <v>0</v>
      </c>
      <c r="AH1114" s="2">
        <f t="shared" si="604"/>
        <v>0</v>
      </c>
      <c r="AI1114" s="2">
        <f t="shared" si="605"/>
        <v>0</v>
      </c>
      <c r="AJ1114" s="2">
        <f t="shared" si="606"/>
        <v>0</v>
      </c>
      <c r="AK1114" s="2">
        <f t="shared" si="607"/>
        <v>0</v>
      </c>
      <c r="AL1114" s="2">
        <f t="shared" si="608"/>
        <v>0</v>
      </c>
      <c r="AM1114" s="11"/>
      <c r="AN1114" s="2" t="e">
        <f t="shared" si="585"/>
        <v>#N/A</v>
      </c>
      <c r="AO1114" s="2" t="e">
        <f t="shared" si="586"/>
        <v>#N/A</v>
      </c>
      <c r="AP1114" s="2" t="e">
        <f t="shared" si="587"/>
        <v>#N/A</v>
      </c>
      <c r="AQ1114" s="2" t="e">
        <f t="shared" si="588"/>
        <v>#N/A</v>
      </c>
      <c r="AR1114" s="2" t="e">
        <f t="shared" si="589"/>
        <v>#N/A</v>
      </c>
      <c r="AS1114" s="2" t="e">
        <f t="shared" si="590"/>
        <v>#DIV/0!</v>
      </c>
      <c r="AT1114" s="9" t="e">
        <f t="shared" ca="1" si="591"/>
        <v>#N/A</v>
      </c>
      <c r="AU1114" s="9" t="e">
        <f t="shared" ca="1" si="592"/>
        <v>#N/A</v>
      </c>
      <c r="AW1114" s="2" t="e">
        <f t="shared" si="609"/>
        <v>#N/A</v>
      </c>
      <c r="AX1114" s="2" t="e">
        <f t="shared" si="610"/>
        <v>#N/A</v>
      </c>
      <c r="AY1114" s="2" t="e">
        <f t="shared" si="611"/>
        <v>#N/A</v>
      </c>
      <c r="AZ1114" s="2" t="e">
        <f t="shared" si="612"/>
        <v>#N/A</v>
      </c>
      <c r="BA1114" s="2" t="e">
        <f t="shared" si="613"/>
        <v>#N/A</v>
      </c>
      <c r="BB1114" s="2" t="e">
        <f t="shared" si="614"/>
        <v>#DIV/0!</v>
      </c>
      <c r="BC1114" s="9" t="e">
        <f t="shared" ca="1" si="615"/>
        <v>#N/A</v>
      </c>
      <c r="BD1114" s="9" t="e">
        <f t="shared" ca="1" si="616"/>
        <v>#N/A</v>
      </c>
    </row>
    <row r="1115" spans="1:56" ht="15" x14ac:dyDescent="0.25">
      <c r="A1115"/>
      <c r="B1115"/>
      <c r="C1115"/>
      <c r="D1115"/>
      <c r="E1115"/>
      <c r="F1115"/>
      <c r="G1115"/>
      <c r="H1115"/>
      <c r="I1115"/>
      <c r="J1115"/>
      <c r="K1115"/>
      <c r="L1115" s="64"/>
      <c r="M1115" s="64"/>
      <c r="N1115" s="16"/>
      <c r="O1115" s="11"/>
      <c r="P1115" s="11"/>
      <c r="Q1115" s="11"/>
      <c r="R1115" s="11"/>
      <c r="S1115" s="11"/>
      <c r="T1115" s="11"/>
      <c r="U1115" s="11">
        <f t="shared" si="593"/>
        <v>0</v>
      </c>
      <c r="V1115" s="2">
        <f t="shared" si="594"/>
        <v>0</v>
      </c>
      <c r="W1115" s="11">
        <f t="shared" si="595"/>
        <v>0</v>
      </c>
      <c r="X1115" s="2">
        <f t="shared" si="596"/>
        <v>0</v>
      </c>
      <c r="Y1115" s="2">
        <f t="shared" si="597"/>
        <v>0</v>
      </c>
      <c r="Z1115" s="11">
        <f t="shared" si="598"/>
        <v>0</v>
      </c>
      <c r="AA1115" s="2">
        <f t="shared" si="599"/>
        <v>0</v>
      </c>
      <c r="AB1115" s="11">
        <f t="shared" si="600"/>
        <v>0</v>
      </c>
      <c r="AC1115" s="2">
        <f t="shared" si="601"/>
        <v>0</v>
      </c>
      <c r="AF1115" s="11">
        <f t="shared" si="602"/>
        <v>0</v>
      </c>
      <c r="AG1115" s="2">
        <f t="shared" si="603"/>
        <v>0</v>
      </c>
      <c r="AH1115" s="2">
        <f t="shared" si="604"/>
        <v>0</v>
      </c>
      <c r="AI1115" s="2">
        <f t="shared" si="605"/>
        <v>0</v>
      </c>
      <c r="AJ1115" s="2">
        <f t="shared" si="606"/>
        <v>0</v>
      </c>
      <c r="AK1115" s="2">
        <f t="shared" si="607"/>
        <v>0</v>
      </c>
      <c r="AL1115" s="2">
        <f t="shared" si="608"/>
        <v>0</v>
      </c>
      <c r="AM1115" s="11"/>
      <c r="AN1115" s="2" t="e">
        <f t="shared" ref="AN1115:AN1178" si="617">IF(AND(S1115&gt;0,U1115&gt;0),U1115/S1115, #N/A)</f>
        <v>#N/A</v>
      </c>
      <c r="AO1115" s="2" t="e">
        <f t="shared" ref="AO1115:AO1178" si="618">$B$8*((AN1115/$B$10)^$B$11)</f>
        <v>#N/A</v>
      </c>
      <c r="AP1115" s="2" t="e">
        <f t="shared" ref="AP1115:AP1178" si="619">AO1115*R1115</f>
        <v>#N/A</v>
      </c>
      <c r="AQ1115" s="2" t="e">
        <f t="shared" ref="AQ1115:AQ1178" si="620">T1115-AP1115</f>
        <v>#N/A</v>
      </c>
      <c r="AR1115" s="2" t="e">
        <f t="shared" ref="AR1115:AR1178" si="621">(AQ1115/S1115)/((AN1115/$B$10)^$B$12)</f>
        <v>#N/A</v>
      </c>
      <c r="AS1115" s="2" t="e">
        <f t="shared" ref="AS1115:AS1178" si="622">(Q1115/S1115)/((AN1115/$B$10)^$B$13)</f>
        <v>#DIV/0!</v>
      </c>
      <c r="AT1115" s="9" t="e">
        <f t="shared" ref="AT1115:AT1178" ca="1" si="623">IF(AND(AR1115&lt;$M$3,AR1115&gt;$M$4),AR1115,"rejected")</f>
        <v>#N/A</v>
      </c>
      <c r="AU1115" s="9" t="e">
        <f t="shared" ref="AU1115:AU1178" ca="1" si="624">IF(AND(AR1115&lt;$M$3,AR1115&gt;$M$4),AR1115,#N/A)</f>
        <v>#N/A</v>
      </c>
      <c r="AW1115" s="2" t="e">
        <f t="shared" si="609"/>
        <v>#N/A</v>
      </c>
      <c r="AX1115" s="2" t="e">
        <f t="shared" si="610"/>
        <v>#N/A</v>
      </c>
      <c r="AY1115" s="2" t="e">
        <f t="shared" si="611"/>
        <v>#N/A</v>
      </c>
      <c r="AZ1115" s="2" t="e">
        <f t="shared" si="612"/>
        <v>#N/A</v>
      </c>
      <c r="BA1115" s="2" t="e">
        <f t="shared" si="613"/>
        <v>#N/A</v>
      </c>
      <c r="BB1115" s="2" t="e">
        <f t="shared" si="614"/>
        <v>#DIV/0!</v>
      </c>
      <c r="BC1115" s="9" t="e">
        <f t="shared" ca="1" si="615"/>
        <v>#N/A</v>
      </c>
      <c r="BD1115" s="9" t="e">
        <f t="shared" ca="1" si="616"/>
        <v>#N/A</v>
      </c>
    </row>
    <row r="1116" spans="1:56" ht="15" x14ac:dyDescent="0.25">
      <c r="A1116"/>
      <c r="B1116"/>
      <c r="C1116"/>
      <c r="D1116"/>
      <c r="E1116"/>
      <c r="F1116"/>
      <c r="G1116"/>
      <c r="H1116"/>
      <c r="I1116"/>
      <c r="J1116"/>
      <c r="K1116"/>
      <c r="L1116" s="64"/>
      <c r="M1116" s="64"/>
      <c r="N1116" s="16"/>
      <c r="O1116" s="11"/>
      <c r="P1116" s="11"/>
      <c r="Q1116" s="11"/>
      <c r="R1116" s="11"/>
      <c r="S1116" s="11"/>
      <c r="T1116" s="11"/>
      <c r="U1116" s="11">
        <f t="shared" si="593"/>
        <v>0</v>
      </c>
      <c r="V1116" s="2">
        <f t="shared" si="594"/>
        <v>0</v>
      </c>
      <c r="W1116" s="11">
        <f t="shared" si="595"/>
        <v>0</v>
      </c>
      <c r="X1116" s="2">
        <f t="shared" si="596"/>
        <v>0</v>
      </c>
      <c r="Y1116" s="2">
        <f t="shared" si="597"/>
        <v>0</v>
      </c>
      <c r="Z1116" s="11">
        <f t="shared" si="598"/>
        <v>0</v>
      </c>
      <c r="AA1116" s="2">
        <f t="shared" si="599"/>
        <v>0</v>
      </c>
      <c r="AB1116" s="11">
        <f t="shared" si="600"/>
        <v>0</v>
      </c>
      <c r="AC1116" s="2">
        <f t="shared" si="601"/>
        <v>0</v>
      </c>
      <c r="AF1116" s="11">
        <f t="shared" si="602"/>
        <v>0</v>
      </c>
      <c r="AG1116" s="2">
        <f t="shared" si="603"/>
        <v>0</v>
      </c>
      <c r="AH1116" s="2">
        <f t="shared" si="604"/>
        <v>0</v>
      </c>
      <c r="AI1116" s="2">
        <f t="shared" si="605"/>
        <v>0</v>
      </c>
      <c r="AJ1116" s="2">
        <f t="shared" si="606"/>
        <v>0</v>
      </c>
      <c r="AK1116" s="2">
        <f t="shared" si="607"/>
        <v>0</v>
      </c>
      <c r="AL1116" s="2">
        <f t="shared" si="608"/>
        <v>0</v>
      </c>
      <c r="AM1116" s="11"/>
      <c r="AN1116" s="2" t="e">
        <f t="shared" si="617"/>
        <v>#N/A</v>
      </c>
      <c r="AO1116" s="2" t="e">
        <f t="shared" si="618"/>
        <v>#N/A</v>
      </c>
      <c r="AP1116" s="2" t="e">
        <f t="shared" si="619"/>
        <v>#N/A</v>
      </c>
      <c r="AQ1116" s="2" t="e">
        <f t="shared" si="620"/>
        <v>#N/A</v>
      </c>
      <c r="AR1116" s="2" t="e">
        <f t="shared" si="621"/>
        <v>#N/A</v>
      </c>
      <c r="AS1116" s="2" t="e">
        <f t="shared" si="622"/>
        <v>#DIV/0!</v>
      </c>
      <c r="AT1116" s="9" t="e">
        <f t="shared" ca="1" si="623"/>
        <v>#N/A</v>
      </c>
      <c r="AU1116" s="9" t="e">
        <f t="shared" ca="1" si="624"/>
        <v>#N/A</v>
      </c>
      <c r="AW1116" s="2" t="e">
        <f t="shared" si="609"/>
        <v>#N/A</v>
      </c>
      <c r="AX1116" s="2" t="e">
        <f t="shared" si="610"/>
        <v>#N/A</v>
      </c>
      <c r="AY1116" s="2" t="e">
        <f t="shared" si="611"/>
        <v>#N/A</v>
      </c>
      <c r="AZ1116" s="2" t="e">
        <f t="shared" si="612"/>
        <v>#N/A</v>
      </c>
      <c r="BA1116" s="2" t="e">
        <f t="shared" si="613"/>
        <v>#N/A</v>
      </c>
      <c r="BB1116" s="2" t="e">
        <f t="shared" si="614"/>
        <v>#DIV/0!</v>
      </c>
      <c r="BC1116" s="9" t="e">
        <f t="shared" ca="1" si="615"/>
        <v>#N/A</v>
      </c>
      <c r="BD1116" s="9" t="e">
        <f t="shared" ca="1" si="616"/>
        <v>#N/A</v>
      </c>
    </row>
    <row r="1117" spans="1:56" ht="15" x14ac:dyDescent="0.25">
      <c r="A1117"/>
      <c r="B1117"/>
      <c r="C1117"/>
      <c r="D1117"/>
      <c r="E1117"/>
      <c r="F1117"/>
      <c r="G1117"/>
      <c r="H1117"/>
      <c r="I1117"/>
      <c r="J1117"/>
      <c r="K1117"/>
      <c r="L1117" s="64"/>
      <c r="M1117" s="64"/>
      <c r="N1117" s="16"/>
      <c r="O1117" s="11"/>
      <c r="P1117" s="11"/>
      <c r="Q1117" s="11"/>
      <c r="R1117" s="11"/>
      <c r="S1117" s="11"/>
      <c r="T1117" s="11"/>
      <c r="U1117" s="11">
        <f t="shared" si="593"/>
        <v>0</v>
      </c>
      <c r="V1117" s="2">
        <f t="shared" si="594"/>
        <v>0</v>
      </c>
      <c r="W1117" s="11">
        <f t="shared" si="595"/>
        <v>0</v>
      </c>
      <c r="X1117" s="2">
        <f t="shared" si="596"/>
        <v>0</v>
      </c>
      <c r="Y1117" s="2">
        <f t="shared" si="597"/>
        <v>0</v>
      </c>
      <c r="Z1117" s="11">
        <f t="shared" si="598"/>
        <v>0</v>
      </c>
      <c r="AA1117" s="2">
        <f t="shared" si="599"/>
        <v>0</v>
      </c>
      <c r="AB1117" s="11">
        <f t="shared" si="600"/>
        <v>0</v>
      </c>
      <c r="AC1117" s="2">
        <f t="shared" si="601"/>
        <v>0</v>
      </c>
      <c r="AF1117" s="11">
        <f t="shared" si="602"/>
        <v>0</v>
      </c>
      <c r="AG1117" s="2">
        <f t="shared" si="603"/>
        <v>0</v>
      </c>
      <c r="AH1117" s="2">
        <f t="shared" si="604"/>
        <v>0</v>
      </c>
      <c r="AI1117" s="2">
        <f t="shared" si="605"/>
        <v>0</v>
      </c>
      <c r="AJ1117" s="2">
        <f t="shared" si="606"/>
        <v>0</v>
      </c>
      <c r="AK1117" s="2">
        <f t="shared" si="607"/>
        <v>0</v>
      </c>
      <c r="AL1117" s="2">
        <f t="shared" si="608"/>
        <v>0</v>
      </c>
      <c r="AM1117" s="11"/>
      <c r="AN1117" s="2" t="e">
        <f t="shared" si="617"/>
        <v>#N/A</v>
      </c>
      <c r="AO1117" s="2" t="e">
        <f t="shared" si="618"/>
        <v>#N/A</v>
      </c>
      <c r="AP1117" s="2" t="e">
        <f t="shared" si="619"/>
        <v>#N/A</v>
      </c>
      <c r="AQ1117" s="2" t="e">
        <f t="shared" si="620"/>
        <v>#N/A</v>
      </c>
      <c r="AR1117" s="2" t="e">
        <f t="shared" si="621"/>
        <v>#N/A</v>
      </c>
      <c r="AS1117" s="2" t="e">
        <f t="shared" si="622"/>
        <v>#DIV/0!</v>
      </c>
      <c r="AT1117" s="9" t="e">
        <f t="shared" ca="1" si="623"/>
        <v>#N/A</v>
      </c>
      <c r="AU1117" s="9" t="e">
        <f t="shared" ca="1" si="624"/>
        <v>#N/A</v>
      </c>
      <c r="AW1117" s="2" t="e">
        <f t="shared" si="609"/>
        <v>#N/A</v>
      </c>
      <c r="AX1117" s="2" t="e">
        <f t="shared" si="610"/>
        <v>#N/A</v>
      </c>
      <c r="AY1117" s="2" t="e">
        <f t="shared" si="611"/>
        <v>#N/A</v>
      </c>
      <c r="AZ1117" s="2" t="e">
        <f t="shared" si="612"/>
        <v>#N/A</v>
      </c>
      <c r="BA1117" s="2" t="e">
        <f t="shared" si="613"/>
        <v>#N/A</v>
      </c>
      <c r="BB1117" s="2" t="e">
        <f t="shared" si="614"/>
        <v>#DIV/0!</v>
      </c>
      <c r="BC1117" s="9" t="e">
        <f t="shared" ca="1" si="615"/>
        <v>#N/A</v>
      </c>
      <c r="BD1117" s="9" t="e">
        <f t="shared" ca="1" si="616"/>
        <v>#N/A</v>
      </c>
    </row>
    <row r="1118" spans="1:56" ht="15" x14ac:dyDescent="0.25">
      <c r="A1118"/>
      <c r="B1118"/>
      <c r="C1118"/>
      <c r="D1118"/>
      <c r="E1118"/>
      <c r="F1118"/>
      <c r="G1118"/>
      <c r="H1118"/>
      <c r="I1118"/>
      <c r="J1118"/>
      <c r="K1118"/>
      <c r="L1118" s="64"/>
      <c r="M1118" s="64"/>
      <c r="N1118" s="16"/>
      <c r="O1118" s="11"/>
      <c r="P1118" s="11"/>
      <c r="Q1118" s="11"/>
      <c r="R1118" s="11"/>
      <c r="S1118" s="11"/>
      <c r="T1118" s="11"/>
      <c r="U1118" s="11">
        <f t="shared" si="593"/>
        <v>0</v>
      </c>
      <c r="V1118" s="2">
        <f t="shared" si="594"/>
        <v>0</v>
      </c>
      <c r="W1118" s="11">
        <f t="shared" si="595"/>
        <v>0</v>
      </c>
      <c r="X1118" s="2">
        <f t="shared" si="596"/>
        <v>0</v>
      </c>
      <c r="Y1118" s="2">
        <f t="shared" si="597"/>
        <v>0</v>
      </c>
      <c r="Z1118" s="11">
        <f t="shared" si="598"/>
        <v>0</v>
      </c>
      <c r="AA1118" s="2">
        <f t="shared" si="599"/>
        <v>0</v>
      </c>
      <c r="AB1118" s="11">
        <f t="shared" si="600"/>
        <v>0</v>
      </c>
      <c r="AC1118" s="2">
        <f t="shared" si="601"/>
        <v>0</v>
      </c>
      <c r="AF1118" s="11">
        <f t="shared" si="602"/>
        <v>0</v>
      </c>
      <c r="AG1118" s="2">
        <f t="shared" si="603"/>
        <v>0</v>
      </c>
      <c r="AH1118" s="2">
        <f t="shared" si="604"/>
        <v>0</v>
      </c>
      <c r="AI1118" s="2">
        <f t="shared" si="605"/>
        <v>0</v>
      </c>
      <c r="AJ1118" s="2">
        <f t="shared" si="606"/>
        <v>0</v>
      </c>
      <c r="AK1118" s="2">
        <f t="shared" si="607"/>
        <v>0</v>
      </c>
      <c r="AL1118" s="2">
        <f t="shared" si="608"/>
        <v>0</v>
      </c>
      <c r="AM1118" s="11"/>
      <c r="AN1118" s="2" t="e">
        <f t="shared" si="617"/>
        <v>#N/A</v>
      </c>
      <c r="AO1118" s="2" t="e">
        <f t="shared" si="618"/>
        <v>#N/A</v>
      </c>
      <c r="AP1118" s="2" t="e">
        <f t="shared" si="619"/>
        <v>#N/A</v>
      </c>
      <c r="AQ1118" s="2" t="e">
        <f t="shared" si="620"/>
        <v>#N/A</v>
      </c>
      <c r="AR1118" s="2" t="e">
        <f t="shared" si="621"/>
        <v>#N/A</v>
      </c>
      <c r="AS1118" s="2" t="e">
        <f t="shared" si="622"/>
        <v>#DIV/0!</v>
      </c>
      <c r="AT1118" s="9" t="e">
        <f t="shared" ca="1" si="623"/>
        <v>#N/A</v>
      </c>
      <c r="AU1118" s="9" t="e">
        <f t="shared" ca="1" si="624"/>
        <v>#N/A</v>
      </c>
      <c r="AW1118" s="2" t="e">
        <f t="shared" si="609"/>
        <v>#N/A</v>
      </c>
      <c r="AX1118" s="2" t="e">
        <f t="shared" si="610"/>
        <v>#N/A</v>
      </c>
      <c r="AY1118" s="2" t="e">
        <f t="shared" si="611"/>
        <v>#N/A</v>
      </c>
      <c r="AZ1118" s="2" t="e">
        <f t="shared" si="612"/>
        <v>#N/A</v>
      </c>
      <c r="BA1118" s="2" t="e">
        <f t="shared" si="613"/>
        <v>#N/A</v>
      </c>
      <c r="BB1118" s="2" t="e">
        <f t="shared" si="614"/>
        <v>#DIV/0!</v>
      </c>
      <c r="BC1118" s="9" t="e">
        <f t="shared" ca="1" si="615"/>
        <v>#N/A</v>
      </c>
      <c r="BD1118" s="9" t="e">
        <f t="shared" ca="1" si="616"/>
        <v>#N/A</v>
      </c>
    </row>
    <row r="1119" spans="1:56" ht="15" x14ac:dyDescent="0.25">
      <c r="A1119"/>
      <c r="B1119"/>
      <c r="C1119"/>
      <c r="D1119"/>
      <c r="E1119"/>
      <c r="F1119"/>
      <c r="G1119"/>
      <c r="H1119"/>
      <c r="I1119"/>
      <c r="J1119"/>
      <c r="K1119"/>
      <c r="L1119" s="64"/>
      <c r="M1119" s="64"/>
      <c r="N1119" s="16"/>
      <c r="O1119" s="11"/>
      <c r="P1119" s="11"/>
      <c r="Q1119" s="11"/>
      <c r="R1119" s="11"/>
      <c r="S1119" s="11"/>
      <c r="T1119" s="11"/>
      <c r="U1119" s="11">
        <f t="shared" si="593"/>
        <v>0</v>
      </c>
      <c r="V1119" s="2">
        <f t="shared" si="594"/>
        <v>0</v>
      </c>
      <c r="W1119" s="11">
        <f t="shared" si="595"/>
        <v>0</v>
      </c>
      <c r="X1119" s="2">
        <f t="shared" si="596"/>
        <v>0</v>
      </c>
      <c r="Y1119" s="2">
        <f t="shared" si="597"/>
        <v>0</v>
      </c>
      <c r="Z1119" s="11">
        <f t="shared" si="598"/>
        <v>0</v>
      </c>
      <c r="AA1119" s="2">
        <f t="shared" si="599"/>
        <v>0</v>
      </c>
      <c r="AB1119" s="11">
        <f t="shared" si="600"/>
        <v>0</v>
      </c>
      <c r="AC1119" s="2">
        <f t="shared" si="601"/>
        <v>0</v>
      </c>
      <c r="AF1119" s="11">
        <f t="shared" si="602"/>
        <v>0</v>
      </c>
      <c r="AG1119" s="2">
        <f t="shared" si="603"/>
        <v>0</v>
      </c>
      <c r="AH1119" s="2">
        <f t="shared" si="604"/>
        <v>0</v>
      </c>
      <c r="AI1119" s="2">
        <f t="shared" si="605"/>
        <v>0</v>
      </c>
      <c r="AJ1119" s="2">
        <f t="shared" si="606"/>
        <v>0</v>
      </c>
      <c r="AK1119" s="2">
        <f t="shared" si="607"/>
        <v>0</v>
      </c>
      <c r="AL1119" s="2">
        <f t="shared" si="608"/>
        <v>0</v>
      </c>
      <c r="AM1119" s="11"/>
      <c r="AN1119" s="2" t="e">
        <f t="shared" si="617"/>
        <v>#N/A</v>
      </c>
      <c r="AO1119" s="2" t="e">
        <f t="shared" si="618"/>
        <v>#N/A</v>
      </c>
      <c r="AP1119" s="2" t="e">
        <f t="shared" si="619"/>
        <v>#N/A</v>
      </c>
      <c r="AQ1119" s="2" t="e">
        <f t="shared" si="620"/>
        <v>#N/A</v>
      </c>
      <c r="AR1119" s="2" t="e">
        <f t="shared" si="621"/>
        <v>#N/A</v>
      </c>
      <c r="AS1119" s="2" t="e">
        <f t="shared" si="622"/>
        <v>#DIV/0!</v>
      </c>
      <c r="AT1119" s="9" t="e">
        <f t="shared" ca="1" si="623"/>
        <v>#N/A</v>
      </c>
      <c r="AU1119" s="9" t="e">
        <f t="shared" ca="1" si="624"/>
        <v>#N/A</v>
      </c>
      <c r="AW1119" s="2" t="e">
        <f t="shared" si="609"/>
        <v>#N/A</v>
      </c>
      <c r="AX1119" s="2" t="e">
        <f t="shared" si="610"/>
        <v>#N/A</v>
      </c>
      <c r="AY1119" s="2" t="e">
        <f t="shared" si="611"/>
        <v>#N/A</v>
      </c>
      <c r="AZ1119" s="2" t="e">
        <f t="shared" si="612"/>
        <v>#N/A</v>
      </c>
      <c r="BA1119" s="2" t="e">
        <f t="shared" si="613"/>
        <v>#N/A</v>
      </c>
      <c r="BB1119" s="2" t="e">
        <f t="shared" si="614"/>
        <v>#DIV/0!</v>
      </c>
      <c r="BC1119" s="9" t="e">
        <f t="shared" ca="1" si="615"/>
        <v>#N/A</v>
      </c>
      <c r="BD1119" s="9" t="e">
        <f t="shared" ca="1" si="616"/>
        <v>#N/A</v>
      </c>
    </row>
    <row r="1120" spans="1:56" ht="15" x14ac:dyDescent="0.25">
      <c r="A1120"/>
      <c r="B1120"/>
      <c r="C1120"/>
      <c r="D1120"/>
      <c r="E1120"/>
      <c r="F1120"/>
      <c r="G1120"/>
      <c r="H1120"/>
      <c r="I1120"/>
      <c r="J1120"/>
      <c r="K1120"/>
      <c r="L1120" s="64"/>
      <c r="M1120" s="64"/>
      <c r="N1120" s="16"/>
      <c r="O1120" s="11"/>
      <c r="P1120" s="11"/>
      <c r="Q1120" s="11"/>
      <c r="R1120" s="11"/>
      <c r="S1120" s="11"/>
      <c r="T1120" s="11"/>
      <c r="U1120" s="11">
        <f t="shared" si="593"/>
        <v>0</v>
      </c>
      <c r="V1120" s="2">
        <f t="shared" si="594"/>
        <v>0</v>
      </c>
      <c r="W1120" s="11">
        <f t="shared" si="595"/>
        <v>0</v>
      </c>
      <c r="X1120" s="2">
        <f t="shared" si="596"/>
        <v>0</v>
      </c>
      <c r="Y1120" s="2">
        <f t="shared" si="597"/>
        <v>0</v>
      </c>
      <c r="Z1120" s="11">
        <f t="shared" si="598"/>
        <v>0</v>
      </c>
      <c r="AA1120" s="2">
        <f t="shared" si="599"/>
        <v>0</v>
      </c>
      <c r="AB1120" s="11">
        <f t="shared" si="600"/>
        <v>0</v>
      </c>
      <c r="AC1120" s="2">
        <f t="shared" si="601"/>
        <v>0</v>
      </c>
      <c r="AF1120" s="11">
        <f t="shared" si="602"/>
        <v>0</v>
      </c>
      <c r="AG1120" s="2">
        <f t="shared" si="603"/>
        <v>0</v>
      </c>
      <c r="AH1120" s="2">
        <f t="shared" si="604"/>
        <v>0</v>
      </c>
      <c r="AI1120" s="2">
        <f t="shared" si="605"/>
        <v>0</v>
      </c>
      <c r="AJ1120" s="2">
        <f t="shared" si="606"/>
        <v>0</v>
      </c>
      <c r="AK1120" s="2">
        <f t="shared" si="607"/>
        <v>0</v>
      </c>
      <c r="AL1120" s="2">
        <f t="shared" si="608"/>
        <v>0</v>
      </c>
      <c r="AM1120" s="11"/>
      <c r="AN1120" s="2" t="e">
        <f t="shared" si="617"/>
        <v>#N/A</v>
      </c>
      <c r="AO1120" s="2" t="e">
        <f t="shared" si="618"/>
        <v>#N/A</v>
      </c>
      <c r="AP1120" s="2" t="e">
        <f t="shared" si="619"/>
        <v>#N/A</v>
      </c>
      <c r="AQ1120" s="2" t="e">
        <f t="shared" si="620"/>
        <v>#N/A</v>
      </c>
      <c r="AR1120" s="2" t="e">
        <f t="shared" si="621"/>
        <v>#N/A</v>
      </c>
      <c r="AS1120" s="2" t="e">
        <f t="shared" si="622"/>
        <v>#DIV/0!</v>
      </c>
      <c r="AT1120" s="9" t="e">
        <f t="shared" ca="1" si="623"/>
        <v>#N/A</v>
      </c>
      <c r="AU1120" s="9" t="e">
        <f t="shared" ca="1" si="624"/>
        <v>#N/A</v>
      </c>
      <c r="AW1120" s="2" t="e">
        <f t="shared" si="609"/>
        <v>#N/A</v>
      </c>
      <c r="AX1120" s="2" t="e">
        <f t="shared" si="610"/>
        <v>#N/A</v>
      </c>
      <c r="AY1120" s="2" t="e">
        <f t="shared" si="611"/>
        <v>#N/A</v>
      </c>
      <c r="AZ1120" s="2" t="e">
        <f t="shared" si="612"/>
        <v>#N/A</v>
      </c>
      <c r="BA1120" s="2" t="e">
        <f t="shared" si="613"/>
        <v>#N/A</v>
      </c>
      <c r="BB1120" s="2" t="e">
        <f t="shared" si="614"/>
        <v>#DIV/0!</v>
      </c>
      <c r="BC1120" s="9" t="e">
        <f t="shared" ca="1" si="615"/>
        <v>#N/A</v>
      </c>
      <c r="BD1120" s="9" t="e">
        <f t="shared" ca="1" si="616"/>
        <v>#N/A</v>
      </c>
    </row>
    <row r="1121" spans="1:56" ht="15" x14ac:dyDescent="0.25">
      <c r="A1121"/>
      <c r="B1121"/>
      <c r="C1121"/>
      <c r="D1121"/>
      <c r="E1121"/>
      <c r="F1121"/>
      <c r="G1121"/>
      <c r="H1121"/>
      <c r="I1121"/>
      <c r="J1121"/>
      <c r="K1121"/>
      <c r="L1121" s="64"/>
      <c r="M1121" s="64"/>
      <c r="N1121" s="16"/>
      <c r="O1121" s="11"/>
      <c r="P1121" s="11"/>
      <c r="Q1121" s="11"/>
      <c r="R1121" s="11"/>
      <c r="S1121" s="11"/>
      <c r="T1121" s="11"/>
      <c r="U1121" s="11">
        <f t="shared" si="593"/>
        <v>0</v>
      </c>
      <c r="V1121" s="2">
        <f t="shared" si="594"/>
        <v>0</v>
      </c>
      <c r="W1121" s="11">
        <f t="shared" si="595"/>
        <v>0</v>
      </c>
      <c r="X1121" s="2">
        <f t="shared" si="596"/>
        <v>0</v>
      </c>
      <c r="Y1121" s="2">
        <f t="shared" si="597"/>
        <v>0</v>
      </c>
      <c r="Z1121" s="11">
        <f t="shared" si="598"/>
        <v>0</v>
      </c>
      <c r="AA1121" s="2">
        <f t="shared" si="599"/>
        <v>0</v>
      </c>
      <c r="AB1121" s="11">
        <f t="shared" si="600"/>
        <v>0</v>
      </c>
      <c r="AC1121" s="2">
        <f t="shared" si="601"/>
        <v>0</v>
      </c>
      <c r="AF1121" s="11">
        <f t="shared" si="602"/>
        <v>0</v>
      </c>
      <c r="AG1121" s="2">
        <f t="shared" si="603"/>
        <v>0</v>
      </c>
      <c r="AH1121" s="2">
        <f t="shared" si="604"/>
        <v>0</v>
      </c>
      <c r="AI1121" s="2">
        <f t="shared" si="605"/>
        <v>0</v>
      </c>
      <c r="AJ1121" s="2">
        <f t="shared" si="606"/>
        <v>0</v>
      </c>
      <c r="AK1121" s="2">
        <f t="shared" si="607"/>
        <v>0</v>
      </c>
      <c r="AL1121" s="2">
        <f t="shared" si="608"/>
        <v>0</v>
      </c>
      <c r="AM1121" s="11"/>
      <c r="AN1121" s="2" t="e">
        <f t="shared" si="617"/>
        <v>#N/A</v>
      </c>
      <c r="AO1121" s="2" t="e">
        <f t="shared" si="618"/>
        <v>#N/A</v>
      </c>
      <c r="AP1121" s="2" t="e">
        <f t="shared" si="619"/>
        <v>#N/A</v>
      </c>
      <c r="AQ1121" s="2" t="e">
        <f t="shared" si="620"/>
        <v>#N/A</v>
      </c>
      <c r="AR1121" s="2" t="e">
        <f t="shared" si="621"/>
        <v>#N/A</v>
      </c>
      <c r="AS1121" s="2" t="e">
        <f t="shared" si="622"/>
        <v>#DIV/0!</v>
      </c>
      <c r="AT1121" s="9" t="e">
        <f t="shared" ca="1" si="623"/>
        <v>#N/A</v>
      </c>
      <c r="AU1121" s="9" t="e">
        <f t="shared" ca="1" si="624"/>
        <v>#N/A</v>
      </c>
      <c r="AW1121" s="2" t="e">
        <f t="shared" si="609"/>
        <v>#N/A</v>
      </c>
      <c r="AX1121" s="2" t="e">
        <f t="shared" si="610"/>
        <v>#N/A</v>
      </c>
      <c r="AY1121" s="2" t="e">
        <f t="shared" si="611"/>
        <v>#N/A</v>
      </c>
      <c r="AZ1121" s="2" t="e">
        <f t="shared" si="612"/>
        <v>#N/A</v>
      </c>
      <c r="BA1121" s="2" t="e">
        <f t="shared" si="613"/>
        <v>#N/A</v>
      </c>
      <c r="BB1121" s="2" t="e">
        <f t="shared" si="614"/>
        <v>#DIV/0!</v>
      </c>
      <c r="BC1121" s="9" t="e">
        <f t="shared" ca="1" si="615"/>
        <v>#N/A</v>
      </c>
      <c r="BD1121" s="9" t="e">
        <f t="shared" ca="1" si="616"/>
        <v>#N/A</v>
      </c>
    </row>
    <row r="1122" spans="1:56" ht="15" x14ac:dyDescent="0.25">
      <c r="A1122"/>
      <c r="B1122"/>
      <c r="C1122"/>
      <c r="D1122"/>
      <c r="E1122"/>
      <c r="F1122"/>
      <c r="G1122"/>
      <c r="H1122"/>
      <c r="I1122"/>
      <c r="J1122"/>
      <c r="K1122"/>
      <c r="L1122" s="64"/>
      <c r="M1122" s="64"/>
      <c r="N1122" s="16"/>
      <c r="O1122" s="11"/>
      <c r="P1122" s="11"/>
      <c r="Q1122" s="11"/>
      <c r="R1122" s="11"/>
      <c r="S1122" s="11"/>
      <c r="T1122" s="11"/>
      <c r="U1122" s="11">
        <f t="shared" ref="U1122:U1185" si="625">M1122</f>
        <v>0</v>
      </c>
      <c r="V1122" s="2">
        <f t="shared" ref="V1122:V1185" si="626">IF(M1122&gt;0,N1122-(M1122*$X$63/$W$63), N1122)</f>
        <v>0</v>
      </c>
      <c r="W1122" s="11">
        <f t="shared" si="595"/>
        <v>0</v>
      </c>
      <c r="X1122" s="2">
        <f t="shared" si="596"/>
        <v>0</v>
      </c>
      <c r="Y1122" s="2">
        <f t="shared" si="597"/>
        <v>0</v>
      </c>
      <c r="Z1122" s="11">
        <f t="shared" si="598"/>
        <v>0</v>
      </c>
      <c r="AA1122" s="2">
        <f t="shared" si="599"/>
        <v>0</v>
      </c>
      <c r="AB1122" s="11">
        <f t="shared" si="600"/>
        <v>0</v>
      </c>
      <c r="AC1122" s="2">
        <f t="shared" si="601"/>
        <v>0</v>
      </c>
      <c r="AF1122" s="11">
        <f t="shared" si="602"/>
        <v>0</v>
      </c>
      <c r="AG1122" s="2">
        <f t="shared" si="603"/>
        <v>0</v>
      </c>
      <c r="AH1122" s="2">
        <f t="shared" si="604"/>
        <v>0</v>
      </c>
      <c r="AI1122" s="2">
        <f t="shared" si="605"/>
        <v>0</v>
      </c>
      <c r="AJ1122" s="2">
        <f t="shared" si="606"/>
        <v>0</v>
      </c>
      <c r="AK1122" s="2">
        <f t="shared" si="607"/>
        <v>0</v>
      </c>
      <c r="AL1122" s="2">
        <f t="shared" si="608"/>
        <v>0</v>
      </c>
      <c r="AM1122" s="11"/>
      <c r="AN1122" s="2" t="e">
        <f t="shared" si="617"/>
        <v>#N/A</v>
      </c>
      <c r="AO1122" s="2" t="e">
        <f t="shared" si="618"/>
        <v>#N/A</v>
      </c>
      <c r="AP1122" s="2" t="e">
        <f t="shared" si="619"/>
        <v>#N/A</v>
      </c>
      <c r="AQ1122" s="2" t="e">
        <f t="shared" si="620"/>
        <v>#N/A</v>
      </c>
      <c r="AR1122" s="2" t="e">
        <f t="shared" si="621"/>
        <v>#N/A</v>
      </c>
      <c r="AS1122" s="2" t="e">
        <f t="shared" si="622"/>
        <v>#DIV/0!</v>
      </c>
      <c r="AT1122" s="9" t="e">
        <f t="shared" ca="1" si="623"/>
        <v>#N/A</v>
      </c>
      <c r="AU1122" s="9" t="e">
        <f t="shared" ca="1" si="624"/>
        <v>#N/A</v>
      </c>
      <c r="AW1122" s="2" t="e">
        <f t="shared" si="609"/>
        <v>#N/A</v>
      </c>
      <c r="AX1122" s="2" t="e">
        <f t="shared" si="610"/>
        <v>#N/A</v>
      </c>
      <c r="AY1122" s="2" t="e">
        <f t="shared" si="611"/>
        <v>#N/A</v>
      </c>
      <c r="AZ1122" s="2" t="e">
        <f t="shared" si="612"/>
        <v>#N/A</v>
      </c>
      <c r="BA1122" s="2" t="e">
        <f t="shared" si="613"/>
        <v>#N/A</v>
      </c>
      <c r="BB1122" s="2" t="e">
        <f t="shared" si="614"/>
        <v>#DIV/0!</v>
      </c>
      <c r="BC1122" s="9" t="e">
        <f t="shared" ca="1" si="615"/>
        <v>#N/A</v>
      </c>
      <c r="BD1122" s="9" t="e">
        <f t="shared" ca="1" si="616"/>
        <v>#N/A</v>
      </c>
    </row>
    <row r="1123" spans="1:56" ht="15" x14ac:dyDescent="0.25">
      <c r="A1123"/>
      <c r="B1123"/>
      <c r="C1123"/>
      <c r="D1123"/>
      <c r="E1123"/>
      <c r="F1123"/>
      <c r="G1123"/>
      <c r="H1123"/>
      <c r="I1123"/>
      <c r="J1123"/>
      <c r="K1123"/>
      <c r="L1123" s="64"/>
      <c r="M1123" s="64"/>
      <c r="N1123" s="16"/>
      <c r="O1123" s="11"/>
      <c r="P1123" s="11"/>
      <c r="Q1123" s="11"/>
      <c r="R1123" s="11"/>
      <c r="S1123" s="11"/>
      <c r="T1123" s="11"/>
      <c r="U1123" s="11">
        <f t="shared" si="625"/>
        <v>0</v>
      </c>
      <c r="V1123" s="2">
        <f t="shared" si="626"/>
        <v>0</v>
      </c>
      <c r="W1123" s="11">
        <f t="shared" si="595"/>
        <v>0</v>
      </c>
      <c r="X1123" s="2">
        <f t="shared" si="596"/>
        <v>0</v>
      </c>
      <c r="Y1123" s="2">
        <f t="shared" si="597"/>
        <v>0</v>
      </c>
      <c r="Z1123" s="11">
        <f t="shared" si="598"/>
        <v>0</v>
      </c>
      <c r="AA1123" s="2">
        <f t="shared" si="599"/>
        <v>0</v>
      </c>
      <c r="AB1123" s="11">
        <f t="shared" si="600"/>
        <v>0</v>
      </c>
      <c r="AC1123" s="2">
        <f t="shared" si="601"/>
        <v>0</v>
      </c>
      <c r="AF1123" s="11">
        <f t="shared" si="602"/>
        <v>0</v>
      </c>
      <c r="AG1123" s="2">
        <f t="shared" si="603"/>
        <v>0</v>
      </c>
      <c r="AH1123" s="2">
        <f t="shared" si="604"/>
        <v>0</v>
      </c>
      <c r="AI1123" s="2">
        <f t="shared" si="605"/>
        <v>0</v>
      </c>
      <c r="AJ1123" s="2">
        <f t="shared" si="606"/>
        <v>0</v>
      </c>
      <c r="AK1123" s="2">
        <f t="shared" si="607"/>
        <v>0</v>
      </c>
      <c r="AL1123" s="2">
        <f t="shared" si="608"/>
        <v>0</v>
      </c>
      <c r="AM1123" s="11"/>
      <c r="AN1123" s="2" t="e">
        <f t="shared" si="617"/>
        <v>#N/A</v>
      </c>
      <c r="AO1123" s="2" t="e">
        <f t="shared" si="618"/>
        <v>#N/A</v>
      </c>
      <c r="AP1123" s="2" t="e">
        <f t="shared" si="619"/>
        <v>#N/A</v>
      </c>
      <c r="AQ1123" s="2" t="e">
        <f t="shared" si="620"/>
        <v>#N/A</v>
      </c>
      <c r="AR1123" s="2" t="e">
        <f t="shared" si="621"/>
        <v>#N/A</v>
      </c>
      <c r="AS1123" s="2" t="e">
        <f t="shared" si="622"/>
        <v>#DIV/0!</v>
      </c>
      <c r="AT1123" s="9" t="e">
        <f t="shared" ca="1" si="623"/>
        <v>#N/A</v>
      </c>
      <c r="AU1123" s="9" t="e">
        <f t="shared" ca="1" si="624"/>
        <v>#N/A</v>
      </c>
      <c r="AW1123" s="2" t="e">
        <f t="shared" si="609"/>
        <v>#N/A</v>
      </c>
      <c r="AX1123" s="2" t="e">
        <f t="shared" si="610"/>
        <v>#N/A</v>
      </c>
      <c r="AY1123" s="2" t="e">
        <f t="shared" si="611"/>
        <v>#N/A</v>
      </c>
      <c r="AZ1123" s="2" t="e">
        <f t="shared" si="612"/>
        <v>#N/A</v>
      </c>
      <c r="BA1123" s="2" t="e">
        <f t="shared" si="613"/>
        <v>#N/A</v>
      </c>
      <c r="BB1123" s="2" t="e">
        <f t="shared" si="614"/>
        <v>#DIV/0!</v>
      </c>
      <c r="BC1123" s="9" t="e">
        <f t="shared" ca="1" si="615"/>
        <v>#N/A</v>
      </c>
      <c r="BD1123" s="9" t="e">
        <f t="shared" ca="1" si="616"/>
        <v>#N/A</v>
      </c>
    </row>
    <row r="1124" spans="1:56" ht="15" x14ac:dyDescent="0.25">
      <c r="A1124"/>
      <c r="B1124"/>
      <c r="C1124"/>
      <c r="D1124"/>
      <c r="E1124"/>
      <c r="F1124"/>
      <c r="G1124"/>
      <c r="H1124"/>
      <c r="I1124"/>
      <c r="J1124"/>
      <c r="K1124"/>
      <c r="L1124" s="64"/>
      <c r="M1124" s="64"/>
      <c r="N1124" s="16"/>
      <c r="O1124" s="11"/>
      <c r="P1124" s="11"/>
      <c r="Q1124" s="11"/>
      <c r="R1124" s="11"/>
      <c r="S1124" s="11"/>
      <c r="T1124" s="11"/>
      <c r="U1124" s="11">
        <f t="shared" si="625"/>
        <v>0</v>
      </c>
      <c r="V1124" s="2">
        <f t="shared" si="626"/>
        <v>0</v>
      </c>
      <c r="W1124" s="11">
        <f t="shared" si="595"/>
        <v>0</v>
      </c>
      <c r="X1124" s="2">
        <f t="shared" si="596"/>
        <v>0</v>
      </c>
      <c r="Y1124" s="2">
        <f t="shared" si="597"/>
        <v>0</v>
      </c>
      <c r="Z1124" s="11">
        <f t="shared" si="598"/>
        <v>0</v>
      </c>
      <c r="AA1124" s="2">
        <f t="shared" si="599"/>
        <v>0</v>
      </c>
      <c r="AB1124" s="11">
        <f t="shared" si="600"/>
        <v>0</v>
      </c>
      <c r="AC1124" s="2">
        <f t="shared" si="601"/>
        <v>0</v>
      </c>
      <c r="AF1124" s="11">
        <f t="shared" si="602"/>
        <v>0</v>
      </c>
      <c r="AG1124" s="2">
        <f t="shared" si="603"/>
        <v>0</v>
      </c>
      <c r="AH1124" s="2">
        <f t="shared" si="604"/>
        <v>0</v>
      </c>
      <c r="AI1124" s="2">
        <f t="shared" si="605"/>
        <v>0</v>
      </c>
      <c r="AJ1124" s="2">
        <f t="shared" si="606"/>
        <v>0</v>
      </c>
      <c r="AK1124" s="2">
        <f t="shared" si="607"/>
        <v>0</v>
      </c>
      <c r="AL1124" s="2">
        <f t="shared" si="608"/>
        <v>0</v>
      </c>
      <c r="AM1124" s="11"/>
      <c r="AN1124" s="2" t="e">
        <f t="shared" si="617"/>
        <v>#N/A</v>
      </c>
      <c r="AO1124" s="2" t="e">
        <f t="shared" si="618"/>
        <v>#N/A</v>
      </c>
      <c r="AP1124" s="2" t="e">
        <f t="shared" si="619"/>
        <v>#N/A</v>
      </c>
      <c r="AQ1124" s="2" t="e">
        <f t="shared" si="620"/>
        <v>#N/A</v>
      </c>
      <c r="AR1124" s="2" t="e">
        <f t="shared" si="621"/>
        <v>#N/A</v>
      </c>
      <c r="AS1124" s="2" t="e">
        <f t="shared" si="622"/>
        <v>#DIV/0!</v>
      </c>
      <c r="AT1124" s="9" t="e">
        <f t="shared" ca="1" si="623"/>
        <v>#N/A</v>
      </c>
      <c r="AU1124" s="9" t="e">
        <f t="shared" ca="1" si="624"/>
        <v>#N/A</v>
      </c>
      <c r="AW1124" s="2" t="e">
        <f t="shared" si="609"/>
        <v>#N/A</v>
      </c>
      <c r="AX1124" s="2" t="e">
        <f t="shared" si="610"/>
        <v>#N/A</v>
      </c>
      <c r="AY1124" s="2" t="e">
        <f t="shared" si="611"/>
        <v>#N/A</v>
      </c>
      <c r="AZ1124" s="2" t="e">
        <f t="shared" si="612"/>
        <v>#N/A</v>
      </c>
      <c r="BA1124" s="2" t="e">
        <f t="shared" si="613"/>
        <v>#N/A</v>
      </c>
      <c r="BB1124" s="2" t="e">
        <f t="shared" si="614"/>
        <v>#DIV/0!</v>
      </c>
      <c r="BC1124" s="9" t="e">
        <f t="shared" ca="1" si="615"/>
        <v>#N/A</v>
      </c>
      <c r="BD1124" s="9" t="e">
        <f t="shared" ca="1" si="616"/>
        <v>#N/A</v>
      </c>
    </row>
    <row r="1125" spans="1:56" ht="15" x14ac:dyDescent="0.25">
      <c r="A1125"/>
      <c r="B1125"/>
      <c r="C1125"/>
      <c r="D1125"/>
      <c r="E1125"/>
      <c r="F1125"/>
      <c r="G1125"/>
      <c r="H1125"/>
      <c r="I1125"/>
      <c r="J1125"/>
      <c r="K1125"/>
      <c r="L1125" s="64"/>
      <c r="M1125" s="64"/>
      <c r="N1125" s="16"/>
      <c r="O1125" s="11"/>
      <c r="P1125" s="11"/>
      <c r="Q1125" s="11"/>
      <c r="R1125" s="11"/>
      <c r="S1125" s="11"/>
      <c r="T1125" s="11"/>
      <c r="U1125" s="11">
        <f t="shared" si="625"/>
        <v>0</v>
      </c>
      <c r="V1125" s="2">
        <f t="shared" si="626"/>
        <v>0</v>
      </c>
      <c r="W1125" s="11">
        <f t="shared" si="595"/>
        <v>0</v>
      </c>
      <c r="X1125" s="2">
        <f t="shared" si="596"/>
        <v>0</v>
      </c>
      <c r="Y1125" s="2">
        <f t="shared" si="597"/>
        <v>0</v>
      </c>
      <c r="Z1125" s="11">
        <f t="shared" si="598"/>
        <v>0</v>
      </c>
      <c r="AA1125" s="2">
        <f t="shared" si="599"/>
        <v>0</v>
      </c>
      <c r="AB1125" s="11">
        <f t="shared" si="600"/>
        <v>0</v>
      </c>
      <c r="AC1125" s="2">
        <f t="shared" si="601"/>
        <v>0</v>
      </c>
      <c r="AF1125" s="11">
        <f t="shared" si="602"/>
        <v>0</v>
      </c>
      <c r="AG1125" s="2">
        <f t="shared" si="603"/>
        <v>0</v>
      </c>
      <c r="AH1125" s="2">
        <f t="shared" si="604"/>
        <v>0</v>
      </c>
      <c r="AI1125" s="2">
        <f t="shared" si="605"/>
        <v>0</v>
      </c>
      <c r="AJ1125" s="2">
        <f t="shared" si="606"/>
        <v>0</v>
      </c>
      <c r="AK1125" s="2">
        <f t="shared" si="607"/>
        <v>0</v>
      </c>
      <c r="AL1125" s="2">
        <f t="shared" si="608"/>
        <v>0</v>
      </c>
      <c r="AM1125" s="11"/>
      <c r="AN1125" s="2" t="e">
        <f t="shared" si="617"/>
        <v>#N/A</v>
      </c>
      <c r="AO1125" s="2" t="e">
        <f t="shared" si="618"/>
        <v>#N/A</v>
      </c>
      <c r="AP1125" s="2" t="e">
        <f t="shared" si="619"/>
        <v>#N/A</v>
      </c>
      <c r="AQ1125" s="2" t="e">
        <f t="shared" si="620"/>
        <v>#N/A</v>
      </c>
      <c r="AR1125" s="2" t="e">
        <f t="shared" si="621"/>
        <v>#N/A</v>
      </c>
      <c r="AS1125" s="2" t="e">
        <f t="shared" si="622"/>
        <v>#DIV/0!</v>
      </c>
      <c r="AT1125" s="9" t="e">
        <f t="shared" ca="1" si="623"/>
        <v>#N/A</v>
      </c>
      <c r="AU1125" s="9" t="e">
        <f t="shared" ca="1" si="624"/>
        <v>#N/A</v>
      </c>
      <c r="AW1125" s="2" t="e">
        <f t="shared" si="609"/>
        <v>#N/A</v>
      </c>
      <c r="AX1125" s="2" t="e">
        <f t="shared" si="610"/>
        <v>#N/A</v>
      </c>
      <c r="AY1125" s="2" t="e">
        <f t="shared" si="611"/>
        <v>#N/A</v>
      </c>
      <c r="AZ1125" s="2" t="e">
        <f t="shared" si="612"/>
        <v>#N/A</v>
      </c>
      <c r="BA1125" s="2" t="e">
        <f t="shared" si="613"/>
        <v>#N/A</v>
      </c>
      <c r="BB1125" s="2" t="e">
        <f t="shared" si="614"/>
        <v>#DIV/0!</v>
      </c>
      <c r="BC1125" s="9" t="e">
        <f t="shared" ca="1" si="615"/>
        <v>#N/A</v>
      </c>
      <c r="BD1125" s="9" t="e">
        <f t="shared" ca="1" si="616"/>
        <v>#N/A</v>
      </c>
    </row>
    <row r="1126" spans="1:56" ht="15" x14ac:dyDescent="0.25">
      <c r="A1126"/>
      <c r="B1126"/>
      <c r="C1126"/>
      <c r="D1126"/>
      <c r="E1126"/>
      <c r="F1126"/>
      <c r="G1126"/>
      <c r="H1126"/>
      <c r="I1126"/>
      <c r="J1126"/>
      <c r="K1126"/>
      <c r="L1126" s="64"/>
      <c r="M1126" s="64"/>
      <c r="N1126" s="16"/>
      <c r="O1126" s="11"/>
      <c r="P1126" s="11"/>
      <c r="Q1126" s="11"/>
      <c r="R1126" s="11"/>
      <c r="S1126" s="11"/>
      <c r="T1126" s="11"/>
      <c r="U1126" s="11">
        <f t="shared" si="625"/>
        <v>0</v>
      </c>
      <c r="V1126" s="2">
        <f t="shared" si="626"/>
        <v>0</v>
      </c>
      <c r="W1126" s="11">
        <f t="shared" si="595"/>
        <v>0</v>
      </c>
      <c r="X1126" s="2">
        <f t="shared" si="596"/>
        <v>0</v>
      </c>
      <c r="Y1126" s="2">
        <f t="shared" si="597"/>
        <v>0</v>
      </c>
      <c r="Z1126" s="11">
        <f t="shared" si="598"/>
        <v>0</v>
      </c>
      <c r="AA1126" s="2">
        <f t="shared" si="599"/>
        <v>0</v>
      </c>
      <c r="AB1126" s="11">
        <f t="shared" si="600"/>
        <v>0</v>
      </c>
      <c r="AC1126" s="2">
        <f t="shared" si="601"/>
        <v>0</v>
      </c>
      <c r="AF1126" s="11">
        <f t="shared" si="602"/>
        <v>0</v>
      </c>
      <c r="AG1126" s="2">
        <f t="shared" si="603"/>
        <v>0</v>
      </c>
      <c r="AH1126" s="2">
        <f t="shared" si="604"/>
        <v>0</v>
      </c>
      <c r="AI1126" s="2">
        <f t="shared" si="605"/>
        <v>0</v>
      </c>
      <c r="AJ1126" s="2">
        <f t="shared" si="606"/>
        <v>0</v>
      </c>
      <c r="AK1126" s="2">
        <f t="shared" si="607"/>
        <v>0</v>
      </c>
      <c r="AL1126" s="2">
        <f t="shared" si="608"/>
        <v>0</v>
      </c>
      <c r="AM1126" s="11"/>
      <c r="AN1126" s="2" t="e">
        <f t="shared" si="617"/>
        <v>#N/A</v>
      </c>
      <c r="AO1126" s="2" t="e">
        <f t="shared" si="618"/>
        <v>#N/A</v>
      </c>
      <c r="AP1126" s="2" t="e">
        <f t="shared" si="619"/>
        <v>#N/A</v>
      </c>
      <c r="AQ1126" s="2" t="e">
        <f t="shared" si="620"/>
        <v>#N/A</v>
      </c>
      <c r="AR1126" s="2" t="e">
        <f t="shared" si="621"/>
        <v>#N/A</v>
      </c>
      <c r="AS1126" s="2" t="e">
        <f t="shared" si="622"/>
        <v>#DIV/0!</v>
      </c>
      <c r="AT1126" s="9" t="e">
        <f t="shared" ca="1" si="623"/>
        <v>#N/A</v>
      </c>
      <c r="AU1126" s="9" t="e">
        <f t="shared" ca="1" si="624"/>
        <v>#N/A</v>
      </c>
      <c r="AW1126" s="2" t="e">
        <f t="shared" si="609"/>
        <v>#N/A</v>
      </c>
      <c r="AX1126" s="2" t="e">
        <f t="shared" si="610"/>
        <v>#N/A</v>
      </c>
      <c r="AY1126" s="2" t="e">
        <f t="shared" si="611"/>
        <v>#N/A</v>
      </c>
      <c r="AZ1126" s="2" t="e">
        <f t="shared" si="612"/>
        <v>#N/A</v>
      </c>
      <c r="BA1126" s="2" t="e">
        <f t="shared" si="613"/>
        <v>#N/A</v>
      </c>
      <c r="BB1126" s="2" t="e">
        <f t="shared" si="614"/>
        <v>#DIV/0!</v>
      </c>
      <c r="BC1126" s="9" t="e">
        <f t="shared" ca="1" si="615"/>
        <v>#N/A</v>
      </c>
      <c r="BD1126" s="9" t="e">
        <f t="shared" ca="1" si="616"/>
        <v>#N/A</v>
      </c>
    </row>
    <row r="1127" spans="1:56" ht="15" x14ac:dyDescent="0.25">
      <c r="A1127"/>
      <c r="B1127"/>
      <c r="C1127"/>
      <c r="D1127"/>
      <c r="E1127"/>
      <c r="F1127"/>
      <c r="G1127"/>
      <c r="H1127"/>
      <c r="I1127"/>
      <c r="J1127"/>
      <c r="K1127"/>
      <c r="L1127" s="64"/>
      <c r="M1127" s="64"/>
      <c r="N1127" s="16"/>
      <c r="O1127" s="11"/>
      <c r="P1127" s="11"/>
      <c r="Q1127" s="11"/>
      <c r="R1127" s="11"/>
      <c r="S1127" s="11"/>
      <c r="T1127" s="11"/>
      <c r="U1127" s="11">
        <f t="shared" si="625"/>
        <v>0</v>
      </c>
      <c r="V1127" s="2">
        <f t="shared" si="626"/>
        <v>0</v>
      </c>
      <c r="W1127" s="11">
        <f t="shared" si="595"/>
        <v>0</v>
      </c>
      <c r="X1127" s="2">
        <f t="shared" si="596"/>
        <v>0</v>
      </c>
      <c r="Y1127" s="2">
        <f t="shared" si="597"/>
        <v>0</v>
      </c>
      <c r="Z1127" s="11">
        <f t="shared" si="598"/>
        <v>0</v>
      </c>
      <c r="AA1127" s="2">
        <f t="shared" si="599"/>
        <v>0</v>
      </c>
      <c r="AB1127" s="11">
        <f t="shared" si="600"/>
        <v>0</v>
      </c>
      <c r="AC1127" s="2">
        <f t="shared" si="601"/>
        <v>0</v>
      </c>
      <c r="AF1127" s="11">
        <f t="shared" si="602"/>
        <v>0</v>
      </c>
      <c r="AG1127" s="2">
        <f t="shared" si="603"/>
        <v>0</v>
      </c>
      <c r="AH1127" s="2">
        <f t="shared" si="604"/>
        <v>0</v>
      </c>
      <c r="AI1127" s="2">
        <f t="shared" si="605"/>
        <v>0</v>
      </c>
      <c r="AJ1127" s="2">
        <f t="shared" si="606"/>
        <v>0</v>
      </c>
      <c r="AK1127" s="2">
        <f t="shared" si="607"/>
        <v>0</v>
      </c>
      <c r="AL1127" s="2">
        <f t="shared" si="608"/>
        <v>0</v>
      </c>
      <c r="AM1127" s="11"/>
      <c r="AN1127" s="2" t="e">
        <f t="shared" si="617"/>
        <v>#N/A</v>
      </c>
      <c r="AO1127" s="2" t="e">
        <f t="shared" si="618"/>
        <v>#N/A</v>
      </c>
      <c r="AP1127" s="2" t="e">
        <f t="shared" si="619"/>
        <v>#N/A</v>
      </c>
      <c r="AQ1127" s="2" t="e">
        <f t="shared" si="620"/>
        <v>#N/A</v>
      </c>
      <c r="AR1127" s="2" t="e">
        <f t="shared" si="621"/>
        <v>#N/A</v>
      </c>
      <c r="AS1127" s="2" t="e">
        <f t="shared" si="622"/>
        <v>#DIV/0!</v>
      </c>
      <c r="AT1127" s="9" t="e">
        <f t="shared" ca="1" si="623"/>
        <v>#N/A</v>
      </c>
      <c r="AU1127" s="9" t="e">
        <f t="shared" ca="1" si="624"/>
        <v>#N/A</v>
      </c>
      <c r="AW1127" s="2" t="e">
        <f t="shared" si="609"/>
        <v>#N/A</v>
      </c>
      <c r="AX1127" s="2" t="e">
        <f t="shared" si="610"/>
        <v>#N/A</v>
      </c>
      <c r="AY1127" s="2" t="e">
        <f t="shared" si="611"/>
        <v>#N/A</v>
      </c>
      <c r="AZ1127" s="2" t="e">
        <f t="shared" si="612"/>
        <v>#N/A</v>
      </c>
      <c r="BA1127" s="2" t="e">
        <f t="shared" si="613"/>
        <v>#N/A</v>
      </c>
      <c r="BB1127" s="2" t="e">
        <f t="shared" si="614"/>
        <v>#DIV/0!</v>
      </c>
      <c r="BC1127" s="9" t="e">
        <f t="shared" ca="1" si="615"/>
        <v>#N/A</v>
      </c>
      <c r="BD1127" s="9" t="e">
        <f t="shared" ca="1" si="616"/>
        <v>#N/A</v>
      </c>
    </row>
    <row r="1128" spans="1:56" ht="15" x14ac:dyDescent="0.25">
      <c r="A1128"/>
      <c r="B1128"/>
      <c r="C1128"/>
      <c r="D1128"/>
      <c r="E1128"/>
      <c r="F1128"/>
      <c r="G1128"/>
      <c r="H1128"/>
      <c r="I1128"/>
      <c r="J1128"/>
      <c r="K1128"/>
      <c r="L1128" s="64"/>
      <c r="M1128" s="64"/>
      <c r="N1128" s="16"/>
      <c r="O1128" s="11"/>
      <c r="P1128" s="11"/>
      <c r="Q1128" s="11"/>
      <c r="R1128" s="11"/>
      <c r="S1128" s="11"/>
      <c r="T1128" s="11"/>
      <c r="U1128" s="11">
        <f t="shared" si="625"/>
        <v>0</v>
      </c>
      <c r="V1128" s="2">
        <f t="shared" si="626"/>
        <v>0</v>
      </c>
      <c r="W1128" s="11">
        <f t="shared" si="595"/>
        <v>0</v>
      </c>
      <c r="X1128" s="2">
        <f t="shared" si="596"/>
        <v>0</v>
      </c>
      <c r="Y1128" s="2">
        <f t="shared" si="597"/>
        <v>0</v>
      </c>
      <c r="Z1128" s="11">
        <f t="shared" si="598"/>
        <v>0</v>
      </c>
      <c r="AA1128" s="2">
        <f t="shared" si="599"/>
        <v>0</v>
      </c>
      <c r="AB1128" s="11">
        <f t="shared" si="600"/>
        <v>0</v>
      </c>
      <c r="AC1128" s="2">
        <f t="shared" si="601"/>
        <v>0</v>
      </c>
      <c r="AF1128" s="11">
        <f t="shared" si="602"/>
        <v>0</v>
      </c>
      <c r="AG1128" s="2">
        <f t="shared" si="603"/>
        <v>0</v>
      </c>
      <c r="AH1128" s="2">
        <f t="shared" si="604"/>
        <v>0</v>
      </c>
      <c r="AI1128" s="2">
        <f t="shared" si="605"/>
        <v>0</v>
      </c>
      <c r="AJ1128" s="2">
        <f t="shared" si="606"/>
        <v>0</v>
      </c>
      <c r="AK1128" s="2">
        <f t="shared" si="607"/>
        <v>0</v>
      </c>
      <c r="AL1128" s="2">
        <f t="shared" si="608"/>
        <v>0</v>
      </c>
      <c r="AM1128" s="11"/>
      <c r="AN1128" s="2" t="e">
        <f t="shared" si="617"/>
        <v>#N/A</v>
      </c>
      <c r="AO1128" s="2" t="e">
        <f t="shared" si="618"/>
        <v>#N/A</v>
      </c>
      <c r="AP1128" s="2" t="e">
        <f t="shared" si="619"/>
        <v>#N/A</v>
      </c>
      <c r="AQ1128" s="2" t="e">
        <f t="shared" si="620"/>
        <v>#N/A</v>
      </c>
      <c r="AR1128" s="2" t="e">
        <f t="shared" si="621"/>
        <v>#N/A</v>
      </c>
      <c r="AS1128" s="2" t="e">
        <f t="shared" si="622"/>
        <v>#DIV/0!</v>
      </c>
      <c r="AT1128" s="9" t="e">
        <f t="shared" ca="1" si="623"/>
        <v>#N/A</v>
      </c>
      <c r="AU1128" s="9" t="e">
        <f t="shared" ca="1" si="624"/>
        <v>#N/A</v>
      </c>
      <c r="AW1128" s="2" t="e">
        <f t="shared" si="609"/>
        <v>#N/A</v>
      </c>
      <c r="AX1128" s="2" t="e">
        <f t="shared" si="610"/>
        <v>#N/A</v>
      </c>
      <c r="AY1128" s="2" t="e">
        <f t="shared" si="611"/>
        <v>#N/A</v>
      </c>
      <c r="AZ1128" s="2" t="e">
        <f t="shared" si="612"/>
        <v>#N/A</v>
      </c>
      <c r="BA1128" s="2" t="e">
        <f t="shared" si="613"/>
        <v>#N/A</v>
      </c>
      <c r="BB1128" s="2" t="e">
        <f t="shared" si="614"/>
        <v>#DIV/0!</v>
      </c>
      <c r="BC1128" s="9" t="e">
        <f t="shared" ca="1" si="615"/>
        <v>#N/A</v>
      </c>
      <c r="BD1128" s="9" t="e">
        <f t="shared" ca="1" si="616"/>
        <v>#N/A</v>
      </c>
    </row>
    <row r="1129" spans="1:56" ht="15" x14ac:dyDescent="0.25">
      <c r="A1129"/>
      <c r="B1129"/>
      <c r="C1129"/>
      <c r="D1129"/>
      <c r="E1129"/>
      <c r="F1129"/>
      <c r="G1129"/>
      <c r="H1129"/>
      <c r="I1129"/>
      <c r="J1129"/>
      <c r="K1129"/>
      <c r="L1129" s="64"/>
      <c r="M1129" s="64"/>
      <c r="N1129" s="16"/>
      <c r="O1129" s="11"/>
      <c r="P1129" s="11"/>
      <c r="Q1129" s="11"/>
      <c r="R1129" s="11"/>
      <c r="S1129" s="11"/>
      <c r="T1129" s="11"/>
      <c r="U1129" s="11">
        <f t="shared" si="625"/>
        <v>0</v>
      </c>
      <c r="V1129" s="2">
        <f t="shared" si="626"/>
        <v>0</v>
      </c>
      <c r="W1129" s="11">
        <f t="shared" si="595"/>
        <v>0</v>
      </c>
      <c r="X1129" s="2">
        <f t="shared" si="596"/>
        <v>0</v>
      </c>
      <c r="Y1129" s="2">
        <f t="shared" si="597"/>
        <v>0</v>
      </c>
      <c r="Z1129" s="11">
        <f t="shared" si="598"/>
        <v>0</v>
      </c>
      <c r="AA1129" s="2">
        <f t="shared" si="599"/>
        <v>0</v>
      </c>
      <c r="AB1129" s="11">
        <f t="shared" si="600"/>
        <v>0</v>
      </c>
      <c r="AC1129" s="2">
        <f t="shared" si="601"/>
        <v>0</v>
      </c>
      <c r="AF1129" s="11">
        <f t="shared" si="602"/>
        <v>0</v>
      </c>
      <c r="AG1129" s="2">
        <f t="shared" si="603"/>
        <v>0</v>
      </c>
      <c r="AH1129" s="2">
        <f t="shared" si="604"/>
        <v>0</v>
      </c>
      <c r="AI1129" s="2">
        <f t="shared" si="605"/>
        <v>0</v>
      </c>
      <c r="AJ1129" s="2">
        <f t="shared" si="606"/>
        <v>0</v>
      </c>
      <c r="AK1129" s="2">
        <f t="shared" si="607"/>
        <v>0</v>
      </c>
      <c r="AL1129" s="2">
        <f t="shared" si="608"/>
        <v>0</v>
      </c>
      <c r="AM1129" s="11"/>
      <c r="AN1129" s="2" t="e">
        <f t="shared" si="617"/>
        <v>#N/A</v>
      </c>
      <c r="AO1129" s="2" t="e">
        <f t="shared" si="618"/>
        <v>#N/A</v>
      </c>
      <c r="AP1129" s="2" t="e">
        <f t="shared" si="619"/>
        <v>#N/A</v>
      </c>
      <c r="AQ1129" s="2" t="e">
        <f t="shared" si="620"/>
        <v>#N/A</v>
      </c>
      <c r="AR1129" s="2" t="e">
        <f t="shared" si="621"/>
        <v>#N/A</v>
      </c>
      <c r="AS1129" s="2" t="e">
        <f t="shared" si="622"/>
        <v>#DIV/0!</v>
      </c>
      <c r="AT1129" s="9" t="e">
        <f t="shared" ca="1" si="623"/>
        <v>#N/A</v>
      </c>
      <c r="AU1129" s="9" t="e">
        <f t="shared" ca="1" si="624"/>
        <v>#N/A</v>
      </c>
      <c r="AW1129" s="2" t="e">
        <f t="shared" si="609"/>
        <v>#N/A</v>
      </c>
      <c r="AX1129" s="2" t="e">
        <f t="shared" si="610"/>
        <v>#N/A</v>
      </c>
      <c r="AY1129" s="2" t="e">
        <f t="shared" si="611"/>
        <v>#N/A</v>
      </c>
      <c r="AZ1129" s="2" t="e">
        <f t="shared" si="612"/>
        <v>#N/A</v>
      </c>
      <c r="BA1129" s="2" t="e">
        <f t="shared" si="613"/>
        <v>#N/A</v>
      </c>
      <c r="BB1129" s="2" t="e">
        <f t="shared" si="614"/>
        <v>#DIV/0!</v>
      </c>
      <c r="BC1129" s="9" t="e">
        <f t="shared" ca="1" si="615"/>
        <v>#N/A</v>
      </c>
      <c r="BD1129" s="9" t="e">
        <f t="shared" ca="1" si="616"/>
        <v>#N/A</v>
      </c>
    </row>
    <row r="1130" spans="1:56" ht="15" x14ac:dyDescent="0.25">
      <c r="A1130"/>
      <c r="B1130"/>
      <c r="C1130"/>
      <c r="D1130"/>
      <c r="E1130"/>
      <c r="F1130"/>
      <c r="G1130"/>
      <c r="H1130"/>
      <c r="I1130"/>
      <c r="J1130"/>
      <c r="K1130"/>
      <c r="L1130" s="64"/>
      <c r="M1130" s="64"/>
      <c r="N1130" s="16"/>
      <c r="O1130" s="11"/>
      <c r="P1130" s="11"/>
      <c r="Q1130" s="11"/>
      <c r="R1130" s="11"/>
      <c r="S1130" s="11"/>
      <c r="T1130" s="11"/>
      <c r="U1130" s="11">
        <f t="shared" si="625"/>
        <v>0</v>
      </c>
      <c r="V1130" s="2">
        <f t="shared" si="626"/>
        <v>0</v>
      </c>
      <c r="W1130" s="11">
        <f t="shared" si="595"/>
        <v>0</v>
      </c>
      <c r="X1130" s="2">
        <f t="shared" si="596"/>
        <v>0</v>
      </c>
      <c r="Y1130" s="2">
        <f t="shared" si="597"/>
        <v>0</v>
      </c>
      <c r="Z1130" s="11">
        <f t="shared" si="598"/>
        <v>0</v>
      </c>
      <c r="AA1130" s="2">
        <f t="shared" si="599"/>
        <v>0</v>
      </c>
      <c r="AB1130" s="11">
        <f t="shared" si="600"/>
        <v>0</v>
      </c>
      <c r="AC1130" s="2">
        <f t="shared" si="601"/>
        <v>0</v>
      </c>
      <c r="AF1130" s="11">
        <f t="shared" si="602"/>
        <v>0</v>
      </c>
      <c r="AG1130" s="2">
        <f t="shared" si="603"/>
        <v>0</v>
      </c>
      <c r="AH1130" s="2">
        <f t="shared" si="604"/>
        <v>0</v>
      </c>
      <c r="AI1130" s="2">
        <f t="shared" si="605"/>
        <v>0</v>
      </c>
      <c r="AJ1130" s="2">
        <f t="shared" si="606"/>
        <v>0</v>
      </c>
      <c r="AK1130" s="2">
        <f t="shared" si="607"/>
        <v>0</v>
      </c>
      <c r="AL1130" s="2">
        <f t="shared" si="608"/>
        <v>0</v>
      </c>
      <c r="AM1130" s="11"/>
      <c r="AN1130" s="2" t="e">
        <f t="shared" si="617"/>
        <v>#N/A</v>
      </c>
      <c r="AO1130" s="2" t="e">
        <f t="shared" si="618"/>
        <v>#N/A</v>
      </c>
      <c r="AP1130" s="2" t="e">
        <f t="shared" si="619"/>
        <v>#N/A</v>
      </c>
      <c r="AQ1130" s="2" t="e">
        <f t="shared" si="620"/>
        <v>#N/A</v>
      </c>
      <c r="AR1130" s="2" t="e">
        <f t="shared" si="621"/>
        <v>#N/A</v>
      </c>
      <c r="AS1130" s="2" t="e">
        <f t="shared" si="622"/>
        <v>#DIV/0!</v>
      </c>
      <c r="AT1130" s="9" t="e">
        <f t="shared" ca="1" si="623"/>
        <v>#N/A</v>
      </c>
      <c r="AU1130" s="9" t="e">
        <f t="shared" ca="1" si="624"/>
        <v>#N/A</v>
      </c>
      <c r="AW1130" s="2" t="e">
        <f t="shared" si="609"/>
        <v>#N/A</v>
      </c>
      <c r="AX1130" s="2" t="e">
        <f t="shared" si="610"/>
        <v>#N/A</v>
      </c>
      <c r="AY1130" s="2" t="e">
        <f t="shared" si="611"/>
        <v>#N/A</v>
      </c>
      <c r="AZ1130" s="2" t="e">
        <f t="shared" si="612"/>
        <v>#N/A</v>
      </c>
      <c r="BA1130" s="2" t="e">
        <f t="shared" si="613"/>
        <v>#N/A</v>
      </c>
      <c r="BB1130" s="2" t="e">
        <f t="shared" si="614"/>
        <v>#DIV/0!</v>
      </c>
      <c r="BC1130" s="9" t="e">
        <f t="shared" ca="1" si="615"/>
        <v>#N/A</v>
      </c>
      <c r="BD1130" s="9" t="e">
        <f t="shared" ca="1" si="616"/>
        <v>#N/A</v>
      </c>
    </row>
    <row r="1131" spans="1:56" ht="15" x14ac:dyDescent="0.25">
      <c r="A1131"/>
      <c r="B1131"/>
      <c r="C1131"/>
      <c r="D1131"/>
      <c r="E1131"/>
      <c r="F1131"/>
      <c r="G1131"/>
      <c r="H1131"/>
      <c r="I1131"/>
      <c r="J1131"/>
      <c r="K1131"/>
      <c r="L1131" s="64"/>
      <c r="M1131" s="64"/>
      <c r="N1131" s="16"/>
      <c r="O1131" s="11"/>
      <c r="P1131" s="11"/>
      <c r="Q1131" s="11"/>
      <c r="R1131" s="11"/>
      <c r="S1131" s="11"/>
      <c r="T1131" s="11"/>
      <c r="U1131" s="11">
        <f t="shared" si="625"/>
        <v>0</v>
      </c>
      <c r="V1131" s="2">
        <f t="shared" si="626"/>
        <v>0</v>
      </c>
      <c r="W1131" s="11">
        <f t="shared" si="595"/>
        <v>0</v>
      </c>
      <c r="X1131" s="2">
        <f t="shared" si="596"/>
        <v>0</v>
      </c>
      <c r="Y1131" s="2">
        <f t="shared" si="597"/>
        <v>0</v>
      </c>
      <c r="Z1131" s="11">
        <f t="shared" si="598"/>
        <v>0</v>
      </c>
      <c r="AA1131" s="2">
        <f t="shared" si="599"/>
        <v>0</v>
      </c>
      <c r="AB1131" s="11">
        <f t="shared" si="600"/>
        <v>0</v>
      </c>
      <c r="AC1131" s="2">
        <f t="shared" si="601"/>
        <v>0</v>
      </c>
      <c r="AF1131" s="11">
        <f t="shared" si="602"/>
        <v>0</v>
      </c>
      <c r="AG1131" s="2">
        <f t="shared" si="603"/>
        <v>0</v>
      </c>
      <c r="AH1131" s="2">
        <f t="shared" si="604"/>
        <v>0</v>
      </c>
      <c r="AI1131" s="2">
        <f t="shared" si="605"/>
        <v>0</v>
      </c>
      <c r="AJ1131" s="2">
        <f t="shared" si="606"/>
        <v>0</v>
      </c>
      <c r="AK1131" s="2">
        <f t="shared" si="607"/>
        <v>0</v>
      </c>
      <c r="AL1131" s="2">
        <f t="shared" si="608"/>
        <v>0</v>
      </c>
      <c r="AM1131" s="11"/>
      <c r="AN1131" s="2" t="e">
        <f t="shared" si="617"/>
        <v>#N/A</v>
      </c>
      <c r="AO1131" s="2" t="e">
        <f t="shared" si="618"/>
        <v>#N/A</v>
      </c>
      <c r="AP1131" s="2" t="e">
        <f t="shared" si="619"/>
        <v>#N/A</v>
      </c>
      <c r="AQ1131" s="2" t="e">
        <f t="shared" si="620"/>
        <v>#N/A</v>
      </c>
      <c r="AR1131" s="2" t="e">
        <f t="shared" si="621"/>
        <v>#N/A</v>
      </c>
      <c r="AS1131" s="2" t="e">
        <f t="shared" si="622"/>
        <v>#DIV/0!</v>
      </c>
      <c r="AT1131" s="9" t="e">
        <f t="shared" ca="1" si="623"/>
        <v>#N/A</v>
      </c>
      <c r="AU1131" s="9" t="e">
        <f t="shared" ca="1" si="624"/>
        <v>#N/A</v>
      </c>
      <c r="AW1131" s="2" t="e">
        <f t="shared" si="609"/>
        <v>#N/A</v>
      </c>
      <c r="AX1131" s="2" t="e">
        <f t="shared" si="610"/>
        <v>#N/A</v>
      </c>
      <c r="AY1131" s="2" t="e">
        <f t="shared" si="611"/>
        <v>#N/A</v>
      </c>
      <c r="AZ1131" s="2" t="e">
        <f t="shared" si="612"/>
        <v>#N/A</v>
      </c>
      <c r="BA1131" s="2" t="e">
        <f t="shared" si="613"/>
        <v>#N/A</v>
      </c>
      <c r="BB1131" s="2" t="e">
        <f t="shared" si="614"/>
        <v>#DIV/0!</v>
      </c>
      <c r="BC1131" s="9" t="e">
        <f t="shared" ca="1" si="615"/>
        <v>#N/A</v>
      </c>
      <c r="BD1131" s="9" t="e">
        <f t="shared" ca="1" si="616"/>
        <v>#N/A</v>
      </c>
    </row>
    <row r="1132" spans="1:56" ht="15" x14ac:dyDescent="0.25">
      <c r="A1132"/>
      <c r="B1132"/>
      <c r="C1132"/>
      <c r="D1132"/>
      <c r="E1132"/>
      <c r="F1132"/>
      <c r="G1132"/>
      <c r="H1132"/>
      <c r="I1132"/>
      <c r="J1132"/>
      <c r="K1132"/>
      <c r="L1132" s="64"/>
      <c r="M1132" s="64"/>
      <c r="N1132" s="16"/>
      <c r="O1132" s="11"/>
      <c r="P1132" s="11"/>
      <c r="Q1132" s="11"/>
      <c r="R1132" s="11"/>
      <c r="S1132" s="11"/>
      <c r="T1132" s="11"/>
      <c r="U1132" s="11">
        <f t="shared" si="625"/>
        <v>0</v>
      </c>
      <c r="V1132" s="2">
        <f t="shared" si="626"/>
        <v>0</v>
      </c>
      <c r="W1132" s="11">
        <f t="shared" si="595"/>
        <v>0</v>
      </c>
      <c r="X1132" s="2">
        <f t="shared" si="596"/>
        <v>0</v>
      </c>
      <c r="Y1132" s="2">
        <f t="shared" si="597"/>
        <v>0</v>
      </c>
      <c r="Z1132" s="11">
        <f t="shared" si="598"/>
        <v>0</v>
      </c>
      <c r="AA1132" s="2">
        <f t="shared" si="599"/>
        <v>0</v>
      </c>
      <c r="AB1132" s="11">
        <f t="shared" si="600"/>
        <v>0</v>
      </c>
      <c r="AC1132" s="2">
        <f t="shared" si="601"/>
        <v>0</v>
      </c>
      <c r="AF1132" s="11">
        <f t="shared" si="602"/>
        <v>0</v>
      </c>
      <c r="AG1132" s="2">
        <f t="shared" si="603"/>
        <v>0</v>
      </c>
      <c r="AH1132" s="2">
        <f t="shared" si="604"/>
        <v>0</v>
      </c>
      <c r="AI1132" s="2">
        <f t="shared" si="605"/>
        <v>0</v>
      </c>
      <c r="AJ1132" s="2">
        <f t="shared" si="606"/>
        <v>0</v>
      </c>
      <c r="AK1132" s="2">
        <f t="shared" si="607"/>
        <v>0</v>
      </c>
      <c r="AL1132" s="2">
        <f t="shared" si="608"/>
        <v>0</v>
      </c>
      <c r="AM1132" s="11"/>
      <c r="AN1132" s="2" t="e">
        <f t="shared" si="617"/>
        <v>#N/A</v>
      </c>
      <c r="AO1132" s="2" t="e">
        <f t="shared" si="618"/>
        <v>#N/A</v>
      </c>
      <c r="AP1132" s="2" t="e">
        <f t="shared" si="619"/>
        <v>#N/A</v>
      </c>
      <c r="AQ1132" s="2" t="e">
        <f t="shared" si="620"/>
        <v>#N/A</v>
      </c>
      <c r="AR1132" s="2" t="e">
        <f t="shared" si="621"/>
        <v>#N/A</v>
      </c>
      <c r="AS1132" s="2" t="e">
        <f t="shared" si="622"/>
        <v>#DIV/0!</v>
      </c>
      <c r="AT1132" s="9" t="e">
        <f t="shared" ca="1" si="623"/>
        <v>#N/A</v>
      </c>
      <c r="AU1132" s="9" t="e">
        <f t="shared" ca="1" si="624"/>
        <v>#N/A</v>
      </c>
      <c r="AW1132" s="2" t="e">
        <f t="shared" si="609"/>
        <v>#N/A</v>
      </c>
      <c r="AX1132" s="2" t="e">
        <f t="shared" si="610"/>
        <v>#N/A</v>
      </c>
      <c r="AY1132" s="2" t="e">
        <f t="shared" si="611"/>
        <v>#N/A</v>
      </c>
      <c r="AZ1132" s="2" t="e">
        <f t="shared" si="612"/>
        <v>#N/A</v>
      </c>
      <c r="BA1132" s="2" t="e">
        <f t="shared" si="613"/>
        <v>#N/A</v>
      </c>
      <c r="BB1132" s="2" t="e">
        <f t="shared" si="614"/>
        <v>#DIV/0!</v>
      </c>
      <c r="BC1132" s="9" t="e">
        <f t="shared" ca="1" si="615"/>
        <v>#N/A</v>
      </c>
      <c r="BD1132" s="9" t="e">
        <f t="shared" ca="1" si="616"/>
        <v>#N/A</v>
      </c>
    </row>
    <row r="1133" spans="1:56" ht="15" x14ac:dyDescent="0.25">
      <c r="A1133"/>
      <c r="B1133"/>
      <c r="C1133"/>
      <c r="D1133"/>
      <c r="E1133"/>
      <c r="F1133"/>
      <c r="G1133"/>
      <c r="H1133"/>
      <c r="I1133"/>
      <c r="J1133"/>
      <c r="K1133"/>
      <c r="L1133" s="64"/>
      <c r="M1133" s="64"/>
      <c r="N1133" s="16"/>
      <c r="O1133" s="11"/>
      <c r="P1133" s="11"/>
      <c r="Q1133" s="11"/>
      <c r="R1133" s="11"/>
      <c r="S1133" s="11"/>
      <c r="T1133" s="11"/>
      <c r="U1133" s="11">
        <f t="shared" si="625"/>
        <v>0</v>
      </c>
      <c r="V1133" s="2">
        <f t="shared" si="626"/>
        <v>0</v>
      </c>
      <c r="W1133" s="11">
        <f t="shared" si="595"/>
        <v>0</v>
      </c>
      <c r="X1133" s="2">
        <f t="shared" si="596"/>
        <v>0</v>
      </c>
      <c r="Y1133" s="2">
        <f t="shared" si="597"/>
        <v>0</v>
      </c>
      <c r="Z1133" s="11">
        <f t="shared" si="598"/>
        <v>0</v>
      </c>
      <c r="AA1133" s="2">
        <f t="shared" si="599"/>
        <v>0</v>
      </c>
      <c r="AB1133" s="11">
        <f t="shared" si="600"/>
        <v>0</v>
      </c>
      <c r="AC1133" s="2">
        <f t="shared" si="601"/>
        <v>0</v>
      </c>
      <c r="AF1133" s="11">
        <f t="shared" si="602"/>
        <v>0</v>
      </c>
      <c r="AG1133" s="2">
        <f t="shared" si="603"/>
        <v>0</v>
      </c>
      <c r="AH1133" s="2">
        <f t="shared" si="604"/>
        <v>0</v>
      </c>
      <c r="AI1133" s="2">
        <f t="shared" si="605"/>
        <v>0</v>
      </c>
      <c r="AJ1133" s="2">
        <f t="shared" si="606"/>
        <v>0</v>
      </c>
      <c r="AK1133" s="2">
        <f t="shared" si="607"/>
        <v>0</v>
      </c>
      <c r="AL1133" s="2">
        <f t="shared" si="608"/>
        <v>0</v>
      </c>
      <c r="AM1133" s="11"/>
      <c r="AN1133" s="2" t="e">
        <f t="shared" si="617"/>
        <v>#N/A</v>
      </c>
      <c r="AO1133" s="2" t="e">
        <f t="shared" si="618"/>
        <v>#N/A</v>
      </c>
      <c r="AP1133" s="2" t="e">
        <f t="shared" si="619"/>
        <v>#N/A</v>
      </c>
      <c r="AQ1133" s="2" t="e">
        <f t="shared" si="620"/>
        <v>#N/A</v>
      </c>
      <c r="AR1133" s="2" t="e">
        <f t="shared" si="621"/>
        <v>#N/A</v>
      </c>
      <c r="AS1133" s="2" t="e">
        <f t="shared" si="622"/>
        <v>#DIV/0!</v>
      </c>
      <c r="AT1133" s="9" t="e">
        <f t="shared" ca="1" si="623"/>
        <v>#N/A</v>
      </c>
      <c r="AU1133" s="9" t="e">
        <f t="shared" ca="1" si="624"/>
        <v>#N/A</v>
      </c>
      <c r="AW1133" s="2" t="e">
        <f t="shared" si="609"/>
        <v>#N/A</v>
      </c>
      <c r="AX1133" s="2" t="e">
        <f t="shared" si="610"/>
        <v>#N/A</v>
      </c>
      <c r="AY1133" s="2" t="e">
        <f t="shared" si="611"/>
        <v>#N/A</v>
      </c>
      <c r="AZ1133" s="2" t="e">
        <f t="shared" si="612"/>
        <v>#N/A</v>
      </c>
      <c r="BA1133" s="2" t="e">
        <f t="shared" si="613"/>
        <v>#N/A</v>
      </c>
      <c r="BB1133" s="2" t="e">
        <f t="shared" si="614"/>
        <v>#DIV/0!</v>
      </c>
      <c r="BC1133" s="9" t="e">
        <f t="shared" ca="1" si="615"/>
        <v>#N/A</v>
      </c>
      <c r="BD1133" s="9" t="e">
        <f t="shared" ca="1" si="616"/>
        <v>#N/A</v>
      </c>
    </row>
    <row r="1134" spans="1:56" ht="15" x14ac:dyDescent="0.25">
      <c r="A1134"/>
      <c r="B1134"/>
      <c r="C1134"/>
      <c r="D1134"/>
      <c r="E1134"/>
      <c r="F1134"/>
      <c r="G1134"/>
      <c r="H1134"/>
      <c r="I1134"/>
      <c r="J1134"/>
      <c r="K1134"/>
      <c r="L1134" s="64"/>
      <c r="M1134" s="64"/>
      <c r="N1134" s="16"/>
      <c r="O1134" s="11"/>
      <c r="P1134" s="11"/>
      <c r="Q1134" s="11"/>
      <c r="R1134" s="11"/>
      <c r="S1134" s="11"/>
      <c r="T1134" s="11"/>
      <c r="U1134" s="11">
        <f t="shared" si="625"/>
        <v>0</v>
      </c>
      <c r="V1134" s="2">
        <f t="shared" si="626"/>
        <v>0</v>
      </c>
      <c r="W1134" s="11">
        <f t="shared" si="595"/>
        <v>0</v>
      </c>
      <c r="X1134" s="2">
        <f t="shared" si="596"/>
        <v>0</v>
      </c>
      <c r="Y1134" s="2">
        <f t="shared" si="597"/>
        <v>0</v>
      </c>
      <c r="Z1134" s="11">
        <f t="shared" si="598"/>
        <v>0</v>
      </c>
      <c r="AA1134" s="2">
        <f t="shared" si="599"/>
        <v>0</v>
      </c>
      <c r="AB1134" s="11">
        <f t="shared" si="600"/>
        <v>0</v>
      </c>
      <c r="AC1134" s="2">
        <f t="shared" si="601"/>
        <v>0</v>
      </c>
      <c r="AF1134" s="11">
        <f t="shared" si="602"/>
        <v>0</v>
      </c>
      <c r="AG1134" s="2">
        <f t="shared" si="603"/>
        <v>0</v>
      </c>
      <c r="AH1134" s="2">
        <f t="shared" si="604"/>
        <v>0</v>
      </c>
      <c r="AI1134" s="2">
        <f t="shared" si="605"/>
        <v>0</v>
      </c>
      <c r="AJ1134" s="2">
        <f t="shared" si="606"/>
        <v>0</v>
      </c>
      <c r="AK1134" s="2">
        <f t="shared" si="607"/>
        <v>0</v>
      </c>
      <c r="AL1134" s="2">
        <f t="shared" si="608"/>
        <v>0</v>
      </c>
      <c r="AM1134" s="11"/>
      <c r="AN1134" s="2" t="e">
        <f t="shared" si="617"/>
        <v>#N/A</v>
      </c>
      <c r="AO1134" s="2" t="e">
        <f t="shared" si="618"/>
        <v>#N/A</v>
      </c>
      <c r="AP1134" s="2" t="e">
        <f t="shared" si="619"/>
        <v>#N/A</v>
      </c>
      <c r="AQ1134" s="2" t="e">
        <f t="shared" si="620"/>
        <v>#N/A</v>
      </c>
      <c r="AR1134" s="2" t="e">
        <f t="shared" si="621"/>
        <v>#N/A</v>
      </c>
      <c r="AS1134" s="2" t="e">
        <f t="shared" si="622"/>
        <v>#DIV/0!</v>
      </c>
      <c r="AT1134" s="9" t="e">
        <f t="shared" ca="1" si="623"/>
        <v>#N/A</v>
      </c>
      <c r="AU1134" s="9" t="e">
        <f t="shared" ca="1" si="624"/>
        <v>#N/A</v>
      </c>
      <c r="AW1134" s="2" t="e">
        <f t="shared" si="609"/>
        <v>#N/A</v>
      </c>
      <c r="AX1134" s="2" t="e">
        <f t="shared" si="610"/>
        <v>#N/A</v>
      </c>
      <c r="AY1134" s="2" t="e">
        <f t="shared" si="611"/>
        <v>#N/A</v>
      </c>
      <c r="AZ1134" s="2" t="e">
        <f t="shared" si="612"/>
        <v>#N/A</v>
      </c>
      <c r="BA1134" s="2" t="e">
        <f t="shared" si="613"/>
        <v>#N/A</v>
      </c>
      <c r="BB1134" s="2" t="e">
        <f t="shared" si="614"/>
        <v>#DIV/0!</v>
      </c>
      <c r="BC1134" s="9" t="e">
        <f t="shared" ca="1" si="615"/>
        <v>#N/A</v>
      </c>
      <c r="BD1134" s="9" t="e">
        <f t="shared" ca="1" si="616"/>
        <v>#N/A</v>
      </c>
    </row>
    <row r="1135" spans="1:56" ht="15" x14ac:dyDescent="0.25">
      <c r="A1135"/>
      <c r="B1135"/>
      <c r="C1135"/>
      <c r="D1135"/>
      <c r="E1135"/>
      <c r="F1135"/>
      <c r="G1135"/>
      <c r="H1135"/>
      <c r="I1135"/>
      <c r="J1135"/>
      <c r="K1135"/>
      <c r="L1135" s="64"/>
      <c r="M1135" s="64"/>
      <c r="N1135" s="16"/>
      <c r="O1135" s="11"/>
      <c r="P1135" s="11"/>
      <c r="Q1135" s="11"/>
      <c r="R1135" s="11"/>
      <c r="S1135" s="11"/>
      <c r="T1135" s="11"/>
      <c r="U1135" s="11">
        <f t="shared" si="625"/>
        <v>0</v>
      </c>
      <c r="V1135" s="2">
        <f t="shared" si="626"/>
        <v>0</v>
      </c>
      <c r="W1135" s="11">
        <f t="shared" si="595"/>
        <v>0</v>
      </c>
      <c r="X1135" s="2">
        <f t="shared" si="596"/>
        <v>0</v>
      </c>
      <c r="Y1135" s="2">
        <f t="shared" si="597"/>
        <v>0</v>
      </c>
      <c r="Z1135" s="11">
        <f t="shared" si="598"/>
        <v>0</v>
      </c>
      <c r="AA1135" s="2">
        <f t="shared" si="599"/>
        <v>0</v>
      </c>
      <c r="AB1135" s="11">
        <f t="shared" si="600"/>
        <v>0</v>
      </c>
      <c r="AC1135" s="2">
        <f t="shared" si="601"/>
        <v>0</v>
      </c>
      <c r="AF1135" s="11">
        <f t="shared" si="602"/>
        <v>0</v>
      </c>
      <c r="AG1135" s="2">
        <f t="shared" si="603"/>
        <v>0</v>
      </c>
      <c r="AH1135" s="2">
        <f t="shared" si="604"/>
        <v>0</v>
      </c>
      <c r="AI1135" s="2">
        <f t="shared" si="605"/>
        <v>0</v>
      </c>
      <c r="AJ1135" s="2">
        <f t="shared" si="606"/>
        <v>0</v>
      </c>
      <c r="AK1135" s="2">
        <f t="shared" si="607"/>
        <v>0</v>
      </c>
      <c r="AL1135" s="2">
        <f t="shared" si="608"/>
        <v>0</v>
      </c>
      <c r="AM1135" s="11"/>
      <c r="AN1135" s="2" t="e">
        <f t="shared" si="617"/>
        <v>#N/A</v>
      </c>
      <c r="AO1135" s="2" t="e">
        <f t="shared" si="618"/>
        <v>#N/A</v>
      </c>
      <c r="AP1135" s="2" t="e">
        <f t="shared" si="619"/>
        <v>#N/A</v>
      </c>
      <c r="AQ1135" s="2" t="e">
        <f t="shared" si="620"/>
        <v>#N/A</v>
      </c>
      <c r="AR1135" s="2" t="e">
        <f t="shared" si="621"/>
        <v>#N/A</v>
      </c>
      <c r="AS1135" s="2" t="e">
        <f t="shared" si="622"/>
        <v>#DIV/0!</v>
      </c>
      <c r="AT1135" s="9" t="e">
        <f t="shared" ca="1" si="623"/>
        <v>#N/A</v>
      </c>
      <c r="AU1135" s="9" t="e">
        <f t="shared" ca="1" si="624"/>
        <v>#N/A</v>
      </c>
      <c r="AW1135" s="2" t="e">
        <f t="shared" si="609"/>
        <v>#N/A</v>
      </c>
      <c r="AX1135" s="2" t="e">
        <f t="shared" si="610"/>
        <v>#N/A</v>
      </c>
      <c r="AY1135" s="2" t="e">
        <f t="shared" si="611"/>
        <v>#N/A</v>
      </c>
      <c r="AZ1135" s="2" t="e">
        <f t="shared" si="612"/>
        <v>#N/A</v>
      </c>
      <c r="BA1135" s="2" t="e">
        <f t="shared" si="613"/>
        <v>#N/A</v>
      </c>
      <c r="BB1135" s="2" t="e">
        <f t="shared" si="614"/>
        <v>#DIV/0!</v>
      </c>
      <c r="BC1135" s="9" t="e">
        <f t="shared" ca="1" si="615"/>
        <v>#N/A</v>
      </c>
      <c r="BD1135" s="9" t="e">
        <f t="shared" ca="1" si="616"/>
        <v>#N/A</v>
      </c>
    </row>
    <row r="1136" spans="1:56" ht="15" x14ac:dyDescent="0.25">
      <c r="A1136"/>
      <c r="B1136"/>
      <c r="C1136"/>
      <c r="D1136"/>
      <c r="E1136"/>
      <c r="F1136"/>
      <c r="G1136"/>
      <c r="H1136"/>
      <c r="I1136"/>
      <c r="J1136"/>
      <c r="K1136"/>
      <c r="L1136" s="64"/>
      <c r="M1136" s="64"/>
      <c r="N1136" s="16"/>
      <c r="O1136" s="11"/>
      <c r="P1136" s="11"/>
      <c r="Q1136" s="11"/>
      <c r="R1136" s="11"/>
      <c r="S1136" s="11"/>
      <c r="T1136" s="11"/>
      <c r="U1136" s="11">
        <f t="shared" si="625"/>
        <v>0</v>
      </c>
      <c r="V1136" s="2">
        <f t="shared" si="626"/>
        <v>0</v>
      </c>
      <c r="W1136" s="11">
        <f t="shared" si="595"/>
        <v>0</v>
      </c>
      <c r="X1136" s="2">
        <f t="shared" si="596"/>
        <v>0</v>
      </c>
      <c r="Y1136" s="2">
        <f t="shared" si="597"/>
        <v>0</v>
      </c>
      <c r="Z1136" s="11">
        <f t="shared" si="598"/>
        <v>0</v>
      </c>
      <c r="AA1136" s="2">
        <f t="shared" si="599"/>
        <v>0</v>
      </c>
      <c r="AB1136" s="11">
        <f t="shared" si="600"/>
        <v>0</v>
      </c>
      <c r="AC1136" s="2">
        <f t="shared" si="601"/>
        <v>0</v>
      </c>
      <c r="AF1136" s="11">
        <f t="shared" si="602"/>
        <v>0</v>
      </c>
      <c r="AG1136" s="2">
        <f t="shared" si="603"/>
        <v>0</v>
      </c>
      <c r="AH1136" s="2">
        <f t="shared" si="604"/>
        <v>0</v>
      </c>
      <c r="AI1136" s="2">
        <f t="shared" si="605"/>
        <v>0</v>
      </c>
      <c r="AJ1136" s="2">
        <f t="shared" si="606"/>
        <v>0</v>
      </c>
      <c r="AK1136" s="2">
        <f t="shared" si="607"/>
        <v>0</v>
      </c>
      <c r="AL1136" s="2">
        <f t="shared" si="608"/>
        <v>0</v>
      </c>
      <c r="AM1136" s="11"/>
      <c r="AN1136" s="2" t="e">
        <f t="shared" si="617"/>
        <v>#N/A</v>
      </c>
      <c r="AO1136" s="2" t="e">
        <f t="shared" si="618"/>
        <v>#N/A</v>
      </c>
      <c r="AP1136" s="2" t="e">
        <f t="shared" si="619"/>
        <v>#N/A</v>
      </c>
      <c r="AQ1136" s="2" t="e">
        <f t="shared" si="620"/>
        <v>#N/A</v>
      </c>
      <c r="AR1136" s="2" t="e">
        <f t="shared" si="621"/>
        <v>#N/A</v>
      </c>
      <c r="AS1136" s="2" t="e">
        <f t="shared" si="622"/>
        <v>#DIV/0!</v>
      </c>
      <c r="AT1136" s="9" t="e">
        <f t="shared" ca="1" si="623"/>
        <v>#N/A</v>
      </c>
      <c r="AU1136" s="9" t="e">
        <f t="shared" ca="1" si="624"/>
        <v>#N/A</v>
      </c>
      <c r="AW1136" s="2" t="e">
        <f t="shared" si="609"/>
        <v>#N/A</v>
      </c>
      <c r="AX1136" s="2" t="e">
        <f t="shared" si="610"/>
        <v>#N/A</v>
      </c>
      <c r="AY1136" s="2" t="e">
        <f t="shared" si="611"/>
        <v>#N/A</v>
      </c>
      <c r="AZ1136" s="2" t="e">
        <f t="shared" si="612"/>
        <v>#N/A</v>
      </c>
      <c r="BA1136" s="2" t="e">
        <f t="shared" si="613"/>
        <v>#N/A</v>
      </c>
      <c r="BB1136" s="2" t="e">
        <f t="shared" si="614"/>
        <v>#DIV/0!</v>
      </c>
      <c r="BC1136" s="9" t="e">
        <f t="shared" ca="1" si="615"/>
        <v>#N/A</v>
      </c>
      <c r="BD1136" s="9" t="e">
        <f t="shared" ca="1" si="616"/>
        <v>#N/A</v>
      </c>
    </row>
    <row r="1137" spans="1:56" ht="15" x14ac:dyDescent="0.25">
      <c r="A1137"/>
      <c r="B1137"/>
      <c r="C1137"/>
      <c r="D1137"/>
      <c r="E1137"/>
      <c r="F1137"/>
      <c r="G1137"/>
      <c r="H1137"/>
      <c r="I1137"/>
      <c r="J1137"/>
      <c r="K1137"/>
      <c r="L1137" s="64"/>
      <c r="M1137" s="64"/>
      <c r="N1137" s="16"/>
      <c r="O1137" s="11"/>
      <c r="P1137" s="11"/>
      <c r="Q1137" s="11"/>
      <c r="R1137" s="11"/>
      <c r="S1137" s="11"/>
      <c r="T1137" s="11"/>
      <c r="U1137" s="11">
        <f t="shared" si="625"/>
        <v>0</v>
      </c>
      <c r="V1137" s="2">
        <f t="shared" si="626"/>
        <v>0</v>
      </c>
      <c r="W1137" s="11">
        <f t="shared" si="595"/>
        <v>0</v>
      </c>
      <c r="X1137" s="2">
        <f t="shared" si="596"/>
        <v>0</v>
      </c>
      <c r="Y1137" s="2">
        <f t="shared" si="597"/>
        <v>0</v>
      </c>
      <c r="Z1137" s="11">
        <f t="shared" si="598"/>
        <v>0</v>
      </c>
      <c r="AA1137" s="2">
        <f t="shared" si="599"/>
        <v>0</v>
      </c>
      <c r="AB1137" s="11">
        <f t="shared" si="600"/>
        <v>0</v>
      </c>
      <c r="AC1137" s="2">
        <f t="shared" si="601"/>
        <v>0</v>
      </c>
      <c r="AF1137" s="11">
        <f t="shared" si="602"/>
        <v>0</v>
      </c>
      <c r="AG1137" s="2">
        <f t="shared" si="603"/>
        <v>0</v>
      </c>
      <c r="AH1137" s="2">
        <f t="shared" si="604"/>
        <v>0</v>
      </c>
      <c r="AI1137" s="2">
        <f t="shared" si="605"/>
        <v>0</v>
      </c>
      <c r="AJ1137" s="2">
        <f t="shared" si="606"/>
        <v>0</v>
      </c>
      <c r="AK1137" s="2">
        <f t="shared" si="607"/>
        <v>0</v>
      </c>
      <c r="AL1137" s="2">
        <f t="shared" si="608"/>
        <v>0</v>
      </c>
      <c r="AM1137" s="11"/>
      <c r="AN1137" s="2" t="e">
        <f t="shared" si="617"/>
        <v>#N/A</v>
      </c>
      <c r="AO1137" s="2" t="e">
        <f t="shared" si="618"/>
        <v>#N/A</v>
      </c>
      <c r="AP1137" s="2" t="e">
        <f t="shared" si="619"/>
        <v>#N/A</v>
      </c>
      <c r="AQ1137" s="2" t="e">
        <f t="shared" si="620"/>
        <v>#N/A</v>
      </c>
      <c r="AR1137" s="2" t="e">
        <f t="shared" si="621"/>
        <v>#N/A</v>
      </c>
      <c r="AS1137" s="2" t="e">
        <f t="shared" si="622"/>
        <v>#DIV/0!</v>
      </c>
      <c r="AT1137" s="9" t="e">
        <f t="shared" ca="1" si="623"/>
        <v>#N/A</v>
      </c>
      <c r="AU1137" s="9" t="e">
        <f t="shared" ca="1" si="624"/>
        <v>#N/A</v>
      </c>
      <c r="AW1137" s="2" t="e">
        <f t="shared" si="609"/>
        <v>#N/A</v>
      </c>
      <c r="AX1137" s="2" t="e">
        <f t="shared" si="610"/>
        <v>#N/A</v>
      </c>
      <c r="AY1137" s="2" t="e">
        <f t="shared" si="611"/>
        <v>#N/A</v>
      </c>
      <c r="AZ1137" s="2" t="e">
        <f t="shared" si="612"/>
        <v>#N/A</v>
      </c>
      <c r="BA1137" s="2" t="e">
        <f t="shared" si="613"/>
        <v>#N/A</v>
      </c>
      <c r="BB1137" s="2" t="e">
        <f t="shared" si="614"/>
        <v>#DIV/0!</v>
      </c>
      <c r="BC1137" s="9" t="e">
        <f t="shared" ca="1" si="615"/>
        <v>#N/A</v>
      </c>
      <c r="BD1137" s="9" t="e">
        <f t="shared" ca="1" si="616"/>
        <v>#N/A</v>
      </c>
    </row>
    <row r="1138" spans="1:56" ht="15" x14ac:dyDescent="0.25">
      <c r="A1138"/>
      <c r="B1138"/>
      <c r="C1138"/>
      <c r="D1138"/>
      <c r="E1138"/>
      <c r="F1138"/>
      <c r="G1138"/>
      <c r="H1138"/>
      <c r="I1138"/>
      <c r="J1138"/>
      <c r="K1138"/>
      <c r="L1138" s="64"/>
      <c r="M1138" s="64"/>
      <c r="N1138" s="16"/>
      <c r="O1138" s="11"/>
      <c r="P1138" s="11"/>
      <c r="Q1138" s="11"/>
      <c r="R1138" s="11"/>
      <c r="S1138" s="11"/>
      <c r="T1138" s="11"/>
      <c r="U1138" s="11">
        <f t="shared" si="625"/>
        <v>0</v>
      </c>
      <c r="V1138" s="2">
        <f t="shared" si="626"/>
        <v>0</v>
      </c>
      <c r="W1138" s="11">
        <f t="shared" si="595"/>
        <v>0</v>
      </c>
      <c r="X1138" s="2">
        <f t="shared" si="596"/>
        <v>0</v>
      </c>
      <c r="Y1138" s="2">
        <f t="shared" si="597"/>
        <v>0</v>
      </c>
      <c r="Z1138" s="11">
        <f t="shared" si="598"/>
        <v>0</v>
      </c>
      <c r="AA1138" s="2">
        <f t="shared" si="599"/>
        <v>0</v>
      </c>
      <c r="AB1138" s="11">
        <f t="shared" si="600"/>
        <v>0</v>
      </c>
      <c r="AC1138" s="2">
        <f t="shared" si="601"/>
        <v>0</v>
      </c>
      <c r="AF1138" s="11">
        <f t="shared" si="602"/>
        <v>0</v>
      </c>
      <c r="AG1138" s="2">
        <f t="shared" si="603"/>
        <v>0</v>
      </c>
      <c r="AH1138" s="2">
        <f t="shared" si="604"/>
        <v>0</v>
      </c>
      <c r="AI1138" s="2">
        <f t="shared" si="605"/>
        <v>0</v>
      </c>
      <c r="AJ1138" s="2">
        <f t="shared" si="606"/>
        <v>0</v>
      </c>
      <c r="AK1138" s="2">
        <f t="shared" si="607"/>
        <v>0</v>
      </c>
      <c r="AL1138" s="2">
        <f t="shared" si="608"/>
        <v>0</v>
      </c>
      <c r="AM1138" s="11"/>
      <c r="AN1138" s="2" t="e">
        <f t="shared" si="617"/>
        <v>#N/A</v>
      </c>
      <c r="AO1138" s="2" t="e">
        <f t="shared" si="618"/>
        <v>#N/A</v>
      </c>
      <c r="AP1138" s="2" t="e">
        <f t="shared" si="619"/>
        <v>#N/A</v>
      </c>
      <c r="AQ1138" s="2" t="e">
        <f t="shared" si="620"/>
        <v>#N/A</v>
      </c>
      <c r="AR1138" s="2" t="e">
        <f t="shared" si="621"/>
        <v>#N/A</v>
      </c>
      <c r="AS1138" s="2" t="e">
        <f t="shared" si="622"/>
        <v>#DIV/0!</v>
      </c>
      <c r="AT1138" s="9" t="e">
        <f t="shared" ca="1" si="623"/>
        <v>#N/A</v>
      </c>
      <c r="AU1138" s="9" t="e">
        <f t="shared" ca="1" si="624"/>
        <v>#N/A</v>
      </c>
      <c r="AW1138" s="2" t="e">
        <f t="shared" si="609"/>
        <v>#N/A</v>
      </c>
      <c r="AX1138" s="2" t="e">
        <f t="shared" si="610"/>
        <v>#N/A</v>
      </c>
      <c r="AY1138" s="2" t="e">
        <f t="shared" si="611"/>
        <v>#N/A</v>
      </c>
      <c r="AZ1138" s="2" t="e">
        <f t="shared" si="612"/>
        <v>#N/A</v>
      </c>
      <c r="BA1138" s="2" t="e">
        <f t="shared" si="613"/>
        <v>#N/A</v>
      </c>
      <c r="BB1138" s="2" t="e">
        <f t="shared" si="614"/>
        <v>#DIV/0!</v>
      </c>
      <c r="BC1138" s="9" t="e">
        <f t="shared" ca="1" si="615"/>
        <v>#N/A</v>
      </c>
      <c r="BD1138" s="9" t="e">
        <f t="shared" ca="1" si="616"/>
        <v>#N/A</v>
      </c>
    </row>
    <row r="1139" spans="1:56" ht="15" x14ac:dyDescent="0.25">
      <c r="A1139"/>
      <c r="B1139"/>
      <c r="C1139"/>
      <c r="D1139"/>
      <c r="E1139"/>
      <c r="F1139"/>
      <c r="G1139"/>
      <c r="H1139"/>
      <c r="I1139"/>
      <c r="J1139"/>
      <c r="K1139"/>
      <c r="L1139" s="64"/>
      <c r="M1139" s="64"/>
      <c r="N1139" s="16"/>
      <c r="O1139" s="11"/>
      <c r="P1139" s="11"/>
      <c r="Q1139" s="11"/>
      <c r="R1139" s="11"/>
      <c r="S1139" s="11"/>
      <c r="T1139" s="11"/>
      <c r="U1139" s="11">
        <f t="shared" si="625"/>
        <v>0</v>
      </c>
      <c r="V1139" s="2">
        <f t="shared" si="626"/>
        <v>0</v>
      </c>
      <c r="W1139" s="11">
        <f t="shared" si="595"/>
        <v>0</v>
      </c>
      <c r="X1139" s="2">
        <f t="shared" si="596"/>
        <v>0</v>
      </c>
      <c r="Y1139" s="2">
        <f t="shared" si="597"/>
        <v>0</v>
      </c>
      <c r="Z1139" s="11">
        <f t="shared" si="598"/>
        <v>0</v>
      </c>
      <c r="AA1139" s="2">
        <f t="shared" si="599"/>
        <v>0</v>
      </c>
      <c r="AB1139" s="11">
        <f t="shared" si="600"/>
        <v>0</v>
      </c>
      <c r="AC1139" s="2">
        <f t="shared" si="601"/>
        <v>0</v>
      </c>
      <c r="AF1139" s="11">
        <f t="shared" si="602"/>
        <v>0</v>
      </c>
      <c r="AG1139" s="2">
        <f t="shared" si="603"/>
        <v>0</v>
      </c>
      <c r="AH1139" s="2">
        <f t="shared" si="604"/>
        <v>0</v>
      </c>
      <c r="AI1139" s="2">
        <f t="shared" si="605"/>
        <v>0</v>
      </c>
      <c r="AJ1139" s="2">
        <f t="shared" si="606"/>
        <v>0</v>
      </c>
      <c r="AK1139" s="2">
        <f t="shared" si="607"/>
        <v>0</v>
      </c>
      <c r="AL1139" s="2">
        <f t="shared" si="608"/>
        <v>0</v>
      </c>
      <c r="AM1139" s="11"/>
      <c r="AN1139" s="2" t="e">
        <f t="shared" si="617"/>
        <v>#N/A</v>
      </c>
      <c r="AO1139" s="2" t="e">
        <f t="shared" si="618"/>
        <v>#N/A</v>
      </c>
      <c r="AP1139" s="2" t="e">
        <f t="shared" si="619"/>
        <v>#N/A</v>
      </c>
      <c r="AQ1139" s="2" t="e">
        <f t="shared" si="620"/>
        <v>#N/A</v>
      </c>
      <c r="AR1139" s="2" t="e">
        <f t="shared" si="621"/>
        <v>#N/A</v>
      </c>
      <c r="AS1139" s="2" t="e">
        <f t="shared" si="622"/>
        <v>#DIV/0!</v>
      </c>
      <c r="AT1139" s="9" t="e">
        <f t="shared" ca="1" si="623"/>
        <v>#N/A</v>
      </c>
      <c r="AU1139" s="9" t="e">
        <f t="shared" ca="1" si="624"/>
        <v>#N/A</v>
      </c>
      <c r="AW1139" s="2" t="e">
        <f t="shared" si="609"/>
        <v>#N/A</v>
      </c>
      <c r="AX1139" s="2" t="e">
        <f t="shared" si="610"/>
        <v>#N/A</v>
      </c>
      <c r="AY1139" s="2" t="e">
        <f t="shared" si="611"/>
        <v>#N/A</v>
      </c>
      <c r="AZ1139" s="2" t="e">
        <f t="shared" si="612"/>
        <v>#N/A</v>
      </c>
      <c r="BA1139" s="2" t="e">
        <f t="shared" si="613"/>
        <v>#N/A</v>
      </c>
      <c r="BB1139" s="2" t="e">
        <f t="shared" si="614"/>
        <v>#DIV/0!</v>
      </c>
      <c r="BC1139" s="9" t="e">
        <f t="shared" ca="1" si="615"/>
        <v>#N/A</v>
      </c>
      <c r="BD1139" s="9" t="e">
        <f t="shared" ca="1" si="616"/>
        <v>#N/A</v>
      </c>
    </row>
    <row r="1140" spans="1:56" ht="15" x14ac:dyDescent="0.25">
      <c r="A1140"/>
      <c r="B1140"/>
      <c r="C1140"/>
      <c r="D1140"/>
      <c r="E1140"/>
      <c r="F1140"/>
      <c r="G1140"/>
      <c r="H1140"/>
      <c r="I1140"/>
      <c r="J1140"/>
      <c r="K1140"/>
      <c r="L1140" s="64"/>
      <c r="M1140" s="64"/>
      <c r="N1140" s="16"/>
      <c r="O1140" s="11"/>
      <c r="P1140" s="11"/>
      <c r="Q1140" s="11"/>
      <c r="R1140" s="11"/>
      <c r="S1140" s="11"/>
      <c r="T1140" s="11"/>
      <c r="U1140" s="11">
        <f t="shared" si="625"/>
        <v>0</v>
      </c>
      <c r="V1140" s="2">
        <f t="shared" si="626"/>
        <v>0</v>
      </c>
      <c r="W1140" s="11">
        <f t="shared" si="595"/>
        <v>0</v>
      </c>
      <c r="X1140" s="2">
        <f t="shared" si="596"/>
        <v>0</v>
      </c>
      <c r="Y1140" s="2">
        <f t="shared" si="597"/>
        <v>0</v>
      </c>
      <c r="Z1140" s="11">
        <f t="shared" si="598"/>
        <v>0</v>
      </c>
      <c r="AA1140" s="2">
        <f t="shared" si="599"/>
        <v>0</v>
      </c>
      <c r="AB1140" s="11">
        <f t="shared" si="600"/>
        <v>0</v>
      </c>
      <c r="AC1140" s="2">
        <f t="shared" si="601"/>
        <v>0</v>
      </c>
      <c r="AF1140" s="11">
        <f t="shared" si="602"/>
        <v>0</v>
      </c>
      <c r="AG1140" s="2">
        <f t="shared" si="603"/>
        <v>0</v>
      </c>
      <c r="AH1140" s="2">
        <f t="shared" si="604"/>
        <v>0</v>
      </c>
      <c r="AI1140" s="2">
        <f t="shared" si="605"/>
        <v>0</v>
      </c>
      <c r="AJ1140" s="2">
        <f t="shared" si="606"/>
        <v>0</v>
      </c>
      <c r="AK1140" s="2">
        <f t="shared" si="607"/>
        <v>0</v>
      </c>
      <c r="AL1140" s="2">
        <f t="shared" si="608"/>
        <v>0</v>
      </c>
      <c r="AM1140" s="11"/>
      <c r="AN1140" s="2" t="e">
        <f t="shared" si="617"/>
        <v>#N/A</v>
      </c>
      <c r="AO1140" s="2" t="e">
        <f t="shared" si="618"/>
        <v>#N/A</v>
      </c>
      <c r="AP1140" s="2" t="e">
        <f t="shared" si="619"/>
        <v>#N/A</v>
      </c>
      <c r="AQ1140" s="2" t="e">
        <f t="shared" si="620"/>
        <v>#N/A</v>
      </c>
      <c r="AR1140" s="2" t="e">
        <f t="shared" si="621"/>
        <v>#N/A</v>
      </c>
      <c r="AS1140" s="2" t="e">
        <f t="shared" si="622"/>
        <v>#DIV/0!</v>
      </c>
      <c r="AT1140" s="9" t="e">
        <f t="shared" ca="1" si="623"/>
        <v>#N/A</v>
      </c>
      <c r="AU1140" s="9" t="e">
        <f t="shared" ca="1" si="624"/>
        <v>#N/A</v>
      </c>
      <c r="AW1140" s="2" t="e">
        <f t="shared" si="609"/>
        <v>#N/A</v>
      </c>
      <c r="AX1140" s="2" t="e">
        <f t="shared" si="610"/>
        <v>#N/A</v>
      </c>
      <c r="AY1140" s="2" t="e">
        <f t="shared" si="611"/>
        <v>#N/A</v>
      </c>
      <c r="AZ1140" s="2" t="e">
        <f t="shared" si="612"/>
        <v>#N/A</v>
      </c>
      <c r="BA1140" s="2" t="e">
        <f t="shared" si="613"/>
        <v>#N/A</v>
      </c>
      <c r="BB1140" s="2" t="e">
        <f t="shared" si="614"/>
        <v>#DIV/0!</v>
      </c>
      <c r="BC1140" s="9" t="e">
        <f t="shared" ca="1" si="615"/>
        <v>#N/A</v>
      </c>
      <c r="BD1140" s="9" t="e">
        <f t="shared" ca="1" si="616"/>
        <v>#N/A</v>
      </c>
    </row>
    <row r="1141" spans="1:56" ht="15" x14ac:dyDescent="0.25">
      <c r="A1141"/>
      <c r="B1141"/>
      <c r="C1141"/>
      <c r="D1141"/>
      <c r="E1141"/>
      <c r="F1141"/>
      <c r="G1141"/>
      <c r="H1141"/>
      <c r="I1141"/>
      <c r="J1141"/>
      <c r="K1141"/>
      <c r="L1141" s="64"/>
      <c r="M1141" s="64"/>
      <c r="N1141" s="16"/>
      <c r="O1141" s="11"/>
      <c r="P1141" s="11"/>
      <c r="Q1141" s="11"/>
      <c r="R1141" s="11"/>
      <c r="S1141" s="11"/>
      <c r="T1141" s="11"/>
      <c r="U1141" s="11">
        <f t="shared" si="625"/>
        <v>0</v>
      </c>
      <c r="V1141" s="2">
        <f t="shared" si="626"/>
        <v>0</v>
      </c>
      <c r="W1141" s="11">
        <f t="shared" si="595"/>
        <v>0</v>
      </c>
      <c r="X1141" s="2">
        <f t="shared" si="596"/>
        <v>0</v>
      </c>
      <c r="Y1141" s="2">
        <f t="shared" si="597"/>
        <v>0</v>
      </c>
      <c r="Z1141" s="11">
        <f t="shared" si="598"/>
        <v>0</v>
      </c>
      <c r="AA1141" s="2">
        <f t="shared" si="599"/>
        <v>0</v>
      </c>
      <c r="AB1141" s="11">
        <f t="shared" si="600"/>
        <v>0</v>
      </c>
      <c r="AC1141" s="2">
        <f t="shared" si="601"/>
        <v>0</v>
      </c>
      <c r="AF1141" s="11">
        <f t="shared" si="602"/>
        <v>0</v>
      </c>
      <c r="AG1141" s="2">
        <f t="shared" si="603"/>
        <v>0</v>
      </c>
      <c r="AH1141" s="2">
        <f t="shared" si="604"/>
        <v>0</v>
      </c>
      <c r="AI1141" s="2">
        <f t="shared" si="605"/>
        <v>0</v>
      </c>
      <c r="AJ1141" s="2">
        <f t="shared" si="606"/>
        <v>0</v>
      </c>
      <c r="AK1141" s="2">
        <f t="shared" si="607"/>
        <v>0</v>
      </c>
      <c r="AL1141" s="2">
        <f t="shared" si="608"/>
        <v>0</v>
      </c>
      <c r="AM1141" s="11"/>
      <c r="AN1141" s="2" t="e">
        <f t="shared" si="617"/>
        <v>#N/A</v>
      </c>
      <c r="AO1141" s="2" t="e">
        <f t="shared" si="618"/>
        <v>#N/A</v>
      </c>
      <c r="AP1141" s="2" t="e">
        <f t="shared" si="619"/>
        <v>#N/A</v>
      </c>
      <c r="AQ1141" s="2" t="e">
        <f t="shared" si="620"/>
        <v>#N/A</v>
      </c>
      <c r="AR1141" s="2" t="e">
        <f t="shared" si="621"/>
        <v>#N/A</v>
      </c>
      <c r="AS1141" s="2" t="e">
        <f t="shared" si="622"/>
        <v>#DIV/0!</v>
      </c>
      <c r="AT1141" s="9" t="e">
        <f t="shared" ca="1" si="623"/>
        <v>#N/A</v>
      </c>
      <c r="AU1141" s="9" t="e">
        <f t="shared" ca="1" si="624"/>
        <v>#N/A</v>
      </c>
      <c r="AW1141" s="2" t="e">
        <f t="shared" si="609"/>
        <v>#N/A</v>
      </c>
      <c r="AX1141" s="2" t="e">
        <f t="shared" si="610"/>
        <v>#N/A</v>
      </c>
      <c r="AY1141" s="2" t="e">
        <f t="shared" si="611"/>
        <v>#N/A</v>
      </c>
      <c r="AZ1141" s="2" t="e">
        <f t="shared" si="612"/>
        <v>#N/A</v>
      </c>
      <c r="BA1141" s="2" t="e">
        <f t="shared" si="613"/>
        <v>#N/A</v>
      </c>
      <c r="BB1141" s="2" t="e">
        <f t="shared" si="614"/>
        <v>#DIV/0!</v>
      </c>
      <c r="BC1141" s="9" t="e">
        <f t="shared" ca="1" si="615"/>
        <v>#N/A</v>
      </c>
      <c r="BD1141" s="9" t="e">
        <f t="shared" ca="1" si="616"/>
        <v>#N/A</v>
      </c>
    </row>
    <row r="1142" spans="1:56" ht="15" x14ac:dyDescent="0.25">
      <c r="A1142"/>
      <c r="B1142"/>
      <c r="C1142"/>
      <c r="D1142"/>
      <c r="E1142"/>
      <c r="F1142"/>
      <c r="G1142"/>
      <c r="H1142"/>
      <c r="I1142"/>
      <c r="J1142"/>
      <c r="K1142"/>
      <c r="L1142" s="64"/>
      <c r="M1142" s="64"/>
      <c r="N1142" s="16"/>
      <c r="O1142" s="11"/>
      <c r="P1142" s="11"/>
      <c r="Q1142" s="11"/>
      <c r="R1142" s="11"/>
      <c r="S1142" s="11"/>
      <c r="T1142" s="11"/>
      <c r="U1142" s="11">
        <f t="shared" si="625"/>
        <v>0</v>
      </c>
      <c r="V1142" s="2">
        <f t="shared" si="626"/>
        <v>0</v>
      </c>
      <c r="W1142" s="11">
        <f t="shared" si="595"/>
        <v>0</v>
      </c>
      <c r="X1142" s="2">
        <f t="shared" si="596"/>
        <v>0</v>
      </c>
      <c r="Y1142" s="2">
        <f t="shared" si="597"/>
        <v>0</v>
      </c>
      <c r="Z1142" s="11">
        <f t="shared" si="598"/>
        <v>0</v>
      </c>
      <c r="AA1142" s="2">
        <f t="shared" si="599"/>
        <v>0</v>
      </c>
      <c r="AB1142" s="11">
        <f t="shared" si="600"/>
        <v>0</v>
      </c>
      <c r="AC1142" s="2">
        <f t="shared" si="601"/>
        <v>0</v>
      </c>
      <c r="AF1142" s="11">
        <f t="shared" si="602"/>
        <v>0</v>
      </c>
      <c r="AG1142" s="2">
        <f t="shared" si="603"/>
        <v>0</v>
      </c>
      <c r="AH1142" s="2">
        <f t="shared" si="604"/>
        <v>0</v>
      </c>
      <c r="AI1142" s="2">
        <f t="shared" si="605"/>
        <v>0</v>
      </c>
      <c r="AJ1142" s="2">
        <f t="shared" si="606"/>
        <v>0</v>
      </c>
      <c r="AK1142" s="2">
        <f t="shared" si="607"/>
        <v>0</v>
      </c>
      <c r="AL1142" s="2">
        <f t="shared" si="608"/>
        <v>0</v>
      </c>
      <c r="AM1142" s="11"/>
      <c r="AN1142" s="2" t="e">
        <f t="shared" si="617"/>
        <v>#N/A</v>
      </c>
      <c r="AO1142" s="2" t="e">
        <f t="shared" si="618"/>
        <v>#N/A</v>
      </c>
      <c r="AP1142" s="2" t="e">
        <f t="shared" si="619"/>
        <v>#N/A</v>
      </c>
      <c r="AQ1142" s="2" t="e">
        <f t="shared" si="620"/>
        <v>#N/A</v>
      </c>
      <c r="AR1142" s="2" t="e">
        <f t="shared" si="621"/>
        <v>#N/A</v>
      </c>
      <c r="AS1142" s="2" t="e">
        <f t="shared" si="622"/>
        <v>#DIV/0!</v>
      </c>
      <c r="AT1142" s="9" t="e">
        <f t="shared" ca="1" si="623"/>
        <v>#N/A</v>
      </c>
      <c r="AU1142" s="9" t="e">
        <f t="shared" ca="1" si="624"/>
        <v>#N/A</v>
      </c>
      <c r="AW1142" s="2" t="e">
        <f t="shared" si="609"/>
        <v>#N/A</v>
      </c>
      <c r="AX1142" s="2" t="e">
        <f t="shared" si="610"/>
        <v>#N/A</v>
      </c>
      <c r="AY1142" s="2" t="e">
        <f t="shared" si="611"/>
        <v>#N/A</v>
      </c>
      <c r="AZ1142" s="2" t="e">
        <f t="shared" si="612"/>
        <v>#N/A</v>
      </c>
      <c r="BA1142" s="2" t="e">
        <f t="shared" si="613"/>
        <v>#N/A</v>
      </c>
      <c r="BB1142" s="2" t="e">
        <f t="shared" si="614"/>
        <v>#DIV/0!</v>
      </c>
      <c r="BC1142" s="9" t="e">
        <f t="shared" ca="1" si="615"/>
        <v>#N/A</v>
      </c>
      <c r="BD1142" s="9" t="e">
        <f t="shared" ca="1" si="616"/>
        <v>#N/A</v>
      </c>
    </row>
    <row r="1143" spans="1:56" ht="15" x14ac:dyDescent="0.25">
      <c r="A1143"/>
      <c r="B1143"/>
      <c r="C1143"/>
      <c r="D1143"/>
      <c r="E1143"/>
      <c r="F1143"/>
      <c r="G1143"/>
      <c r="H1143"/>
      <c r="I1143"/>
      <c r="J1143"/>
      <c r="K1143"/>
      <c r="L1143" s="64"/>
      <c r="M1143" s="64"/>
      <c r="N1143" s="16"/>
      <c r="O1143" s="11"/>
      <c r="P1143" s="11"/>
      <c r="Q1143" s="11"/>
      <c r="R1143" s="11"/>
      <c r="S1143" s="11"/>
      <c r="T1143" s="11"/>
      <c r="U1143" s="11">
        <f t="shared" si="625"/>
        <v>0</v>
      </c>
      <c r="V1143" s="2">
        <f t="shared" si="626"/>
        <v>0</v>
      </c>
      <c r="W1143" s="11">
        <f t="shared" si="595"/>
        <v>0</v>
      </c>
      <c r="X1143" s="2">
        <f t="shared" si="596"/>
        <v>0</v>
      </c>
      <c r="Y1143" s="2">
        <f t="shared" si="597"/>
        <v>0</v>
      </c>
      <c r="Z1143" s="11">
        <f t="shared" si="598"/>
        <v>0</v>
      </c>
      <c r="AA1143" s="2">
        <f t="shared" si="599"/>
        <v>0</v>
      </c>
      <c r="AB1143" s="11">
        <f t="shared" si="600"/>
        <v>0</v>
      </c>
      <c r="AC1143" s="2">
        <f t="shared" si="601"/>
        <v>0</v>
      </c>
      <c r="AF1143" s="11">
        <f t="shared" si="602"/>
        <v>0</v>
      </c>
      <c r="AG1143" s="2">
        <f t="shared" si="603"/>
        <v>0</v>
      </c>
      <c r="AH1143" s="2">
        <f t="shared" si="604"/>
        <v>0</v>
      </c>
      <c r="AI1143" s="2">
        <f t="shared" si="605"/>
        <v>0</v>
      </c>
      <c r="AJ1143" s="2">
        <f t="shared" si="606"/>
        <v>0</v>
      </c>
      <c r="AK1143" s="2">
        <f t="shared" si="607"/>
        <v>0</v>
      </c>
      <c r="AL1143" s="2">
        <f t="shared" si="608"/>
        <v>0</v>
      </c>
      <c r="AM1143" s="11"/>
      <c r="AN1143" s="2" t="e">
        <f t="shared" si="617"/>
        <v>#N/A</v>
      </c>
      <c r="AO1143" s="2" t="e">
        <f t="shared" si="618"/>
        <v>#N/A</v>
      </c>
      <c r="AP1143" s="2" t="e">
        <f t="shared" si="619"/>
        <v>#N/A</v>
      </c>
      <c r="AQ1143" s="2" t="e">
        <f t="shared" si="620"/>
        <v>#N/A</v>
      </c>
      <c r="AR1143" s="2" t="e">
        <f t="shared" si="621"/>
        <v>#N/A</v>
      </c>
      <c r="AS1143" s="2" t="e">
        <f t="shared" si="622"/>
        <v>#DIV/0!</v>
      </c>
      <c r="AT1143" s="9" t="e">
        <f t="shared" ca="1" si="623"/>
        <v>#N/A</v>
      </c>
      <c r="AU1143" s="9" t="e">
        <f t="shared" ca="1" si="624"/>
        <v>#N/A</v>
      </c>
      <c r="AW1143" s="2" t="e">
        <f t="shared" si="609"/>
        <v>#N/A</v>
      </c>
      <c r="AX1143" s="2" t="e">
        <f t="shared" si="610"/>
        <v>#N/A</v>
      </c>
      <c r="AY1143" s="2" t="e">
        <f t="shared" si="611"/>
        <v>#N/A</v>
      </c>
      <c r="AZ1143" s="2" t="e">
        <f t="shared" si="612"/>
        <v>#N/A</v>
      </c>
      <c r="BA1143" s="2" t="e">
        <f t="shared" si="613"/>
        <v>#N/A</v>
      </c>
      <c r="BB1143" s="2" t="e">
        <f t="shared" si="614"/>
        <v>#DIV/0!</v>
      </c>
      <c r="BC1143" s="9" t="e">
        <f t="shared" ca="1" si="615"/>
        <v>#N/A</v>
      </c>
      <c r="BD1143" s="9" t="e">
        <f t="shared" ca="1" si="616"/>
        <v>#N/A</v>
      </c>
    </row>
    <row r="1144" spans="1:56" ht="15" x14ac:dyDescent="0.25">
      <c r="A1144"/>
      <c r="B1144"/>
      <c r="C1144"/>
      <c r="D1144"/>
      <c r="E1144"/>
      <c r="F1144"/>
      <c r="G1144"/>
      <c r="H1144"/>
      <c r="I1144"/>
      <c r="J1144"/>
      <c r="K1144"/>
      <c r="L1144" s="64"/>
      <c r="M1144" s="64"/>
      <c r="N1144" s="16"/>
      <c r="O1144" s="11"/>
      <c r="P1144" s="11"/>
      <c r="Q1144" s="11"/>
      <c r="R1144" s="11"/>
      <c r="S1144" s="11"/>
      <c r="T1144" s="11"/>
      <c r="U1144" s="11">
        <f t="shared" si="625"/>
        <v>0</v>
      </c>
      <c r="V1144" s="2">
        <f t="shared" si="626"/>
        <v>0</v>
      </c>
      <c r="W1144" s="11">
        <f t="shared" si="595"/>
        <v>0</v>
      </c>
      <c r="X1144" s="2">
        <f t="shared" si="596"/>
        <v>0</v>
      </c>
      <c r="Y1144" s="2">
        <f t="shared" si="597"/>
        <v>0</v>
      </c>
      <c r="Z1144" s="11">
        <f t="shared" si="598"/>
        <v>0</v>
      </c>
      <c r="AA1144" s="2">
        <f t="shared" si="599"/>
        <v>0</v>
      </c>
      <c r="AB1144" s="11">
        <f t="shared" si="600"/>
        <v>0</v>
      </c>
      <c r="AC1144" s="2">
        <f t="shared" si="601"/>
        <v>0</v>
      </c>
      <c r="AF1144" s="11">
        <f t="shared" si="602"/>
        <v>0</v>
      </c>
      <c r="AG1144" s="2">
        <f t="shared" si="603"/>
        <v>0</v>
      </c>
      <c r="AH1144" s="2">
        <f t="shared" si="604"/>
        <v>0</v>
      </c>
      <c r="AI1144" s="2">
        <f t="shared" si="605"/>
        <v>0</v>
      </c>
      <c r="AJ1144" s="2">
        <f t="shared" si="606"/>
        <v>0</v>
      </c>
      <c r="AK1144" s="2">
        <f t="shared" si="607"/>
        <v>0</v>
      </c>
      <c r="AL1144" s="2">
        <f t="shared" si="608"/>
        <v>0</v>
      </c>
      <c r="AM1144" s="11"/>
      <c r="AN1144" s="2" t="e">
        <f t="shared" si="617"/>
        <v>#N/A</v>
      </c>
      <c r="AO1144" s="2" t="e">
        <f t="shared" si="618"/>
        <v>#N/A</v>
      </c>
      <c r="AP1144" s="2" t="e">
        <f t="shared" si="619"/>
        <v>#N/A</v>
      </c>
      <c r="AQ1144" s="2" t="e">
        <f t="shared" si="620"/>
        <v>#N/A</v>
      </c>
      <c r="AR1144" s="2" t="e">
        <f t="shared" si="621"/>
        <v>#N/A</v>
      </c>
      <c r="AS1144" s="2" t="e">
        <f t="shared" si="622"/>
        <v>#DIV/0!</v>
      </c>
      <c r="AT1144" s="9" t="e">
        <f t="shared" ca="1" si="623"/>
        <v>#N/A</v>
      </c>
      <c r="AU1144" s="9" t="e">
        <f t="shared" ca="1" si="624"/>
        <v>#N/A</v>
      </c>
      <c r="AW1144" s="2" t="e">
        <f t="shared" si="609"/>
        <v>#N/A</v>
      </c>
      <c r="AX1144" s="2" t="e">
        <f t="shared" si="610"/>
        <v>#N/A</v>
      </c>
      <c r="AY1144" s="2" t="e">
        <f t="shared" si="611"/>
        <v>#N/A</v>
      </c>
      <c r="AZ1144" s="2" t="e">
        <f t="shared" si="612"/>
        <v>#N/A</v>
      </c>
      <c r="BA1144" s="2" t="e">
        <f t="shared" si="613"/>
        <v>#N/A</v>
      </c>
      <c r="BB1144" s="2" t="e">
        <f t="shared" si="614"/>
        <v>#DIV/0!</v>
      </c>
      <c r="BC1144" s="9" t="e">
        <f t="shared" ca="1" si="615"/>
        <v>#N/A</v>
      </c>
      <c r="BD1144" s="9" t="e">
        <f t="shared" ca="1" si="616"/>
        <v>#N/A</v>
      </c>
    </row>
    <row r="1145" spans="1:56" ht="15" x14ac:dyDescent="0.25">
      <c r="A1145" s="63"/>
      <c r="B1145" s="63"/>
      <c r="C1145" s="64"/>
      <c r="D1145" s="64"/>
      <c r="E1145" s="64"/>
      <c r="F1145" s="64"/>
      <c r="G1145" s="64"/>
      <c r="H1145" s="64"/>
      <c r="I1145" s="64"/>
      <c r="J1145" s="64"/>
      <c r="K1145" s="64"/>
      <c r="L1145" s="64"/>
      <c r="M1145" s="64"/>
      <c r="N1145" s="16"/>
      <c r="O1145" s="11"/>
      <c r="P1145" s="11"/>
      <c r="Q1145" s="11"/>
      <c r="R1145" s="11"/>
      <c r="S1145" s="11"/>
      <c r="T1145" s="11"/>
      <c r="U1145" s="11">
        <f t="shared" si="625"/>
        <v>0</v>
      </c>
      <c r="V1145" s="2">
        <f t="shared" si="626"/>
        <v>0</v>
      </c>
      <c r="W1145" s="11">
        <f t="shared" si="595"/>
        <v>0</v>
      </c>
      <c r="X1145" s="2">
        <f t="shared" si="596"/>
        <v>0</v>
      </c>
      <c r="Y1145" s="2">
        <f t="shared" si="597"/>
        <v>0</v>
      </c>
      <c r="Z1145" s="11">
        <f t="shared" si="598"/>
        <v>0</v>
      </c>
      <c r="AA1145" s="2">
        <f t="shared" si="599"/>
        <v>0</v>
      </c>
      <c r="AB1145" s="11">
        <f t="shared" si="600"/>
        <v>0</v>
      </c>
      <c r="AC1145" s="2">
        <f t="shared" si="601"/>
        <v>0</v>
      </c>
      <c r="AF1145" s="11">
        <f t="shared" si="602"/>
        <v>0</v>
      </c>
      <c r="AG1145" s="2">
        <f t="shared" si="603"/>
        <v>0</v>
      </c>
      <c r="AH1145" s="2">
        <f t="shared" si="604"/>
        <v>0</v>
      </c>
      <c r="AI1145" s="2">
        <f t="shared" si="605"/>
        <v>0</v>
      </c>
      <c r="AJ1145" s="2">
        <f t="shared" si="606"/>
        <v>0</v>
      </c>
      <c r="AK1145" s="2">
        <f t="shared" si="607"/>
        <v>0</v>
      </c>
      <c r="AL1145" s="2">
        <f t="shared" si="608"/>
        <v>0</v>
      </c>
      <c r="AM1145" s="11"/>
      <c r="AN1145" s="2" t="e">
        <f t="shared" si="617"/>
        <v>#N/A</v>
      </c>
      <c r="AO1145" s="2" t="e">
        <f t="shared" si="618"/>
        <v>#N/A</v>
      </c>
      <c r="AP1145" s="2" t="e">
        <f t="shared" si="619"/>
        <v>#N/A</v>
      </c>
      <c r="AQ1145" s="2" t="e">
        <f t="shared" si="620"/>
        <v>#N/A</v>
      </c>
      <c r="AR1145" s="2" t="e">
        <f t="shared" si="621"/>
        <v>#N/A</v>
      </c>
      <c r="AS1145" s="2" t="e">
        <f t="shared" si="622"/>
        <v>#DIV/0!</v>
      </c>
      <c r="AT1145" s="9" t="e">
        <f t="shared" ca="1" si="623"/>
        <v>#N/A</v>
      </c>
      <c r="AU1145" s="9" t="e">
        <f t="shared" ca="1" si="624"/>
        <v>#N/A</v>
      </c>
      <c r="AW1145" s="2" t="e">
        <f t="shared" si="609"/>
        <v>#N/A</v>
      </c>
      <c r="AX1145" s="2" t="e">
        <f t="shared" si="610"/>
        <v>#N/A</v>
      </c>
      <c r="AY1145" s="2" t="e">
        <f t="shared" si="611"/>
        <v>#N/A</v>
      </c>
      <c r="AZ1145" s="2" t="e">
        <f t="shared" si="612"/>
        <v>#N/A</v>
      </c>
      <c r="BA1145" s="2" t="e">
        <f t="shared" si="613"/>
        <v>#N/A</v>
      </c>
      <c r="BB1145" s="2" t="e">
        <f t="shared" si="614"/>
        <v>#DIV/0!</v>
      </c>
      <c r="BC1145" s="9" t="e">
        <f t="shared" ca="1" si="615"/>
        <v>#N/A</v>
      </c>
      <c r="BD1145" s="9" t="e">
        <f t="shared" ca="1" si="616"/>
        <v>#N/A</v>
      </c>
    </row>
    <row r="1146" spans="1:56" ht="15" x14ac:dyDescent="0.25">
      <c r="A1146" s="63"/>
      <c r="B1146" s="63"/>
      <c r="C1146" s="64"/>
      <c r="D1146" s="64"/>
      <c r="E1146" s="64"/>
      <c r="F1146" s="64"/>
      <c r="G1146" s="64"/>
      <c r="H1146" s="64"/>
      <c r="I1146" s="64"/>
      <c r="J1146" s="64"/>
      <c r="K1146" s="64"/>
      <c r="L1146" s="64"/>
      <c r="M1146" s="64"/>
      <c r="N1146" s="16"/>
      <c r="O1146" s="11"/>
      <c r="P1146" s="11"/>
      <c r="Q1146" s="11"/>
      <c r="R1146" s="11"/>
      <c r="S1146" s="11"/>
      <c r="T1146" s="11"/>
      <c r="U1146" s="11">
        <f t="shared" si="625"/>
        <v>0</v>
      </c>
      <c r="V1146" s="2">
        <f t="shared" si="626"/>
        <v>0</v>
      </c>
      <c r="W1146" s="11">
        <f t="shared" si="595"/>
        <v>0</v>
      </c>
      <c r="X1146" s="2">
        <f t="shared" si="596"/>
        <v>0</v>
      </c>
      <c r="Y1146" s="2">
        <f t="shared" si="597"/>
        <v>0</v>
      </c>
      <c r="Z1146" s="11">
        <f t="shared" si="598"/>
        <v>0</v>
      </c>
      <c r="AA1146" s="2">
        <f t="shared" si="599"/>
        <v>0</v>
      </c>
      <c r="AB1146" s="11">
        <f t="shared" si="600"/>
        <v>0</v>
      </c>
      <c r="AC1146" s="2">
        <f t="shared" si="601"/>
        <v>0</v>
      </c>
      <c r="AF1146" s="11">
        <f t="shared" si="602"/>
        <v>0</v>
      </c>
      <c r="AG1146" s="2">
        <f t="shared" si="603"/>
        <v>0</v>
      </c>
      <c r="AH1146" s="2">
        <f t="shared" si="604"/>
        <v>0</v>
      </c>
      <c r="AI1146" s="2">
        <f t="shared" si="605"/>
        <v>0</v>
      </c>
      <c r="AJ1146" s="2">
        <f t="shared" si="606"/>
        <v>0</v>
      </c>
      <c r="AK1146" s="2">
        <f t="shared" si="607"/>
        <v>0</v>
      </c>
      <c r="AL1146" s="2">
        <f t="shared" si="608"/>
        <v>0</v>
      </c>
      <c r="AM1146" s="11"/>
      <c r="AN1146" s="2" t="e">
        <f t="shared" si="617"/>
        <v>#N/A</v>
      </c>
      <c r="AO1146" s="2" t="e">
        <f t="shared" si="618"/>
        <v>#N/A</v>
      </c>
      <c r="AP1146" s="2" t="e">
        <f t="shared" si="619"/>
        <v>#N/A</v>
      </c>
      <c r="AQ1146" s="2" t="e">
        <f t="shared" si="620"/>
        <v>#N/A</v>
      </c>
      <c r="AR1146" s="2" t="e">
        <f t="shared" si="621"/>
        <v>#N/A</v>
      </c>
      <c r="AS1146" s="2" t="e">
        <f t="shared" si="622"/>
        <v>#DIV/0!</v>
      </c>
      <c r="AT1146" s="9" t="e">
        <f t="shared" ca="1" si="623"/>
        <v>#N/A</v>
      </c>
      <c r="AU1146" s="9" t="e">
        <f t="shared" ca="1" si="624"/>
        <v>#N/A</v>
      </c>
      <c r="AW1146" s="2" t="e">
        <f t="shared" si="609"/>
        <v>#N/A</v>
      </c>
      <c r="AX1146" s="2" t="e">
        <f t="shared" si="610"/>
        <v>#N/A</v>
      </c>
      <c r="AY1146" s="2" t="e">
        <f t="shared" si="611"/>
        <v>#N/A</v>
      </c>
      <c r="AZ1146" s="2" t="e">
        <f t="shared" si="612"/>
        <v>#N/A</v>
      </c>
      <c r="BA1146" s="2" t="e">
        <f t="shared" si="613"/>
        <v>#N/A</v>
      </c>
      <c r="BB1146" s="2" t="e">
        <f t="shared" si="614"/>
        <v>#DIV/0!</v>
      </c>
      <c r="BC1146" s="9" t="e">
        <f t="shared" ca="1" si="615"/>
        <v>#N/A</v>
      </c>
      <c r="BD1146" s="9" t="e">
        <f t="shared" ca="1" si="616"/>
        <v>#N/A</v>
      </c>
    </row>
    <row r="1147" spans="1:56" ht="15" x14ac:dyDescent="0.25">
      <c r="A1147" s="63"/>
      <c r="B1147" s="63"/>
      <c r="C1147" s="64"/>
      <c r="D1147" s="64"/>
      <c r="E1147" s="64"/>
      <c r="F1147" s="64"/>
      <c r="G1147" s="64"/>
      <c r="H1147" s="64"/>
      <c r="I1147" s="64"/>
      <c r="J1147" s="64"/>
      <c r="K1147" s="64"/>
      <c r="L1147" s="64"/>
      <c r="M1147" s="64"/>
      <c r="N1147" s="16"/>
      <c r="O1147" s="11"/>
      <c r="P1147" s="11"/>
      <c r="Q1147" s="11"/>
      <c r="R1147" s="11"/>
      <c r="S1147" s="11"/>
      <c r="T1147" s="11"/>
      <c r="U1147" s="11">
        <f t="shared" si="625"/>
        <v>0</v>
      </c>
      <c r="V1147" s="2">
        <f t="shared" si="626"/>
        <v>0</v>
      </c>
      <c r="W1147" s="11">
        <f t="shared" si="595"/>
        <v>0</v>
      </c>
      <c r="X1147" s="2">
        <f t="shared" si="596"/>
        <v>0</v>
      </c>
      <c r="Y1147" s="2">
        <f t="shared" si="597"/>
        <v>0</v>
      </c>
      <c r="Z1147" s="11">
        <f t="shared" si="598"/>
        <v>0</v>
      </c>
      <c r="AA1147" s="2">
        <f t="shared" si="599"/>
        <v>0</v>
      </c>
      <c r="AB1147" s="11">
        <f t="shared" si="600"/>
        <v>0</v>
      </c>
      <c r="AC1147" s="2">
        <f t="shared" si="601"/>
        <v>0</v>
      </c>
      <c r="AF1147" s="11">
        <f t="shared" si="602"/>
        <v>0</v>
      </c>
      <c r="AG1147" s="2">
        <f t="shared" si="603"/>
        <v>0</v>
      </c>
      <c r="AH1147" s="2">
        <f t="shared" si="604"/>
        <v>0</v>
      </c>
      <c r="AI1147" s="2">
        <f t="shared" si="605"/>
        <v>0</v>
      </c>
      <c r="AJ1147" s="2">
        <f t="shared" si="606"/>
        <v>0</v>
      </c>
      <c r="AK1147" s="2">
        <f t="shared" si="607"/>
        <v>0</v>
      </c>
      <c r="AL1147" s="2">
        <f t="shared" si="608"/>
        <v>0</v>
      </c>
      <c r="AM1147" s="11"/>
      <c r="AN1147" s="2" t="e">
        <f t="shared" si="617"/>
        <v>#N/A</v>
      </c>
      <c r="AO1147" s="2" t="e">
        <f t="shared" si="618"/>
        <v>#N/A</v>
      </c>
      <c r="AP1147" s="2" t="e">
        <f t="shared" si="619"/>
        <v>#N/A</v>
      </c>
      <c r="AQ1147" s="2" t="e">
        <f t="shared" si="620"/>
        <v>#N/A</v>
      </c>
      <c r="AR1147" s="2" t="e">
        <f t="shared" si="621"/>
        <v>#N/A</v>
      </c>
      <c r="AS1147" s="2" t="e">
        <f t="shared" si="622"/>
        <v>#DIV/0!</v>
      </c>
      <c r="AT1147" s="9" t="e">
        <f t="shared" ca="1" si="623"/>
        <v>#N/A</v>
      </c>
      <c r="AU1147" s="9" t="e">
        <f t="shared" ca="1" si="624"/>
        <v>#N/A</v>
      </c>
      <c r="AW1147" s="2" t="e">
        <f t="shared" si="609"/>
        <v>#N/A</v>
      </c>
      <c r="AX1147" s="2" t="e">
        <f t="shared" si="610"/>
        <v>#N/A</v>
      </c>
      <c r="AY1147" s="2" t="e">
        <f t="shared" si="611"/>
        <v>#N/A</v>
      </c>
      <c r="AZ1147" s="2" t="e">
        <f t="shared" si="612"/>
        <v>#N/A</v>
      </c>
      <c r="BA1147" s="2" t="e">
        <f t="shared" si="613"/>
        <v>#N/A</v>
      </c>
      <c r="BB1147" s="2" t="e">
        <f t="shared" si="614"/>
        <v>#DIV/0!</v>
      </c>
      <c r="BC1147" s="9" t="e">
        <f t="shared" ca="1" si="615"/>
        <v>#N/A</v>
      </c>
      <c r="BD1147" s="9" t="e">
        <f t="shared" ca="1" si="616"/>
        <v>#N/A</v>
      </c>
    </row>
    <row r="1148" spans="1:56" ht="15" x14ac:dyDescent="0.25">
      <c r="A1148" s="63"/>
      <c r="B1148" s="63"/>
      <c r="C1148" s="64"/>
      <c r="D1148" s="64"/>
      <c r="E1148" s="64"/>
      <c r="F1148" s="64"/>
      <c r="G1148" s="64"/>
      <c r="H1148" s="64"/>
      <c r="I1148" s="64"/>
      <c r="J1148" s="64"/>
      <c r="K1148" s="64"/>
      <c r="L1148" s="64"/>
      <c r="M1148" s="64"/>
      <c r="N1148" s="16"/>
      <c r="O1148" s="11"/>
      <c r="P1148" s="11"/>
      <c r="Q1148" s="11"/>
      <c r="R1148" s="11"/>
      <c r="S1148" s="11"/>
      <c r="T1148" s="11"/>
      <c r="U1148" s="11">
        <f t="shared" si="625"/>
        <v>0</v>
      </c>
      <c r="V1148" s="2">
        <f t="shared" si="626"/>
        <v>0</v>
      </c>
      <c r="W1148" s="11">
        <f t="shared" si="595"/>
        <v>0</v>
      </c>
      <c r="X1148" s="2">
        <f t="shared" si="596"/>
        <v>0</v>
      </c>
      <c r="Y1148" s="2">
        <f t="shared" si="597"/>
        <v>0</v>
      </c>
      <c r="Z1148" s="11">
        <f t="shared" si="598"/>
        <v>0</v>
      </c>
      <c r="AA1148" s="2">
        <f t="shared" si="599"/>
        <v>0</v>
      </c>
      <c r="AB1148" s="11">
        <f t="shared" si="600"/>
        <v>0</v>
      </c>
      <c r="AC1148" s="2">
        <f t="shared" si="601"/>
        <v>0</v>
      </c>
      <c r="AF1148" s="11">
        <f t="shared" si="602"/>
        <v>0</v>
      </c>
      <c r="AG1148" s="2">
        <f t="shared" si="603"/>
        <v>0</v>
      </c>
      <c r="AH1148" s="2">
        <f t="shared" si="604"/>
        <v>0</v>
      </c>
      <c r="AI1148" s="2">
        <f t="shared" si="605"/>
        <v>0</v>
      </c>
      <c r="AJ1148" s="2">
        <f t="shared" si="606"/>
        <v>0</v>
      </c>
      <c r="AK1148" s="2">
        <f t="shared" si="607"/>
        <v>0</v>
      </c>
      <c r="AL1148" s="2">
        <f t="shared" si="608"/>
        <v>0</v>
      </c>
      <c r="AM1148" s="11"/>
      <c r="AN1148" s="2" t="e">
        <f t="shared" si="617"/>
        <v>#N/A</v>
      </c>
      <c r="AO1148" s="2" t="e">
        <f t="shared" si="618"/>
        <v>#N/A</v>
      </c>
      <c r="AP1148" s="2" t="e">
        <f t="shared" si="619"/>
        <v>#N/A</v>
      </c>
      <c r="AQ1148" s="2" t="e">
        <f t="shared" si="620"/>
        <v>#N/A</v>
      </c>
      <c r="AR1148" s="2" t="e">
        <f t="shared" si="621"/>
        <v>#N/A</v>
      </c>
      <c r="AS1148" s="2" t="e">
        <f t="shared" si="622"/>
        <v>#DIV/0!</v>
      </c>
      <c r="AT1148" s="9" t="e">
        <f t="shared" ca="1" si="623"/>
        <v>#N/A</v>
      </c>
      <c r="AU1148" s="9" t="e">
        <f t="shared" ca="1" si="624"/>
        <v>#N/A</v>
      </c>
      <c r="AW1148" s="2" t="e">
        <f t="shared" si="609"/>
        <v>#N/A</v>
      </c>
      <c r="AX1148" s="2" t="e">
        <f t="shared" si="610"/>
        <v>#N/A</v>
      </c>
      <c r="AY1148" s="2" t="e">
        <f t="shared" si="611"/>
        <v>#N/A</v>
      </c>
      <c r="AZ1148" s="2" t="e">
        <f t="shared" si="612"/>
        <v>#N/A</v>
      </c>
      <c r="BA1148" s="2" t="e">
        <f t="shared" si="613"/>
        <v>#N/A</v>
      </c>
      <c r="BB1148" s="2" t="e">
        <f t="shared" si="614"/>
        <v>#DIV/0!</v>
      </c>
      <c r="BC1148" s="9" t="e">
        <f t="shared" ca="1" si="615"/>
        <v>#N/A</v>
      </c>
      <c r="BD1148" s="9" t="e">
        <f t="shared" ca="1" si="616"/>
        <v>#N/A</v>
      </c>
    </row>
    <row r="1149" spans="1:56" ht="15" x14ac:dyDescent="0.25">
      <c r="A1149" s="63"/>
      <c r="B1149" s="63"/>
      <c r="C1149" s="64"/>
      <c r="D1149" s="64"/>
      <c r="E1149" s="64"/>
      <c r="F1149" s="64"/>
      <c r="G1149" s="64"/>
      <c r="H1149" s="64"/>
      <c r="I1149" s="64"/>
      <c r="J1149" s="64"/>
      <c r="K1149" s="64"/>
      <c r="L1149" s="64"/>
      <c r="M1149" s="64"/>
      <c r="N1149" s="16"/>
      <c r="O1149" s="11"/>
      <c r="P1149" s="11"/>
      <c r="Q1149" s="11"/>
      <c r="R1149" s="11"/>
      <c r="S1149" s="11"/>
      <c r="T1149" s="11"/>
      <c r="U1149" s="11">
        <f t="shared" si="625"/>
        <v>0</v>
      </c>
      <c r="V1149" s="2">
        <f t="shared" si="626"/>
        <v>0</v>
      </c>
      <c r="W1149" s="11">
        <f t="shared" si="595"/>
        <v>0</v>
      </c>
      <c r="X1149" s="2">
        <f t="shared" si="596"/>
        <v>0</v>
      </c>
      <c r="Y1149" s="2">
        <f t="shared" si="597"/>
        <v>0</v>
      </c>
      <c r="Z1149" s="11">
        <f t="shared" si="598"/>
        <v>0</v>
      </c>
      <c r="AA1149" s="2">
        <f t="shared" si="599"/>
        <v>0</v>
      </c>
      <c r="AB1149" s="11">
        <f t="shared" si="600"/>
        <v>0</v>
      </c>
      <c r="AC1149" s="2">
        <f t="shared" si="601"/>
        <v>0</v>
      </c>
      <c r="AF1149" s="11">
        <f t="shared" si="602"/>
        <v>0</v>
      </c>
      <c r="AG1149" s="2">
        <f t="shared" si="603"/>
        <v>0</v>
      </c>
      <c r="AH1149" s="2">
        <f t="shared" si="604"/>
        <v>0</v>
      </c>
      <c r="AI1149" s="2">
        <f t="shared" si="605"/>
        <v>0</v>
      </c>
      <c r="AJ1149" s="2">
        <f t="shared" si="606"/>
        <v>0</v>
      </c>
      <c r="AK1149" s="2">
        <f t="shared" si="607"/>
        <v>0</v>
      </c>
      <c r="AL1149" s="2">
        <f t="shared" si="608"/>
        <v>0</v>
      </c>
      <c r="AM1149" s="11"/>
      <c r="AN1149" s="2" t="e">
        <f t="shared" si="617"/>
        <v>#N/A</v>
      </c>
      <c r="AO1149" s="2" t="e">
        <f t="shared" si="618"/>
        <v>#N/A</v>
      </c>
      <c r="AP1149" s="2" t="e">
        <f t="shared" si="619"/>
        <v>#N/A</v>
      </c>
      <c r="AQ1149" s="2" t="e">
        <f t="shared" si="620"/>
        <v>#N/A</v>
      </c>
      <c r="AR1149" s="2" t="e">
        <f t="shared" si="621"/>
        <v>#N/A</v>
      </c>
      <c r="AS1149" s="2" t="e">
        <f t="shared" si="622"/>
        <v>#DIV/0!</v>
      </c>
      <c r="AT1149" s="9" t="e">
        <f t="shared" ca="1" si="623"/>
        <v>#N/A</v>
      </c>
      <c r="AU1149" s="9" t="e">
        <f t="shared" ca="1" si="624"/>
        <v>#N/A</v>
      </c>
      <c r="AW1149" s="2" t="e">
        <f t="shared" si="609"/>
        <v>#N/A</v>
      </c>
      <c r="AX1149" s="2" t="e">
        <f t="shared" si="610"/>
        <v>#N/A</v>
      </c>
      <c r="AY1149" s="2" t="e">
        <f t="shared" si="611"/>
        <v>#N/A</v>
      </c>
      <c r="AZ1149" s="2" t="e">
        <f t="shared" si="612"/>
        <v>#N/A</v>
      </c>
      <c r="BA1149" s="2" t="e">
        <f t="shared" si="613"/>
        <v>#N/A</v>
      </c>
      <c r="BB1149" s="2" t="e">
        <f t="shared" si="614"/>
        <v>#DIV/0!</v>
      </c>
      <c r="BC1149" s="9" t="e">
        <f t="shared" ca="1" si="615"/>
        <v>#N/A</v>
      </c>
      <c r="BD1149" s="9" t="e">
        <f t="shared" ca="1" si="616"/>
        <v>#N/A</v>
      </c>
    </row>
    <row r="1150" spans="1:56" ht="15" x14ac:dyDescent="0.25">
      <c r="A1150" s="63"/>
      <c r="B1150" s="63"/>
      <c r="C1150" s="64"/>
      <c r="D1150" s="64"/>
      <c r="E1150" s="64"/>
      <c r="F1150" s="64"/>
      <c r="G1150" s="64"/>
      <c r="H1150" s="64"/>
      <c r="I1150" s="64"/>
      <c r="J1150" s="64"/>
      <c r="K1150" s="64"/>
      <c r="L1150" s="64"/>
      <c r="M1150" s="64"/>
      <c r="N1150" s="16"/>
      <c r="O1150" s="11"/>
      <c r="P1150" s="11"/>
      <c r="Q1150" s="11"/>
      <c r="R1150" s="11"/>
      <c r="S1150" s="11"/>
      <c r="T1150" s="11"/>
      <c r="U1150" s="11">
        <f t="shared" si="625"/>
        <v>0</v>
      </c>
      <c r="V1150" s="2">
        <f t="shared" si="626"/>
        <v>0</v>
      </c>
      <c r="W1150" s="11">
        <f t="shared" si="595"/>
        <v>0</v>
      </c>
      <c r="X1150" s="2">
        <f t="shared" si="596"/>
        <v>0</v>
      </c>
      <c r="Y1150" s="2">
        <f t="shared" si="597"/>
        <v>0</v>
      </c>
      <c r="Z1150" s="11">
        <f t="shared" si="598"/>
        <v>0</v>
      </c>
      <c r="AA1150" s="2">
        <f t="shared" si="599"/>
        <v>0</v>
      </c>
      <c r="AB1150" s="11">
        <f t="shared" si="600"/>
        <v>0</v>
      </c>
      <c r="AC1150" s="2">
        <f t="shared" si="601"/>
        <v>0</v>
      </c>
      <c r="AF1150" s="11">
        <f t="shared" si="602"/>
        <v>0</v>
      </c>
      <c r="AG1150" s="2">
        <f t="shared" si="603"/>
        <v>0</v>
      </c>
      <c r="AH1150" s="2">
        <f t="shared" si="604"/>
        <v>0</v>
      </c>
      <c r="AI1150" s="2">
        <f t="shared" si="605"/>
        <v>0</v>
      </c>
      <c r="AJ1150" s="2">
        <f t="shared" si="606"/>
        <v>0</v>
      </c>
      <c r="AK1150" s="2">
        <f t="shared" si="607"/>
        <v>0</v>
      </c>
      <c r="AL1150" s="2">
        <f t="shared" si="608"/>
        <v>0</v>
      </c>
      <c r="AM1150" s="11"/>
      <c r="AN1150" s="2" t="e">
        <f t="shared" si="617"/>
        <v>#N/A</v>
      </c>
      <c r="AO1150" s="2" t="e">
        <f t="shared" si="618"/>
        <v>#N/A</v>
      </c>
      <c r="AP1150" s="2" t="e">
        <f t="shared" si="619"/>
        <v>#N/A</v>
      </c>
      <c r="AQ1150" s="2" t="e">
        <f t="shared" si="620"/>
        <v>#N/A</v>
      </c>
      <c r="AR1150" s="2" t="e">
        <f t="shared" si="621"/>
        <v>#N/A</v>
      </c>
      <c r="AS1150" s="2" t="e">
        <f t="shared" si="622"/>
        <v>#DIV/0!</v>
      </c>
      <c r="AT1150" s="9" t="e">
        <f t="shared" ca="1" si="623"/>
        <v>#N/A</v>
      </c>
      <c r="AU1150" s="9" t="e">
        <f t="shared" ca="1" si="624"/>
        <v>#N/A</v>
      </c>
      <c r="AW1150" s="2" t="e">
        <f t="shared" si="609"/>
        <v>#N/A</v>
      </c>
      <c r="AX1150" s="2" t="e">
        <f t="shared" si="610"/>
        <v>#N/A</v>
      </c>
      <c r="AY1150" s="2" t="e">
        <f t="shared" si="611"/>
        <v>#N/A</v>
      </c>
      <c r="AZ1150" s="2" t="e">
        <f t="shared" si="612"/>
        <v>#N/A</v>
      </c>
      <c r="BA1150" s="2" t="e">
        <f t="shared" si="613"/>
        <v>#N/A</v>
      </c>
      <c r="BB1150" s="2" t="e">
        <f t="shared" si="614"/>
        <v>#DIV/0!</v>
      </c>
      <c r="BC1150" s="9" t="e">
        <f t="shared" ca="1" si="615"/>
        <v>#N/A</v>
      </c>
      <c r="BD1150" s="9" t="e">
        <f t="shared" ca="1" si="616"/>
        <v>#N/A</v>
      </c>
    </row>
    <row r="1151" spans="1:56" ht="15" x14ac:dyDescent="0.25">
      <c r="A1151" s="63"/>
      <c r="B1151" s="63"/>
      <c r="C1151" s="64"/>
      <c r="D1151" s="64"/>
      <c r="E1151" s="64"/>
      <c r="F1151" s="64"/>
      <c r="G1151" s="64"/>
      <c r="H1151" s="64"/>
      <c r="I1151" s="64"/>
      <c r="J1151" s="64"/>
      <c r="K1151" s="64"/>
      <c r="L1151" s="64"/>
      <c r="M1151" s="64"/>
      <c r="N1151" s="16"/>
      <c r="O1151" s="11"/>
      <c r="P1151" s="11"/>
      <c r="Q1151" s="11"/>
      <c r="R1151" s="11"/>
      <c r="S1151" s="11"/>
      <c r="T1151" s="11"/>
      <c r="U1151" s="11">
        <f t="shared" si="625"/>
        <v>0</v>
      </c>
      <c r="V1151" s="2">
        <f t="shared" si="626"/>
        <v>0</v>
      </c>
      <c r="W1151" s="11">
        <f t="shared" si="595"/>
        <v>0</v>
      </c>
      <c r="X1151" s="2">
        <f t="shared" si="596"/>
        <v>0</v>
      </c>
      <c r="Y1151" s="2">
        <f t="shared" si="597"/>
        <v>0</v>
      </c>
      <c r="Z1151" s="11">
        <f t="shared" si="598"/>
        <v>0</v>
      </c>
      <c r="AA1151" s="2">
        <f t="shared" si="599"/>
        <v>0</v>
      </c>
      <c r="AB1151" s="11">
        <f t="shared" si="600"/>
        <v>0</v>
      </c>
      <c r="AC1151" s="2">
        <f t="shared" si="601"/>
        <v>0</v>
      </c>
      <c r="AF1151" s="11">
        <f t="shared" si="602"/>
        <v>0</v>
      </c>
      <c r="AG1151" s="2">
        <f t="shared" si="603"/>
        <v>0</v>
      </c>
      <c r="AH1151" s="2">
        <f t="shared" si="604"/>
        <v>0</v>
      </c>
      <c r="AI1151" s="2">
        <f t="shared" si="605"/>
        <v>0</v>
      </c>
      <c r="AJ1151" s="2">
        <f t="shared" si="606"/>
        <v>0</v>
      </c>
      <c r="AK1151" s="2">
        <f t="shared" si="607"/>
        <v>0</v>
      </c>
      <c r="AL1151" s="2">
        <f t="shared" si="608"/>
        <v>0</v>
      </c>
      <c r="AM1151" s="11"/>
      <c r="AN1151" s="2" t="e">
        <f t="shared" si="617"/>
        <v>#N/A</v>
      </c>
      <c r="AO1151" s="2" t="e">
        <f t="shared" si="618"/>
        <v>#N/A</v>
      </c>
      <c r="AP1151" s="2" t="e">
        <f t="shared" si="619"/>
        <v>#N/A</v>
      </c>
      <c r="AQ1151" s="2" t="e">
        <f t="shared" si="620"/>
        <v>#N/A</v>
      </c>
      <c r="AR1151" s="2" t="e">
        <f t="shared" si="621"/>
        <v>#N/A</v>
      </c>
      <c r="AS1151" s="2" t="e">
        <f t="shared" si="622"/>
        <v>#DIV/0!</v>
      </c>
      <c r="AT1151" s="9" t="e">
        <f t="shared" ca="1" si="623"/>
        <v>#N/A</v>
      </c>
      <c r="AU1151" s="9" t="e">
        <f t="shared" ca="1" si="624"/>
        <v>#N/A</v>
      </c>
      <c r="AW1151" s="2" t="e">
        <f t="shared" si="609"/>
        <v>#N/A</v>
      </c>
      <c r="AX1151" s="2" t="e">
        <f t="shared" si="610"/>
        <v>#N/A</v>
      </c>
      <c r="AY1151" s="2" t="e">
        <f t="shared" si="611"/>
        <v>#N/A</v>
      </c>
      <c r="AZ1151" s="2" t="e">
        <f t="shared" si="612"/>
        <v>#N/A</v>
      </c>
      <c r="BA1151" s="2" t="e">
        <f t="shared" si="613"/>
        <v>#N/A</v>
      </c>
      <c r="BB1151" s="2" t="e">
        <f t="shared" si="614"/>
        <v>#DIV/0!</v>
      </c>
      <c r="BC1151" s="9" t="e">
        <f t="shared" ca="1" si="615"/>
        <v>#N/A</v>
      </c>
      <c r="BD1151" s="9" t="e">
        <f t="shared" ca="1" si="616"/>
        <v>#N/A</v>
      </c>
    </row>
    <row r="1152" spans="1:56" ht="15" x14ac:dyDescent="0.25">
      <c r="A1152" s="63"/>
      <c r="B1152" s="63"/>
      <c r="C1152" s="64"/>
      <c r="D1152" s="64"/>
      <c r="E1152" s="64"/>
      <c r="F1152" s="64"/>
      <c r="G1152" s="64"/>
      <c r="H1152" s="64"/>
      <c r="I1152" s="64"/>
      <c r="J1152" s="64"/>
      <c r="K1152" s="64"/>
      <c r="L1152" s="64"/>
      <c r="M1152" s="64"/>
      <c r="N1152" s="16"/>
      <c r="O1152" s="11"/>
      <c r="P1152" s="11"/>
      <c r="Q1152" s="11"/>
      <c r="R1152" s="11"/>
      <c r="S1152" s="11"/>
      <c r="T1152" s="11"/>
      <c r="U1152" s="11">
        <f t="shared" si="625"/>
        <v>0</v>
      </c>
      <c r="V1152" s="2">
        <f t="shared" si="626"/>
        <v>0</v>
      </c>
      <c r="W1152" s="11">
        <f t="shared" si="595"/>
        <v>0</v>
      </c>
      <c r="X1152" s="2">
        <f t="shared" si="596"/>
        <v>0</v>
      </c>
      <c r="Y1152" s="2">
        <f t="shared" si="597"/>
        <v>0</v>
      </c>
      <c r="Z1152" s="11">
        <f t="shared" si="598"/>
        <v>0</v>
      </c>
      <c r="AA1152" s="2">
        <f t="shared" si="599"/>
        <v>0</v>
      </c>
      <c r="AB1152" s="11">
        <f t="shared" si="600"/>
        <v>0</v>
      </c>
      <c r="AC1152" s="2">
        <f t="shared" si="601"/>
        <v>0</v>
      </c>
      <c r="AF1152" s="11">
        <f t="shared" si="602"/>
        <v>0</v>
      </c>
      <c r="AG1152" s="2">
        <f t="shared" si="603"/>
        <v>0</v>
      </c>
      <c r="AH1152" s="2">
        <f t="shared" si="604"/>
        <v>0</v>
      </c>
      <c r="AI1152" s="2">
        <f t="shared" si="605"/>
        <v>0</v>
      </c>
      <c r="AJ1152" s="2">
        <f t="shared" si="606"/>
        <v>0</v>
      </c>
      <c r="AK1152" s="2">
        <f t="shared" si="607"/>
        <v>0</v>
      </c>
      <c r="AL1152" s="2">
        <f t="shared" si="608"/>
        <v>0</v>
      </c>
      <c r="AM1152" s="11"/>
      <c r="AN1152" s="2" t="e">
        <f t="shared" si="617"/>
        <v>#N/A</v>
      </c>
      <c r="AO1152" s="2" t="e">
        <f t="shared" si="618"/>
        <v>#N/A</v>
      </c>
      <c r="AP1152" s="2" t="e">
        <f t="shared" si="619"/>
        <v>#N/A</v>
      </c>
      <c r="AQ1152" s="2" t="e">
        <f t="shared" si="620"/>
        <v>#N/A</v>
      </c>
      <c r="AR1152" s="2" t="e">
        <f t="shared" si="621"/>
        <v>#N/A</v>
      </c>
      <c r="AS1152" s="2" t="e">
        <f t="shared" si="622"/>
        <v>#DIV/0!</v>
      </c>
      <c r="AT1152" s="9" t="e">
        <f t="shared" ca="1" si="623"/>
        <v>#N/A</v>
      </c>
      <c r="AU1152" s="9" t="e">
        <f t="shared" ca="1" si="624"/>
        <v>#N/A</v>
      </c>
      <c r="AW1152" s="2" t="e">
        <f t="shared" si="609"/>
        <v>#N/A</v>
      </c>
      <c r="AX1152" s="2" t="e">
        <f t="shared" si="610"/>
        <v>#N/A</v>
      </c>
      <c r="AY1152" s="2" t="e">
        <f t="shared" si="611"/>
        <v>#N/A</v>
      </c>
      <c r="AZ1152" s="2" t="e">
        <f t="shared" si="612"/>
        <v>#N/A</v>
      </c>
      <c r="BA1152" s="2" t="e">
        <f t="shared" si="613"/>
        <v>#N/A</v>
      </c>
      <c r="BB1152" s="2" t="e">
        <f t="shared" si="614"/>
        <v>#DIV/0!</v>
      </c>
      <c r="BC1152" s="9" t="e">
        <f t="shared" ca="1" si="615"/>
        <v>#N/A</v>
      </c>
      <c r="BD1152" s="9" t="e">
        <f t="shared" ca="1" si="616"/>
        <v>#N/A</v>
      </c>
    </row>
    <row r="1153" spans="1:56" ht="15" x14ac:dyDescent="0.25">
      <c r="A1153" s="63"/>
      <c r="B1153" s="63"/>
      <c r="C1153" s="64"/>
      <c r="D1153" s="64"/>
      <c r="E1153" s="64"/>
      <c r="F1153" s="64"/>
      <c r="G1153" s="64"/>
      <c r="H1153" s="64"/>
      <c r="I1153" s="64"/>
      <c r="J1153" s="64"/>
      <c r="K1153" s="64"/>
      <c r="L1153" s="64"/>
      <c r="M1153" s="64"/>
      <c r="N1153" s="16"/>
      <c r="O1153" s="11"/>
      <c r="P1153" s="11"/>
      <c r="Q1153" s="11"/>
      <c r="R1153" s="11"/>
      <c r="S1153" s="11"/>
      <c r="T1153" s="11"/>
      <c r="U1153" s="11">
        <f t="shared" si="625"/>
        <v>0</v>
      </c>
      <c r="V1153" s="2">
        <f t="shared" si="626"/>
        <v>0</v>
      </c>
      <c r="W1153" s="11">
        <f t="shared" si="595"/>
        <v>0</v>
      </c>
      <c r="X1153" s="2">
        <f t="shared" si="596"/>
        <v>0</v>
      </c>
      <c r="Y1153" s="2">
        <f t="shared" si="597"/>
        <v>0</v>
      </c>
      <c r="Z1153" s="11">
        <f t="shared" si="598"/>
        <v>0</v>
      </c>
      <c r="AA1153" s="2">
        <f t="shared" si="599"/>
        <v>0</v>
      </c>
      <c r="AB1153" s="11">
        <f t="shared" si="600"/>
        <v>0</v>
      </c>
      <c r="AC1153" s="2">
        <f t="shared" si="601"/>
        <v>0</v>
      </c>
      <c r="AF1153" s="11">
        <f t="shared" si="602"/>
        <v>0</v>
      </c>
      <c r="AG1153" s="2">
        <f t="shared" si="603"/>
        <v>0</v>
      </c>
      <c r="AH1153" s="2">
        <f t="shared" si="604"/>
        <v>0</v>
      </c>
      <c r="AI1153" s="2">
        <f t="shared" si="605"/>
        <v>0</v>
      </c>
      <c r="AJ1153" s="2">
        <f t="shared" si="606"/>
        <v>0</v>
      </c>
      <c r="AK1153" s="2">
        <f t="shared" si="607"/>
        <v>0</v>
      </c>
      <c r="AL1153" s="2">
        <f t="shared" si="608"/>
        <v>0</v>
      </c>
      <c r="AM1153" s="11"/>
      <c r="AN1153" s="2" t="e">
        <f t="shared" si="617"/>
        <v>#N/A</v>
      </c>
      <c r="AO1153" s="2" t="e">
        <f t="shared" si="618"/>
        <v>#N/A</v>
      </c>
      <c r="AP1153" s="2" t="e">
        <f t="shared" si="619"/>
        <v>#N/A</v>
      </c>
      <c r="AQ1153" s="2" t="e">
        <f t="shared" si="620"/>
        <v>#N/A</v>
      </c>
      <c r="AR1153" s="2" t="e">
        <f t="shared" si="621"/>
        <v>#N/A</v>
      </c>
      <c r="AS1153" s="2" t="e">
        <f t="shared" si="622"/>
        <v>#DIV/0!</v>
      </c>
      <c r="AT1153" s="9" t="e">
        <f t="shared" ca="1" si="623"/>
        <v>#N/A</v>
      </c>
      <c r="AU1153" s="9" t="e">
        <f t="shared" ca="1" si="624"/>
        <v>#N/A</v>
      </c>
      <c r="AW1153" s="2" t="e">
        <f t="shared" si="609"/>
        <v>#N/A</v>
      </c>
      <c r="AX1153" s="2" t="e">
        <f t="shared" si="610"/>
        <v>#N/A</v>
      </c>
      <c r="AY1153" s="2" t="e">
        <f t="shared" si="611"/>
        <v>#N/A</v>
      </c>
      <c r="AZ1153" s="2" t="e">
        <f t="shared" si="612"/>
        <v>#N/A</v>
      </c>
      <c r="BA1153" s="2" t="e">
        <f t="shared" si="613"/>
        <v>#N/A</v>
      </c>
      <c r="BB1153" s="2" t="e">
        <f t="shared" si="614"/>
        <v>#DIV/0!</v>
      </c>
      <c r="BC1153" s="9" t="e">
        <f t="shared" ca="1" si="615"/>
        <v>#N/A</v>
      </c>
      <c r="BD1153" s="9" t="e">
        <f t="shared" ca="1" si="616"/>
        <v>#N/A</v>
      </c>
    </row>
    <row r="1154" spans="1:56" ht="15" x14ac:dyDescent="0.25">
      <c r="A1154" s="63"/>
      <c r="B1154" s="63"/>
      <c r="C1154" s="64"/>
      <c r="D1154" s="64"/>
      <c r="E1154" s="64"/>
      <c r="F1154" s="64"/>
      <c r="G1154" s="64"/>
      <c r="H1154" s="64"/>
      <c r="I1154" s="64"/>
      <c r="J1154" s="64"/>
      <c r="K1154" s="64"/>
      <c r="L1154" s="64"/>
      <c r="M1154" s="64"/>
      <c r="N1154" s="16"/>
      <c r="O1154" s="11"/>
      <c r="P1154" s="11"/>
      <c r="Q1154" s="11"/>
      <c r="R1154" s="11"/>
      <c r="S1154" s="11"/>
      <c r="T1154" s="11"/>
      <c r="U1154" s="11">
        <f t="shared" si="625"/>
        <v>0</v>
      </c>
      <c r="V1154" s="2">
        <f t="shared" si="626"/>
        <v>0</v>
      </c>
      <c r="W1154" s="11">
        <f t="shared" si="595"/>
        <v>0</v>
      </c>
      <c r="X1154" s="2">
        <f t="shared" si="596"/>
        <v>0</v>
      </c>
      <c r="Y1154" s="2">
        <f t="shared" si="597"/>
        <v>0</v>
      </c>
      <c r="Z1154" s="11">
        <f t="shared" si="598"/>
        <v>0</v>
      </c>
      <c r="AA1154" s="2">
        <f t="shared" si="599"/>
        <v>0</v>
      </c>
      <c r="AB1154" s="11">
        <f t="shared" si="600"/>
        <v>0</v>
      </c>
      <c r="AC1154" s="2">
        <f t="shared" si="601"/>
        <v>0</v>
      </c>
      <c r="AF1154" s="11">
        <f t="shared" si="602"/>
        <v>0</v>
      </c>
      <c r="AG1154" s="2">
        <f t="shared" si="603"/>
        <v>0</v>
      </c>
      <c r="AH1154" s="2">
        <f t="shared" si="604"/>
        <v>0</v>
      </c>
      <c r="AI1154" s="2">
        <f t="shared" si="605"/>
        <v>0</v>
      </c>
      <c r="AJ1154" s="2">
        <f t="shared" si="606"/>
        <v>0</v>
      </c>
      <c r="AK1154" s="2">
        <f t="shared" si="607"/>
        <v>0</v>
      </c>
      <c r="AL1154" s="2">
        <f t="shared" si="608"/>
        <v>0</v>
      </c>
      <c r="AM1154" s="11"/>
      <c r="AN1154" s="2" t="e">
        <f t="shared" si="617"/>
        <v>#N/A</v>
      </c>
      <c r="AO1154" s="2" t="e">
        <f t="shared" si="618"/>
        <v>#N/A</v>
      </c>
      <c r="AP1154" s="2" t="e">
        <f t="shared" si="619"/>
        <v>#N/A</v>
      </c>
      <c r="AQ1154" s="2" t="e">
        <f t="shared" si="620"/>
        <v>#N/A</v>
      </c>
      <c r="AR1154" s="2" t="e">
        <f t="shared" si="621"/>
        <v>#N/A</v>
      </c>
      <c r="AS1154" s="2" t="e">
        <f t="shared" si="622"/>
        <v>#DIV/0!</v>
      </c>
      <c r="AT1154" s="9" t="e">
        <f t="shared" ca="1" si="623"/>
        <v>#N/A</v>
      </c>
      <c r="AU1154" s="9" t="e">
        <f t="shared" ca="1" si="624"/>
        <v>#N/A</v>
      </c>
      <c r="AW1154" s="2" t="e">
        <f t="shared" si="609"/>
        <v>#N/A</v>
      </c>
      <c r="AX1154" s="2" t="e">
        <f t="shared" si="610"/>
        <v>#N/A</v>
      </c>
      <c r="AY1154" s="2" t="e">
        <f t="shared" si="611"/>
        <v>#N/A</v>
      </c>
      <c r="AZ1154" s="2" t="e">
        <f t="shared" si="612"/>
        <v>#N/A</v>
      </c>
      <c r="BA1154" s="2" t="e">
        <f t="shared" si="613"/>
        <v>#N/A</v>
      </c>
      <c r="BB1154" s="2" t="e">
        <f t="shared" si="614"/>
        <v>#DIV/0!</v>
      </c>
      <c r="BC1154" s="9" t="e">
        <f t="shared" ca="1" si="615"/>
        <v>#N/A</v>
      </c>
      <c r="BD1154" s="9" t="e">
        <f t="shared" ca="1" si="616"/>
        <v>#N/A</v>
      </c>
    </row>
    <row r="1155" spans="1:56" ht="15" x14ac:dyDescent="0.25">
      <c r="A1155" s="63"/>
      <c r="B1155" s="63"/>
      <c r="C1155" s="64"/>
      <c r="D1155" s="64"/>
      <c r="E1155" s="64"/>
      <c r="F1155" s="64"/>
      <c r="G1155" s="64"/>
      <c r="H1155" s="64"/>
      <c r="I1155" s="64"/>
      <c r="J1155" s="64"/>
      <c r="K1155" s="64"/>
      <c r="L1155" s="64"/>
      <c r="M1155" s="64"/>
      <c r="N1155" s="16"/>
      <c r="O1155" s="11"/>
      <c r="P1155" s="11"/>
      <c r="Q1155" s="11"/>
      <c r="R1155" s="11"/>
      <c r="S1155" s="11"/>
      <c r="T1155" s="11"/>
      <c r="U1155" s="11">
        <f t="shared" si="625"/>
        <v>0</v>
      </c>
      <c r="V1155" s="2">
        <f t="shared" si="626"/>
        <v>0</v>
      </c>
      <c r="W1155" s="11">
        <f t="shared" si="595"/>
        <v>0</v>
      </c>
      <c r="X1155" s="2">
        <f t="shared" si="596"/>
        <v>0</v>
      </c>
      <c r="Y1155" s="2">
        <f t="shared" si="597"/>
        <v>0</v>
      </c>
      <c r="Z1155" s="11">
        <f t="shared" si="598"/>
        <v>0</v>
      </c>
      <c r="AA1155" s="2">
        <f t="shared" si="599"/>
        <v>0</v>
      </c>
      <c r="AB1155" s="11">
        <f t="shared" si="600"/>
        <v>0</v>
      </c>
      <c r="AC1155" s="2">
        <f t="shared" si="601"/>
        <v>0</v>
      </c>
      <c r="AF1155" s="11">
        <f t="shared" si="602"/>
        <v>0</v>
      </c>
      <c r="AG1155" s="2">
        <f t="shared" si="603"/>
        <v>0</v>
      </c>
      <c r="AH1155" s="2">
        <f t="shared" si="604"/>
        <v>0</v>
      </c>
      <c r="AI1155" s="2">
        <f t="shared" si="605"/>
        <v>0</v>
      </c>
      <c r="AJ1155" s="2">
        <f t="shared" si="606"/>
        <v>0</v>
      </c>
      <c r="AK1155" s="2">
        <f t="shared" si="607"/>
        <v>0</v>
      </c>
      <c r="AL1155" s="2">
        <f t="shared" si="608"/>
        <v>0</v>
      </c>
      <c r="AM1155" s="11"/>
      <c r="AN1155" s="2" t="e">
        <f t="shared" si="617"/>
        <v>#N/A</v>
      </c>
      <c r="AO1155" s="2" t="e">
        <f t="shared" si="618"/>
        <v>#N/A</v>
      </c>
      <c r="AP1155" s="2" t="e">
        <f t="shared" si="619"/>
        <v>#N/A</v>
      </c>
      <c r="AQ1155" s="2" t="e">
        <f t="shared" si="620"/>
        <v>#N/A</v>
      </c>
      <c r="AR1155" s="2" t="e">
        <f t="shared" si="621"/>
        <v>#N/A</v>
      </c>
      <c r="AS1155" s="2" t="e">
        <f t="shared" si="622"/>
        <v>#DIV/0!</v>
      </c>
      <c r="AT1155" s="9" t="e">
        <f t="shared" ca="1" si="623"/>
        <v>#N/A</v>
      </c>
      <c r="AU1155" s="9" t="e">
        <f t="shared" ca="1" si="624"/>
        <v>#N/A</v>
      </c>
      <c r="AW1155" s="2" t="e">
        <f t="shared" si="609"/>
        <v>#N/A</v>
      </c>
      <c r="AX1155" s="2" t="e">
        <f t="shared" si="610"/>
        <v>#N/A</v>
      </c>
      <c r="AY1155" s="2" t="e">
        <f t="shared" si="611"/>
        <v>#N/A</v>
      </c>
      <c r="AZ1155" s="2" t="e">
        <f t="shared" si="612"/>
        <v>#N/A</v>
      </c>
      <c r="BA1155" s="2" t="e">
        <f t="shared" si="613"/>
        <v>#N/A</v>
      </c>
      <c r="BB1155" s="2" t="e">
        <f t="shared" si="614"/>
        <v>#DIV/0!</v>
      </c>
      <c r="BC1155" s="9" t="e">
        <f t="shared" ca="1" si="615"/>
        <v>#N/A</v>
      </c>
      <c r="BD1155" s="9" t="e">
        <f t="shared" ca="1" si="616"/>
        <v>#N/A</v>
      </c>
    </row>
    <row r="1156" spans="1:56" ht="15" x14ac:dyDescent="0.25">
      <c r="A1156" s="63"/>
      <c r="B1156" s="63"/>
      <c r="C1156" s="64"/>
      <c r="D1156" s="64"/>
      <c r="E1156" s="64"/>
      <c r="F1156" s="64"/>
      <c r="G1156" s="64"/>
      <c r="H1156" s="64"/>
      <c r="I1156" s="64"/>
      <c r="J1156" s="64"/>
      <c r="K1156" s="64"/>
      <c r="L1156" s="64"/>
      <c r="M1156" s="64"/>
      <c r="N1156" s="16"/>
      <c r="O1156" s="11"/>
      <c r="P1156" s="11"/>
      <c r="Q1156" s="11"/>
      <c r="R1156" s="11"/>
      <c r="S1156" s="11"/>
      <c r="T1156" s="11"/>
      <c r="U1156" s="11">
        <f t="shared" si="625"/>
        <v>0</v>
      </c>
      <c r="V1156" s="2">
        <f t="shared" si="626"/>
        <v>0</v>
      </c>
      <c r="W1156" s="11">
        <f t="shared" ref="W1156:W1200" si="627">O1156-O1156</f>
        <v>0</v>
      </c>
      <c r="X1156" s="2">
        <f t="shared" ref="X1156:X1200" si="628">IF(O1156&gt;0,P1156-(O1156*$X$63/$W$63), P1156)</f>
        <v>0</v>
      </c>
      <c r="Y1156" s="2">
        <f t="shared" ref="Y1156:Y1200" si="629">IF(O1156&gt;0,Q1156-(O1156*$Y$63/$W$63),Q1156)</f>
        <v>0</v>
      </c>
      <c r="Z1156" s="11">
        <f t="shared" ref="Z1156:Z1200" si="630">R1156</f>
        <v>0</v>
      </c>
      <c r="AA1156" s="2">
        <f t="shared" ref="AA1156:AA1200" si="631">IF(O1156&gt;0,S1156-(O1156*$AA$63/$W$63),S1156)</f>
        <v>0</v>
      </c>
      <c r="AB1156" s="11">
        <f t="shared" ref="AB1156:AB1200" si="632">T1156</f>
        <v>0</v>
      </c>
      <c r="AC1156" s="2">
        <f t="shared" ref="AC1156:AC1200" si="633">IF(O1156&gt;0,U1156-(O1156*$AC$63/$W$63),U1156)</f>
        <v>0</v>
      </c>
      <c r="AF1156" s="11">
        <f t="shared" ref="AF1156:AF1200" si="634">W1156</f>
        <v>0</v>
      </c>
      <c r="AG1156" s="2">
        <f t="shared" ref="AG1156:AG1200" si="635">IF(O1156&gt;0, X1156-(O1156*$AG$63/$AF$63), X1156)</f>
        <v>0</v>
      </c>
      <c r="AH1156" s="2">
        <f t="shared" ref="AH1156:AH1200" si="636">IF(O1156&gt;0, Y1156-(O1156*$AH$63/$AF$63), Y1156)</f>
        <v>0</v>
      </c>
      <c r="AI1156" s="2">
        <f t="shared" ref="AI1156:AI1200" si="637">IF(O1156&gt;0, Z1156-(O1156*$AI$63/$AF$63), Z1156)</f>
        <v>0</v>
      </c>
      <c r="AJ1156" s="2">
        <f t="shared" ref="AJ1156:AJ1200" si="638">IF(O1156&gt;0, AA1156-(O1156*$AJ$63/$AF$63), AA1156)</f>
        <v>0</v>
      </c>
      <c r="AK1156" s="2">
        <f t="shared" ref="AK1156:AK1200" si="639">IF(P1156&gt;0, AB1156-(P1156*$AK$63/$AG$63), AB1156)</f>
        <v>0</v>
      </c>
      <c r="AL1156" s="2">
        <f t="shared" ref="AL1156:AL1200" si="640">IF(O1156&gt;0, AC1156-(O1156*$AL$63/$AF$63), AC1156)</f>
        <v>0</v>
      </c>
      <c r="AM1156" s="11"/>
      <c r="AN1156" s="2" t="e">
        <f t="shared" si="617"/>
        <v>#N/A</v>
      </c>
      <c r="AO1156" s="2" t="e">
        <f t="shared" si="618"/>
        <v>#N/A</v>
      </c>
      <c r="AP1156" s="2" t="e">
        <f t="shared" si="619"/>
        <v>#N/A</v>
      </c>
      <c r="AQ1156" s="2" t="e">
        <f t="shared" si="620"/>
        <v>#N/A</v>
      </c>
      <c r="AR1156" s="2" t="e">
        <f t="shared" si="621"/>
        <v>#N/A</v>
      </c>
      <c r="AS1156" s="2" t="e">
        <f t="shared" si="622"/>
        <v>#DIV/0!</v>
      </c>
      <c r="AT1156" s="9" t="e">
        <f t="shared" ca="1" si="623"/>
        <v>#N/A</v>
      </c>
      <c r="AU1156" s="9" t="e">
        <f t="shared" ca="1" si="624"/>
        <v>#N/A</v>
      </c>
      <c r="AW1156" s="2" t="e">
        <f t="shared" si="609"/>
        <v>#N/A</v>
      </c>
      <c r="AX1156" s="2" t="e">
        <f t="shared" si="610"/>
        <v>#N/A</v>
      </c>
      <c r="AY1156" s="2" t="e">
        <f t="shared" si="611"/>
        <v>#N/A</v>
      </c>
      <c r="AZ1156" s="2" t="e">
        <f t="shared" si="612"/>
        <v>#N/A</v>
      </c>
      <c r="BA1156" s="2" t="e">
        <f t="shared" si="613"/>
        <v>#N/A</v>
      </c>
      <c r="BB1156" s="2" t="e">
        <f t="shared" si="614"/>
        <v>#DIV/0!</v>
      </c>
      <c r="BC1156" s="9" t="e">
        <f t="shared" ca="1" si="615"/>
        <v>#N/A</v>
      </c>
      <c r="BD1156" s="9" t="e">
        <f t="shared" ca="1" si="616"/>
        <v>#N/A</v>
      </c>
    </row>
    <row r="1157" spans="1:56" ht="15" x14ac:dyDescent="0.25">
      <c r="A1157" s="63"/>
      <c r="B1157" s="63"/>
      <c r="C1157" s="64"/>
      <c r="D1157" s="64"/>
      <c r="E1157" s="64"/>
      <c r="F1157" s="64"/>
      <c r="G1157" s="64"/>
      <c r="H1157" s="64"/>
      <c r="I1157" s="64"/>
      <c r="J1157" s="64"/>
      <c r="K1157" s="64"/>
      <c r="L1157" s="64"/>
      <c r="M1157" s="64"/>
      <c r="N1157" s="16"/>
      <c r="O1157" s="11"/>
      <c r="P1157" s="11"/>
      <c r="Q1157" s="11"/>
      <c r="R1157" s="11"/>
      <c r="S1157" s="11"/>
      <c r="T1157" s="11"/>
      <c r="U1157" s="11">
        <f t="shared" si="625"/>
        <v>0</v>
      </c>
      <c r="V1157" s="2">
        <f t="shared" si="626"/>
        <v>0</v>
      </c>
      <c r="W1157" s="11">
        <f t="shared" si="627"/>
        <v>0</v>
      </c>
      <c r="X1157" s="2">
        <f t="shared" si="628"/>
        <v>0</v>
      </c>
      <c r="Y1157" s="2">
        <f t="shared" si="629"/>
        <v>0</v>
      </c>
      <c r="Z1157" s="11">
        <f t="shared" si="630"/>
        <v>0</v>
      </c>
      <c r="AA1157" s="2">
        <f t="shared" si="631"/>
        <v>0</v>
      </c>
      <c r="AB1157" s="11">
        <f t="shared" si="632"/>
        <v>0</v>
      </c>
      <c r="AC1157" s="2">
        <f t="shared" si="633"/>
        <v>0</v>
      </c>
      <c r="AF1157" s="11">
        <f t="shared" si="634"/>
        <v>0</v>
      </c>
      <c r="AG1157" s="2">
        <f t="shared" si="635"/>
        <v>0</v>
      </c>
      <c r="AH1157" s="2">
        <f t="shared" si="636"/>
        <v>0</v>
      </c>
      <c r="AI1157" s="2">
        <f t="shared" si="637"/>
        <v>0</v>
      </c>
      <c r="AJ1157" s="2">
        <f t="shared" si="638"/>
        <v>0</v>
      </c>
      <c r="AK1157" s="2">
        <f t="shared" si="639"/>
        <v>0</v>
      </c>
      <c r="AL1157" s="2">
        <f t="shared" si="640"/>
        <v>0</v>
      </c>
      <c r="AM1157" s="11"/>
      <c r="AN1157" s="2" t="e">
        <f t="shared" si="617"/>
        <v>#N/A</v>
      </c>
      <c r="AO1157" s="2" t="e">
        <f t="shared" si="618"/>
        <v>#N/A</v>
      </c>
      <c r="AP1157" s="2" t="e">
        <f t="shared" si="619"/>
        <v>#N/A</v>
      </c>
      <c r="AQ1157" s="2" t="e">
        <f t="shared" si="620"/>
        <v>#N/A</v>
      </c>
      <c r="AR1157" s="2" t="e">
        <f t="shared" si="621"/>
        <v>#N/A</v>
      </c>
      <c r="AS1157" s="2" t="e">
        <f t="shared" si="622"/>
        <v>#DIV/0!</v>
      </c>
      <c r="AT1157" s="9" t="e">
        <f t="shared" ca="1" si="623"/>
        <v>#N/A</v>
      </c>
      <c r="AU1157" s="9" t="e">
        <f t="shared" ca="1" si="624"/>
        <v>#N/A</v>
      </c>
      <c r="AW1157" s="2" t="e">
        <f t="shared" si="609"/>
        <v>#N/A</v>
      </c>
      <c r="AX1157" s="2" t="e">
        <f t="shared" si="610"/>
        <v>#N/A</v>
      </c>
      <c r="AY1157" s="2" t="e">
        <f t="shared" si="611"/>
        <v>#N/A</v>
      </c>
      <c r="AZ1157" s="2" t="e">
        <f t="shared" si="612"/>
        <v>#N/A</v>
      </c>
      <c r="BA1157" s="2" t="e">
        <f t="shared" si="613"/>
        <v>#N/A</v>
      </c>
      <c r="BB1157" s="2" t="e">
        <f t="shared" si="614"/>
        <v>#DIV/0!</v>
      </c>
      <c r="BC1157" s="9" t="e">
        <f t="shared" ca="1" si="615"/>
        <v>#N/A</v>
      </c>
      <c r="BD1157" s="9" t="e">
        <f t="shared" ca="1" si="616"/>
        <v>#N/A</v>
      </c>
    </row>
    <row r="1158" spans="1:56" ht="15" x14ac:dyDescent="0.25">
      <c r="A1158" s="63"/>
      <c r="B1158" s="63"/>
      <c r="C1158" s="64"/>
      <c r="D1158" s="64"/>
      <c r="E1158" s="64"/>
      <c r="F1158" s="64"/>
      <c r="G1158" s="64"/>
      <c r="H1158" s="64"/>
      <c r="I1158" s="64"/>
      <c r="J1158" s="64"/>
      <c r="K1158" s="64"/>
      <c r="L1158" s="64"/>
      <c r="M1158" s="64"/>
      <c r="N1158" s="16"/>
      <c r="O1158" s="11"/>
      <c r="P1158" s="11"/>
      <c r="Q1158" s="11"/>
      <c r="R1158" s="11"/>
      <c r="S1158" s="11"/>
      <c r="T1158" s="11"/>
      <c r="U1158" s="11">
        <f t="shared" si="625"/>
        <v>0</v>
      </c>
      <c r="V1158" s="2">
        <f t="shared" si="626"/>
        <v>0</v>
      </c>
      <c r="W1158" s="11">
        <f t="shared" si="627"/>
        <v>0</v>
      </c>
      <c r="X1158" s="2">
        <f t="shared" si="628"/>
        <v>0</v>
      </c>
      <c r="Y1158" s="2">
        <f t="shared" si="629"/>
        <v>0</v>
      </c>
      <c r="Z1158" s="11">
        <f t="shared" si="630"/>
        <v>0</v>
      </c>
      <c r="AA1158" s="2">
        <f t="shared" si="631"/>
        <v>0</v>
      </c>
      <c r="AB1158" s="11">
        <f t="shared" si="632"/>
        <v>0</v>
      </c>
      <c r="AC1158" s="2">
        <f t="shared" si="633"/>
        <v>0</v>
      </c>
      <c r="AF1158" s="11">
        <f t="shared" si="634"/>
        <v>0</v>
      </c>
      <c r="AG1158" s="2">
        <f t="shared" si="635"/>
        <v>0</v>
      </c>
      <c r="AH1158" s="2">
        <f t="shared" si="636"/>
        <v>0</v>
      </c>
      <c r="AI1158" s="2">
        <f t="shared" si="637"/>
        <v>0</v>
      </c>
      <c r="AJ1158" s="2">
        <f t="shared" si="638"/>
        <v>0</v>
      </c>
      <c r="AK1158" s="2">
        <f t="shared" si="639"/>
        <v>0</v>
      </c>
      <c r="AL1158" s="2">
        <f t="shared" si="640"/>
        <v>0</v>
      </c>
      <c r="AM1158" s="11"/>
      <c r="AN1158" s="2" t="e">
        <f t="shared" si="617"/>
        <v>#N/A</v>
      </c>
      <c r="AO1158" s="2" t="e">
        <f t="shared" si="618"/>
        <v>#N/A</v>
      </c>
      <c r="AP1158" s="2" t="e">
        <f t="shared" si="619"/>
        <v>#N/A</v>
      </c>
      <c r="AQ1158" s="2" t="e">
        <f t="shared" si="620"/>
        <v>#N/A</v>
      </c>
      <c r="AR1158" s="2" t="e">
        <f t="shared" si="621"/>
        <v>#N/A</v>
      </c>
      <c r="AS1158" s="2" t="e">
        <f t="shared" si="622"/>
        <v>#DIV/0!</v>
      </c>
      <c r="AT1158" s="9" t="e">
        <f t="shared" ca="1" si="623"/>
        <v>#N/A</v>
      </c>
      <c r="AU1158" s="9" t="e">
        <f t="shared" ca="1" si="624"/>
        <v>#N/A</v>
      </c>
      <c r="AW1158" s="2" t="e">
        <f t="shared" si="609"/>
        <v>#N/A</v>
      </c>
      <c r="AX1158" s="2" t="e">
        <f t="shared" si="610"/>
        <v>#N/A</v>
      </c>
      <c r="AY1158" s="2" t="e">
        <f t="shared" si="611"/>
        <v>#N/A</v>
      </c>
      <c r="AZ1158" s="2" t="e">
        <f t="shared" si="612"/>
        <v>#N/A</v>
      </c>
      <c r="BA1158" s="2" t="e">
        <f t="shared" si="613"/>
        <v>#N/A</v>
      </c>
      <c r="BB1158" s="2" t="e">
        <f t="shared" si="614"/>
        <v>#DIV/0!</v>
      </c>
      <c r="BC1158" s="9" t="e">
        <f t="shared" ca="1" si="615"/>
        <v>#N/A</v>
      </c>
      <c r="BD1158" s="9" t="e">
        <f t="shared" ca="1" si="616"/>
        <v>#N/A</v>
      </c>
    </row>
    <row r="1159" spans="1:56" ht="15" x14ac:dyDescent="0.25">
      <c r="A1159" s="63"/>
      <c r="B1159" s="63"/>
      <c r="C1159" s="64"/>
      <c r="D1159" s="64"/>
      <c r="E1159" s="64"/>
      <c r="F1159" s="64"/>
      <c r="G1159" s="64"/>
      <c r="H1159" s="64"/>
      <c r="I1159" s="64"/>
      <c r="J1159" s="64"/>
      <c r="K1159" s="64"/>
      <c r="L1159" s="64"/>
      <c r="M1159" s="64"/>
      <c r="N1159" s="16"/>
      <c r="O1159" s="11"/>
      <c r="P1159" s="11"/>
      <c r="Q1159" s="11"/>
      <c r="R1159" s="11"/>
      <c r="S1159" s="11"/>
      <c r="T1159" s="11"/>
      <c r="U1159" s="11">
        <f t="shared" si="625"/>
        <v>0</v>
      </c>
      <c r="V1159" s="2">
        <f t="shared" si="626"/>
        <v>0</v>
      </c>
      <c r="W1159" s="11">
        <f t="shared" si="627"/>
        <v>0</v>
      </c>
      <c r="X1159" s="2">
        <f t="shared" si="628"/>
        <v>0</v>
      </c>
      <c r="Y1159" s="2">
        <f t="shared" si="629"/>
        <v>0</v>
      </c>
      <c r="Z1159" s="11">
        <f t="shared" si="630"/>
        <v>0</v>
      </c>
      <c r="AA1159" s="2">
        <f t="shared" si="631"/>
        <v>0</v>
      </c>
      <c r="AB1159" s="11">
        <f t="shared" si="632"/>
        <v>0</v>
      </c>
      <c r="AC1159" s="2">
        <f t="shared" si="633"/>
        <v>0</v>
      </c>
      <c r="AF1159" s="11">
        <f t="shared" si="634"/>
        <v>0</v>
      </c>
      <c r="AG1159" s="2">
        <f t="shared" si="635"/>
        <v>0</v>
      </c>
      <c r="AH1159" s="2">
        <f t="shared" si="636"/>
        <v>0</v>
      </c>
      <c r="AI1159" s="2">
        <f t="shared" si="637"/>
        <v>0</v>
      </c>
      <c r="AJ1159" s="2">
        <f t="shared" si="638"/>
        <v>0</v>
      </c>
      <c r="AK1159" s="2">
        <f t="shared" si="639"/>
        <v>0</v>
      </c>
      <c r="AL1159" s="2">
        <f t="shared" si="640"/>
        <v>0</v>
      </c>
      <c r="AM1159" s="11"/>
      <c r="AN1159" s="2" t="e">
        <f t="shared" si="617"/>
        <v>#N/A</v>
      </c>
      <c r="AO1159" s="2" t="e">
        <f t="shared" si="618"/>
        <v>#N/A</v>
      </c>
      <c r="AP1159" s="2" t="e">
        <f t="shared" si="619"/>
        <v>#N/A</v>
      </c>
      <c r="AQ1159" s="2" t="e">
        <f t="shared" si="620"/>
        <v>#N/A</v>
      </c>
      <c r="AR1159" s="2" t="e">
        <f t="shared" si="621"/>
        <v>#N/A</v>
      </c>
      <c r="AS1159" s="2" t="e">
        <f t="shared" si="622"/>
        <v>#DIV/0!</v>
      </c>
      <c r="AT1159" s="9" t="e">
        <f t="shared" ca="1" si="623"/>
        <v>#N/A</v>
      </c>
      <c r="AU1159" s="9" t="e">
        <f t="shared" ca="1" si="624"/>
        <v>#N/A</v>
      </c>
      <c r="AW1159" s="2" t="e">
        <f t="shared" si="609"/>
        <v>#N/A</v>
      </c>
      <c r="AX1159" s="2" t="e">
        <f t="shared" si="610"/>
        <v>#N/A</v>
      </c>
      <c r="AY1159" s="2" t="e">
        <f t="shared" si="611"/>
        <v>#N/A</v>
      </c>
      <c r="AZ1159" s="2" t="e">
        <f t="shared" si="612"/>
        <v>#N/A</v>
      </c>
      <c r="BA1159" s="2" t="e">
        <f t="shared" si="613"/>
        <v>#N/A</v>
      </c>
      <c r="BB1159" s="2" t="e">
        <f t="shared" si="614"/>
        <v>#DIV/0!</v>
      </c>
      <c r="BC1159" s="9" t="e">
        <f t="shared" ca="1" si="615"/>
        <v>#N/A</v>
      </c>
      <c r="BD1159" s="9" t="e">
        <f t="shared" ca="1" si="616"/>
        <v>#N/A</v>
      </c>
    </row>
    <row r="1160" spans="1:56" ht="15" x14ac:dyDescent="0.25">
      <c r="A1160" s="63"/>
      <c r="B1160" s="63"/>
      <c r="C1160" s="64"/>
      <c r="D1160" s="64"/>
      <c r="E1160" s="64"/>
      <c r="F1160" s="64"/>
      <c r="G1160" s="64"/>
      <c r="H1160" s="64"/>
      <c r="I1160" s="64"/>
      <c r="J1160" s="64"/>
      <c r="K1160" s="64"/>
      <c r="L1160" s="64"/>
      <c r="M1160" s="64"/>
      <c r="N1160" s="16"/>
      <c r="O1160" s="11"/>
      <c r="P1160" s="11"/>
      <c r="Q1160" s="11"/>
      <c r="R1160" s="11"/>
      <c r="S1160" s="11"/>
      <c r="T1160" s="11"/>
      <c r="U1160" s="11">
        <f t="shared" si="625"/>
        <v>0</v>
      </c>
      <c r="V1160" s="2">
        <f t="shared" si="626"/>
        <v>0</v>
      </c>
      <c r="W1160" s="11">
        <f t="shared" si="627"/>
        <v>0</v>
      </c>
      <c r="X1160" s="2">
        <f t="shared" si="628"/>
        <v>0</v>
      </c>
      <c r="Y1160" s="2">
        <f t="shared" si="629"/>
        <v>0</v>
      </c>
      <c r="Z1160" s="11">
        <f t="shared" si="630"/>
        <v>0</v>
      </c>
      <c r="AA1160" s="2">
        <f t="shared" si="631"/>
        <v>0</v>
      </c>
      <c r="AB1160" s="11">
        <f t="shared" si="632"/>
        <v>0</v>
      </c>
      <c r="AC1160" s="2">
        <f t="shared" si="633"/>
        <v>0</v>
      </c>
      <c r="AF1160" s="11">
        <f t="shared" si="634"/>
        <v>0</v>
      </c>
      <c r="AG1160" s="2">
        <f t="shared" si="635"/>
        <v>0</v>
      </c>
      <c r="AH1160" s="2">
        <f t="shared" si="636"/>
        <v>0</v>
      </c>
      <c r="AI1160" s="2">
        <f t="shared" si="637"/>
        <v>0</v>
      </c>
      <c r="AJ1160" s="2">
        <f t="shared" si="638"/>
        <v>0</v>
      </c>
      <c r="AK1160" s="2">
        <f t="shared" si="639"/>
        <v>0</v>
      </c>
      <c r="AL1160" s="2">
        <f t="shared" si="640"/>
        <v>0</v>
      </c>
      <c r="AM1160" s="11"/>
      <c r="AN1160" s="2" t="e">
        <f t="shared" si="617"/>
        <v>#N/A</v>
      </c>
      <c r="AO1160" s="2" t="e">
        <f t="shared" si="618"/>
        <v>#N/A</v>
      </c>
      <c r="AP1160" s="2" t="e">
        <f t="shared" si="619"/>
        <v>#N/A</v>
      </c>
      <c r="AQ1160" s="2" t="e">
        <f t="shared" si="620"/>
        <v>#N/A</v>
      </c>
      <c r="AR1160" s="2" t="e">
        <f t="shared" si="621"/>
        <v>#N/A</v>
      </c>
      <c r="AS1160" s="2" t="e">
        <f t="shared" si="622"/>
        <v>#DIV/0!</v>
      </c>
      <c r="AT1160" s="9" t="e">
        <f t="shared" ca="1" si="623"/>
        <v>#N/A</v>
      </c>
      <c r="AU1160" s="9" t="e">
        <f t="shared" ca="1" si="624"/>
        <v>#N/A</v>
      </c>
      <c r="AW1160" s="2" t="e">
        <f t="shared" si="609"/>
        <v>#N/A</v>
      </c>
      <c r="AX1160" s="2" t="e">
        <f t="shared" si="610"/>
        <v>#N/A</v>
      </c>
      <c r="AY1160" s="2" t="e">
        <f t="shared" si="611"/>
        <v>#N/A</v>
      </c>
      <c r="AZ1160" s="2" t="e">
        <f t="shared" si="612"/>
        <v>#N/A</v>
      </c>
      <c r="BA1160" s="2" t="e">
        <f t="shared" si="613"/>
        <v>#N/A</v>
      </c>
      <c r="BB1160" s="2" t="e">
        <f t="shared" si="614"/>
        <v>#DIV/0!</v>
      </c>
      <c r="BC1160" s="9" t="e">
        <f t="shared" ca="1" si="615"/>
        <v>#N/A</v>
      </c>
      <c r="BD1160" s="9" t="e">
        <f t="shared" ca="1" si="616"/>
        <v>#N/A</v>
      </c>
    </row>
    <row r="1161" spans="1:56" ht="15" x14ac:dyDescent="0.25">
      <c r="A1161" s="63"/>
      <c r="B1161" s="63"/>
      <c r="C1161" s="64"/>
      <c r="D1161" s="64"/>
      <c r="E1161" s="64"/>
      <c r="F1161" s="64"/>
      <c r="G1161" s="64"/>
      <c r="H1161" s="64"/>
      <c r="I1161" s="64"/>
      <c r="J1161" s="64"/>
      <c r="K1161" s="64"/>
      <c r="L1161" s="64"/>
      <c r="M1161" s="64"/>
      <c r="N1161" s="16"/>
      <c r="O1161" s="11"/>
      <c r="P1161" s="11"/>
      <c r="Q1161" s="11"/>
      <c r="R1161" s="11"/>
      <c r="S1161" s="11"/>
      <c r="T1161" s="11"/>
      <c r="U1161" s="11">
        <f t="shared" si="625"/>
        <v>0</v>
      </c>
      <c r="V1161" s="2">
        <f t="shared" si="626"/>
        <v>0</v>
      </c>
      <c r="W1161" s="11">
        <f t="shared" si="627"/>
        <v>0</v>
      </c>
      <c r="X1161" s="2">
        <f t="shared" si="628"/>
        <v>0</v>
      </c>
      <c r="Y1161" s="2">
        <f t="shared" si="629"/>
        <v>0</v>
      </c>
      <c r="Z1161" s="11">
        <f t="shared" si="630"/>
        <v>0</v>
      </c>
      <c r="AA1161" s="2">
        <f t="shared" si="631"/>
        <v>0</v>
      </c>
      <c r="AB1161" s="11">
        <f t="shared" si="632"/>
        <v>0</v>
      </c>
      <c r="AC1161" s="2">
        <f t="shared" si="633"/>
        <v>0</v>
      </c>
      <c r="AF1161" s="11">
        <f t="shared" si="634"/>
        <v>0</v>
      </c>
      <c r="AG1161" s="2">
        <f t="shared" si="635"/>
        <v>0</v>
      </c>
      <c r="AH1161" s="2">
        <f t="shared" si="636"/>
        <v>0</v>
      </c>
      <c r="AI1161" s="2">
        <f t="shared" si="637"/>
        <v>0</v>
      </c>
      <c r="AJ1161" s="2">
        <f t="shared" si="638"/>
        <v>0</v>
      </c>
      <c r="AK1161" s="2">
        <f t="shared" si="639"/>
        <v>0</v>
      </c>
      <c r="AL1161" s="2">
        <f t="shared" si="640"/>
        <v>0</v>
      </c>
      <c r="AM1161" s="11"/>
      <c r="AN1161" s="2" t="e">
        <f t="shared" si="617"/>
        <v>#N/A</v>
      </c>
      <c r="AO1161" s="2" t="e">
        <f t="shared" si="618"/>
        <v>#N/A</v>
      </c>
      <c r="AP1161" s="2" t="e">
        <f t="shared" si="619"/>
        <v>#N/A</v>
      </c>
      <c r="AQ1161" s="2" t="e">
        <f t="shared" si="620"/>
        <v>#N/A</v>
      </c>
      <c r="AR1161" s="2" t="e">
        <f t="shared" si="621"/>
        <v>#N/A</v>
      </c>
      <c r="AS1161" s="2" t="e">
        <f t="shared" si="622"/>
        <v>#DIV/0!</v>
      </c>
      <c r="AT1161" s="9" t="e">
        <f t="shared" ca="1" si="623"/>
        <v>#N/A</v>
      </c>
      <c r="AU1161" s="9" t="e">
        <f t="shared" ca="1" si="624"/>
        <v>#N/A</v>
      </c>
      <c r="AW1161" s="2" t="e">
        <f t="shared" si="609"/>
        <v>#N/A</v>
      </c>
      <c r="AX1161" s="2" t="e">
        <f t="shared" si="610"/>
        <v>#N/A</v>
      </c>
      <c r="AY1161" s="2" t="e">
        <f t="shared" si="611"/>
        <v>#N/A</v>
      </c>
      <c r="AZ1161" s="2" t="e">
        <f t="shared" si="612"/>
        <v>#N/A</v>
      </c>
      <c r="BA1161" s="2" t="e">
        <f t="shared" si="613"/>
        <v>#N/A</v>
      </c>
      <c r="BB1161" s="2" t="e">
        <f t="shared" si="614"/>
        <v>#DIV/0!</v>
      </c>
      <c r="BC1161" s="9" t="e">
        <f t="shared" ca="1" si="615"/>
        <v>#N/A</v>
      </c>
      <c r="BD1161" s="9" t="e">
        <f t="shared" ca="1" si="616"/>
        <v>#N/A</v>
      </c>
    </row>
    <row r="1162" spans="1:56" ht="15" x14ac:dyDescent="0.25">
      <c r="A1162" s="63"/>
      <c r="B1162" s="63"/>
      <c r="C1162" s="64"/>
      <c r="D1162" s="64"/>
      <c r="E1162" s="64"/>
      <c r="F1162" s="64"/>
      <c r="G1162" s="64"/>
      <c r="H1162" s="64"/>
      <c r="I1162" s="64"/>
      <c r="J1162" s="64"/>
      <c r="K1162" s="64"/>
      <c r="L1162" s="64"/>
      <c r="M1162" s="64"/>
      <c r="N1162" s="16"/>
      <c r="O1162" s="11"/>
      <c r="P1162" s="11"/>
      <c r="Q1162" s="11"/>
      <c r="R1162" s="11"/>
      <c r="S1162" s="11"/>
      <c r="T1162" s="11"/>
      <c r="U1162" s="11">
        <f t="shared" si="625"/>
        <v>0</v>
      </c>
      <c r="V1162" s="2">
        <f t="shared" si="626"/>
        <v>0</v>
      </c>
      <c r="W1162" s="11">
        <f t="shared" si="627"/>
        <v>0</v>
      </c>
      <c r="X1162" s="2">
        <f t="shared" si="628"/>
        <v>0</v>
      </c>
      <c r="Y1162" s="2">
        <f t="shared" si="629"/>
        <v>0</v>
      </c>
      <c r="Z1162" s="11">
        <f t="shared" si="630"/>
        <v>0</v>
      </c>
      <c r="AA1162" s="2">
        <f t="shared" si="631"/>
        <v>0</v>
      </c>
      <c r="AB1162" s="11">
        <f t="shared" si="632"/>
        <v>0</v>
      </c>
      <c r="AC1162" s="2">
        <f t="shared" si="633"/>
        <v>0</v>
      </c>
      <c r="AF1162" s="11">
        <f t="shared" si="634"/>
        <v>0</v>
      </c>
      <c r="AG1162" s="2">
        <f t="shared" si="635"/>
        <v>0</v>
      </c>
      <c r="AH1162" s="2">
        <f t="shared" si="636"/>
        <v>0</v>
      </c>
      <c r="AI1162" s="2">
        <f t="shared" si="637"/>
        <v>0</v>
      </c>
      <c r="AJ1162" s="2">
        <f t="shared" si="638"/>
        <v>0</v>
      </c>
      <c r="AK1162" s="2">
        <f t="shared" si="639"/>
        <v>0</v>
      </c>
      <c r="AL1162" s="2">
        <f t="shared" si="640"/>
        <v>0</v>
      </c>
      <c r="AM1162" s="11"/>
      <c r="AN1162" s="2" t="e">
        <f t="shared" si="617"/>
        <v>#N/A</v>
      </c>
      <c r="AO1162" s="2" t="e">
        <f t="shared" si="618"/>
        <v>#N/A</v>
      </c>
      <c r="AP1162" s="2" t="e">
        <f t="shared" si="619"/>
        <v>#N/A</v>
      </c>
      <c r="AQ1162" s="2" t="e">
        <f t="shared" si="620"/>
        <v>#N/A</v>
      </c>
      <c r="AR1162" s="2" t="e">
        <f t="shared" si="621"/>
        <v>#N/A</v>
      </c>
      <c r="AS1162" s="2" t="e">
        <f t="shared" si="622"/>
        <v>#DIV/0!</v>
      </c>
      <c r="AT1162" s="9" t="e">
        <f t="shared" ca="1" si="623"/>
        <v>#N/A</v>
      </c>
      <c r="AU1162" s="9" t="e">
        <f t="shared" ca="1" si="624"/>
        <v>#N/A</v>
      </c>
      <c r="AW1162" s="2" t="e">
        <f t="shared" si="609"/>
        <v>#N/A</v>
      </c>
      <c r="AX1162" s="2" t="e">
        <f t="shared" si="610"/>
        <v>#N/A</v>
      </c>
      <c r="AY1162" s="2" t="e">
        <f t="shared" si="611"/>
        <v>#N/A</v>
      </c>
      <c r="AZ1162" s="2" t="e">
        <f t="shared" si="612"/>
        <v>#N/A</v>
      </c>
      <c r="BA1162" s="2" t="e">
        <f t="shared" si="613"/>
        <v>#N/A</v>
      </c>
      <c r="BB1162" s="2" t="e">
        <f t="shared" si="614"/>
        <v>#DIV/0!</v>
      </c>
      <c r="BC1162" s="9" t="e">
        <f t="shared" ca="1" si="615"/>
        <v>#N/A</v>
      </c>
      <c r="BD1162" s="9" t="e">
        <f t="shared" ca="1" si="616"/>
        <v>#N/A</v>
      </c>
    </row>
    <row r="1163" spans="1:56" ht="15" x14ac:dyDescent="0.25">
      <c r="A1163" s="63"/>
      <c r="B1163" s="63"/>
      <c r="C1163" s="64"/>
      <c r="D1163" s="64"/>
      <c r="E1163" s="64"/>
      <c r="F1163" s="64"/>
      <c r="G1163" s="64"/>
      <c r="H1163" s="64"/>
      <c r="I1163" s="64"/>
      <c r="J1163" s="64"/>
      <c r="K1163" s="64"/>
      <c r="L1163" s="64"/>
      <c r="M1163" s="64"/>
      <c r="N1163" s="16"/>
      <c r="O1163" s="11"/>
      <c r="P1163" s="11"/>
      <c r="Q1163" s="11"/>
      <c r="R1163" s="11"/>
      <c r="S1163" s="11"/>
      <c r="T1163" s="11"/>
      <c r="U1163" s="11">
        <f t="shared" si="625"/>
        <v>0</v>
      </c>
      <c r="V1163" s="2">
        <f t="shared" si="626"/>
        <v>0</v>
      </c>
      <c r="W1163" s="11">
        <f t="shared" si="627"/>
        <v>0</v>
      </c>
      <c r="X1163" s="2">
        <f t="shared" si="628"/>
        <v>0</v>
      </c>
      <c r="Y1163" s="2">
        <f t="shared" si="629"/>
        <v>0</v>
      </c>
      <c r="Z1163" s="11">
        <f t="shared" si="630"/>
        <v>0</v>
      </c>
      <c r="AA1163" s="2">
        <f t="shared" si="631"/>
        <v>0</v>
      </c>
      <c r="AB1163" s="11">
        <f t="shared" si="632"/>
        <v>0</v>
      </c>
      <c r="AC1163" s="2">
        <f t="shared" si="633"/>
        <v>0</v>
      </c>
      <c r="AF1163" s="11">
        <f t="shared" si="634"/>
        <v>0</v>
      </c>
      <c r="AG1163" s="2">
        <f t="shared" si="635"/>
        <v>0</v>
      </c>
      <c r="AH1163" s="2">
        <f t="shared" si="636"/>
        <v>0</v>
      </c>
      <c r="AI1163" s="2">
        <f t="shared" si="637"/>
        <v>0</v>
      </c>
      <c r="AJ1163" s="2">
        <f t="shared" si="638"/>
        <v>0</v>
      </c>
      <c r="AK1163" s="2">
        <f t="shared" si="639"/>
        <v>0</v>
      </c>
      <c r="AL1163" s="2">
        <f t="shared" si="640"/>
        <v>0</v>
      </c>
      <c r="AM1163" s="11"/>
      <c r="AN1163" s="2" t="e">
        <f t="shared" si="617"/>
        <v>#N/A</v>
      </c>
      <c r="AO1163" s="2" t="e">
        <f t="shared" si="618"/>
        <v>#N/A</v>
      </c>
      <c r="AP1163" s="2" t="e">
        <f t="shared" si="619"/>
        <v>#N/A</v>
      </c>
      <c r="AQ1163" s="2" t="e">
        <f t="shared" si="620"/>
        <v>#N/A</v>
      </c>
      <c r="AR1163" s="2" t="e">
        <f t="shared" si="621"/>
        <v>#N/A</v>
      </c>
      <c r="AS1163" s="2" t="e">
        <f t="shared" si="622"/>
        <v>#DIV/0!</v>
      </c>
      <c r="AT1163" s="9" t="e">
        <f t="shared" ca="1" si="623"/>
        <v>#N/A</v>
      </c>
      <c r="AU1163" s="9" t="e">
        <f t="shared" ca="1" si="624"/>
        <v>#N/A</v>
      </c>
      <c r="AW1163" s="2" t="e">
        <f t="shared" si="609"/>
        <v>#N/A</v>
      </c>
      <c r="AX1163" s="2" t="e">
        <f t="shared" si="610"/>
        <v>#N/A</v>
      </c>
      <c r="AY1163" s="2" t="e">
        <f t="shared" si="611"/>
        <v>#N/A</v>
      </c>
      <c r="AZ1163" s="2" t="e">
        <f t="shared" si="612"/>
        <v>#N/A</v>
      </c>
      <c r="BA1163" s="2" t="e">
        <f t="shared" si="613"/>
        <v>#N/A</v>
      </c>
      <c r="BB1163" s="2" t="e">
        <f t="shared" si="614"/>
        <v>#DIV/0!</v>
      </c>
      <c r="BC1163" s="9" t="e">
        <f t="shared" ca="1" si="615"/>
        <v>#N/A</v>
      </c>
      <c r="BD1163" s="9" t="e">
        <f t="shared" ca="1" si="616"/>
        <v>#N/A</v>
      </c>
    </row>
    <row r="1164" spans="1:56" ht="15" x14ac:dyDescent="0.25">
      <c r="A1164" s="63"/>
      <c r="B1164" s="63"/>
      <c r="C1164" s="64"/>
      <c r="D1164" s="64"/>
      <c r="E1164" s="64"/>
      <c r="F1164" s="64"/>
      <c r="G1164" s="64"/>
      <c r="H1164" s="64"/>
      <c r="I1164" s="64"/>
      <c r="J1164" s="64"/>
      <c r="K1164" s="64"/>
      <c r="L1164" s="64"/>
      <c r="M1164" s="64"/>
      <c r="N1164" s="16"/>
      <c r="O1164" s="11"/>
      <c r="P1164" s="11"/>
      <c r="Q1164" s="11"/>
      <c r="R1164" s="11"/>
      <c r="S1164" s="11"/>
      <c r="T1164" s="11"/>
      <c r="U1164" s="11">
        <f t="shared" si="625"/>
        <v>0</v>
      </c>
      <c r="V1164" s="2">
        <f t="shared" si="626"/>
        <v>0</v>
      </c>
      <c r="W1164" s="11">
        <f t="shared" si="627"/>
        <v>0</v>
      </c>
      <c r="X1164" s="2">
        <f t="shared" si="628"/>
        <v>0</v>
      </c>
      <c r="Y1164" s="2">
        <f t="shared" si="629"/>
        <v>0</v>
      </c>
      <c r="Z1164" s="11">
        <f t="shared" si="630"/>
        <v>0</v>
      </c>
      <c r="AA1164" s="2">
        <f t="shared" si="631"/>
        <v>0</v>
      </c>
      <c r="AB1164" s="11">
        <f t="shared" si="632"/>
        <v>0</v>
      </c>
      <c r="AC1164" s="2">
        <f t="shared" si="633"/>
        <v>0</v>
      </c>
      <c r="AF1164" s="11">
        <f t="shared" si="634"/>
        <v>0</v>
      </c>
      <c r="AG1164" s="2">
        <f t="shared" si="635"/>
        <v>0</v>
      </c>
      <c r="AH1164" s="2">
        <f t="shared" si="636"/>
        <v>0</v>
      </c>
      <c r="AI1164" s="2">
        <f t="shared" si="637"/>
        <v>0</v>
      </c>
      <c r="AJ1164" s="2">
        <f t="shared" si="638"/>
        <v>0</v>
      </c>
      <c r="AK1164" s="2">
        <f t="shared" si="639"/>
        <v>0</v>
      </c>
      <c r="AL1164" s="2">
        <f t="shared" si="640"/>
        <v>0</v>
      </c>
      <c r="AM1164" s="11"/>
      <c r="AN1164" s="2" t="e">
        <f t="shared" si="617"/>
        <v>#N/A</v>
      </c>
      <c r="AO1164" s="2" t="e">
        <f t="shared" si="618"/>
        <v>#N/A</v>
      </c>
      <c r="AP1164" s="2" t="e">
        <f t="shared" si="619"/>
        <v>#N/A</v>
      </c>
      <c r="AQ1164" s="2" t="e">
        <f t="shared" si="620"/>
        <v>#N/A</v>
      </c>
      <c r="AR1164" s="2" t="e">
        <f t="shared" si="621"/>
        <v>#N/A</v>
      </c>
      <c r="AS1164" s="2" t="e">
        <f t="shared" si="622"/>
        <v>#DIV/0!</v>
      </c>
      <c r="AT1164" s="9" t="e">
        <f t="shared" ca="1" si="623"/>
        <v>#N/A</v>
      </c>
      <c r="AU1164" s="9" t="e">
        <f t="shared" ca="1" si="624"/>
        <v>#N/A</v>
      </c>
      <c r="AW1164" s="2" t="e">
        <f t="shared" si="609"/>
        <v>#N/A</v>
      </c>
      <c r="AX1164" s="2" t="e">
        <f t="shared" si="610"/>
        <v>#N/A</v>
      </c>
      <c r="AY1164" s="2" t="e">
        <f t="shared" si="611"/>
        <v>#N/A</v>
      </c>
      <c r="AZ1164" s="2" t="e">
        <f t="shared" si="612"/>
        <v>#N/A</v>
      </c>
      <c r="BA1164" s="2" t="e">
        <f t="shared" si="613"/>
        <v>#N/A</v>
      </c>
      <c r="BB1164" s="2" t="e">
        <f t="shared" si="614"/>
        <v>#DIV/0!</v>
      </c>
      <c r="BC1164" s="9" t="e">
        <f t="shared" ca="1" si="615"/>
        <v>#N/A</v>
      </c>
      <c r="BD1164" s="9" t="e">
        <f t="shared" ca="1" si="616"/>
        <v>#N/A</v>
      </c>
    </row>
    <row r="1165" spans="1:56" ht="15" x14ac:dyDescent="0.25">
      <c r="A1165" s="63"/>
      <c r="B1165" s="63"/>
      <c r="C1165" s="64"/>
      <c r="D1165" s="64"/>
      <c r="E1165" s="64"/>
      <c r="F1165" s="64"/>
      <c r="G1165" s="64"/>
      <c r="H1165" s="64"/>
      <c r="I1165" s="64"/>
      <c r="J1165" s="64"/>
      <c r="K1165" s="64"/>
      <c r="L1165" s="64"/>
      <c r="M1165" s="64"/>
      <c r="N1165" s="16"/>
      <c r="O1165" s="11"/>
      <c r="P1165" s="11"/>
      <c r="Q1165" s="11"/>
      <c r="R1165" s="11"/>
      <c r="S1165" s="11"/>
      <c r="T1165" s="11"/>
      <c r="U1165" s="11">
        <f t="shared" si="625"/>
        <v>0</v>
      </c>
      <c r="V1165" s="2">
        <f t="shared" si="626"/>
        <v>0</v>
      </c>
      <c r="W1165" s="11">
        <f t="shared" si="627"/>
        <v>0</v>
      </c>
      <c r="X1165" s="2">
        <f t="shared" si="628"/>
        <v>0</v>
      </c>
      <c r="Y1165" s="2">
        <f t="shared" si="629"/>
        <v>0</v>
      </c>
      <c r="Z1165" s="11">
        <f t="shared" si="630"/>
        <v>0</v>
      </c>
      <c r="AA1165" s="2">
        <f t="shared" si="631"/>
        <v>0</v>
      </c>
      <c r="AB1165" s="11">
        <f t="shared" si="632"/>
        <v>0</v>
      </c>
      <c r="AC1165" s="2">
        <f t="shared" si="633"/>
        <v>0</v>
      </c>
      <c r="AF1165" s="11">
        <f t="shared" si="634"/>
        <v>0</v>
      </c>
      <c r="AG1165" s="2">
        <f t="shared" si="635"/>
        <v>0</v>
      </c>
      <c r="AH1165" s="2">
        <f t="shared" si="636"/>
        <v>0</v>
      </c>
      <c r="AI1165" s="2">
        <f t="shared" si="637"/>
        <v>0</v>
      </c>
      <c r="AJ1165" s="2">
        <f t="shared" si="638"/>
        <v>0</v>
      </c>
      <c r="AK1165" s="2">
        <f t="shared" si="639"/>
        <v>0</v>
      </c>
      <c r="AL1165" s="2">
        <f t="shared" si="640"/>
        <v>0</v>
      </c>
      <c r="AM1165" s="11"/>
      <c r="AN1165" s="2" t="e">
        <f t="shared" si="617"/>
        <v>#N/A</v>
      </c>
      <c r="AO1165" s="2" t="e">
        <f t="shared" si="618"/>
        <v>#N/A</v>
      </c>
      <c r="AP1165" s="2" t="e">
        <f t="shared" si="619"/>
        <v>#N/A</v>
      </c>
      <c r="AQ1165" s="2" t="e">
        <f t="shared" si="620"/>
        <v>#N/A</v>
      </c>
      <c r="AR1165" s="2" t="e">
        <f t="shared" si="621"/>
        <v>#N/A</v>
      </c>
      <c r="AS1165" s="2" t="e">
        <f t="shared" si="622"/>
        <v>#DIV/0!</v>
      </c>
      <c r="AT1165" s="9" t="e">
        <f t="shared" ca="1" si="623"/>
        <v>#N/A</v>
      </c>
      <c r="AU1165" s="9" t="e">
        <f t="shared" ca="1" si="624"/>
        <v>#N/A</v>
      </c>
      <c r="AW1165" s="2" t="e">
        <f t="shared" si="609"/>
        <v>#N/A</v>
      </c>
      <c r="AX1165" s="2" t="e">
        <f t="shared" si="610"/>
        <v>#N/A</v>
      </c>
      <c r="AY1165" s="2" t="e">
        <f t="shared" si="611"/>
        <v>#N/A</v>
      </c>
      <c r="AZ1165" s="2" t="e">
        <f t="shared" si="612"/>
        <v>#N/A</v>
      </c>
      <c r="BA1165" s="2" t="e">
        <f t="shared" si="613"/>
        <v>#N/A</v>
      </c>
      <c r="BB1165" s="2" t="e">
        <f t="shared" si="614"/>
        <v>#DIV/0!</v>
      </c>
      <c r="BC1165" s="9" t="e">
        <f t="shared" ca="1" si="615"/>
        <v>#N/A</v>
      </c>
      <c r="BD1165" s="9" t="e">
        <f t="shared" ca="1" si="616"/>
        <v>#N/A</v>
      </c>
    </row>
    <row r="1166" spans="1:56" ht="15" x14ac:dyDescent="0.25">
      <c r="A1166" s="63"/>
      <c r="B1166" s="63"/>
      <c r="C1166" s="64"/>
      <c r="D1166" s="64"/>
      <c r="E1166" s="64"/>
      <c r="F1166" s="64"/>
      <c r="G1166" s="64"/>
      <c r="H1166" s="64"/>
      <c r="I1166" s="64"/>
      <c r="J1166" s="64"/>
      <c r="K1166" s="64"/>
      <c r="L1166" s="64"/>
      <c r="M1166" s="64"/>
      <c r="N1166" s="16"/>
      <c r="O1166" s="11"/>
      <c r="P1166" s="11"/>
      <c r="Q1166" s="11"/>
      <c r="R1166" s="11"/>
      <c r="S1166" s="11"/>
      <c r="T1166" s="11"/>
      <c r="U1166" s="11">
        <f t="shared" si="625"/>
        <v>0</v>
      </c>
      <c r="V1166" s="2">
        <f t="shared" si="626"/>
        <v>0</v>
      </c>
      <c r="W1166" s="11">
        <f t="shared" si="627"/>
        <v>0</v>
      </c>
      <c r="X1166" s="2">
        <f t="shared" si="628"/>
        <v>0</v>
      </c>
      <c r="Y1166" s="2">
        <f t="shared" si="629"/>
        <v>0</v>
      </c>
      <c r="Z1166" s="11">
        <f t="shared" si="630"/>
        <v>0</v>
      </c>
      <c r="AA1166" s="2">
        <f t="shared" si="631"/>
        <v>0</v>
      </c>
      <c r="AB1166" s="11">
        <f t="shared" si="632"/>
        <v>0</v>
      </c>
      <c r="AC1166" s="2">
        <f t="shared" si="633"/>
        <v>0</v>
      </c>
      <c r="AF1166" s="11">
        <f t="shared" si="634"/>
        <v>0</v>
      </c>
      <c r="AG1166" s="2">
        <f t="shared" si="635"/>
        <v>0</v>
      </c>
      <c r="AH1166" s="2">
        <f t="shared" si="636"/>
        <v>0</v>
      </c>
      <c r="AI1166" s="2">
        <f t="shared" si="637"/>
        <v>0</v>
      </c>
      <c r="AJ1166" s="2">
        <f t="shared" si="638"/>
        <v>0</v>
      </c>
      <c r="AK1166" s="2">
        <f t="shared" si="639"/>
        <v>0</v>
      </c>
      <c r="AL1166" s="2">
        <f t="shared" si="640"/>
        <v>0</v>
      </c>
      <c r="AM1166" s="11"/>
      <c r="AN1166" s="2" t="e">
        <f t="shared" si="617"/>
        <v>#N/A</v>
      </c>
      <c r="AO1166" s="2" t="e">
        <f t="shared" si="618"/>
        <v>#N/A</v>
      </c>
      <c r="AP1166" s="2" t="e">
        <f t="shared" si="619"/>
        <v>#N/A</v>
      </c>
      <c r="AQ1166" s="2" t="e">
        <f t="shared" si="620"/>
        <v>#N/A</v>
      </c>
      <c r="AR1166" s="2" t="e">
        <f t="shared" si="621"/>
        <v>#N/A</v>
      </c>
      <c r="AS1166" s="2" t="e">
        <f t="shared" si="622"/>
        <v>#DIV/0!</v>
      </c>
      <c r="AT1166" s="9" t="e">
        <f t="shared" ca="1" si="623"/>
        <v>#N/A</v>
      </c>
      <c r="AU1166" s="9" t="e">
        <f t="shared" ca="1" si="624"/>
        <v>#N/A</v>
      </c>
      <c r="AW1166" s="2" t="e">
        <f t="shared" si="609"/>
        <v>#N/A</v>
      </c>
      <c r="AX1166" s="2" t="e">
        <f t="shared" si="610"/>
        <v>#N/A</v>
      </c>
      <c r="AY1166" s="2" t="e">
        <f t="shared" si="611"/>
        <v>#N/A</v>
      </c>
      <c r="AZ1166" s="2" t="e">
        <f t="shared" si="612"/>
        <v>#N/A</v>
      </c>
      <c r="BA1166" s="2" t="e">
        <f t="shared" si="613"/>
        <v>#N/A</v>
      </c>
      <c r="BB1166" s="2" t="e">
        <f t="shared" si="614"/>
        <v>#DIV/0!</v>
      </c>
      <c r="BC1166" s="9" t="e">
        <f t="shared" ca="1" si="615"/>
        <v>#N/A</v>
      </c>
      <c r="BD1166" s="9" t="e">
        <f t="shared" ca="1" si="616"/>
        <v>#N/A</v>
      </c>
    </row>
    <row r="1167" spans="1:56" ht="15" x14ac:dyDescent="0.25">
      <c r="A1167" s="63"/>
      <c r="B1167" s="63"/>
      <c r="C1167" s="64"/>
      <c r="D1167" s="64"/>
      <c r="E1167" s="64"/>
      <c r="F1167" s="64"/>
      <c r="G1167" s="64"/>
      <c r="H1167" s="64"/>
      <c r="I1167" s="64"/>
      <c r="J1167" s="64"/>
      <c r="K1167" s="64"/>
      <c r="L1167" s="64"/>
      <c r="M1167" s="64"/>
      <c r="N1167" s="16"/>
      <c r="O1167" s="11"/>
      <c r="P1167" s="11"/>
      <c r="Q1167" s="11"/>
      <c r="R1167" s="11"/>
      <c r="S1167" s="11"/>
      <c r="T1167" s="11"/>
      <c r="U1167" s="11">
        <f t="shared" si="625"/>
        <v>0</v>
      </c>
      <c r="V1167" s="2">
        <f t="shared" si="626"/>
        <v>0</v>
      </c>
      <c r="W1167" s="11">
        <f t="shared" si="627"/>
        <v>0</v>
      </c>
      <c r="X1167" s="2">
        <f t="shared" si="628"/>
        <v>0</v>
      </c>
      <c r="Y1167" s="2">
        <f t="shared" si="629"/>
        <v>0</v>
      </c>
      <c r="Z1167" s="11">
        <f t="shared" si="630"/>
        <v>0</v>
      </c>
      <c r="AA1167" s="2">
        <f t="shared" si="631"/>
        <v>0</v>
      </c>
      <c r="AB1167" s="11">
        <f t="shared" si="632"/>
        <v>0</v>
      </c>
      <c r="AC1167" s="2">
        <f t="shared" si="633"/>
        <v>0</v>
      </c>
      <c r="AF1167" s="11">
        <f t="shared" si="634"/>
        <v>0</v>
      </c>
      <c r="AG1167" s="2">
        <f t="shared" si="635"/>
        <v>0</v>
      </c>
      <c r="AH1167" s="2">
        <f t="shared" si="636"/>
        <v>0</v>
      </c>
      <c r="AI1167" s="2">
        <f t="shared" si="637"/>
        <v>0</v>
      </c>
      <c r="AJ1167" s="2">
        <f t="shared" si="638"/>
        <v>0</v>
      </c>
      <c r="AK1167" s="2">
        <f t="shared" si="639"/>
        <v>0</v>
      </c>
      <c r="AL1167" s="2">
        <f t="shared" si="640"/>
        <v>0</v>
      </c>
      <c r="AM1167" s="11"/>
      <c r="AN1167" s="2" t="e">
        <f t="shared" si="617"/>
        <v>#N/A</v>
      </c>
      <c r="AO1167" s="2" t="e">
        <f t="shared" si="618"/>
        <v>#N/A</v>
      </c>
      <c r="AP1167" s="2" t="e">
        <f t="shared" si="619"/>
        <v>#N/A</v>
      </c>
      <c r="AQ1167" s="2" t="e">
        <f t="shared" si="620"/>
        <v>#N/A</v>
      </c>
      <c r="AR1167" s="2" t="e">
        <f t="shared" si="621"/>
        <v>#N/A</v>
      </c>
      <c r="AS1167" s="2" t="e">
        <f t="shared" si="622"/>
        <v>#DIV/0!</v>
      </c>
      <c r="AT1167" s="9" t="e">
        <f t="shared" ca="1" si="623"/>
        <v>#N/A</v>
      </c>
      <c r="AU1167" s="9" t="e">
        <f t="shared" ca="1" si="624"/>
        <v>#N/A</v>
      </c>
      <c r="AW1167" s="2" t="e">
        <f t="shared" si="609"/>
        <v>#N/A</v>
      </c>
      <c r="AX1167" s="2" t="e">
        <f t="shared" si="610"/>
        <v>#N/A</v>
      </c>
      <c r="AY1167" s="2" t="e">
        <f t="shared" si="611"/>
        <v>#N/A</v>
      </c>
      <c r="AZ1167" s="2" t="e">
        <f t="shared" si="612"/>
        <v>#N/A</v>
      </c>
      <c r="BA1167" s="2" t="e">
        <f t="shared" si="613"/>
        <v>#N/A</v>
      </c>
      <c r="BB1167" s="2" t="e">
        <f t="shared" si="614"/>
        <v>#DIV/0!</v>
      </c>
      <c r="BC1167" s="9" t="e">
        <f t="shared" ca="1" si="615"/>
        <v>#N/A</v>
      </c>
      <c r="BD1167" s="9" t="e">
        <f t="shared" ca="1" si="616"/>
        <v>#N/A</v>
      </c>
    </row>
    <row r="1168" spans="1:56" ht="15" x14ac:dyDescent="0.25">
      <c r="A1168" s="63"/>
      <c r="B1168" s="63"/>
      <c r="C1168" s="64"/>
      <c r="D1168" s="64"/>
      <c r="E1168" s="64"/>
      <c r="F1168" s="64"/>
      <c r="G1168" s="64"/>
      <c r="H1168" s="64"/>
      <c r="I1168" s="64"/>
      <c r="J1168" s="64"/>
      <c r="K1168" s="64"/>
      <c r="L1168" s="64"/>
      <c r="M1168" s="64"/>
      <c r="N1168" s="16"/>
      <c r="O1168" s="11"/>
      <c r="P1168" s="11"/>
      <c r="Q1168" s="11"/>
      <c r="R1168" s="11"/>
      <c r="S1168" s="11"/>
      <c r="T1168" s="11"/>
      <c r="U1168" s="11">
        <f t="shared" si="625"/>
        <v>0</v>
      </c>
      <c r="V1168" s="2">
        <f t="shared" si="626"/>
        <v>0</v>
      </c>
      <c r="W1168" s="11">
        <f t="shared" si="627"/>
        <v>0</v>
      </c>
      <c r="X1168" s="2">
        <f t="shared" si="628"/>
        <v>0</v>
      </c>
      <c r="Y1168" s="2">
        <f t="shared" si="629"/>
        <v>0</v>
      </c>
      <c r="Z1168" s="11">
        <f t="shared" si="630"/>
        <v>0</v>
      </c>
      <c r="AA1168" s="2">
        <f t="shared" si="631"/>
        <v>0</v>
      </c>
      <c r="AB1168" s="11">
        <f t="shared" si="632"/>
        <v>0</v>
      </c>
      <c r="AC1168" s="2">
        <f t="shared" si="633"/>
        <v>0</v>
      </c>
      <c r="AF1168" s="11">
        <f t="shared" si="634"/>
        <v>0</v>
      </c>
      <c r="AG1168" s="2">
        <f t="shared" si="635"/>
        <v>0</v>
      </c>
      <c r="AH1168" s="2">
        <f t="shared" si="636"/>
        <v>0</v>
      </c>
      <c r="AI1168" s="2">
        <f t="shared" si="637"/>
        <v>0</v>
      </c>
      <c r="AJ1168" s="2">
        <f t="shared" si="638"/>
        <v>0</v>
      </c>
      <c r="AK1168" s="2">
        <f t="shared" si="639"/>
        <v>0</v>
      </c>
      <c r="AL1168" s="2">
        <f t="shared" si="640"/>
        <v>0</v>
      </c>
      <c r="AM1168" s="11"/>
      <c r="AN1168" s="2" t="e">
        <f t="shared" si="617"/>
        <v>#N/A</v>
      </c>
      <c r="AO1168" s="2" t="e">
        <f t="shared" si="618"/>
        <v>#N/A</v>
      </c>
      <c r="AP1168" s="2" t="e">
        <f t="shared" si="619"/>
        <v>#N/A</v>
      </c>
      <c r="AQ1168" s="2" t="e">
        <f t="shared" si="620"/>
        <v>#N/A</v>
      </c>
      <c r="AR1168" s="2" t="e">
        <f t="shared" si="621"/>
        <v>#N/A</v>
      </c>
      <c r="AS1168" s="2" t="e">
        <f t="shared" si="622"/>
        <v>#DIV/0!</v>
      </c>
      <c r="AT1168" s="9" t="e">
        <f t="shared" ca="1" si="623"/>
        <v>#N/A</v>
      </c>
      <c r="AU1168" s="9" t="e">
        <f t="shared" ca="1" si="624"/>
        <v>#N/A</v>
      </c>
      <c r="AW1168" s="2" t="e">
        <f t="shared" si="609"/>
        <v>#N/A</v>
      </c>
      <c r="AX1168" s="2" t="e">
        <f t="shared" si="610"/>
        <v>#N/A</v>
      </c>
      <c r="AY1168" s="2" t="e">
        <f t="shared" si="611"/>
        <v>#N/A</v>
      </c>
      <c r="AZ1168" s="2" t="e">
        <f t="shared" si="612"/>
        <v>#N/A</v>
      </c>
      <c r="BA1168" s="2" t="e">
        <f t="shared" si="613"/>
        <v>#N/A</v>
      </c>
      <c r="BB1168" s="2" t="e">
        <f t="shared" si="614"/>
        <v>#DIV/0!</v>
      </c>
      <c r="BC1168" s="9" t="e">
        <f t="shared" ca="1" si="615"/>
        <v>#N/A</v>
      </c>
      <c r="BD1168" s="9" t="e">
        <f t="shared" ca="1" si="616"/>
        <v>#N/A</v>
      </c>
    </row>
    <row r="1169" spans="1:56" ht="15" x14ac:dyDescent="0.25">
      <c r="A1169" s="63"/>
      <c r="B1169" s="63"/>
      <c r="C1169" s="64"/>
      <c r="D1169" s="64"/>
      <c r="E1169" s="64"/>
      <c r="F1169" s="64"/>
      <c r="G1169" s="64"/>
      <c r="H1169" s="64"/>
      <c r="I1169" s="64"/>
      <c r="J1169" s="64"/>
      <c r="K1169" s="64"/>
      <c r="L1169" s="64"/>
      <c r="M1169" s="64"/>
      <c r="N1169" s="16"/>
      <c r="O1169" s="11"/>
      <c r="P1169" s="11"/>
      <c r="Q1169" s="11"/>
      <c r="R1169" s="11"/>
      <c r="S1169" s="11"/>
      <c r="T1169" s="11"/>
      <c r="U1169" s="11">
        <f t="shared" si="625"/>
        <v>0</v>
      </c>
      <c r="V1169" s="2">
        <f t="shared" si="626"/>
        <v>0</v>
      </c>
      <c r="W1169" s="11">
        <f t="shared" si="627"/>
        <v>0</v>
      </c>
      <c r="X1169" s="2">
        <f t="shared" si="628"/>
        <v>0</v>
      </c>
      <c r="Y1169" s="2">
        <f t="shared" si="629"/>
        <v>0</v>
      </c>
      <c r="Z1169" s="11">
        <f t="shared" si="630"/>
        <v>0</v>
      </c>
      <c r="AA1169" s="2">
        <f t="shared" si="631"/>
        <v>0</v>
      </c>
      <c r="AB1169" s="11">
        <f t="shared" si="632"/>
        <v>0</v>
      </c>
      <c r="AC1169" s="2">
        <f t="shared" si="633"/>
        <v>0</v>
      </c>
      <c r="AF1169" s="11">
        <f t="shared" si="634"/>
        <v>0</v>
      </c>
      <c r="AG1169" s="2">
        <f t="shared" si="635"/>
        <v>0</v>
      </c>
      <c r="AH1169" s="2">
        <f t="shared" si="636"/>
        <v>0</v>
      </c>
      <c r="AI1169" s="2">
        <f t="shared" si="637"/>
        <v>0</v>
      </c>
      <c r="AJ1169" s="2">
        <f t="shared" si="638"/>
        <v>0</v>
      </c>
      <c r="AK1169" s="2">
        <f t="shared" si="639"/>
        <v>0</v>
      </c>
      <c r="AL1169" s="2">
        <f t="shared" si="640"/>
        <v>0</v>
      </c>
      <c r="AM1169" s="11"/>
      <c r="AN1169" s="2" t="e">
        <f t="shared" si="617"/>
        <v>#N/A</v>
      </c>
      <c r="AO1169" s="2" t="e">
        <f t="shared" si="618"/>
        <v>#N/A</v>
      </c>
      <c r="AP1169" s="2" t="e">
        <f t="shared" si="619"/>
        <v>#N/A</v>
      </c>
      <c r="AQ1169" s="2" t="e">
        <f t="shared" si="620"/>
        <v>#N/A</v>
      </c>
      <c r="AR1169" s="2" t="e">
        <f t="shared" si="621"/>
        <v>#N/A</v>
      </c>
      <c r="AS1169" s="2" t="e">
        <f t="shared" si="622"/>
        <v>#DIV/0!</v>
      </c>
      <c r="AT1169" s="9" t="e">
        <f t="shared" ca="1" si="623"/>
        <v>#N/A</v>
      </c>
      <c r="AU1169" s="9" t="e">
        <f t="shared" ca="1" si="624"/>
        <v>#N/A</v>
      </c>
      <c r="AW1169" s="2" t="e">
        <f t="shared" si="609"/>
        <v>#N/A</v>
      </c>
      <c r="AX1169" s="2" t="e">
        <f t="shared" si="610"/>
        <v>#N/A</v>
      </c>
      <c r="AY1169" s="2" t="e">
        <f t="shared" si="611"/>
        <v>#N/A</v>
      </c>
      <c r="AZ1169" s="2" t="e">
        <f t="shared" si="612"/>
        <v>#N/A</v>
      </c>
      <c r="BA1169" s="2" t="e">
        <f t="shared" si="613"/>
        <v>#N/A</v>
      </c>
      <c r="BB1169" s="2" t="e">
        <f t="shared" si="614"/>
        <v>#DIV/0!</v>
      </c>
      <c r="BC1169" s="9" t="e">
        <f t="shared" ca="1" si="615"/>
        <v>#N/A</v>
      </c>
      <c r="BD1169" s="9" t="e">
        <f t="shared" ca="1" si="616"/>
        <v>#N/A</v>
      </c>
    </row>
    <row r="1170" spans="1:56" ht="15" x14ac:dyDescent="0.25">
      <c r="A1170" s="63"/>
      <c r="B1170" s="63"/>
      <c r="C1170" s="64"/>
      <c r="D1170" s="64"/>
      <c r="E1170" s="64"/>
      <c r="F1170" s="64"/>
      <c r="G1170" s="64"/>
      <c r="H1170" s="64"/>
      <c r="I1170" s="64"/>
      <c r="J1170" s="64"/>
      <c r="K1170" s="64"/>
      <c r="L1170" s="64"/>
      <c r="M1170" s="64"/>
      <c r="N1170" s="16"/>
      <c r="O1170" s="11"/>
      <c r="P1170" s="11"/>
      <c r="Q1170" s="11"/>
      <c r="R1170" s="11"/>
      <c r="S1170" s="11"/>
      <c r="T1170" s="11"/>
      <c r="U1170" s="11">
        <f t="shared" si="625"/>
        <v>0</v>
      </c>
      <c r="V1170" s="2">
        <f t="shared" si="626"/>
        <v>0</v>
      </c>
      <c r="W1170" s="11">
        <f t="shared" si="627"/>
        <v>0</v>
      </c>
      <c r="X1170" s="2">
        <f t="shared" si="628"/>
        <v>0</v>
      </c>
      <c r="Y1170" s="2">
        <f t="shared" si="629"/>
        <v>0</v>
      </c>
      <c r="Z1170" s="11">
        <f t="shared" si="630"/>
        <v>0</v>
      </c>
      <c r="AA1170" s="2">
        <f t="shared" si="631"/>
        <v>0</v>
      </c>
      <c r="AB1170" s="11">
        <f t="shared" si="632"/>
        <v>0</v>
      </c>
      <c r="AC1170" s="2">
        <f t="shared" si="633"/>
        <v>0</v>
      </c>
      <c r="AF1170" s="11">
        <f t="shared" si="634"/>
        <v>0</v>
      </c>
      <c r="AG1170" s="2">
        <f t="shared" si="635"/>
        <v>0</v>
      </c>
      <c r="AH1170" s="2">
        <f t="shared" si="636"/>
        <v>0</v>
      </c>
      <c r="AI1170" s="2">
        <f t="shared" si="637"/>
        <v>0</v>
      </c>
      <c r="AJ1170" s="2">
        <f t="shared" si="638"/>
        <v>0</v>
      </c>
      <c r="AK1170" s="2">
        <f t="shared" si="639"/>
        <v>0</v>
      </c>
      <c r="AL1170" s="2">
        <f t="shared" si="640"/>
        <v>0</v>
      </c>
      <c r="AM1170" s="11"/>
      <c r="AN1170" s="2" t="e">
        <f t="shared" si="617"/>
        <v>#N/A</v>
      </c>
      <c r="AO1170" s="2" t="e">
        <f t="shared" si="618"/>
        <v>#N/A</v>
      </c>
      <c r="AP1170" s="2" t="e">
        <f t="shared" si="619"/>
        <v>#N/A</v>
      </c>
      <c r="AQ1170" s="2" t="e">
        <f t="shared" si="620"/>
        <v>#N/A</v>
      </c>
      <c r="AR1170" s="2" t="e">
        <f t="shared" si="621"/>
        <v>#N/A</v>
      </c>
      <c r="AS1170" s="2" t="e">
        <f t="shared" si="622"/>
        <v>#DIV/0!</v>
      </c>
      <c r="AT1170" s="9" t="e">
        <f t="shared" ca="1" si="623"/>
        <v>#N/A</v>
      </c>
      <c r="AU1170" s="9" t="e">
        <f t="shared" ca="1" si="624"/>
        <v>#N/A</v>
      </c>
      <c r="AW1170" s="2" t="e">
        <f t="shared" si="609"/>
        <v>#N/A</v>
      </c>
      <c r="AX1170" s="2" t="e">
        <f t="shared" si="610"/>
        <v>#N/A</v>
      </c>
      <c r="AY1170" s="2" t="e">
        <f t="shared" si="611"/>
        <v>#N/A</v>
      </c>
      <c r="AZ1170" s="2" t="e">
        <f t="shared" si="612"/>
        <v>#N/A</v>
      </c>
      <c r="BA1170" s="2" t="e">
        <f t="shared" si="613"/>
        <v>#N/A</v>
      </c>
      <c r="BB1170" s="2" t="e">
        <f t="shared" si="614"/>
        <v>#DIV/0!</v>
      </c>
      <c r="BC1170" s="9" t="e">
        <f t="shared" ca="1" si="615"/>
        <v>#N/A</v>
      </c>
      <c r="BD1170" s="9" t="e">
        <f t="shared" ca="1" si="616"/>
        <v>#N/A</v>
      </c>
    </row>
    <row r="1171" spans="1:56" ht="15" x14ac:dyDescent="0.25">
      <c r="A1171" s="63"/>
      <c r="B1171" s="63"/>
      <c r="C1171" s="64"/>
      <c r="D1171" s="64"/>
      <c r="E1171" s="64"/>
      <c r="F1171" s="64"/>
      <c r="G1171" s="64"/>
      <c r="H1171" s="64"/>
      <c r="I1171" s="64"/>
      <c r="J1171" s="64"/>
      <c r="K1171" s="64"/>
      <c r="L1171" s="64"/>
      <c r="M1171" s="64"/>
      <c r="N1171" s="16"/>
      <c r="O1171" s="11"/>
      <c r="P1171" s="11"/>
      <c r="Q1171" s="11"/>
      <c r="R1171" s="11"/>
      <c r="S1171" s="11"/>
      <c r="T1171" s="11"/>
      <c r="U1171" s="11">
        <f t="shared" si="625"/>
        <v>0</v>
      </c>
      <c r="V1171" s="2">
        <f t="shared" si="626"/>
        <v>0</v>
      </c>
      <c r="W1171" s="11">
        <f t="shared" si="627"/>
        <v>0</v>
      </c>
      <c r="X1171" s="2">
        <f t="shared" si="628"/>
        <v>0</v>
      </c>
      <c r="Y1171" s="2">
        <f t="shared" si="629"/>
        <v>0</v>
      </c>
      <c r="Z1171" s="11">
        <f t="shared" si="630"/>
        <v>0</v>
      </c>
      <c r="AA1171" s="2">
        <f t="shared" si="631"/>
        <v>0</v>
      </c>
      <c r="AB1171" s="11">
        <f t="shared" si="632"/>
        <v>0</v>
      </c>
      <c r="AC1171" s="2">
        <f t="shared" si="633"/>
        <v>0</v>
      </c>
      <c r="AF1171" s="11">
        <f t="shared" si="634"/>
        <v>0</v>
      </c>
      <c r="AG1171" s="2">
        <f t="shared" si="635"/>
        <v>0</v>
      </c>
      <c r="AH1171" s="2">
        <f t="shared" si="636"/>
        <v>0</v>
      </c>
      <c r="AI1171" s="2">
        <f t="shared" si="637"/>
        <v>0</v>
      </c>
      <c r="AJ1171" s="2">
        <f t="shared" si="638"/>
        <v>0</v>
      </c>
      <c r="AK1171" s="2">
        <f t="shared" si="639"/>
        <v>0</v>
      </c>
      <c r="AL1171" s="2">
        <f t="shared" si="640"/>
        <v>0</v>
      </c>
      <c r="AM1171" s="11"/>
      <c r="AN1171" s="2" t="e">
        <f t="shared" si="617"/>
        <v>#N/A</v>
      </c>
      <c r="AO1171" s="2" t="e">
        <f t="shared" si="618"/>
        <v>#N/A</v>
      </c>
      <c r="AP1171" s="2" t="e">
        <f t="shared" si="619"/>
        <v>#N/A</v>
      </c>
      <c r="AQ1171" s="2" t="e">
        <f t="shared" si="620"/>
        <v>#N/A</v>
      </c>
      <c r="AR1171" s="2" t="e">
        <f t="shared" si="621"/>
        <v>#N/A</v>
      </c>
      <c r="AS1171" s="2" t="e">
        <f t="shared" si="622"/>
        <v>#DIV/0!</v>
      </c>
      <c r="AT1171" s="9" t="e">
        <f t="shared" ca="1" si="623"/>
        <v>#N/A</v>
      </c>
      <c r="AU1171" s="9" t="e">
        <f t="shared" ca="1" si="624"/>
        <v>#N/A</v>
      </c>
      <c r="AW1171" s="2" t="e">
        <f t="shared" si="609"/>
        <v>#N/A</v>
      </c>
      <c r="AX1171" s="2" t="e">
        <f t="shared" si="610"/>
        <v>#N/A</v>
      </c>
      <c r="AY1171" s="2" t="e">
        <f t="shared" si="611"/>
        <v>#N/A</v>
      </c>
      <c r="AZ1171" s="2" t="e">
        <f t="shared" si="612"/>
        <v>#N/A</v>
      </c>
      <c r="BA1171" s="2" t="e">
        <f t="shared" si="613"/>
        <v>#N/A</v>
      </c>
      <c r="BB1171" s="2" t="e">
        <f t="shared" si="614"/>
        <v>#DIV/0!</v>
      </c>
      <c r="BC1171" s="9" t="e">
        <f t="shared" ca="1" si="615"/>
        <v>#N/A</v>
      </c>
      <c r="BD1171" s="9" t="e">
        <f t="shared" ca="1" si="616"/>
        <v>#N/A</v>
      </c>
    </row>
    <row r="1172" spans="1:56" ht="15" x14ac:dyDescent="0.25">
      <c r="A1172" s="63"/>
      <c r="B1172" s="63"/>
      <c r="C1172" s="64"/>
      <c r="D1172" s="64"/>
      <c r="E1172" s="64"/>
      <c r="F1172" s="64"/>
      <c r="G1172" s="64"/>
      <c r="H1172" s="64"/>
      <c r="I1172" s="64"/>
      <c r="J1172" s="64"/>
      <c r="K1172" s="64"/>
      <c r="L1172" s="64"/>
      <c r="M1172" s="64"/>
      <c r="N1172" s="16"/>
      <c r="O1172" s="11"/>
      <c r="P1172" s="11"/>
      <c r="Q1172" s="11"/>
      <c r="R1172" s="11"/>
      <c r="S1172" s="11"/>
      <c r="T1172" s="11"/>
      <c r="U1172" s="11">
        <f t="shared" si="625"/>
        <v>0</v>
      </c>
      <c r="V1172" s="2">
        <f t="shared" si="626"/>
        <v>0</v>
      </c>
      <c r="W1172" s="11">
        <f t="shared" si="627"/>
        <v>0</v>
      </c>
      <c r="X1172" s="2">
        <f t="shared" si="628"/>
        <v>0</v>
      </c>
      <c r="Y1172" s="2">
        <f t="shared" si="629"/>
        <v>0</v>
      </c>
      <c r="Z1172" s="11">
        <f t="shared" si="630"/>
        <v>0</v>
      </c>
      <c r="AA1172" s="2">
        <f t="shared" si="631"/>
        <v>0</v>
      </c>
      <c r="AB1172" s="11">
        <f t="shared" si="632"/>
        <v>0</v>
      </c>
      <c r="AC1172" s="2">
        <f t="shared" si="633"/>
        <v>0</v>
      </c>
      <c r="AF1172" s="11">
        <f t="shared" si="634"/>
        <v>0</v>
      </c>
      <c r="AG1172" s="2">
        <f t="shared" si="635"/>
        <v>0</v>
      </c>
      <c r="AH1172" s="2">
        <f t="shared" si="636"/>
        <v>0</v>
      </c>
      <c r="AI1172" s="2">
        <f t="shared" si="637"/>
        <v>0</v>
      </c>
      <c r="AJ1172" s="2">
        <f t="shared" si="638"/>
        <v>0</v>
      </c>
      <c r="AK1172" s="2">
        <f t="shared" si="639"/>
        <v>0</v>
      </c>
      <c r="AL1172" s="2">
        <f t="shared" si="640"/>
        <v>0</v>
      </c>
      <c r="AM1172" s="11"/>
      <c r="AN1172" s="2" t="e">
        <f t="shared" si="617"/>
        <v>#N/A</v>
      </c>
      <c r="AO1172" s="2" t="e">
        <f t="shared" si="618"/>
        <v>#N/A</v>
      </c>
      <c r="AP1172" s="2" t="e">
        <f t="shared" si="619"/>
        <v>#N/A</v>
      </c>
      <c r="AQ1172" s="2" t="e">
        <f t="shared" si="620"/>
        <v>#N/A</v>
      </c>
      <c r="AR1172" s="2" t="e">
        <f t="shared" si="621"/>
        <v>#N/A</v>
      </c>
      <c r="AS1172" s="2" t="e">
        <f t="shared" si="622"/>
        <v>#DIV/0!</v>
      </c>
      <c r="AT1172" s="9" t="e">
        <f t="shared" ca="1" si="623"/>
        <v>#N/A</v>
      </c>
      <c r="AU1172" s="9" t="e">
        <f t="shared" ca="1" si="624"/>
        <v>#N/A</v>
      </c>
      <c r="AW1172" s="2" t="e">
        <f t="shared" si="609"/>
        <v>#N/A</v>
      </c>
      <c r="AX1172" s="2" t="e">
        <f t="shared" si="610"/>
        <v>#N/A</v>
      </c>
      <c r="AY1172" s="2" t="e">
        <f t="shared" si="611"/>
        <v>#N/A</v>
      </c>
      <c r="AZ1172" s="2" t="e">
        <f t="shared" si="612"/>
        <v>#N/A</v>
      </c>
      <c r="BA1172" s="2" t="e">
        <f t="shared" si="613"/>
        <v>#N/A</v>
      </c>
      <c r="BB1172" s="2" t="e">
        <f t="shared" si="614"/>
        <v>#DIV/0!</v>
      </c>
      <c r="BC1172" s="9" t="e">
        <f t="shared" ca="1" si="615"/>
        <v>#N/A</v>
      </c>
      <c r="BD1172" s="9" t="e">
        <f t="shared" ca="1" si="616"/>
        <v>#N/A</v>
      </c>
    </row>
    <row r="1173" spans="1:56" ht="15" x14ac:dyDescent="0.25">
      <c r="A1173" s="63"/>
      <c r="B1173" s="63"/>
      <c r="C1173" s="64"/>
      <c r="D1173" s="64"/>
      <c r="E1173" s="64"/>
      <c r="F1173" s="64"/>
      <c r="G1173" s="64"/>
      <c r="H1173" s="64"/>
      <c r="I1173" s="64"/>
      <c r="J1173" s="64"/>
      <c r="K1173" s="64"/>
      <c r="L1173" s="64"/>
      <c r="M1173" s="64"/>
      <c r="N1173" s="16"/>
      <c r="O1173" s="11"/>
      <c r="P1173" s="11"/>
      <c r="Q1173" s="11"/>
      <c r="R1173" s="11"/>
      <c r="S1173" s="11"/>
      <c r="T1173" s="11"/>
      <c r="U1173" s="11">
        <f t="shared" si="625"/>
        <v>0</v>
      </c>
      <c r="V1173" s="2">
        <f t="shared" si="626"/>
        <v>0</v>
      </c>
      <c r="W1173" s="11">
        <f t="shared" si="627"/>
        <v>0</v>
      </c>
      <c r="X1173" s="2">
        <f t="shared" si="628"/>
        <v>0</v>
      </c>
      <c r="Y1173" s="2">
        <f t="shared" si="629"/>
        <v>0</v>
      </c>
      <c r="Z1173" s="11">
        <f t="shared" si="630"/>
        <v>0</v>
      </c>
      <c r="AA1173" s="2">
        <f t="shared" si="631"/>
        <v>0</v>
      </c>
      <c r="AB1173" s="11">
        <f t="shared" si="632"/>
        <v>0</v>
      </c>
      <c r="AC1173" s="2">
        <f t="shared" si="633"/>
        <v>0</v>
      </c>
      <c r="AF1173" s="11">
        <f t="shared" si="634"/>
        <v>0</v>
      </c>
      <c r="AG1173" s="2">
        <f t="shared" si="635"/>
        <v>0</v>
      </c>
      <c r="AH1173" s="2">
        <f t="shared" si="636"/>
        <v>0</v>
      </c>
      <c r="AI1173" s="2">
        <f t="shared" si="637"/>
        <v>0</v>
      </c>
      <c r="AJ1173" s="2">
        <f t="shared" si="638"/>
        <v>0</v>
      </c>
      <c r="AK1173" s="2">
        <f t="shared" si="639"/>
        <v>0</v>
      </c>
      <c r="AL1173" s="2">
        <f t="shared" si="640"/>
        <v>0</v>
      </c>
      <c r="AM1173" s="11"/>
      <c r="AN1173" s="2" t="e">
        <f t="shared" si="617"/>
        <v>#N/A</v>
      </c>
      <c r="AO1173" s="2" t="e">
        <f t="shared" si="618"/>
        <v>#N/A</v>
      </c>
      <c r="AP1173" s="2" t="e">
        <f t="shared" si="619"/>
        <v>#N/A</v>
      </c>
      <c r="AQ1173" s="2" t="e">
        <f t="shared" si="620"/>
        <v>#N/A</v>
      </c>
      <c r="AR1173" s="2" t="e">
        <f t="shared" si="621"/>
        <v>#N/A</v>
      </c>
      <c r="AS1173" s="2" t="e">
        <f t="shared" si="622"/>
        <v>#DIV/0!</v>
      </c>
      <c r="AT1173" s="9" t="e">
        <f t="shared" ca="1" si="623"/>
        <v>#N/A</v>
      </c>
      <c r="AU1173" s="9" t="e">
        <f t="shared" ca="1" si="624"/>
        <v>#N/A</v>
      </c>
      <c r="AW1173" s="2" t="e">
        <f t="shared" si="609"/>
        <v>#N/A</v>
      </c>
      <c r="AX1173" s="2" t="e">
        <f t="shared" si="610"/>
        <v>#N/A</v>
      </c>
      <c r="AY1173" s="2" t="e">
        <f t="shared" si="611"/>
        <v>#N/A</v>
      </c>
      <c r="AZ1173" s="2" t="e">
        <f t="shared" si="612"/>
        <v>#N/A</v>
      </c>
      <c r="BA1173" s="2" t="e">
        <f t="shared" si="613"/>
        <v>#N/A</v>
      </c>
      <c r="BB1173" s="2" t="e">
        <f t="shared" si="614"/>
        <v>#DIV/0!</v>
      </c>
      <c r="BC1173" s="9" t="e">
        <f t="shared" ca="1" si="615"/>
        <v>#N/A</v>
      </c>
      <c r="BD1173" s="9" t="e">
        <f t="shared" ca="1" si="616"/>
        <v>#N/A</v>
      </c>
    </row>
    <row r="1174" spans="1:56" ht="15" x14ac:dyDescent="0.25">
      <c r="A1174" s="63"/>
      <c r="B1174" s="63"/>
      <c r="C1174" s="64"/>
      <c r="D1174" s="64"/>
      <c r="E1174" s="64"/>
      <c r="F1174" s="64"/>
      <c r="G1174" s="64"/>
      <c r="H1174" s="64"/>
      <c r="I1174" s="64"/>
      <c r="J1174" s="64"/>
      <c r="K1174" s="64"/>
      <c r="L1174" s="64"/>
      <c r="M1174" s="64"/>
      <c r="N1174" s="16"/>
      <c r="O1174" s="11"/>
      <c r="P1174" s="11"/>
      <c r="Q1174" s="11"/>
      <c r="R1174" s="11"/>
      <c r="S1174" s="11"/>
      <c r="T1174" s="11"/>
      <c r="U1174" s="11">
        <f t="shared" si="625"/>
        <v>0</v>
      </c>
      <c r="V1174" s="2">
        <f t="shared" si="626"/>
        <v>0</v>
      </c>
      <c r="W1174" s="11">
        <f t="shared" si="627"/>
        <v>0</v>
      </c>
      <c r="X1174" s="2">
        <f t="shared" si="628"/>
        <v>0</v>
      </c>
      <c r="Y1174" s="2">
        <f t="shared" si="629"/>
        <v>0</v>
      </c>
      <c r="Z1174" s="11">
        <f t="shared" si="630"/>
        <v>0</v>
      </c>
      <c r="AA1174" s="2">
        <f t="shared" si="631"/>
        <v>0</v>
      </c>
      <c r="AB1174" s="11">
        <f t="shared" si="632"/>
        <v>0</v>
      </c>
      <c r="AC1174" s="2">
        <f t="shared" si="633"/>
        <v>0</v>
      </c>
      <c r="AF1174" s="11">
        <f t="shared" si="634"/>
        <v>0</v>
      </c>
      <c r="AG1174" s="2">
        <f t="shared" si="635"/>
        <v>0</v>
      </c>
      <c r="AH1174" s="2">
        <f t="shared" si="636"/>
        <v>0</v>
      </c>
      <c r="AI1174" s="2">
        <f t="shared" si="637"/>
        <v>0</v>
      </c>
      <c r="AJ1174" s="2">
        <f t="shared" si="638"/>
        <v>0</v>
      </c>
      <c r="AK1174" s="2">
        <f t="shared" si="639"/>
        <v>0</v>
      </c>
      <c r="AL1174" s="2">
        <f t="shared" si="640"/>
        <v>0</v>
      </c>
      <c r="AM1174" s="11"/>
      <c r="AN1174" s="2" t="e">
        <f t="shared" si="617"/>
        <v>#N/A</v>
      </c>
      <c r="AO1174" s="2" t="e">
        <f t="shared" si="618"/>
        <v>#N/A</v>
      </c>
      <c r="AP1174" s="2" t="e">
        <f t="shared" si="619"/>
        <v>#N/A</v>
      </c>
      <c r="AQ1174" s="2" t="e">
        <f t="shared" si="620"/>
        <v>#N/A</v>
      </c>
      <c r="AR1174" s="2" t="e">
        <f t="shared" si="621"/>
        <v>#N/A</v>
      </c>
      <c r="AS1174" s="2" t="e">
        <f t="shared" si="622"/>
        <v>#DIV/0!</v>
      </c>
      <c r="AT1174" s="9" t="e">
        <f t="shared" ca="1" si="623"/>
        <v>#N/A</v>
      </c>
      <c r="AU1174" s="9" t="e">
        <f t="shared" ca="1" si="624"/>
        <v>#N/A</v>
      </c>
      <c r="AW1174" s="2" t="e">
        <f t="shared" si="609"/>
        <v>#N/A</v>
      </c>
      <c r="AX1174" s="2" t="e">
        <f t="shared" si="610"/>
        <v>#N/A</v>
      </c>
      <c r="AY1174" s="2" t="e">
        <f t="shared" si="611"/>
        <v>#N/A</v>
      </c>
      <c r="AZ1174" s="2" t="e">
        <f t="shared" si="612"/>
        <v>#N/A</v>
      </c>
      <c r="BA1174" s="2" t="e">
        <f t="shared" si="613"/>
        <v>#N/A</v>
      </c>
      <c r="BB1174" s="2" t="e">
        <f t="shared" si="614"/>
        <v>#DIV/0!</v>
      </c>
      <c r="BC1174" s="9" t="e">
        <f t="shared" ca="1" si="615"/>
        <v>#N/A</v>
      </c>
      <c r="BD1174" s="9" t="e">
        <f t="shared" ca="1" si="616"/>
        <v>#N/A</v>
      </c>
    </row>
    <row r="1175" spans="1:56" ht="15" x14ac:dyDescent="0.25">
      <c r="A1175" s="63"/>
      <c r="B1175" s="63"/>
      <c r="C1175" s="64"/>
      <c r="D1175" s="64"/>
      <c r="E1175" s="64"/>
      <c r="F1175" s="64"/>
      <c r="G1175" s="64"/>
      <c r="H1175" s="64"/>
      <c r="I1175" s="64"/>
      <c r="J1175" s="64"/>
      <c r="K1175" s="64"/>
      <c r="L1175" s="64"/>
      <c r="M1175" s="64"/>
      <c r="N1175" s="16"/>
      <c r="O1175" s="11"/>
      <c r="P1175" s="11"/>
      <c r="Q1175" s="11"/>
      <c r="R1175" s="11"/>
      <c r="S1175" s="11"/>
      <c r="T1175" s="11"/>
      <c r="U1175" s="11">
        <f t="shared" si="625"/>
        <v>0</v>
      </c>
      <c r="V1175" s="2">
        <f t="shared" si="626"/>
        <v>0</v>
      </c>
      <c r="W1175" s="11">
        <f t="shared" si="627"/>
        <v>0</v>
      </c>
      <c r="X1175" s="2">
        <f t="shared" si="628"/>
        <v>0</v>
      </c>
      <c r="Y1175" s="2">
        <f t="shared" si="629"/>
        <v>0</v>
      </c>
      <c r="Z1175" s="11">
        <f t="shared" si="630"/>
        <v>0</v>
      </c>
      <c r="AA1175" s="2">
        <f t="shared" si="631"/>
        <v>0</v>
      </c>
      <c r="AB1175" s="11">
        <f t="shared" si="632"/>
        <v>0</v>
      </c>
      <c r="AC1175" s="2">
        <f t="shared" si="633"/>
        <v>0</v>
      </c>
      <c r="AF1175" s="11">
        <f t="shared" si="634"/>
        <v>0</v>
      </c>
      <c r="AG1175" s="2">
        <f t="shared" si="635"/>
        <v>0</v>
      </c>
      <c r="AH1175" s="2">
        <f t="shared" si="636"/>
        <v>0</v>
      </c>
      <c r="AI1175" s="2">
        <f t="shared" si="637"/>
        <v>0</v>
      </c>
      <c r="AJ1175" s="2">
        <f t="shared" si="638"/>
        <v>0</v>
      </c>
      <c r="AK1175" s="2">
        <f t="shared" si="639"/>
        <v>0</v>
      </c>
      <c r="AL1175" s="2">
        <f t="shared" si="640"/>
        <v>0</v>
      </c>
      <c r="AM1175" s="11"/>
      <c r="AN1175" s="2" t="e">
        <f t="shared" si="617"/>
        <v>#N/A</v>
      </c>
      <c r="AO1175" s="2" t="e">
        <f t="shared" si="618"/>
        <v>#N/A</v>
      </c>
      <c r="AP1175" s="2" t="e">
        <f t="shared" si="619"/>
        <v>#N/A</v>
      </c>
      <c r="AQ1175" s="2" t="e">
        <f t="shared" si="620"/>
        <v>#N/A</v>
      </c>
      <c r="AR1175" s="2" t="e">
        <f t="shared" si="621"/>
        <v>#N/A</v>
      </c>
      <c r="AS1175" s="2" t="e">
        <f t="shared" si="622"/>
        <v>#DIV/0!</v>
      </c>
      <c r="AT1175" s="9" t="e">
        <f t="shared" ca="1" si="623"/>
        <v>#N/A</v>
      </c>
      <c r="AU1175" s="9" t="e">
        <f t="shared" ca="1" si="624"/>
        <v>#N/A</v>
      </c>
      <c r="AW1175" s="2" t="e">
        <f t="shared" ref="AW1175:AW1200" si="641">IF(AND(AL1175&gt;0, AJ1175&gt;0), AL1175/AJ1175, #N/A)</f>
        <v>#N/A</v>
      </c>
      <c r="AX1175" s="2" t="e">
        <f t="shared" ref="AX1175:AX1200" si="642">$B$8*((AW1175/$B$10)^$B$11)</f>
        <v>#N/A</v>
      </c>
      <c r="AY1175" s="2" t="e">
        <f t="shared" ref="AY1175:AY1200" si="643">AX1175*AI1175</f>
        <v>#N/A</v>
      </c>
      <c r="AZ1175" s="2" t="e">
        <f t="shared" ref="AZ1175:AZ1200" si="644">AK1175-AY1175</f>
        <v>#N/A</v>
      </c>
      <c r="BA1175" s="2" t="e">
        <f t="shared" ref="BA1175:BA1200" si="645">(AZ1175/AJ1175)/((AW1175/$B$10)^$B$12)</f>
        <v>#N/A</v>
      </c>
      <c r="BB1175" s="2" t="e">
        <f t="shared" ref="BB1175:BB1200" si="646">(AH1175/AJ1175)/((AW1175/$B$10)^$B$13)</f>
        <v>#DIV/0!</v>
      </c>
      <c r="BC1175" s="9" t="e">
        <f t="shared" ref="BC1175:BC1200" ca="1" si="647">IF(AND(BA1175&lt;$P$3,BA1175&gt;$P$4),BA1175,"rejected")</f>
        <v>#N/A</v>
      </c>
      <c r="BD1175" s="9" t="e">
        <f t="shared" ref="BD1175:BD1200" ca="1" si="648">IF(AND(BA1175&lt;$P$3,BA1175&gt;$P$4),BA1175,#N/A)</f>
        <v>#N/A</v>
      </c>
    </row>
    <row r="1176" spans="1:56" ht="15" x14ac:dyDescent="0.25">
      <c r="A1176" s="63"/>
      <c r="B1176" s="63"/>
      <c r="C1176" s="64"/>
      <c r="D1176" s="64"/>
      <c r="E1176" s="64"/>
      <c r="F1176" s="64"/>
      <c r="G1176" s="64"/>
      <c r="H1176" s="64"/>
      <c r="I1176" s="64"/>
      <c r="J1176" s="64"/>
      <c r="K1176" s="64"/>
      <c r="L1176" s="64"/>
      <c r="M1176" s="64"/>
      <c r="N1176" s="16"/>
      <c r="O1176" s="11"/>
      <c r="P1176" s="11"/>
      <c r="Q1176" s="11"/>
      <c r="R1176" s="11"/>
      <c r="S1176" s="11"/>
      <c r="T1176" s="11"/>
      <c r="U1176" s="11">
        <f t="shared" si="625"/>
        <v>0</v>
      </c>
      <c r="V1176" s="2">
        <f t="shared" si="626"/>
        <v>0</v>
      </c>
      <c r="W1176" s="11">
        <f t="shared" si="627"/>
        <v>0</v>
      </c>
      <c r="X1176" s="2">
        <f t="shared" si="628"/>
        <v>0</v>
      </c>
      <c r="Y1176" s="2">
        <f t="shared" si="629"/>
        <v>0</v>
      </c>
      <c r="Z1176" s="11">
        <f t="shared" si="630"/>
        <v>0</v>
      </c>
      <c r="AA1176" s="2">
        <f t="shared" si="631"/>
        <v>0</v>
      </c>
      <c r="AB1176" s="11">
        <f t="shared" si="632"/>
        <v>0</v>
      </c>
      <c r="AC1176" s="2">
        <f t="shared" si="633"/>
        <v>0</v>
      </c>
      <c r="AF1176" s="11">
        <f t="shared" si="634"/>
        <v>0</v>
      </c>
      <c r="AG1176" s="2">
        <f t="shared" si="635"/>
        <v>0</v>
      </c>
      <c r="AH1176" s="2">
        <f t="shared" si="636"/>
        <v>0</v>
      </c>
      <c r="AI1176" s="2">
        <f t="shared" si="637"/>
        <v>0</v>
      </c>
      <c r="AJ1176" s="2">
        <f t="shared" si="638"/>
        <v>0</v>
      </c>
      <c r="AK1176" s="2">
        <f t="shared" si="639"/>
        <v>0</v>
      </c>
      <c r="AL1176" s="2">
        <f t="shared" si="640"/>
        <v>0</v>
      </c>
      <c r="AM1176" s="11"/>
      <c r="AN1176" s="2" t="e">
        <f t="shared" si="617"/>
        <v>#N/A</v>
      </c>
      <c r="AO1176" s="2" t="e">
        <f t="shared" si="618"/>
        <v>#N/A</v>
      </c>
      <c r="AP1176" s="2" t="e">
        <f t="shared" si="619"/>
        <v>#N/A</v>
      </c>
      <c r="AQ1176" s="2" t="e">
        <f t="shared" si="620"/>
        <v>#N/A</v>
      </c>
      <c r="AR1176" s="2" t="e">
        <f t="shared" si="621"/>
        <v>#N/A</v>
      </c>
      <c r="AS1176" s="2" t="e">
        <f t="shared" si="622"/>
        <v>#DIV/0!</v>
      </c>
      <c r="AT1176" s="9" t="e">
        <f t="shared" ca="1" si="623"/>
        <v>#N/A</v>
      </c>
      <c r="AU1176" s="9" t="e">
        <f t="shared" ca="1" si="624"/>
        <v>#N/A</v>
      </c>
      <c r="AW1176" s="2" t="e">
        <f t="shared" si="641"/>
        <v>#N/A</v>
      </c>
      <c r="AX1176" s="2" t="e">
        <f t="shared" si="642"/>
        <v>#N/A</v>
      </c>
      <c r="AY1176" s="2" t="e">
        <f t="shared" si="643"/>
        <v>#N/A</v>
      </c>
      <c r="AZ1176" s="2" t="e">
        <f t="shared" si="644"/>
        <v>#N/A</v>
      </c>
      <c r="BA1176" s="2" t="e">
        <f t="shared" si="645"/>
        <v>#N/A</v>
      </c>
      <c r="BB1176" s="2" t="e">
        <f t="shared" si="646"/>
        <v>#DIV/0!</v>
      </c>
      <c r="BC1176" s="9" t="e">
        <f t="shared" ca="1" si="647"/>
        <v>#N/A</v>
      </c>
      <c r="BD1176" s="9" t="e">
        <f t="shared" ca="1" si="648"/>
        <v>#N/A</v>
      </c>
    </row>
    <row r="1177" spans="1:56" ht="15" x14ac:dyDescent="0.25">
      <c r="A1177" s="63"/>
      <c r="B1177" s="63"/>
      <c r="C1177" s="64"/>
      <c r="D1177" s="64"/>
      <c r="E1177" s="64"/>
      <c r="F1177" s="64"/>
      <c r="G1177" s="64"/>
      <c r="H1177" s="64"/>
      <c r="I1177" s="64"/>
      <c r="J1177" s="64"/>
      <c r="K1177" s="64"/>
      <c r="L1177" s="64"/>
      <c r="M1177" s="64"/>
      <c r="N1177" s="16"/>
      <c r="O1177" s="11"/>
      <c r="P1177" s="11"/>
      <c r="Q1177" s="11"/>
      <c r="R1177" s="11"/>
      <c r="S1177" s="11"/>
      <c r="T1177" s="11"/>
      <c r="U1177" s="11">
        <f t="shared" si="625"/>
        <v>0</v>
      </c>
      <c r="V1177" s="2">
        <f t="shared" si="626"/>
        <v>0</v>
      </c>
      <c r="W1177" s="11">
        <f t="shared" si="627"/>
        <v>0</v>
      </c>
      <c r="X1177" s="2">
        <f t="shared" si="628"/>
        <v>0</v>
      </c>
      <c r="Y1177" s="2">
        <f t="shared" si="629"/>
        <v>0</v>
      </c>
      <c r="Z1177" s="11">
        <f t="shared" si="630"/>
        <v>0</v>
      </c>
      <c r="AA1177" s="2">
        <f t="shared" si="631"/>
        <v>0</v>
      </c>
      <c r="AB1177" s="11">
        <f t="shared" si="632"/>
        <v>0</v>
      </c>
      <c r="AC1177" s="2">
        <f t="shared" si="633"/>
        <v>0</v>
      </c>
      <c r="AF1177" s="11">
        <f t="shared" si="634"/>
        <v>0</v>
      </c>
      <c r="AG1177" s="2">
        <f t="shared" si="635"/>
        <v>0</v>
      </c>
      <c r="AH1177" s="2">
        <f t="shared" si="636"/>
        <v>0</v>
      </c>
      <c r="AI1177" s="2">
        <f t="shared" si="637"/>
        <v>0</v>
      </c>
      <c r="AJ1177" s="2">
        <f t="shared" si="638"/>
        <v>0</v>
      </c>
      <c r="AK1177" s="2">
        <f t="shared" si="639"/>
        <v>0</v>
      </c>
      <c r="AL1177" s="2">
        <f t="shared" si="640"/>
        <v>0</v>
      </c>
      <c r="AM1177" s="11"/>
      <c r="AN1177" s="2" t="e">
        <f t="shared" si="617"/>
        <v>#N/A</v>
      </c>
      <c r="AO1177" s="2" t="e">
        <f t="shared" si="618"/>
        <v>#N/A</v>
      </c>
      <c r="AP1177" s="2" t="e">
        <f t="shared" si="619"/>
        <v>#N/A</v>
      </c>
      <c r="AQ1177" s="2" t="e">
        <f t="shared" si="620"/>
        <v>#N/A</v>
      </c>
      <c r="AR1177" s="2" t="e">
        <f t="shared" si="621"/>
        <v>#N/A</v>
      </c>
      <c r="AS1177" s="2" t="e">
        <f t="shared" si="622"/>
        <v>#DIV/0!</v>
      </c>
      <c r="AT1177" s="9" t="e">
        <f t="shared" ca="1" si="623"/>
        <v>#N/A</v>
      </c>
      <c r="AU1177" s="9" t="e">
        <f t="shared" ca="1" si="624"/>
        <v>#N/A</v>
      </c>
      <c r="AW1177" s="2" t="e">
        <f t="shared" si="641"/>
        <v>#N/A</v>
      </c>
      <c r="AX1177" s="2" t="e">
        <f t="shared" si="642"/>
        <v>#N/A</v>
      </c>
      <c r="AY1177" s="2" t="e">
        <f t="shared" si="643"/>
        <v>#N/A</v>
      </c>
      <c r="AZ1177" s="2" t="e">
        <f t="shared" si="644"/>
        <v>#N/A</v>
      </c>
      <c r="BA1177" s="2" t="e">
        <f t="shared" si="645"/>
        <v>#N/A</v>
      </c>
      <c r="BB1177" s="2" t="e">
        <f t="shared" si="646"/>
        <v>#DIV/0!</v>
      </c>
      <c r="BC1177" s="9" t="e">
        <f t="shared" ca="1" si="647"/>
        <v>#N/A</v>
      </c>
      <c r="BD1177" s="9" t="e">
        <f t="shared" ca="1" si="648"/>
        <v>#N/A</v>
      </c>
    </row>
    <row r="1178" spans="1:56" ht="15" x14ac:dyDescent="0.25">
      <c r="A1178" s="63"/>
      <c r="B1178" s="63"/>
      <c r="C1178" s="64"/>
      <c r="D1178" s="64"/>
      <c r="E1178" s="64"/>
      <c r="F1178" s="64"/>
      <c r="G1178" s="64"/>
      <c r="H1178" s="64"/>
      <c r="I1178" s="64"/>
      <c r="J1178" s="64"/>
      <c r="K1178" s="64"/>
      <c r="L1178" s="64"/>
      <c r="M1178" s="64"/>
      <c r="N1178" s="16"/>
      <c r="O1178" s="11"/>
      <c r="P1178" s="11"/>
      <c r="Q1178" s="11"/>
      <c r="R1178" s="11"/>
      <c r="S1178" s="11"/>
      <c r="T1178" s="11"/>
      <c r="U1178" s="11">
        <f t="shared" si="625"/>
        <v>0</v>
      </c>
      <c r="V1178" s="2">
        <f t="shared" si="626"/>
        <v>0</v>
      </c>
      <c r="W1178" s="11">
        <f t="shared" si="627"/>
        <v>0</v>
      </c>
      <c r="X1178" s="2">
        <f t="shared" si="628"/>
        <v>0</v>
      </c>
      <c r="Y1178" s="2">
        <f t="shared" si="629"/>
        <v>0</v>
      </c>
      <c r="Z1178" s="11">
        <f t="shared" si="630"/>
        <v>0</v>
      </c>
      <c r="AA1178" s="2">
        <f t="shared" si="631"/>
        <v>0</v>
      </c>
      <c r="AB1178" s="11">
        <f t="shared" si="632"/>
        <v>0</v>
      </c>
      <c r="AC1178" s="2">
        <f t="shared" si="633"/>
        <v>0</v>
      </c>
      <c r="AF1178" s="11">
        <f t="shared" si="634"/>
        <v>0</v>
      </c>
      <c r="AG1178" s="2">
        <f t="shared" si="635"/>
        <v>0</v>
      </c>
      <c r="AH1178" s="2">
        <f t="shared" si="636"/>
        <v>0</v>
      </c>
      <c r="AI1178" s="2">
        <f t="shared" si="637"/>
        <v>0</v>
      </c>
      <c r="AJ1178" s="2">
        <f t="shared" si="638"/>
        <v>0</v>
      </c>
      <c r="AK1178" s="2">
        <f t="shared" si="639"/>
        <v>0</v>
      </c>
      <c r="AL1178" s="2">
        <f t="shared" si="640"/>
        <v>0</v>
      </c>
      <c r="AM1178" s="11"/>
      <c r="AN1178" s="2" t="e">
        <f t="shared" si="617"/>
        <v>#N/A</v>
      </c>
      <c r="AO1178" s="2" t="e">
        <f t="shared" si="618"/>
        <v>#N/A</v>
      </c>
      <c r="AP1178" s="2" t="e">
        <f t="shared" si="619"/>
        <v>#N/A</v>
      </c>
      <c r="AQ1178" s="2" t="e">
        <f t="shared" si="620"/>
        <v>#N/A</v>
      </c>
      <c r="AR1178" s="2" t="e">
        <f t="shared" si="621"/>
        <v>#N/A</v>
      </c>
      <c r="AS1178" s="2" t="e">
        <f t="shared" si="622"/>
        <v>#DIV/0!</v>
      </c>
      <c r="AT1178" s="9" t="e">
        <f t="shared" ca="1" si="623"/>
        <v>#N/A</v>
      </c>
      <c r="AU1178" s="9" t="e">
        <f t="shared" ca="1" si="624"/>
        <v>#N/A</v>
      </c>
      <c r="AW1178" s="2" t="e">
        <f t="shared" si="641"/>
        <v>#N/A</v>
      </c>
      <c r="AX1178" s="2" t="e">
        <f t="shared" si="642"/>
        <v>#N/A</v>
      </c>
      <c r="AY1178" s="2" t="e">
        <f t="shared" si="643"/>
        <v>#N/A</v>
      </c>
      <c r="AZ1178" s="2" t="e">
        <f t="shared" si="644"/>
        <v>#N/A</v>
      </c>
      <c r="BA1178" s="2" t="e">
        <f t="shared" si="645"/>
        <v>#N/A</v>
      </c>
      <c r="BB1178" s="2" t="e">
        <f t="shared" si="646"/>
        <v>#DIV/0!</v>
      </c>
      <c r="BC1178" s="9" t="e">
        <f t="shared" ca="1" si="647"/>
        <v>#N/A</v>
      </c>
      <c r="BD1178" s="9" t="e">
        <f t="shared" ca="1" si="648"/>
        <v>#N/A</v>
      </c>
    </row>
    <row r="1179" spans="1:56" ht="15" x14ac:dyDescent="0.25">
      <c r="A1179" s="63"/>
      <c r="B1179" s="63"/>
      <c r="C1179" s="64"/>
      <c r="D1179" s="64"/>
      <c r="E1179" s="64"/>
      <c r="F1179" s="64"/>
      <c r="G1179" s="64"/>
      <c r="H1179" s="64"/>
      <c r="I1179" s="64"/>
      <c r="J1179" s="64"/>
      <c r="K1179" s="64"/>
      <c r="L1179" s="64"/>
      <c r="M1179" s="64"/>
      <c r="N1179" s="16"/>
      <c r="O1179" s="11"/>
      <c r="P1179" s="11"/>
      <c r="Q1179" s="11"/>
      <c r="R1179" s="11"/>
      <c r="S1179" s="11"/>
      <c r="T1179" s="11"/>
      <c r="U1179" s="11">
        <f t="shared" si="625"/>
        <v>0</v>
      </c>
      <c r="V1179" s="2">
        <f t="shared" si="626"/>
        <v>0</v>
      </c>
      <c r="W1179" s="11">
        <f t="shared" si="627"/>
        <v>0</v>
      </c>
      <c r="X1179" s="2">
        <f t="shared" si="628"/>
        <v>0</v>
      </c>
      <c r="Y1179" s="2">
        <f t="shared" si="629"/>
        <v>0</v>
      </c>
      <c r="Z1179" s="11">
        <f t="shared" si="630"/>
        <v>0</v>
      </c>
      <c r="AA1179" s="2">
        <f t="shared" si="631"/>
        <v>0</v>
      </c>
      <c r="AB1179" s="11">
        <f t="shared" si="632"/>
        <v>0</v>
      </c>
      <c r="AC1179" s="2">
        <f t="shared" si="633"/>
        <v>0</v>
      </c>
      <c r="AF1179" s="11">
        <f t="shared" si="634"/>
        <v>0</v>
      </c>
      <c r="AG1179" s="2">
        <f t="shared" si="635"/>
        <v>0</v>
      </c>
      <c r="AH1179" s="2">
        <f t="shared" si="636"/>
        <v>0</v>
      </c>
      <c r="AI1179" s="2">
        <f t="shared" si="637"/>
        <v>0</v>
      </c>
      <c r="AJ1179" s="2">
        <f t="shared" si="638"/>
        <v>0</v>
      </c>
      <c r="AK1179" s="2">
        <f t="shared" si="639"/>
        <v>0</v>
      </c>
      <c r="AL1179" s="2">
        <f t="shared" si="640"/>
        <v>0</v>
      </c>
      <c r="AM1179" s="11"/>
      <c r="AN1179" s="2" t="e">
        <f t="shared" ref="AN1179:AN1200" si="649">IF(AND(S1179&gt;0,U1179&gt;0),U1179/S1179, #N/A)</f>
        <v>#N/A</v>
      </c>
      <c r="AO1179" s="2" t="e">
        <f t="shared" ref="AO1179:AO1200" si="650">$B$8*((AN1179/$B$10)^$B$11)</f>
        <v>#N/A</v>
      </c>
      <c r="AP1179" s="2" t="e">
        <f t="shared" ref="AP1179:AP1200" si="651">AO1179*R1179</f>
        <v>#N/A</v>
      </c>
      <c r="AQ1179" s="2" t="e">
        <f t="shared" ref="AQ1179:AQ1200" si="652">T1179-AP1179</f>
        <v>#N/A</v>
      </c>
      <c r="AR1179" s="2" t="e">
        <f t="shared" ref="AR1179:AR1200" si="653">(AQ1179/S1179)/((AN1179/$B$10)^$B$12)</f>
        <v>#N/A</v>
      </c>
      <c r="AS1179" s="2" t="e">
        <f t="shared" ref="AS1179:AS1200" si="654">(Q1179/S1179)/((AN1179/$B$10)^$B$13)</f>
        <v>#DIV/0!</v>
      </c>
      <c r="AT1179" s="9" t="e">
        <f t="shared" ref="AT1179:AT1200" ca="1" si="655">IF(AND(AR1179&lt;$M$3,AR1179&gt;$M$4),AR1179,"rejected")</f>
        <v>#N/A</v>
      </c>
      <c r="AU1179" s="9" t="e">
        <f t="shared" ref="AU1179:AU1200" ca="1" si="656">IF(AND(AR1179&lt;$M$3,AR1179&gt;$M$4),AR1179,#N/A)</f>
        <v>#N/A</v>
      </c>
      <c r="AW1179" s="2" t="e">
        <f t="shared" si="641"/>
        <v>#N/A</v>
      </c>
      <c r="AX1179" s="2" t="e">
        <f t="shared" si="642"/>
        <v>#N/A</v>
      </c>
      <c r="AY1179" s="2" t="e">
        <f t="shared" si="643"/>
        <v>#N/A</v>
      </c>
      <c r="AZ1179" s="2" t="e">
        <f t="shared" si="644"/>
        <v>#N/A</v>
      </c>
      <c r="BA1179" s="2" t="e">
        <f t="shared" si="645"/>
        <v>#N/A</v>
      </c>
      <c r="BB1179" s="2" t="e">
        <f t="shared" si="646"/>
        <v>#DIV/0!</v>
      </c>
      <c r="BC1179" s="9" t="e">
        <f t="shared" ca="1" si="647"/>
        <v>#N/A</v>
      </c>
      <c r="BD1179" s="9" t="e">
        <f t="shared" ca="1" si="648"/>
        <v>#N/A</v>
      </c>
    </row>
    <row r="1180" spans="1:56" ht="15" x14ac:dyDescent="0.25">
      <c r="A1180" s="63"/>
      <c r="B1180" s="63"/>
      <c r="C1180" s="64"/>
      <c r="D1180" s="64"/>
      <c r="E1180" s="64"/>
      <c r="F1180" s="64"/>
      <c r="G1180" s="64"/>
      <c r="H1180" s="64"/>
      <c r="I1180" s="64"/>
      <c r="J1180" s="64"/>
      <c r="K1180" s="64"/>
      <c r="L1180" s="64"/>
      <c r="M1180" s="64"/>
      <c r="N1180" s="16"/>
      <c r="O1180" s="11"/>
      <c r="P1180" s="11"/>
      <c r="Q1180" s="11"/>
      <c r="R1180" s="11"/>
      <c r="S1180" s="11"/>
      <c r="T1180" s="11"/>
      <c r="U1180" s="11">
        <f t="shared" si="625"/>
        <v>0</v>
      </c>
      <c r="V1180" s="2">
        <f t="shared" si="626"/>
        <v>0</v>
      </c>
      <c r="W1180" s="11">
        <f t="shared" si="627"/>
        <v>0</v>
      </c>
      <c r="X1180" s="2">
        <f t="shared" si="628"/>
        <v>0</v>
      </c>
      <c r="Y1180" s="2">
        <f t="shared" si="629"/>
        <v>0</v>
      </c>
      <c r="Z1180" s="11">
        <f t="shared" si="630"/>
        <v>0</v>
      </c>
      <c r="AA1180" s="2">
        <f t="shared" si="631"/>
        <v>0</v>
      </c>
      <c r="AB1180" s="11">
        <f t="shared" si="632"/>
        <v>0</v>
      </c>
      <c r="AC1180" s="2">
        <f t="shared" si="633"/>
        <v>0</v>
      </c>
      <c r="AF1180" s="11">
        <f t="shared" si="634"/>
        <v>0</v>
      </c>
      <c r="AG1180" s="2">
        <f t="shared" si="635"/>
        <v>0</v>
      </c>
      <c r="AH1180" s="2">
        <f t="shared" si="636"/>
        <v>0</v>
      </c>
      <c r="AI1180" s="2">
        <f t="shared" si="637"/>
        <v>0</v>
      </c>
      <c r="AJ1180" s="2">
        <f t="shared" si="638"/>
        <v>0</v>
      </c>
      <c r="AK1180" s="2">
        <f t="shared" si="639"/>
        <v>0</v>
      </c>
      <c r="AL1180" s="2">
        <f t="shared" si="640"/>
        <v>0</v>
      </c>
      <c r="AM1180" s="11"/>
      <c r="AN1180" s="2" t="e">
        <f t="shared" si="649"/>
        <v>#N/A</v>
      </c>
      <c r="AO1180" s="2" t="e">
        <f t="shared" si="650"/>
        <v>#N/A</v>
      </c>
      <c r="AP1180" s="2" t="e">
        <f t="shared" si="651"/>
        <v>#N/A</v>
      </c>
      <c r="AQ1180" s="2" t="e">
        <f t="shared" si="652"/>
        <v>#N/A</v>
      </c>
      <c r="AR1180" s="2" t="e">
        <f t="shared" si="653"/>
        <v>#N/A</v>
      </c>
      <c r="AS1180" s="2" t="e">
        <f t="shared" si="654"/>
        <v>#DIV/0!</v>
      </c>
      <c r="AT1180" s="9" t="e">
        <f t="shared" ca="1" si="655"/>
        <v>#N/A</v>
      </c>
      <c r="AU1180" s="9" t="e">
        <f t="shared" ca="1" si="656"/>
        <v>#N/A</v>
      </c>
      <c r="AW1180" s="2" t="e">
        <f t="shared" si="641"/>
        <v>#N/A</v>
      </c>
      <c r="AX1180" s="2" t="e">
        <f t="shared" si="642"/>
        <v>#N/A</v>
      </c>
      <c r="AY1180" s="2" t="e">
        <f t="shared" si="643"/>
        <v>#N/A</v>
      </c>
      <c r="AZ1180" s="2" t="e">
        <f t="shared" si="644"/>
        <v>#N/A</v>
      </c>
      <c r="BA1180" s="2" t="e">
        <f t="shared" si="645"/>
        <v>#N/A</v>
      </c>
      <c r="BB1180" s="2" t="e">
        <f t="shared" si="646"/>
        <v>#DIV/0!</v>
      </c>
      <c r="BC1180" s="9" t="e">
        <f t="shared" ca="1" si="647"/>
        <v>#N/A</v>
      </c>
      <c r="BD1180" s="9" t="e">
        <f t="shared" ca="1" si="648"/>
        <v>#N/A</v>
      </c>
    </row>
    <row r="1181" spans="1:56" ht="15" x14ac:dyDescent="0.25">
      <c r="A1181" s="63"/>
      <c r="B1181" s="63"/>
      <c r="C1181" s="64"/>
      <c r="D1181" s="64"/>
      <c r="E1181" s="64"/>
      <c r="F1181" s="64"/>
      <c r="G1181" s="64"/>
      <c r="H1181" s="64"/>
      <c r="I1181" s="64"/>
      <c r="J1181" s="64"/>
      <c r="K1181" s="64"/>
      <c r="L1181" s="64"/>
      <c r="M1181" s="64"/>
      <c r="N1181" s="16"/>
      <c r="O1181" s="11"/>
      <c r="P1181" s="11"/>
      <c r="Q1181" s="11"/>
      <c r="R1181" s="11"/>
      <c r="S1181" s="11"/>
      <c r="T1181" s="11"/>
      <c r="U1181" s="11">
        <f t="shared" si="625"/>
        <v>0</v>
      </c>
      <c r="V1181" s="2">
        <f t="shared" si="626"/>
        <v>0</v>
      </c>
      <c r="W1181" s="11">
        <f t="shared" si="627"/>
        <v>0</v>
      </c>
      <c r="X1181" s="2">
        <f t="shared" si="628"/>
        <v>0</v>
      </c>
      <c r="Y1181" s="2">
        <f t="shared" si="629"/>
        <v>0</v>
      </c>
      <c r="Z1181" s="11">
        <f t="shared" si="630"/>
        <v>0</v>
      </c>
      <c r="AA1181" s="2">
        <f t="shared" si="631"/>
        <v>0</v>
      </c>
      <c r="AB1181" s="11">
        <f t="shared" si="632"/>
        <v>0</v>
      </c>
      <c r="AC1181" s="2">
        <f t="shared" si="633"/>
        <v>0</v>
      </c>
      <c r="AF1181" s="11">
        <f t="shared" si="634"/>
        <v>0</v>
      </c>
      <c r="AG1181" s="2">
        <f t="shared" si="635"/>
        <v>0</v>
      </c>
      <c r="AH1181" s="2">
        <f t="shared" si="636"/>
        <v>0</v>
      </c>
      <c r="AI1181" s="2">
        <f t="shared" si="637"/>
        <v>0</v>
      </c>
      <c r="AJ1181" s="2">
        <f t="shared" si="638"/>
        <v>0</v>
      </c>
      <c r="AK1181" s="2">
        <f t="shared" si="639"/>
        <v>0</v>
      </c>
      <c r="AL1181" s="2">
        <f t="shared" si="640"/>
        <v>0</v>
      </c>
      <c r="AM1181" s="11"/>
      <c r="AN1181" s="2" t="e">
        <f t="shared" si="649"/>
        <v>#N/A</v>
      </c>
      <c r="AO1181" s="2" t="e">
        <f t="shared" si="650"/>
        <v>#N/A</v>
      </c>
      <c r="AP1181" s="2" t="e">
        <f t="shared" si="651"/>
        <v>#N/A</v>
      </c>
      <c r="AQ1181" s="2" t="e">
        <f t="shared" si="652"/>
        <v>#N/A</v>
      </c>
      <c r="AR1181" s="2" t="e">
        <f t="shared" si="653"/>
        <v>#N/A</v>
      </c>
      <c r="AS1181" s="2" t="e">
        <f t="shared" si="654"/>
        <v>#DIV/0!</v>
      </c>
      <c r="AT1181" s="9" t="e">
        <f t="shared" ca="1" si="655"/>
        <v>#N/A</v>
      </c>
      <c r="AU1181" s="9" t="e">
        <f t="shared" ca="1" si="656"/>
        <v>#N/A</v>
      </c>
      <c r="AW1181" s="2" t="e">
        <f t="shared" si="641"/>
        <v>#N/A</v>
      </c>
      <c r="AX1181" s="2" t="e">
        <f t="shared" si="642"/>
        <v>#N/A</v>
      </c>
      <c r="AY1181" s="2" t="e">
        <f t="shared" si="643"/>
        <v>#N/A</v>
      </c>
      <c r="AZ1181" s="2" t="e">
        <f t="shared" si="644"/>
        <v>#N/A</v>
      </c>
      <c r="BA1181" s="2" t="e">
        <f t="shared" si="645"/>
        <v>#N/A</v>
      </c>
      <c r="BB1181" s="2" t="e">
        <f t="shared" si="646"/>
        <v>#DIV/0!</v>
      </c>
      <c r="BC1181" s="9" t="e">
        <f t="shared" ca="1" si="647"/>
        <v>#N/A</v>
      </c>
      <c r="BD1181" s="9" t="e">
        <f t="shared" ca="1" si="648"/>
        <v>#N/A</v>
      </c>
    </row>
    <row r="1182" spans="1:56" ht="15" x14ac:dyDescent="0.25">
      <c r="A1182" s="63"/>
      <c r="B1182" s="63"/>
      <c r="C1182" s="64"/>
      <c r="D1182" s="64"/>
      <c r="E1182" s="64"/>
      <c r="F1182" s="64"/>
      <c r="G1182" s="64"/>
      <c r="H1182" s="64"/>
      <c r="I1182" s="64"/>
      <c r="J1182" s="64"/>
      <c r="K1182" s="64"/>
      <c r="L1182" s="64"/>
      <c r="M1182" s="64"/>
      <c r="N1182" s="16"/>
      <c r="O1182" s="11"/>
      <c r="P1182" s="11"/>
      <c r="Q1182" s="11"/>
      <c r="R1182" s="11"/>
      <c r="S1182" s="11"/>
      <c r="T1182" s="11"/>
      <c r="U1182" s="11">
        <f t="shared" si="625"/>
        <v>0</v>
      </c>
      <c r="V1182" s="2">
        <f t="shared" si="626"/>
        <v>0</v>
      </c>
      <c r="W1182" s="11">
        <f t="shared" si="627"/>
        <v>0</v>
      </c>
      <c r="X1182" s="2">
        <f t="shared" si="628"/>
        <v>0</v>
      </c>
      <c r="Y1182" s="2">
        <f t="shared" si="629"/>
        <v>0</v>
      </c>
      <c r="Z1182" s="11">
        <f t="shared" si="630"/>
        <v>0</v>
      </c>
      <c r="AA1182" s="2">
        <f t="shared" si="631"/>
        <v>0</v>
      </c>
      <c r="AB1182" s="11">
        <f t="shared" si="632"/>
        <v>0</v>
      </c>
      <c r="AC1182" s="2">
        <f t="shared" si="633"/>
        <v>0</v>
      </c>
      <c r="AF1182" s="11">
        <f t="shared" si="634"/>
        <v>0</v>
      </c>
      <c r="AG1182" s="2">
        <f t="shared" si="635"/>
        <v>0</v>
      </c>
      <c r="AH1182" s="2">
        <f t="shared" si="636"/>
        <v>0</v>
      </c>
      <c r="AI1182" s="2">
        <f t="shared" si="637"/>
        <v>0</v>
      </c>
      <c r="AJ1182" s="2">
        <f t="shared" si="638"/>
        <v>0</v>
      </c>
      <c r="AK1182" s="2">
        <f t="shared" si="639"/>
        <v>0</v>
      </c>
      <c r="AL1182" s="2">
        <f t="shared" si="640"/>
        <v>0</v>
      </c>
      <c r="AM1182" s="11"/>
      <c r="AN1182" s="2" t="e">
        <f t="shared" si="649"/>
        <v>#N/A</v>
      </c>
      <c r="AO1182" s="2" t="e">
        <f t="shared" si="650"/>
        <v>#N/A</v>
      </c>
      <c r="AP1182" s="2" t="e">
        <f t="shared" si="651"/>
        <v>#N/A</v>
      </c>
      <c r="AQ1182" s="2" t="e">
        <f t="shared" si="652"/>
        <v>#N/A</v>
      </c>
      <c r="AR1182" s="2" t="e">
        <f t="shared" si="653"/>
        <v>#N/A</v>
      </c>
      <c r="AS1182" s="2" t="e">
        <f t="shared" si="654"/>
        <v>#DIV/0!</v>
      </c>
      <c r="AT1182" s="9" t="e">
        <f t="shared" ca="1" si="655"/>
        <v>#N/A</v>
      </c>
      <c r="AU1182" s="9" t="e">
        <f t="shared" ca="1" si="656"/>
        <v>#N/A</v>
      </c>
      <c r="AW1182" s="2" t="e">
        <f t="shared" si="641"/>
        <v>#N/A</v>
      </c>
      <c r="AX1182" s="2" t="e">
        <f t="shared" si="642"/>
        <v>#N/A</v>
      </c>
      <c r="AY1182" s="2" t="e">
        <f t="shared" si="643"/>
        <v>#N/A</v>
      </c>
      <c r="AZ1182" s="2" t="e">
        <f t="shared" si="644"/>
        <v>#N/A</v>
      </c>
      <c r="BA1182" s="2" t="e">
        <f t="shared" si="645"/>
        <v>#N/A</v>
      </c>
      <c r="BB1182" s="2" t="e">
        <f t="shared" si="646"/>
        <v>#DIV/0!</v>
      </c>
      <c r="BC1182" s="9" t="e">
        <f t="shared" ca="1" si="647"/>
        <v>#N/A</v>
      </c>
      <c r="BD1182" s="9" t="e">
        <f t="shared" ca="1" si="648"/>
        <v>#N/A</v>
      </c>
    </row>
    <row r="1183" spans="1:56" ht="15" x14ac:dyDescent="0.25">
      <c r="A1183" s="63"/>
      <c r="B1183" s="63"/>
      <c r="C1183" s="64"/>
      <c r="D1183" s="64"/>
      <c r="E1183" s="64"/>
      <c r="F1183" s="64"/>
      <c r="G1183" s="64"/>
      <c r="H1183" s="64"/>
      <c r="I1183" s="64"/>
      <c r="J1183" s="64"/>
      <c r="K1183" s="64"/>
      <c r="L1183" s="64"/>
      <c r="M1183" s="64"/>
      <c r="N1183" s="16"/>
      <c r="O1183" s="11"/>
      <c r="P1183" s="11"/>
      <c r="Q1183" s="11"/>
      <c r="R1183" s="11"/>
      <c r="S1183" s="11"/>
      <c r="T1183" s="11"/>
      <c r="U1183" s="11">
        <f t="shared" si="625"/>
        <v>0</v>
      </c>
      <c r="V1183" s="2">
        <f t="shared" si="626"/>
        <v>0</v>
      </c>
      <c r="W1183" s="11">
        <f t="shared" si="627"/>
        <v>0</v>
      </c>
      <c r="X1183" s="2">
        <f t="shared" si="628"/>
        <v>0</v>
      </c>
      <c r="Y1183" s="2">
        <f t="shared" si="629"/>
        <v>0</v>
      </c>
      <c r="Z1183" s="11">
        <f t="shared" si="630"/>
        <v>0</v>
      </c>
      <c r="AA1183" s="2">
        <f t="shared" si="631"/>
        <v>0</v>
      </c>
      <c r="AB1183" s="11">
        <f t="shared" si="632"/>
        <v>0</v>
      </c>
      <c r="AC1183" s="2">
        <f t="shared" si="633"/>
        <v>0</v>
      </c>
      <c r="AF1183" s="11">
        <f t="shared" si="634"/>
        <v>0</v>
      </c>
      <c r="AG1183" s="2">
        <f t="shared" si="635"/>
        <v>0</v>
      </c>
      <c r="AH1183" s="2">
        <f t="shared" si="636"/>
        <v>0</v>
      </c>
      <c r="AI1183" s="2">
        <f t="shared" si="637"/>
        <v>0</v>
      </c>
      <c r="AJ1183" s="2">
        <f t="shared" si="638"/>
        <v>0</v>
      </c>
      <c r="AK1183" s="2">
        <f t="shared" si="639"/>
        <v>0</v>
      </c>
      <c r="AL1183" s="2">
        <f t="shared" si="640"/>
        <v>0</v>
      </c>
      <c r="AM1183" s="11"/>
      <c r="AN1183" s="2" t="e">
        <f t="shared" si="649"/>
        <v>#N/A</v>
      </c>
      <c r="AO1183" s="2" t="e">
        <f t="shared" si="650"/>
        <v>#N/A</v>
      </c>
      <c r="AP1183" s="2" t="e">
        <f t="shared" si="651"/>
        <v>#N/A</v>
      </c>
      <c r="AQ1183" s="2" t="e">
        <f t="shared" si="652"/>
        <v>#N/A</v>
      </c>
      <c r="AR1183" s="2" t="e">
        <f t="shared" si="653"/>
        <v>#N/A</v>
      </c>
      <c r="AS1183" s="2" t="e">
        <f t="shared" si="654"/>
        <v>#DIV/0!</v>
      </c>
      <c r="AT1183" s="9" t="e">
        <f t="shared" ca="1" si="655"/>
        <v>#N/A</v>
      </c>
      <c r="AU1183" s="9" t="e">
        <f t="shared" ca="1" si="656"/>
        <v>#N/A</v>
      </c>
      <c r="AW1183" s="2" t="e">
        <f t="shared" si="641"/>
        <v>#N/A</v>
      </c>
      <c r="AX1183" s="2" t="e">
        <f t="shared" si="642"/>
        <v>#N/A</v>
      </c>
      <c r="AY1183" s="2" t="e">
        <f t="shared" si="643"/>
        <v>#N/A</v>
      </c>
      <c r="AZ1183" s="2" t="e">
        <f t="shared" si="644"/>
        <v>#N/A</v>
      </c>
      <c r="BA1183" s="2" t="e">
        <f t="shared" si="645"/>
        <v>#N/A</v>
      </c>
      <c r="BB1183" s="2" t="e">
        <f t="shared" si="646"/>
        <v>#DIV/0!</v>
      </c>
      <c r="BC1183" s="9" t="e">
        <f t="shared" ca="1" si="647"/>
        <v>#N/A</v>
      </c>
      <c r="BD1183" s="9" t="e">
        <f t="shared" ca="1" si="648"/>
        <v>#N/A</v>
      </c>
    </row>
    <row r="1184" spans="1:56" ht="15" x14ac:dyDescent="0.25">
      <c r="A1184" s="63"/>
      <c r="B1184" s="63"/>
      <c r="C1184" s="64"/>
      <c r="D1184" s="64"/>
      <c r="E1184" s="64"/>
      <c r="F1184" s="64"/>
      <c r="G1184" s="64"/>
      <c r="H1184" s="64"/>
      <c r="I1184" s="64"/>
      <c r="J1184" s="64"/>
      <c r="K1184" s="64"/>
      <c r="L1184" s="64"/>
      <c r="M1184" s="64"/>
      <c r="N1184" s="16"/>
      <c r="O1184" s="11"/>
      <c r="P1184" s="11"/>
      <c r="Q1184" s="11"/>
      <c r="R1184" s="11"/>
      <c r="S1184" s="11"/>
      <c r="T1184" s="11"/>
      <c r="U1184" s="11">
        <f t="shared" si="625"/>
        <v>0</v>
      </c>
      <c r="V1184" s="2">
        <f t="shared" si="626"/>
        <v>0</v>
      </c>
      <c r="W1184" s="11">
        <f t="shared" si="627"/>
        <v>0</v>
      </c>
      <c r="X1184" s="2">
        <f t="shared" si="628"/>
        <v>0</v>
      </c>
      <c r="Y1184" s="2">
        <f t="shared" si="629"/>
        <v>0</v>
      </c>
      <c r="Z1184" s="11">
        <f t="shared" si="630"/>
        <v>0</v>
      </c>
      <c r="AA1184" s="2">
        <f t="shared" si="631"/>
        <v>0</v>
      </c>
      <c r="AB1184" s="11">
        <f t="shared" si="632"/>
        <v>0</v>
      </c>
      <c r="AC1184" s="2">
        <f t="shared" si="633"/>
        <v>0</v>
      </c>
      <c r="AF1184" s="11">
        <f t="shared" si="634"/>
        <v>0</v>
      </c>
      <c r="AG1184" s="2">
        <f t="shared" si="635"/>
        <v>0</v>
      </c>
      <c r="AH1184" s="2">
        <f t="shared" si="636"/>
        <v>0</v>
      </c>
      <c r="AI1184" s="2">
        <f t="shared" si="637"/>
        <v>0</v>
      </c>
      <c r="AJ1184" s="2">
        <f t="shared" si="638"/>
        <v>0</v>
      </c>
      <c r="AK1184" s="2">
        <f t="shared" si="639"/>
        <v>0</v>
      </c>
      <c r="AL1184" s="2">
        <f t="shared" si="640"/>
        <v>0</v>
      </c>
      <c r="AM1184" s="11"/>
      <c r="AN1184" s="2" t="e">
        <f t="shared" si="649"/>
        <v>#N/A</v>
      </c>
      <c r="AO1184" s="2" t="e">
        <f t="shared" si="650"/>
        <v>#N/A</v>
      </c>
      <c r="AP1184" s="2" t="e">
        <f t="shared" si="651"/>
        <v>#N/A</v>
      </c>
      <c r="AQ1184" s="2" t="e">
        <f t="shared" si="652"/>
        <v>#N/A</v>
      </c>
      <c r="AR1184" s="2" t="e">
        <f t="shared" si="653"/>
        <v>#N/A</v>
      </c>
      <c r="AS1184" s="2" t="e">
        <f t="shared" si="654"/>
        <v>#DIV/0!</v>
      </c>
      <c r="AT1184" s="9" t="e">
        <f t="shared" ca="1" si="655"/>
        <v>#N/A</v>
      </c>
      <c r="AU1184" s="9" t="e">
        <f t="shared" ca="1" si="656"/>
        <v>#N/A</v>
      </c>
      <c r="AW1184" s="2" t="e">
        <f t="shared" si="641"/>
        <v>#N/A</v>
      </c>
      <c r="AX1184" s="2" t="e">
        <f t="shared" si="642"/>
        <v>#N/A</v>
      </c>
      <c r="AY1184" s="2" t="e">
        <f t="shared" si="643"/>
        <v>#N/A</v>
      </c>
      <c r="AZ1184" s="2" t="e">
        <f t="shared" si="644"/>
        <v>#N/A</v>
      </c>
      <c r="BA1184" s="2" t="e">
        <f t="shared" si="645"/>
        <v>#N/A</v>
      </c>
      <c r="BB1184" s="2" t="e">
        <f t="shared" si="646"/>
        <v>#DIV/0!</v>
      </c>
      <c r="BC1184" s="9" t="e">
        <f t="shared" ca="1" si="647"/>
        <v>#N/A</v>
      </c>
      <c r="BD1184" s="9" t="e">
        <f t="shared" ca="1" si="648"/>
        <v>#N/A</v>
      </c>
    </row>
    <row r="1185" spans="1:56" ht="15" x14ac:dyDescent="0.25">
      <c r="A1185" s="63"/>
      <c r="B1185" s="63"/>
      <c r="C1185" s="64"/>
      <c r="D1185" s="64"/>
      <c r="E1185" s="64"/>
      <c r="F1185" s="64"/>
      <c r="G1185" s="64"/>
      <c r="H1185" s="64"/>
      <c r="I1185" s="64"/>
      <c r="J1185" s="64"/>
      <c r="K1185" s="64"/>
      <c r="L1185" s="64"/>
      <c r="M1185" s="64"/>
      <c r="N1185" s="16"/>
      <c r="O1185" s="11"/>
      <c r="P1185" s="11"/>
      <c r="Q1185" s="11"/>
      <c r="R1185" s="11"/>
      <c r="S1185" s="11"/>
      <c r="T1185" s="11"/>
      <c r="U1185" s="11">
        <f t="shared" si="625"/>
        <v>0</v>
      </c>
      <c r="V1185" s="2">
        <f t="shared" si="626"/>
        <v>0</v>
      </c>
      <c r="W1185" s="11">
        <f t="shared" si="627"/>
        <v>0</v>
      </c>
      <c r="X1185" s="2">
        <f t="shared" si="628"/>
        <v>0</v>
      </c>
      <c r="Y1185" s="2">
        <f t="shared" si="629"/>
        <v>0</v>
      </c>
      <c r="Z1185" s="11">
        <f t="shared" si="630"/>
        <v>0</v>
      </c>
      <c r="AA1185" s="2">
        <f t="shared" si="631"/>
        <v>0</v>
      </c>
      <c r="AB1185" s="11">
        <f t="shared" si="632"/>
        <v>0</v>
      </c>
      <c r="AC1185" s="2">
        <f t="shared" si="633"/>
        <v>0</v>
      </c>
      <c r="AF1185" s="11">
        <f t="shared" si="634"/>
        <v>0</v>
      </c>
      <c r="AG1185" s="2">
        <f t="shared" si="635"/>
        <v>0</v>
      </c>
      <c r="AH1185" s="2">
        <f t="shared" si="636"/>
        <v>0</v>
      </c>
      <c r="AI1185" s="2">
        <f t="shared" si="637"/>
        <v>0</v>
      </c>
      <c r="AJ1185" s="2">
        <f t="shared" si="638"/>
        <v>0</v>
      </c>
      <c r="AK1185" s="2">
        <f t="shared" si="639"/>
        <v>0</v>
      </c>
      <c r="AL1185" s="2">
        <f t="shared" si="640"/>
        <v>0</v>
      </c>
      <c r="AM1185" s="11"/>
      <c r="AN1185" s="2" t="e">
        <f t="shared" si="649"/>
        <v>#N/A</v>
      </c>
      <c r="AO1185" s="2" t="e">
        <f t="shared" si="650"/>
        <v>#N/A</v>
      </c>
      <c r="AP1185" s="2" t="e">
        <f t="shared" si="651"/>
        <v>#N/A</v>
      </c>
      <c r="AQ1185" s="2" t="e">
        <f t="shared" si="652"/>
        <v>#N/A</v>
      </c>
      <c r="AR1185" s="2" t="e">
        <f t="shared" si="653"/>
        <v>#N/A</v>
      </c>
      <c r="AS1185" s="2" t="e">
        <f t="shared" si="654"/>
        <v>#DIV/0!</v>
      </c>
      <c r="AT1185" s="9" t="e">
        <f t="shared" ca="1" si="655"/>
        <v>#N/A</v>
      </c>
      <c r="AU1185" s="9" t="e">
        <f t="shared" ca="1" si="656"/>
        <v>#N/A</v>
      </c>
      <c r="AW1185" s="2" t="e">
        <f t="shared" si="641"/>
        <v>#N/A</v>
      </c>
      <c r="AX1185" s="2" t="e">
        <f t="shared" si="642"/>
        <v>#N/A</v>
      </c>
      <c r="AY1185" s="2" t="e">
        <f t="shared" si="643"/>
        <v>#N/A</v>
      </c>
      <c r="AZ1185" s="2" t="e">
        <f t="shared" si="644"/>
        <v>#N/A</v>
      </c>
      <c r="BA1185" s="2" t="e">
        <f t="shared" si="645"/>
        <v>#N/A</v>
      </c>
      <c r="BB1185" s="2" t="e">
        <f t="shared" si="646"/>
        <v>#DIV/0!</v>
      </c>
      <c r="BC1185" s="9" t="e">
        <f t="shared" ca="1" si="647"/>
        <v>#N/A</v>
      </c>
      <c r="BD1185" s="9" t="e">
        <f t="shared" ca="1" si="648"/>
        <v>#N/A</v>
      </c>
    </row>
    <row r="1186" spans="1:56" ht="15" x14ac:dyDescent="0.25">
      <c r="A1186" s="63"/>
      <c r="B1186" s="63"/>
      <c r="C1186" s="64"/>
      <c r="D1186" s="64"/>
      <c r="E1186" s="64"/>
      <c r="F1186" s="64"/>
      <c r="G1186" s="64"/>
      <c r="H1186" s="64"/>
      <c r="I1186" s="64"/>
      <c r="J1186" s="64"/>
      <c r="K1186" s="64"/>
      <c r="L1186" s="64"/>
      <c r="M1186" s="64"/>
      <c r="N1186" s="16"/>
      <c r="O1186" s="11"/>
      <c r="P1186" s="11"/>
      <c r="Q1186" s="11"/>
      <c r="R1186" s="11"/>
      <c r="S1186" s="11"/>
      <c r="T1186" s="11"/>
      <c r="U1186" s="11">
        <f t="shared" ref="U1186:U1200" si="657">M1186</f>
        <v>0</v>
      </c>
      <c r="V1186" s="2">
        <f t="shared" ref="V1186:V1200" si="658">IF(M1186&gt;0,N1186-(M1186*$X$63/$W$63), N1186)</f>
        <v>0</v>
      </c>
      <c r="W1186" s="11">
        <f t="shared" si="627"/>
        <v>0</v>
      </c>
      <c r="X1186" s="2">
        <f t="shared" si="628"/>
        <v>0</v>
      </c>
      <c r="Y1186" s="2">
        <f t="shared" si="629"/>
        <v>0</v>
      </c>
      <c r="Z1186" s="11">
        <f t="shared" si="630"/>
        <v>0</v>
      </c>
      <c r="AA1186" s="2">
        <f t="shared" si="631"/>
        <v>0</v>
      </c>
      <c r="AB1186" s="11">
        <f t="shared" si="632"/>
        <v>0</v>
      </c>
      <c r="AC1186" s="2">
        <f t="shared" si="633"/>
        <v>0</v>
      </c>
      <c r="AF1186" s="11">
        <f t="shared" si="634"/>
        <v>0</v>
      </c>
      <c r="AG1186" s="2">
        <f t="shared" si="635"/>
        <v>0</v>
      </c>
      <c r="AH1186" s="2">
        <f t="shared" si="636"/>
        <v>0</v>
      </c>
      <c r="AI1186" s="2">
        <f t="shared" si="637"/>
        <v>0</v>
      </c>
      <c r="AJ1186" s="2">
        <f t="shared" si="638"/>
        <v>0</v>
      </c>
      <c r="AK1186" s="2">
        <f t="shared" si="639"/>
        <v>0</v>
      </c>
      <c r="AL1186" s="2">
        <f t="shared" si="640"/>
        <v>0</v>
      </c>
      <c r="AM1186" s="11"/>
      <c r="AN1186" s="2" t="e">
        <f t="shared" si="649"/>
        <v>#N/A</v>
      </c>
      <c r="AO1186" s="2" t="e">
        <f t="shared" si="650"/>
        <v>#N/A</v>
      </c>
      <c r="AP1186" s="2" t="e">
        <f t="shared" si="651"/>
        <v>#N/A</v>
      </c>
      <c r="AQ1186" s="2" t="e">
        <f t="shared" si="652"/>
        <v>#N/A</v>
      </c>
      <c r="AR1186" s="2" t="e">
        <f t="shared" si="653"/>
        <v>#N/A</v>
      </c>
      <c r="AS1186" s="2" t="e">
        <f t="shared" si="654"/>
        <v>#DIV/0!</v>
      </c>
      <c r="AT1186" s="9" t="e">
        <f t="shared" ca="1" si="655"/>
        <v>#N/A</v>
      </c>
      <c r="AU1186" s="9" t="e">
        <f t="shared" ca="1" si="656"/>
        <v>#N/A</v>
      </c>
      <c r="AW1186" s="2" t="e">
        <f t="shared" si="641"/>
        <v>#N/A</v>
      </c>
      <c r="AX1186" s="2" t="e">
        <f t="shared" si="642"/>
        <v>#N/A</v>
      </c>
      <c r="AY1186" s="2" t="e">
        <f t="shared" si="643"/>
        <v>#N/A</v>
      </c>
      <c r="AZ1186" s="2" t="e">
        <f t="shared" si="644"/>
        <v>#N/A</v>
      </c>
      <c r="BA1186" s="2" t="e">
        <f t="shared" si="645"/>
        <v>#N/A</v>
      </c>
      <c r="BB1186" s="2" t="e">
        <f t="shared" si="646"/>
        <v>#DIV/0!</v>
      </c>
      <c r="BC1186" s="9" t="e">
        <f t="shared" ca="1" si="647"/>
        <v>#N/A</v>
      </c>
      <c r="BD1186" s="9" t="e">
        <f t="shared" ca="1" si="648"/>
        <v>#N/A</v>
      </c>
    </row>
    <row r="1187" spans="1:56" ht="15" x14ac:dyDescent="0.25">
      <c r="A1187" s="63"/>
      <c r="B1187" s="63"/>
      <c r="C1187" s="64"/>
      <c r="D1187" s="64"/>
      <c r="E1187" s="64"/>
      <c r="F1187" s="64"/>
      <c r="G1187" s="64"/>
      <c r="H1187" s="64"/>
      <c r="I1187" s="64"/>
      <c r="J1187" s="64"/>
      <c r="K1187" s="64"/>
      <c r="L1187" s="64"/>
      <c r="M1187" s="64"/>
      <c r="N1187" s="16"/>
      <c r="O1187" s="11"/>
      <c r="P1187" s="11"/>
      <c r="Q1187" s="11"/>
      <c r="R1187" s="11"/>
      <c r="S1187" s="11"/>
      <c r="T1187" s="11"/>
      <c r="U1187" s="11">
        <f t="shared" si="657"/>
        <v>0</v>
      </c>
      <c r="V1187" s="2">
        <f t="shared" si="658"/>
        <v>0</v>
      </c>
      <c r="W1187" s="11">
        <f t="shared" si="627"/>
        <v>0</v>
      </c>
      <c r="X1187" s="2">
        <f t="shared" si="628"/>
        <v>0</v>
      </c>
      <c r="Y1187" s="2">
        <f t="shared" si="629"/>
        <v>0</v>
      </c>
      <c r="Z1187" s="11">
        <f t="shared" si="630"/>
        <v>0</v>
      </c>
      <c r="AA1187" s="2">
        <f t="shared" si="631"/>
        <v>0</v>
      </c>
      <c r="AB1187" s="11">
        <f t="shared" si="632"/>
        <v>0</v>
      </c>
      <c r="AC1187" s="2">
        <f t="shared" si="633"/>
        <v>0</v>
      </c>
      <c r="AF1187" s="11">
        <f t="shared" si="634"/>
        <v>0</v>
      </c>
      <c r="AG1187" s="2">
        <f t="shared" si="635"/>
        <v>0</v>
      </c>
      <c r="AH1187" s="2">
        <f t="shared" si="636"/>
        <v>0</v>
      </c>
      <c r="AI1187" s="2">
        <f t="shared" si="637"/>
        <v>0</v>
      </c>
      <c r="AJ1187" s="2">
        <f t="shared" si="638"/>
        <v>0</v>
      </c>
      <c r="AK1187" s="2">
        <f t="shared" si="639"/>
        <v>0</v>
      </c>
      <c r="AL1187" s="2">
        <f t="shared" si="640"/>
        <v>0</v>
      </c>
      <c r="AM1187" s="11"/>
      <c r="AN1187" s="2" t="e">
        <f t="shared" si="649"/>
        <v>#N/A</v>
      </c>
      <c r="AO1187" s="2" t="e">
        <f t="shared" si="650"/>
        <v>#N/A</v>
      </c>
      <c r="AP1187" s="2" t="e">
        <f t="shared" si="651"/>
        <v>#N/A</v>
      </c>
      <c r="AQ1187" s="2" t="e">
        <f t="shared" si="652"/>
        <v>#N/A</v>
      </c>
      <c r="AR1187" s="2" t="e">
        <f t="shared" si="653"/>
        <v>#N/A</v>
      </c>
      <c r="AS1187" s="2" t="e">
        <f t="shared" si="654"/>
        <v>#DIV/0!</v>
      </c>
      <c r="AT1187" s="9" t="e">
        <f t="shared" ca="1" si="655"/>
        <v>#N/A</v>
      </c>
      <c r="AU1187" s="9" t="e">
        <f t="shared" ca="1" si="656"/>
        <v>#N/A</v>
      </c>
      <c r="AW1187" s="2" t="e">
        <f t="shared" si="641"/>
        <v>#N/A</v>
      </c>
      <c r="AX1187" s="2" t="e">
        <f t="shared" si="642"/>
        <v>#N/A</v>
      </c>
      <c r="AY1187" s="2" t="e">
        <f t="shared" si="643"/>
        <v>#N/A</v>
      </c>
      <c r="AZ1187" s="2" t="e">
        <f t="shared" si="644"/>
        <v>#N/A</v>
      </c>
      <c r="BA1187" s="2" t="e">
        <f t="shared" si="645"/>
        <v>#N/A</v>
      </c>
      <c r="BB1187" s="2" t="e">
        <f t="shared" si="646"/>
        <v>#DIV/0!</v>
      </c>
      <c r="BC1187" s="9" t="e">
        <f t="shared" ca="1" si="647"/>
        <v>#N/A</v>
      </c>
      <c r="BD1187" s="9" t="e">
        <f t="shared" ca="1" si="648"/>
        <v>#N/A</v>
      </c>
    </row>
    <row r="1188" spans="1:56" ht="15" x14ac:dyDescent="0.25">
      <c r="A1188" s="63"/>
      <c r="B1188" s="63"/>
      <c r="C1188" s="64"/>
      <c r="D1188" s="64"/>
      <c r="E1188" s="64"/>
      <c r="F1188" s="64"/>
      <c r="G1188" s="64"/>
      <c r="H1188" s="64"/>
      <c r="I1188" s="64"/>
      <c r="J1188" s="64"/>
      <c r="K1188" s="64"/>
      <c r="L1188" s="64"/>
      <c r="M1188" s="64"/>
      <c r="N1188" s="16"/>
      <c r="O1188" s="11"/>
      <c r="P1188" s="11"/>
      <c r="Q1188" s="11"/>
      <c r="R1188" s="11"/>
      <c r="S1188" s="11"/>
      <c r="T1188" s="11"/>
      <c r="U1188" s="11">
        <f t="shared" si="657"/>
        <v>0</v>
      </c>
      <c r="V1188" s="2">
        <f t="shared" si="658"/>
        <v>0</v>
      </c>
      <c r="W1188" s="11">
        <f t="shared" si="627"/>
        <v>0</v>
      </c>
      <c r="X1188" s="2">
        <f t="shared" si="628"/>
        <v>0</v>
      </c>
      <c r="Y1188" s="2">
        <f t="shared" si="629"/>
        <v>0</v>
      </c>
      <c r="Z1188" s="11">
        <f t="shared" si="630"/>
        <v>0</v>
      </c>
      <c r="AA1188" s="2">
        <f t="shared" si="631"/>
        <v>0</v>
      </c>
      <c r="AB1188" s="11">
        <f t="shared" si="632"/>
        <v>0</v>
      </c>
      <c r="AC1188" s="2">
        <f t="shared" si="633"/>
        <v>0</v>
      </c>
      <c r="AF1188" s="11">
        <f t="shared" si="634"/>
        <v>0</v>
      </c>
      <c r="AG1188" s="2">
        <f t="shared" si="635"/>
        <v>0</v>
      </c>
      <c r="AH1188" s="2">
        <f t="shared" si="636"/>
        <v>0</v>
      </c>
      <c r="AI1188" s="2">
        <f t="shared" si="637"/>
        <v>0</v>
      </c>
      <c r="AJ1188" s="2">
        <f t="shared" si="638"/>
        <v>0</v>
      </c>
      <c r="AK1188" s="2">
        <f t="shared" si="639"/>
        <v>0</v>
      </c>
      <c r="AL1188" s="2">
        <f t="shared" si="640"/>
        <v>0</v>
      </c>
      <c r="AM1188" s="11"/>
      <c r="AN1188" s="2" t="e">
        <f t="shared" si="649"/>
        <v>#N/A</v>
      </c>
      <c r="AO1188" s="2" t="e">
        <f t="shared" si="650"/>
        <v>#N/A</v>
      </c>
      <c r="AP1188" s="2" t="e">
        <f t="shared" si="651"/>
        <v>#N/A</v>
      </c>
      <c r="AQ1188" s="2" t="e">
        <f t="shared" si="652"/>
        <v>#N/A</v>
      </c>
      <c r="AR1188" s="2" t="e">
        <f t="shared" si="653"/>
        <v>#N/A</v>
      </c>
      <c r="AS1188" s="2" t="e">
        <f t="shared" si="654"/>
        <v>#DIV/0!</v>
      </c>
      <c r="AT1188" s="9" t="e">
        <f t="shared" ca="1" si="655"/>
        <v>#N/A</v>
      </c>
      <c r="AU1188" s="9" t="e">
        <f t="shared" ca="1" si="656"/>
        <v>#N/A</v>
      </c>
      <c r="AW1188" s="2" t="e">
        <f t="shared" si="641"/>
        <v>#N/A</v>
      </c>
      <c r="AX1188" s="2" t="e">
        <f t="shared" si="642"/>
        <v>#N/A</v>
      </c>
      <c r="AY1188" s="2" t="e">
        <f t="shared" si="643"/>
        <v>#N/A</v>
      </c>
      <c r="AZ1188" s="2" t="e">
        <f t="shared" si="644"/>
        <v>#N/A</v>
      </c>
      <c r="BA1188" s="2" t="e">
        <f t="shared" si="645"/>
        <v>#N/A</v>
      </c>
      <c r="BB1188" s="2" t="e">
        <f t="shared" si="646"/>
        <v>#DIV/0!</v>
      </c>
      <c r="BC1188" s="9" t="e">
        <f t="shared" ca="1" si="647"/>
        <v>#N/A</v>
      </c>
      <c r="BD1188" s="9" t="e">
        <f t="shared" ca="1" si="648"/>
        <v>#N/A</v>
      </c>
    </row>
    <row r="1189" spans="1:56" ht="15" x14ac:dyDescent="0.25">
      <c r="A1189" s="63"/>
      <c r="B1189" s="63"/>
      <c r="C1189" s="64"/>
      <c r="D1189" s="64"/>
      <c r="E1189" s="64"/>
      <c r="F1189" s="64"/>
      <c r="G1189" s="64"/>
      <c r="H1189" s="64"/>
      <c r="I1189" s="64"/>
      <c r="J1189" s="64"/>
      <c r="K1189" s="64"/>
      <c r="L1189" s="64"/>
      <c r="M1189" s="64"/>
      <c r="N1189" s="16"/>
      <c r="O1189" s="11"/>
      <c r="P1189" s="11"/>
      <c r="Q1189" s="11"/>
      <c r="R1189" s="11"/>
      <c r="S1189" s="11"/>
      <c r="T1189" s="11"/>
      <c r="U1189" s="11">
        <f t="shared" si="657"/>
        <v>0</v>
      </c>
      <c r="V1189" s="2">
        <f t="shared" si="658"/>
        <v>0</v>
      </c>
      <c r="W1189" s="11">
        <f t="shared" si="627"/>
        <v>0</v>
      </c>
      <c r="X1189" s="2">
        <f t="shared" si="628"/>
        <v>0</v>
      </c>
      <c r="Y1189" s="2">
        <f t="shared" si="629"/>
        <v>0</v>
      </c>
      <c r="Z1189" s="11">
        <f t="shared" si="630"/>
        <v>0</v>
      </c>
      <c r="AA1189" s="2">
        <f t="shared" si="631"/>
        <v>0</v>
      </c>
      <c r="AB1189" s="11">
        <f t="shared" si="632"/>
        <v>0</v>
      </c>
      <c r="AC1189" s="2">
        <f t="shared" si="633"/>
        <v>0</v>
      </c>
      <c r="AF1189" s="11">
        <f t="shared" si="634"/>
        <v>0</v>
      </c>
      <c r="AG1189" s="2">
        <f t="shared" si="635"/>
        <v>0</v>
      </c>
      <c r="AH1189" s="2">
        <f t="shared" si="636"/>
        <v>0</v>
      </c>
      <c r="AI1189" s="2">
        <f t="shared" si="637"/>
        <v>0</v>
      </c>
      <c r="AJ1189" s="2">
        <f t="shared" si="638"/>
        <v>0</v>
      </c>
      <c r="AK1189" s="2">
        <f t="shared" si="639"/>
        <v>0</v>
      </c>
      <c r="AL1189" s="2">
        <f t="shared" si="640"/>
        <v>0</v>
      </c>
      <c r="AM1189" s="11"/>
      <c r="AN1189" s="2" t="e">
        <f t="shared" si="649"/>
        <v>#N/A</v>
      </c>
      <c r="AO1189" s="2" t="e">
        <f t="shared" si="650"/>
        <v>#N/A</v>
      </c>
      <c r="AP1189" s="2" t="e">
        <f t="shared" si="651"/>
        <v>#N/A</v>
      </c>
      <c r="AQ1189" s="2" t="e">
        <f t="shared" si="652"/>
        <v>#N/A</v>
      </c>
      <c r="AR1189" s="2" t="e">
        <f t="shared" si="653"/>
        <v>#N/A</v>
      </c>
      <c r="AS1189" s="2" t="e">
        <f t="shared" si="654"/>
        <v>#DIV/0!</v>
      </c>
      <c r="AT1189" s="9" t="e">
        <f t="shared" ca="1" si="655"/>
        <v>#N/A</v>
      </c>
      <c r="AU1189" s="9" t="e">
        <f t="shared" ca="1" si="656"/>
        <v>#N/A</v>
      </c>
      <c r="AW1189" s="2" t="e">
        <f t="shared" si="641"/>
        <v>#N/A</v>
      </c>
      <c r="AX1189" s="2" t="e">
        <f t="shared" si="642"/>
        <v>#N/A</v>
      </c>
      <c r="AY1189" s="2" t="e">
        <f t="shared" si="643"/>
        <v>#N/A</v>
      </c>
      <c r="AZ1189" s="2" t="e">
        <f t="shared" si="644"/>
        <v>#N/A</v>
      </c>
      <c r="BA1189" s="2" t="e">
        <f t="shared" si="645"/>
        <v>#N/A</v>
      </c>
      <c r="BB1189" s="2" t="e">
        <f t="shared" si="646"/>
        <v>#DIV/0!</v>
      </c>
      <c r="BC1189" s="9" t="e">
        <f t="shared" ca="1" si="647"/>
        <v>#N/A</v>
      </c>
      <c r="BD1189" s="9" t="e">
        <f t="shared" ca="1" si="648"/>
        <v>#N/A</v>
      </c>
    </row>
    <row r="1190" spans="1:56" ht="15" x14ac:dyDescent="0.25">
      <c r="A1190" s="63"/>
      <c r="B1190" s="63"/>
      <c r="C1190" s="64"/>
      <c r="D1190" s="64"/>
      <c r="E1190" s="64"/>
      <c r="F1190" s="64"/>
      <c r="G1190" s="64"/>
      <c r="H1190" s="64"/>
      <c r="I1190" s="64"/>
      <c r="J1190" s="64"/>
      <c r="K1190" s="64"/>
      <c r="L1190" s="64"/>
      <c r="M1190" s="64"/>
      <c r="N1190" s="16"/>
      <c r="O1190" s="11"/>
      <c r="P1190" s="11"/>
      <c r="Q1190" s="11"/>
      <c r="R1190" s="11"/>
      <c r="S1190" s="11"/>
      <c r="T1190" s="11"/>
      <c r="U1190" s="11">
        <f t="shared" si="657"/>
        <v>0</v>
      </c>
      <c r="V1190" s="2">
        <f t="shared" si="658"/>
        <v>0</v>
      </c>
      <c r="W1190" s="11">
        <f t="shared" si="627"/>
        <v>0</v>
      </c>
      <c r="X1190" s="2">
        <f t="shared" si="628"/>
        <v>0</v>
      </c>
      <c r="Y1190" s="2">
        <f t="shared" si="629"/>
        <v>0</v>
      </c>
      <c r="Z1190" s="11">
        <f t="shared" si="630"/>
        <v>0</v>
      </c>
      <c r="AA1190" s="2">
        <f t="shared" si="631"/>
        <v>0</v>
      </c>
      <c r="AB1190" s="11">
        <f t="shared" si="632"/>
        <v>0</v>
      </c>
      <c r="AC1190" s="2">
        <f t="shared" si="633"/>
        <v>0</v>
      </c>
      <c r="AF1190" s="11">
        <f t="shared" si="634"/>
        <v>0</v>
      </c>
      <c r="AG1190" s="2">
        <f t="shared" si="635"/>
        <v>0</v>
      </c>
      <c r="AH1190" s="2">
        <f t="shared" si="636"/>
        <v>0</v>
      </c>
      <c r="AI1190" s="2">
        <f t="shared" si="637"/>
        <v>0</v>
      </c>
      <c r="AJ1190" s="2">
        <f t="shared" si="638"/>
        <v>0</v>
      </c>
      <c r="AK1190" s="2">
        <f t="shared" si="639"/>
        <v>0</v>
      </c>
      <c r="AL1190" s="2">
        <f t="shared" si="640"/>
        <v>0</v>
      </c>
      <c r="AM1190" s="11"/>
      <c r="AN1190" s="2" t="e">
        <f t="shared" si="649"/>
        <v>#N/A</v>
      </c>
      <c r="AO1190" s="2" t="e">
        <f t="shared" si="650"/>
        <v>#N/A</v>
      </c>
      <c r="AP1190" s="2" t="e">
        <f t="shared" si="651"/>
        <v>#N/A</v>
      </c>
      <c r="AQ1190" s="2" t="e">
        <f t="shared" si="652"/>
        <v>#N/A</v>
      </c>
      <c r="AR1190" s="2" t="e">
        <f t="shared" si="653"/>
        <v>#N/A</v>
      </c>
      <c r="AS1190" s="2" t="e">
        <f t="shared" si="654"/>
        <v>#DIV/0!</v>
      </c>
      <c r="AT1190" s="9" t="e">
        <f t="shared" ca="1" si="655"/>
        <v>#N/A</v>
      </c>
      <c r="AU1190" s="9" t="e">
        <f t="shared" ca="1" si="656"/>
        <v>#N/A</v>
      </c>
      <c r="AW1190" s="2" t="e">
        <f t="shared" si="641"/>
        <v>#N/A</v>
      </c>
      <c r="AX1190" s="2" t="e">
        <f t="shared" si="642"/>
        <v>#N/A</v>
      </c>
      <c r="AY1190" s="2" t="e">
        <f t="shared" si="643"/>
        <v>#N/A</v>
      </c>
      <c r="AZ1190" s="2" t="e">
        <f t="shared" si="644"/>
        <v>#N/A</v>
      </c>
      <c r="BA1190" s="2" t="e">
        <f t="shared" si="645"/>
        <v>#N/A</v>
      </c>
      <c r="BB1190" s="2" t="e">
        <f t="shared" si="646"/>
        <v>#DIV/0!</v>
      </c>
      <c r="BC1190" s="9" t="e">
        <f t="shared" ca="1" si="647"/>
        <v>#N/A</v>
      </c>
      <c r="BD1190" s="9" t="e">
        <f t="shared" ca="1" si="648"/>
        <v>#N/A</v>
      </c>
    </row>
    <row r="1191" spans="1:56" ht="15" x14ac:dyDescent="0.25">
      <c r="A1191" s="63"/>
      <c r="B1191" s="63"/>
      <c r="C1191" s="64"/>
      <c r="D1191" s="64"/>
      <c r="E1191" s="64"/>
      <c r="F1191" s="64"/>
      <c r="G1191" s="64"/>
      <c r="H1191" s="64"/>
      <c r="I1191" s="64"/>
      <c r="J1191" s="64"/>
      <c r="K1191" s="64"/>
      <c r="L1191" s="64"/>
      <c r="M1191" s="64"/>
      <c r="N1191" s="16"/>
      <c r="O1191" s="11"/>
      <c r="P1191" s="11"/>
      <c r="Q1191" s="11"/>
      <c r="R1191" s="11"/>
      <c r="S1191" s="11"/>
      <c r="T1191" s="11"/>
      <c r="U1191" s="11">
        <f t="shared" si="657"/>
        <v>0</v>
      </c>
      <c r="V1191" s="2">
        <f t="shared" si="658"/>
        <v>0</v>
      </c>
      <c r="W1191" s="11">
        <f t="shared" si="627"/>
        <v>0</v>
      </c>
      <c r="X1191" s="2">
        <f t="shared" si="628"/>
        <v>0</v>
      </c>
      <c r="Y1191" s="2">
        <f t="shared" si="629"/>
        <v>0</v>
      </c>
      <c r="Z1191" s="11">
        <f t="shared" si="630"/>
        <v>0</v>
      </c>
      <c r="AA1191" s="2">
        <f t="shared" si="631"/>
        <v>0</v>
      </c>
      <c r="AB1191" s="11">
        <f t="shared" si="632"/>
        <v>0</v>
      </c>
      <c r="AC1191" s="2">
        <f t="shared" si="633"/>
        <v>0</v>
      </c>
      <c r="AF1191" s="11">
        <f t="shared" si="634"/>
        <v>0</v>
      </c>
      <c r="AG1191" s="2">
        <f t="shared" si="635"/>
        <v>0</v>
      </c>
      <c r="AH1191" s="2">
        <f t="shared" si="636"/>
        <v>0</v>
      </c>
      <c r="AI1191" s="2">
        <f t="shared" si="637"/>
        <v>0</v>
      </c>
      <c r="AJ1191" s="2">
        <f t="shared" si="638"/>
        <v>0</v>
      </c>
      <c r="AK1191" s="2">
        <f t="shared" si="639"/>
        <v>0</v>
      </c>
      <c r="AL1191" s="2">
        <f t="shared" si="640"/>
        <v>0</v>
      </c>
      <c r="AM1191" s="11"/>
      <c r="AN1191" s="2" t="e">
        <f t="shared" si="649"/>
        <v>#N/A</v>
      </c>
      <c r="AO1191" s="2" t="e">
        <f t="shared" si="650"/>
        <v>#N/A</v>
      </c>
      <c r="AP1191" s="2" t="e">
        <f t="shared" si="651"/>
        <v>#N/A</v>
      </c>
      <c r="AQ1191" s="2" t="e">
        <f t="shared" si="652"/>
        <v>#N/A</v>
      </c>
      <c r="AR1191" s="2" t="e">
        <f t="shared" si="653"/>
        <v>#N/A</v>
      </c>
      <c r="AS1191" s="2" t="e">
        <f t="shared" si="654"/>
        <v>#DIV/0!</v>
      </c>
      <c r="AT1191" s="9" t="e">
        <f t="shared" ca="1" si="655"/>
        <v>#N/A</v>
      </c>
      <c r="AU1191" s="9" t="e">
        <f t="shared" ca="1" si="656"/>
        <v>#N/A</v>
      </c>
      <c r="AW1191" s="2" t="e">
        <f t="shared" si="641"/>
        <v>#N/A</v>
      </c>
      <c r="AX1191" s="2" t="e">
        <f t="shared" si="642"/>
        <v>#N/A</v>
      </c>
      <c r="AY1191" s="2" t="e">
        <f t="shared" si="643"/>
        <v>#N/A</v>
      </c>
      <c r="AZ1191" s="2" t="e">
        <f t="shared" si="644"/>
        <v>#N/A</v>
      </c>
      <c r="BA1191" s="2" t="e">
        <f t="shared" si="645"/>
        <v>#N/A</v>
      </c>
      <c r="BB1191" s="2" t="e">
        <f t="shared" si="646"/>
        <v>#DIV/0!</v>
      </c>
      <c r="BC1191" s="9" t="e">
        <f t="shared" ca="1" si="647"/>
        <v>#N/A</v>
      </c>
      <c r="BD1191" s="9" t="e">
        <f t="shared" ca="1" si="648"/>
        <v>#N/A</v>
      </c>
    </row>
    <row r="1192" spans="1:56" ht="15" x14ac:dyDescent="0.25">
      <c r="A1192" s="63"/>
      <c r="B1192" s="63"/>
      <c r="C1192" s="64"/>
      <c r="D1192" s="64"/>
      <c r="E1192" s="64"/>
      <c r="F1192" s="64"/>
      <c r="G1192" s="64"/>
      <c r="H1192" s="64"/>
      <c r="I1192" s="64"/>
      <c r="J1192" s="64"/>
      <c r="K1192" s="64"/>
      <c r="L1192" s="64"/>
      <c r="M1192" s="64"/>
      <c r="N1192" s="16"/>
      <c r="O1192" s="11"/>
      <c r="P1192" s="11"/>
      <c r="Q1192" s="11"/>
      <c r="R1192" s="11"/>
      <c r="S1192" s="11"/>
      <c r="T1192" s="11"/>
      <c r="U1192" s="11">
        <f t="shared" si="657"/>
        <v>0</v>
      </c>
      <c r="V1192" s="2">
        <f t="shared" si="658"/>
        <v>0</v>
      </c>
      <c r="W1192" s="11">
        <f t="shared" si="627"/>
        <v>0</v>
      </c>
      <c r="X1192" s="2">
        <f t="shared" si="628"/>
        <v>0</v>
      </c>
      <c r="Y1192" s="2">
        <f t="shared" si="629"/>
        <v>0</v>
      </c>
      <c r="Z1192" s="11">
        <f t="shared" si="630"/>
        <v>0</v>
      </c>
      <c r="AA1192" s="2">
        <f t="shared" si="631"/>
        <v>0</v>
      </c>
      <c r="AB1192" s="11">
        <f t="shared" si="632"/>
        <v>0</v>
      </c>
      <c r="AC1192" s="2">
        <f t="shared" si="633"/>
        <v>0</v>
      </c>
      <c r="AF1192" s="11">
        <f t="shared" si="634"/>
        <v>0</v>
      </c>
      <c r="AG1192" s="2">
        <f t="shared" si="635"/>
        <v>0</v>
      </c>
      <c r="AH1192" s="2">
        <f t="shared" si="636"/>
        <v>0</v>
      </c>
      <c r="AI1192" s="2">
        <f t="shared" si="637"/>
        <v>0</v>
      </c>
      <c r="AJ1192" s="2">
        <f t="shared" si="638"/>
        <v>0</v>
      </c>
      <c r="AK1192" s="2">
        <f t="shared" si="639"/>
        <v>0</v>
      </c>
      <c r="AL1192" s="2">
        <f t="shared" si="640"/>
        <v>0</v>
      </c>
      <c r="AM1192" s="11"/>
      <c r="AN1192" s="2" t="e">
        <f t="shared" si="649"/>
        <v>#N/A</v>
      </c>
      <c r="AO1192" s="2" t="e">
        <f t="shared" si="650"/>
        <v>#N/A</v>
      </c>
      <c r="AP1192" s="2" t="e">
        <f t="shared" si="651"/>
        <v>#N/A</v>
      </c>
      <c r="AQ1192" s="2" t="e">
        <f t="shared" si="652"/>
        <v>#N/A</v>
      </c>
      <c r="AR1192" s="2" t="e">
        <f t="shared" si="653"/>
        <v>#N/A</v>
      </c>
      <c r="AS1192" s="2" t="e">
        <f t="shared" si="654"/>
        <v>#DIV/0!</v>
      </c>
      <c r="AT1192" s="9" t="e">
        <f t="shared" ca="1" si="655"/>
        <v>#N/A</v>
      </c>
      <c r="AU1192" s="9" t="e">
        <f t="shared" ca="1" si="656"/>
        <v>#N/A</v>
      </c>
      <c r="AW1192" s="2" t="e">
        <f t="shared" si="641"/>
        <v>#N/A</v>
      </c>
      <c r="AX1192" s="2" t="e">
        <f t="shared" si="642"/>
        <v>#N/A</v>
      </c>
      <c r="AY1192" s="2" t="e">
        <f t="shared" si="643"/>
        <v>#N/A</v>
      </c>
      <c r="AZ1192" s="2" t="e">
        <f t="shared" si="644"/>
        <v>#N/A</v>
      </c>
      <c r="BA1192" s="2" t="e">
        <f t="shared" si="645"/>
        <v>#N/A</v>
      </c>
      <c r="BB1192" s="2" t="e">
        <f t="shared" si="646"/>
        <v>#DIV/0!</v>
      </c>
      <c r="BC1192" s="9" t="e">
        <f t="shared" ca="1" si="647"/>
        <v>#N/A</v>
      </c>
      <c r="BD1192" s="9" t="e">
        <f t="shared" ca="1" si="648"/>
        <v>#N/A</v>
      </c>
    </row>
    <row r="1193" spans="1:56" ht="15" x14ac:dyDescent="0.25">
      <c r="A1193" s="63"/>
      <c r="B1193" s="63"/>
      <c r="C1193" s="64"/>
      <c r="D1193" s="64"/>
      <c r="E1193" s="64"/>
      <c r="F1193" s="64"/>
      <c r="G1193" s="64"/>
      <c r="H1193" s="64"/>
      <c r="I1193" s="64"/>
      <c r="J1193" s="64"/>
      <c r="K1193" s="64"/>
      <c r="L1193" s="64"/>
      <c r="M1193" s="64"/>
      <c r="N1193" s="16"/>
      <c r="O1193" s="11"/>
      <c r="P1193" s="11"/>
      <c r="Q1193" s="11"/>
      <c r="R1193" s="11"/>
      <c r="S1193" s="11"/>
      <c r="T1193" s="11"/>
      <c r="U1193" s="11">
        <f t="shared" si="657"/>
        <v>0</v>
      </c>
      <c r="V1193" s="2">
        <f t="shared" si="658"/>
        <v>0</v>
      </c>
      <c r="W1193" s="11">
        <f t="shared" si="627"/>
        <v>0</v>
      </c>
      <c r="X1193" s="2">
        <f t="shared" si="628"/>
        <v>0</v>
      </c>
      <c r="Y1193" s="2">
        <f t="shared" si="629"/>
        <v>0</v>
      </c>
      <c r="Z1193" s="11">
        <f t="shared" si="630"/>
        <v>0</v>
      </c>
      <c r="AA1193" s="2">
        <f t="shared" si="631"/>
        <v>0</v>
      </c>
      <c r="AB1193" s="11">
        <f t="shared" si="632"/>
        <v>0</v>
      </c>
      <c r="AC1193" s="2">
        <f t="shared" si="633"/>
        <v>0</v>
      </c>
      <c r="AF1193" s="11">
        <f t="shared" si="634"/>
        <v>0</v>
      </c>
      <c r="AG1193" s="2">
        <f t="shared" si="635"/>
        <v>0</v>
      </c>
      <c r="AH1193" s="2">
        <f t="shared" si="636"/>
        <v>0</v>
      </c>
      <c r="AI1193" s="2">
        <f t="shared" si="637"/>
        <v>0</v>
      </c>
      <c r="AJ1193" s="2">
        <f t="shared" si="638"/>
        <v>0</v>
      </c>
      <c r="AK1193" s="2">
        <f t="shared" si="639"/>
        <v>0</v>
      </c>
      <c r="AL1193" s="2">
        <f t="shared" si="640"/>
        <v>0</v>
      </c>
      <c r="AM1193" s="11"/>
      <c r="AN1193" s="2" t="e">
        <f t="shared" si="649"/>
        <v>#N/A</v>
      </c>
      <c r="AO1193" s="2" t="e">
        <f t="shared" si="650"/>
        <v>#N/A</v>
      </c>
      <c r="AP1193" s="2" t="e">
        <f t="shared" si="651"/>
        <v>#N/A</v>
      </c>
      <c r="AQ1193" s="2" t="e">
        <f t="shared" si="652"/>
        <v>#N/A</v>
      </c>
      <c r="AR1193" s="2" t="e">
        <f t="shared" si="653"/>
        <v>#N/A</v>
      </c>
      <c r="AS1193" s="2" t="e">
        <f t="shared" si="654"/>
        <v>#DIV/0!</v>
      </c>
      <c r="AT1193" s="9" t="e">
        <f t="shared" ca="1" si="655"/>
        <v>#N/A</v>
      </c>
      <c r="AU1193" s="9" t="e">
        <f t="shared" ca="1" si="656"/>
        <v>#N/A</v>
      </c>
      <c r="AW1193" s="2" t="e">
        <f t="shared" si="641"/>
        <v>#N/A</v>
      </c>
      <c r="AX1193" s="2" t="e">
        <f t="shared" si="642"/>
        <v>#N/A</v>
      </c>
      <c r="AY1193" s="2" t="e">
        <f t="shared" si="643"/>
        <v>#N/A</v>
      </c>
      <c r="AZ1193" s="2" t="e">
        <f t="shared" si="644"/>
        <v>#N/A</v>
      </c>
      <c r="BA1193" s="2" t="e">
        <f t="shared" si="645"/>
        <v>#N/A</v>
      </c>
      <c r="BB1193" s="2" t="e">
        <f t="shared" si="646"/>
        <v>#DIV/0!</v>
      </c>
      <c r="BC1193" s="9" t="e">
        <f t="shared" ca="1" si="647"/>
        <v>#N/A</v>
      </c>
      <c r="BD1193" s="9" t="e">
        <f t="shared" ca="1" si="648"/>
        <v>#N/A</v>
      </c>
    </row>
    <row r="1194" spans="1:56" ht="15" x14ac:dyDescent="0.25">
      <c r="A1194" s="63"/>
      <c r="B1194" s="63"/>
      <c r="C1194" s="64"/>
      <c r="D1194" s="64"/>
      <c r="E1194" s="64"/>
      <c r="F1194" s="64"/>
      <c r="G1194" s="64"/>
      <c r="H1194" s="64"/>
      <c r="I1194" s="64"/>
      <c r="J1194" s="64"/>
      <c r="K1194" s="64"/>
      <c r="L1194" s="64"/>
      <c r="M1194" s="64"/>
      <c r="N1194" s="16"/>
      <c r="O1194" s="11"/>
      <c r="P1194" s="11"/>
      <c r="Q1194" s="11"/>
      <c r="R1194" s="11"/>
      <c r="S1194" s="11"/>
      <c r="T1194" s="11"/>
      <c r="U1194" s="11">
        <f t="shared" si="657"/>
        <v>0</v>
      </c>
      <c r="V1194" s="2">
        <f t="shared" si="658"/>
        <v>0</v>
      </c>
      <c r="W1194" s="11">
        <f t="shared" si="627"/>
        <v>0</v>
      </c>
      <c r="X1194" s="2">
        <f t="shared" si="628"/>
        <v>0</v>
      </c>
      <c r="Y1194" s="2">
        <f t="shared" si="629"/>
        <v>0</v>
      </c>
      <c r="Z1194" s="11">
        <f t="shared" si="630"/>
        <v>0</v>
      </c>
      <c r="AA1194" s="2">
        <f t="shared" si="631"/>
        <v>0</v>
      </c>
      <c r="AB1194" s="11">
        <f t="shared" si="632"/>
        <v>0</v>
      </c>
      <c r="AC1194" s="2">
        <f t="shared" si="633"/>
        <v>0</v>
      </c>
      <c r="AF1194" s="11">
        <f t="shared" si="634"/>
        <v>0</v>
      </c>
      <c r="AG1194" s="2">
        <f t="shared" si="635"/>
        <v>0</v>
      </c>
      <c r="AH1194" s="2">
        <f t="shared" si="636"/>
        <v>0</v>
      </c>
      <c r="AI1194" s="2">
        <f t="shared" si="637"/>
        <v>0</v>
      </c>
      <c r="AJ1194" s="2">
        <f t="shared" si="638"/>
        <v>0</v>
      </c>
      <c r="AK1194" s="2">
        <f t="shared" si="639"/>
        <v>0</v>
      </c>
      <c r="AL1194" s="2">
        <f t="shared" si="640"/>
        <v>0</v>
      </c>
      <c r="AM1194" s="11"/>
      <c r="AN1194" s="2" t="e">
        <f t="shared" si="649"/>
        <v>#N/A</v>
      </c>
      <c r="AO1194" s="2" t="e">
        <f t="shared" si="650"/>
        <v>#N/A</v>
      </c>
      <c r="AP1194" s="2" t="e">
        <f t="shared" si="651"/>
        <v>#N/A</v>
      </c>
      <c r="AQ1194" s="2" t="e">
        <f t="shared" si="652"/>
        <v>#N/A</v>
      </c>
      <c r="AR1194" s="2" t="e">
        <f t="shared" si="653"/>
        <v>#N/A</v>
      </c>
      <c r="AS1194" s="2" t="e">
        <f t="shared" si="654"/>
        <v>#DIV/0!</v>
      </c>
      <c r="AT1194" s="9" t="e">
        <f t="shared" ca="1" si="655"/>
        <v>#N/A</v>
      </c>
      <c r="AU1194" s="9" t="e">
        <f t="shared" ca="1" si="656"/>
        <v>#N/A</v>
      </c>
      <c r="AW1194" s="2" t="e">
        <f t="shared" si="641"/>
        <v>#N/A</v>
      </c>
      <c r="AX1194" s="2" t="e">
        <f t="shared" si="642"/>
        <v>#N/A</v>
      </c>
      <c r="AY1194" s="2" t="e">
        <f t="shared" si="643"/>
        <v>#N/A</v>
      </c>
      <c r="AZ1194" s="2" t="e">
        <f t="shared" si="644"/>
        <v>#N/A</v>
      </c>
      <c r="BA1194" s="2" t="e">
        <f t="shared" si="645"/>
        <v>#N/A</v>
      </c>
      <c r="BB1194" s="2" t="e">
        <f t="shared" si="646"/>
        <v>#DIV/0!</v>
      </c>
      <c r="BC1194" s="9" t="e">
        <f t="shared" ca="1" si="647"/>
        <v>#N/A</v>
      </c>
      <c r="BD1194" s="9" t="e">
        <f t="shared" ca="1" si="648"/>
        <v>#N/A</v>
      </c>
    </row>
    <row r="1195" spans="1:56" ht="15" x14ac:dyDescent="0.25">
      <c r="A1195" s="63"/>
      <c r="B1195" s="63"/>
      <c r="C1195" s="64"/>
      <c r="D1195" s="64"/>
      <c r="E1195" s="64"/>
      <c r="F1195" s="64"/>
      <c r="G1195" s="64"/>
      <c r="H1195" s="64"/>
      <c r="I1195" s="64"/>
      <c r="J1195" s="64"/>
      <c r="K1195" s="64"/>
      <c r="L1195" s="64"/>
      <c r="M1195" s="64"/>
      <c r="N1195" s="16"/>
      <c r="O1195" s="11"/>
      <c r="P1195" s="11"/>
      <c r="Q1195" s="11"/>
      <c r="R1195" s="11"/>
      <c r="S1195" s="11"/>
      <c r="T1195" s="11"/>
      <c r="U1195" s="11">
        <f t="shared" si="657"/>
        <v>0</v>
      </c>
      <c r="V1195" s="2">
        <f t="shared" si="658"/>
        <v>0</v>
      </c>
      <c r="W1195" s="11">
        <f t="shared" si="627"/>
        <v>0</v>
      </c>
      <c r="X1195" s="2">
        <f t="shared" si="628"/>
        <v>0</v>
      </c>
      <c r="Y1195" s="2">
        <f t="shared" si="629"/>
        <v>0</v>
      </c>
      <c r="Z1195" s="11">
        <f t="shared" si="630"/>
        <v>0</v>
      </c>
      <c r="AA1195" s="2">
        <f t="shared" si="631"/>
        <v>0</v>
      </c>
      <c r="AB1195" s="11">
        <f t="shared" si="632"/>
        <v>0</v>
      </c>
      <c r="AC1195" s="2">
        <f t="shared" si="633"/>
        <v>0</v>
      </c>
      <c r="AF1195" s="11">
        <f t="shared" si="634"/>
        <v>0</v>
      </c>
      <c r="AG1195" s="2">
        <f t="shared" si="635"/>
        <v>0</v>
      </c>
      <c r="AH1195" s="2">
        <f t="shared" si="636"/>
        <v>0</v>
      </c>
      <c r="AI1195" s="2">
        <f t="shared" si="637"/>
        <v>0</v>
      </c>
      <c r="AJ1195" s="2">
        <f t="shared" si="638"/>
        <v>0</v>
      </c>
      <c r="AK1195" s="2">
        <f t="shared" si="639"/>
        <v>0</v>
      </c>
      <c r="AL1195" s="2">
        <f t="shared" si="640"/>
        <v>0</v>
      </c>
      <c r="AM1195" s="11"/>
      <c r="AN1195" s="2" t="e">
        <f t="shared" si="649"/>
        <v>#N/A</v>
      </c>
      <c r="AO1195" s="2" t="e">
        <f t="shared" si="650"/>
        <v>#N/A</v>
      </c>
      <c r="AP1195" s="2" t="e">
        <f t="shared" si="651"/>
        <v>#N/A</v>
      </c>
      <c r="AQ1195" s="2" t="e">
        <f t="shared" si="652"/>
        <v>#N/A</v>
      </c>
      <c r="AR1195" s="2" t="e">
        <f t="shared" si="653"/>
        <v>#N/A</v>
      </c>
      <c r="AS1195" s="2" t="e">
        <f t="shared" si="654"/>
        <v>#DIV/0!</v>
      </c>
      <c r="AT1195" s="9" t="e">
        <f t="shared" ca="1" si="655"/>
        <v>#N/A</v>
      </c>
      <c r="AU1195" s="9" t="e">
        <f t="shared" ca="1" si="656"/>
        <v>#N/A</v>
      </c>
      <c r="AW1195" s="2" t="e">
        <f t="shared" si="641"/>
        <v>#N/A</v>
      </c>
      <c r="AX1195" s="2" t="e">
        <f t="shared" si="642"/>
        <v>#N/A</v>
      </c>
      <c r="AY1195" s="2" t="e">
        <f t="shared" si="643"/>
        <v>#N/A</v>
      </c>
      <c r="AZ1195" s="2" t="e">
        <f t="shared" si="644"/>
        <v>#N/A</v>
      </c>
      <c r="BA1195" s="2" t="e">
        <f t="shared" si="645"/>
        <v>#N/A</v>
      </c>
      <c r="BB1195" s="2" t="e">
        <f t="shared" si="646"/>
        <v>#DIV/0!</v>
      </c>
      <c r="BC1195" s="9" t="e">
        <f t="shared" ca="1" si="647"/>
        <v>#N/A</v>
      </c>
      <c r="BD1195" s="9" t="e">
        <f t="shared" ca="1" si="648"/>
        <v>#N/A</v>
      </c>
    </row>
    <row r="1196" spans="1:56" ht="15" x14ac:dyDescent="0.25">
      <c r="A1196" s="63"/>
      <c r="B1196" s="63"/>
      <c r="C1196" s="64"/>
      <c r="D1196" s="64"/>
      <c r="E1196" s="64"/>
      <c r="F1196" s="64"/>
      <c r="G1196" s="64"/>
      <c r="H1196" s="64"/>
      <c r="I1196" s="64"/>
      <c r="J1196" s="64"/>
      <c r="K1196" s="64"/>
      <c r="L1196" s="64"/>
      <c r="M1196" s="64"/>
      <c r="N1196" s="16"/>
      <c r="O1196" s="11"/>
      <c r="P1196" s="11"/>
      <c r="Q1196" s="11"/>
      <c r="R1196" s="11"/>
      <c r="S1196" s="11"/>
      <c r="T1196" s="11"/>
      <c r="U1196" s="11">
        <f t="shared" si="657"/>
        <v>0</v>
      </c>
      <c r="V1196" s="2">
        <f t="shared" si="658"/>
        <v>0</v>
      </c>
      <c r="W1196" s="11">
        <f t="shared" si="627"/>
        <v>0</v>
      </c>
      <c r="X1196" s="2">
        <f t="shared" si="628"/>
        <v>0</v>
      </c>
      <c r="Y1196" s="2">
        <f t="shared" si="629"/>
        <v>0</v>
      </c>
      <c r="Z1196" s="11">
        <f t="shared" si="630"/>
        <v>0</v>
      </c>
      <c r="AA1196" s="2">
        <f t="shared" si="631"/>
        <v>0</v>
      </c>
      <c r="AB1196" s="11">
        <f t="shared" si="632"/>
        <v>0</v>
      </c>
      <c r="AC1196" s="2">
        <f t="shared" si="633"/>
        <v>0</v>
      </c>
      <c r="AF1196" s="11">
        <f t="shared" si="634"/>
        <v>0</v>
      </c>
      <c r="AG1196" s="2">
        <f t="shared" si="635"/>
        <v>0</v>
      </c>
      <c r="AH1196" s="2">
        <f t="shared" si="636"/>
        <v>0</v>
      </c>
      <c r="AI1196" s="2">
        <f t="shared" si="637"/>
        <v>0</v>
      </c>
      <c r="AJ1196" s="2">
        <f t="shared" si="638"/>
        <v>0</v>
      </c>
      <c r="AK1196" s="2">
        <f t="shared" si="639"/>
        <v>0</v>
      </c>
      <c r="AL1196" s="2">
        <f t="shared" si="640"/>
        <v>0</v>
      </c>
      <c r="AM1196" s="11"/>
      <c r="AN1196" s="2" t="e">
        <f t="shared" si="649"/>
        <v>#N/A</v>
      </c>
      <c r="AO1196" s="2" t="e">
        <f t="shared" si="650"/>
        <v>#N/A</v>
      </c>
      <c r="AP1196" s="2" t="e">
        <f t="shared" si="651"/>
        <v>#N/A</v>
      </c>
      <c r="AQ1196" s="2" t="e">
        <f t="shared" si="652"/>
        <v>#N/A</v>
      </c>
      <c r="AR1196" s="2" t="e">
        <f t="shared" si="653"/>
        <v>#N/A</v>
      </c>
      <c r="AS1196" s="2" t="e">
        <f t="shared" si="654"/>
        <v>#DIV/0!</v>
      </c>
      <c r="AT1196" s="9" t="e">
        <f t="shared" ca="1" si="655"/>
        <v>#N/A</v>
      </c>
      <c r="AU1196" s="9" t="e">
        <f t="shared" ca="1" si="656"/>
        <v>#N/A</v>
      </c>
      <c r="AW1196" s="2" t="e">
        <f t="shared" si="641"/>
        <v>#N/A</v>
      </c>
      <c r="AX1196" s="2" t="e">
        <f t="shared" si="642"/>
        <v>#N/A</v>
      </c>
      <c r="AY1196" s="2" t="e">
        <f t="shared" si="643"/>
        <v>#N/A</v>
      </c>
      <c r="AZ1196" s="2" t="e">
        <f t="shared" si="644"/>
        <v>#N/A</v>
      </c>
      <c r="BA1196" s="2" t="e">
        <f t="shared" si="645"/>
        <v>#N/A</v>
      </c>
      <c r="BB1196" s="2" t="e">
        <f t="shared" si="646"/>
        <v>#DIV/0!</v>
      </c>
      <c r="BC1196" s="9" t="e">
        <f t="shared" ca="1" si="647"/>
        <v>#N/A</v>
      </c>
      <c r="BD1196" s="9" t="e">
        <f t="shared" ca="1" si="648"/>
        <v>#N/A</v>
      </c>
    </row>
    <row r="1197" spans="1:56" ht="15" x14ac:dyDescent="0.25">
      <c r="A1197" s="63"/>
      <c r="B1197" s="63"/>
      <c r="C1197" s="64"/>
      <c r="D1197" s="64"/>
      <c r="E1197" s="64"/>
      <c r="F1197" s="64"/>
      <c r="G1197" s="64"/>
      <c r="H1197" s="64"/>
      <c r="I1197" s="64"/>
      <c r="J1197" s="64"/>
      <c r="K1197" s="64"/>
      <c r="L1197" s="64"/>
      <c r="M1197" s="64"/>
      <c r="N1197" s="16"/>
      <c r="O1197" s="11"/>
      <c r="P1197" s="11"/>
      <c r="Q1197" s="11"/>
      <c r="R1197" s="11"/>
      <c r="S1197" s="11"/>
      <c r="T1197" s="11"/>
      <c r="U1197" s="11">
        <f t="shared" si="657"/>
        <v>0</v>
      </c>
      <c r="V1197" s="2">
        <f t="shared" si="658"/>
        <v>0</v>
      </c>
      <c r="W1197" s="11">
        <f t="shared" si="627"/>
        <v>0</v>
      </c>
      <c r="X1197" s="2">
        <f t="shared" si="628"/>
        <v>0</v>
      </c>
      <c r="Y1197" s="2">
        <f t="shared" si="629"/>
        <v>0</v>
      </c>
      <c r="Z1197" s="11">
        <f t="shared" si="630"/>
        <v>0</v>
      </c>
      <c r="AA1197" s="2">
        <f t="shared" si="631"/>
        <v>0</v>
      </c>
      <c r="AB1197" s="11">
        <f t="shared" si="632"/>
        <v>0</v>
      </c>
      <c r="AC1197" s="2">
        <f t="shared" si="633"/>
        <v>0</v>
      </c>
      <c r="AF1197" s="11">
        <f t="shared" si="634"/>
        <v>0</v>
      </c>
      <c r="AG1197" s="2">
        <f t="shared" si="635"/>
        <v>0</v>
      </c>
      <c r="AH1197" s="2">
        <f t="shared" si="636"/>
        <v>0</v>
      </c>
      <c r="AI1197" s="2">
        <f t="shared" si="637"/>
        <v>0</v>
      </c>
      <c r="AJ1197" s="2">
        <f t="shared" si="638"/>
        <v>0</v>
      </c>
      <c r="AK1197" s="2">
        <f t="shared" si="639"/>
        <v>0</v>
      </c>
      <c r="AL1197" s="2">
        <f t="shared" si="640"/>
        <v>0</v>
      </c>
      <c r="AM1197" s="11"/>
      <c r="AN1197" s="2" t="e">
        <f t="shared" si="649"/>
        <v>#N/A</v>
      </c>
      <c r="AO1197" s="2" t="e">
        <f t="shared" si="650"/>
        <v>#N/A</v>
      </c>
      <c r="AP1197" s="2" t="e">
        <f t="shared" si="651"/>
        <v>#N/A</v>
      </c>
      <c r="AQ1197" s="2" t="e">
        <f t="shared" si="652"/>
        <v>#N/A</v>
      </c>
      <c r="AR1197" s="2" t="e">
        <f t="shared" si="653"/>
        <v>#N/A</v>
      </c>
      <c r="AS1197" s="2" t="e">
        <f t="shared" si="654"/>
        <v>#DIV/0!</v>
      </c>
      <c r="AT1197" s="9" t="e">
        <f t="shared" ca="1" si="655"/>
        <v>#N/A</v>
      </c>
      <c r="AU1197" s="9" t="e">
        <f t="shared" ca="1" si="656"/>
        <v>#N/A</v>
      </c>
      <c r="AW1197" s="2" t="e">
        <f t="shared" si="641"/>
        <v>#N/A</v>
      </c>
      <c r="AX1197" s="2" t="e">
        <f t="shared" si="642"/>
        <v>#N/A</v>
      </c>
      <c r="AY1197" s="2" t="e">
        <f t="shared" si="643"/>
        <v>#N/A</v>
      </c>
      <c r="AZ1197" s="2" t="e">
        <f t="shared" si="644"/>
        <v>#N/A</v>
      </c>
      <c r="BA1197" s="2" t="e">
        <f t="shared" si="645"/>
        <v>#N/A</v>
      </c>
      <c r="BB1197" s="2" t="e">
        <f t="shared" si="646"/>
        <v>#DIV/0!</v>
      </c>
      <c r="BC1197" s="9" t="e">
        <f t="shared" ca="1" si="647"/>
        <v>#N/A</v>
      </c>
      <c r="BD1197" s="9" t="e">
        <f t="shared" ca="1" si="648"/>
        <v>#N/A</v>
      </c>
    </row>
    <row r="1198" spans="1:56" ht="15" x14ac:dyDescent="0.25">
      <c r="A1198" s="63"/>
      <c r="B1198" s="63"/>
      <c r="C1198" s="64"/>
      <c r="D1198" s="64"/>
      <c r="E1198" s="64"/>
      <c r="F1198" s="64"/>
      <c r="G1198" s="64"/>
      <c r="H1198" s="64"/>
      <c r="I1198" s="64"/>
      <c r="J1198" s="64"/>
      <c r="K1198" s="64"/>
      <c r="L1198" s="64"/>
      <c r="M1198" s="64"/>
      <c r="N1198" s="16"/>
      <c r="O1198" s="11"/>
      <c r="P1198" s="11"/>
      <c r="Q1198" s="11"/>
      <c r="R1198" s="11"/>
      <c r="S1198" s="11"/>
      <c r="T1198" s="11"/>
      <c r="U1198" s="11">
        <f t="shared" si="657"/>
        <v>0</v>
      </c>
      <c r="V1198" s="2">
        <f t="shared" si="658"/>
        <v>0</v>
      </c>
      <c r="W1198" s="11">
        <f t="shared" si="627"/>
        <v>0</v>
      </c>
      <c r="X1198" s="2">
        <f t="shared" si="628"/>
        <v>0</v>
      </c>
      <c r="Y1198" s="2">
        <f t="shared" si="629"/>
        <v>0</v>
      </c>
      <c r="Z1198" s="11">
        <f t="shared" si="630"/>
        <v>0</v>
      </c>
      <c r="AA1198" s="2">
        <f t="shared" si="631"/>
        <v>0</v>
      </c>
      <c r="AB1198" s="11">
        <f t="shared" si="632"/>
        <v>0</v>
      </c>
      <c r="AC1198" s="2">
        <f t="shared" si="633"/>
        <v>0</v>
      </c>
      <c r="AF1198" s="11">
        <f t="shared" si="634"/>
        <v>0</v>
      </c>
      <c r="AG1198" s="2">
        <f t="shared" si="635"/>
        <v>0</v>
      </c>
      <c r="AH1198" s="2">
        <f t="shared" si="636"/>
        <v>0</v>
      </c>
      <c r="AI1198" s="2">
        <f t="shared" si="637"/>
        <v>0</v>
      </c>
      <c r="AJ1198" s="2">
        <f t="shared" si="638"/>
        <v>0</v>
      </c>
      <c r="AK1198" s="2">
        <f t="shared" si="639"/>
        <v>0</v>
      </c>
      <c r="AL1198" s="2">
        <f t="shared" si="640"/>
        <v>0</v>
      </c>
      <c r="AM1198" s="11"/>
      <c r="AN1198" s="2" t="e">
        <f t="shared" si="649"/>
        <v>#N/A</v>
      </c>
      <c r="AO1198" s="2" t="e">
        <f t="shared" si="650"/>
        <v>#N/A</v>
      </c>
      <c r="AP1198" s="2" t="e">
        <f t="shared" si="651"/>
        <v>#N/A</v>
      </c>
      <c r="AQ1198" s="2" t="e">
        <f t="shared" si="652"/>
        <v>#N/A</v>
      </c>
      <c r="AR1198" s="2" t="e">
        <f t="shared" si="653"/>
        <v>#N/A</v>
      </c>
      <c r="AS1198" s="2" t="e">
        <f t="shared" si="654"/>
        <v>#DIV/0!</v>
      </c>
      <c r="AT1198" s="9" t="e">
        <f t="shared" ca="1" si="655"/>
        <v>#N/A</v>
      </c>
      <c r="AU1198" s="9" t="e">
        <f t="shared" ca="1" si="656"/>
        <v>#N/A</v>
      </c>
      <c r="AW1198" s="2" t="e">
        <f t="shared" si="641"/>
        <v>#N/A</v>
      </c>
      <c r="AX1198" s="2" t="e">
        <f t="shared" si="642"/>
        <v>#N/A</v>
      </c>
      <c r="AY1198" s="2" t="e">
        <f t="shared" si="643"/>
        <v>#N/A</v>
      </c>
      <c r="AZ1198" s="2" t="e">
        <f t="shared" si="644"/>
        <v>#N/A</v>
      </c>
      <c r="BA1198" s="2" t="e">
        <f t="shared" si="645"/>
        <v>#N/A</v>
      </c>
      <c r="BB1198" s="2" t="e">
        <f t="shared" si="646"/>
        <v>#DIV/0!</v>
      </c>
      <c r="BC1198" s="9" t="e">
        <f t="shared" ca="1" si="647"/>
        <v>#N/A</v>
      </c>
      <c r="BD1198" s="9" t="e">
        <f t="shared" ca="1" si="648"/>
        <v>#N/A</v>
      </c>
    </row>
    <row r="1199" spans="1:56" ht="15" x14ac:dyDescent="0.25">
      <c r="A1199" s="63"/>
      <c r="B1199" s="63"/>
      <c r="C1199" s="64"/>
      <c r="D1199" s="64"/>
      <c r="E1199" s="64"/>
      <c r="F1199" s="64"/>
      <c r="G1199" s="64"/>
      <c r="H1199" s="64"/>
      <c r="I1199" s="64"/>
      <c r="J1199" s="64"/>
      <c r="K1199" s="64"/>
      <c r="L1199" s="64"/>
      <c r="M1199" s="64"/>
      <c r="N1199" s="16"/>
      <c r="O1199" s="11"/>
      <c r="P1199" s="11"/>
      <c r="Q1199" s="11"/>
      <c r="R1199" s="11"/>
      <c r="S1199" s="11"/>
      <c r="T1199" s="11"/>
      <c r="U1199" s="11">
        <f t="shared" si="657"/>
        <v>0</v>
      </c>
      <c r="V1199" s="2">
        <f t="shared" si="658"/>
        <v>0</v>
      </c>
      <c r="W1199" s="11">
        <f t="shared" si="627"/>
        <v>0</v>
      </c>
      <c r="X1199" s="2">
        <f t="shared" si="628"/>
        <v>0</v>
      </c>
      <c r="Y1199" s="2">
        <f t="shared" si="629"/>
        <v>0</v>
      </c>
      <c r="Z1199" s="11">
        <f t="shared" si="630"/>
        <v>0</v>
      </c>
      <c r="AA1199" s="2">
        <f t="shared" si="631"/>
        <v>0</v>
      </c>
      <c r="AB1199" s="11">
        <f t="shared" si="632"/>
        <v>0</v>
      </c>
      <c r="AC1199" s="2">
        <f t="shared" si="633"/>
        <v>0</v>
      </c>
      <c r="AF1199" s="11">
        <f t="shared" si="634"/>
        <v>0</v>
      </c>
      <c r="AG1199" s="2">
        <f t="shared" si="635"/>
        <v>0</v>
      </c>
      <c r="AH1199" s="2">
        <f t="shared" si="636"/>
        <v>0</v>
      </c>
      <c r="AI1199" s="2">
        <f t="shared" si="637"/>
        <v>0</v>
      </c>
      <c r="AJ1199" s="2">
        <f t="shared" si="638"/>
        <v>0</v>
      </c>
      <c r="AK1199" s="2">
        <f t="shared" si="639"/>
        <v>0</v>
      </c>
      <c r="AL1199" s="2">
        <f t="shared" si="640"/>
        <v>0</v>
      </c>
      <c r="AM1199" s="11"/>
      <c r="AN1199" s="2" t="e">
        <f t="shared" si="649"/>
        <v>#N/A</v>
      </c>
      <c r="AO1199" s="2" t="e">
        <f t="shared" si="650"/>
        <v>#N/A</v>
      </c>
      <c r="AP1199" s="2" t="e">
        <f t="shared" si="651"/>
        <v>#N/A</v>
      </c>
      <c r="AQ1199" s="2" t="e">
        <f t="shared" si="652"/>
        <v>#N/A</v>
      </c>
      <c r="AR1199" s="2" t="e">
        <f t="shared" si="653"/>
        <v>#N/A</v>
      </c>
      <c r="AS1199" s="2" t="e">
        <f t="shared" si="654"/>
        <v>#DIV/0!</v>
      </c>
      <c r="AT1199" s="9" t="e">
        <f t="shared" ca="1" si="655"/>
        <v>#N/A</v>
      </c>
      <c r="AU1199" s="9" t="e">
        <f t="shared" ca="1" si="656"/>
        <v>#N/A</v>
      </c>
      <c r="AW1199" s="2" t="e">
        <f t="shared" si="641"/>
        <v>#N/A</v>
      </c>
      <c r="AX1199" s="2" t="e">
        <f t="shared" si="642"/>
        <v>#N/A</v>
      </c>
      <c r="AY1199" s="2" t="e">
        <f t="shared" si="643"/>
        <v>#N/A</v>
      </c>
      <c r="AZ1199" s="2" t="e">
        <f t="shared" si="644"/>
        <v>#N/A</v>
      </c>
      <c r="BA1199" s="2" t="e">
        <f t="shared" si="645"/>
        <v>#N/A</v>
      </c>
      <c r="BB1199" s="2" t="e">
        <f t="shared" si="646"/>
        <v>#DIV/0!</v>
      </c>
      <c r="BC1199" s="9" t="e">
        <f t="shared" ca="1" si="647"/>
        <v>#N/A</v>
      </c>
      <c r="BD1199" s="9" t="e">
        <f t="shared" ca="1" si="648"/>
        <v>#N/A</v>
      </c>
    </row>
    <row r="1200" spans="1:56" ht="15" x14ac:dyDescent="0.25">
      <c r="A1200" s="63"/>
      <c r="B1200" s="63"/>
      <c r="C1200" s="64"/>
      <c r="D1200" s="64"/>
      <c r="E1200" s="64"/>
      <c r="F1200" s="64"/>
      <c r="G1200" s="64"/>
      <c r="H1200" s="64"/>
      <c r="I1200" s="64"/>
      <c r="J1200" s="64"/>
      <c r="K1200" s="64"/>
      <c r="L1200" s="64"/>
      <c r="M1200" s="64"/>
      <c r="N1200" s="16"/>
      <c r="O1200" s="11"/>
      <c r="P1200" s="11"/>
      <c r="Q1200" s="11"/>
      <c r="R1200" s="11"/>
      <c r="S1200" s="11"/>
      <c r="T1200" s="11"/>
      <c r="U1200" s="11">
        <f t="shared" si="657"/>
        <v>0</v>
      </c>
      <c r="V1200" s="2">
        <f t="shared" si="658"/>
        <v>0</v>
      </c>
      <c r="W1200" s="11">
        <f t="shared" si="627"/>
        <v>0</v>
      </c>
      <c r="X1200" s="2">
        <f t="shared" si="628"/>
        <v>0</v>
      </c>
      <c r="Y1200" s="2">
        <f t="shared" si="629"/>
        <v>0</v>
      </c>
      <c r="Z1200" s="11">
        <f t="shared" si="630"/>
        <v>0</v>
      </c>
      <c r="AA1200" s="2">
        <f t="shared" si="631"/>
        <v>0</v>
      </c>
      <c r="AB1200" s="11">
        <f t="shared" si="632"/>
        <v>0</v>
      </c>
      <c r="AC1200" s="2">
        <f t="shared" si="633"/>
        <v>0</v>
      </c>
      <c r="AF1200" s="11">
        <f t="shared" si="634"/>
        <v>0</v>
      </c>
      <c r="AG1200" s="2">
        <f t="shared" si="635"/>
        <v>0</v>
      </c>
      <c r="AH1200" s="2">
        <f t="shared" si="636"/>
        <v>0</v>
      </c>
      <c r="AI1200" s="2">
        <f t="shared" si="637"/>
        <v>0</v>
      </c>
      <c r="AJ1200" s="2">
        <f t="shared" si="638"/>
        <v>0</v>
      </c>
      <c r="AK1200" s="2">
        <f t="shared" si="639"/>
        <v>0</v>
      </c>
      <c r="AL1200" s="2">
        <f t="shared" si="640"/>
        <v>0</v>
      </c>
      <c r="AM1200" s="11"/>
      <c r="AN1200" s="2" t="e">
        <f t="shared" si="649"/>
        <v>#N/A</v>
      </c>
      <c r="AO1200" s="2" t="e">
        <f t="shared" si="650"/>
        <v>#N/A</v>
      </c>
      <c r="AP1200" s="2" t="e">
        <f t="shared" si="651"/>
        <v>#N/A</v>
      </c>
      <c r="AQ1200" s="2" t="e">
        <f t="shared" si="652"/>
        <v>#N/A</v>
      </c>
      <c r="AR1200" s="2" t="e">
        <f t="shared" si="653"/>
        <v>#N/A</v>
      </c>
      <c r="AS1200" s="2" t="e">
        <f t="shared" si="654"/>
        <v>#DIV/0!</v>
      </c>
      <c r="AT1200" s="9" t="e">
        <f t="shared" ca="1" si="655"/>
        <v>#N/A</v>
      </c>
      <c r="AU1200" s="9" t="e">
        <f t="shared" ca="1" si="656"/>
        <v>#N/A</v>
      </c>
      <c r="AW1200" s="2" t="e">
        <f t="shared" si="641"/>
        <v>#N/A</v>
      </c>
      <c r="AX1200" s="2" t="e">
        <f t="shared" si="642"/>
        <v>#N/A</v>
      </c>
      <c r="AY1200" s="2" t="e">
        <f t="shared" si="643"/>
        <v>#N/A</v>
      </c>
      <c r="AZ1200" s="2" t="e">
        <f t="shared" si="644"/>
        <v>#N/A</v>
      </c>
      <c r="BA1200" s="2" t="e">
        <f t="shared" si="645"/>
        <v>#N/A</v>
      </c>
      <c r="BB1200" s="2" t="e">
        <f t="shared" si="646"/>
        <v>#DIV/0!</v>
      </c>
      <c r="BC1200" s="9" t="e">
        <f t="shared" ca="1" si="647"/>
        <v>#N/A</v>
      </c>
      <c r="BD1200" s="9" t="e">
        <f t="shared" ca="1" si="648"/>
        <v>#N/A</v>
      </c>
    </row>
    <row r="1201" spans="1:47" ht="15" x14ac:dyDescent="0.25">
      <c r="A1201" s="63"/>
      <c r="B1201" s="63"/>
      <c r="C1201" s="64"/>
      <c r="D1201" s="64"/>
      <c r="E1201" s="64"/>
      <c r="F1201" s="64"/>
      <c r="G1201" s="64"/>
      <c r="H1201" s="64"/>
      <c r="I1201" s="64"/>
      <c r="J1201" s="64"/>
      <c r="K1201" s="64"/>
      <c r="L1201" s="64"/>
      <c r="M1201" s="64"/>
      <c r="N1201" s="16"/>
      <c r="O1201" s="11"/>
      <c r="P1201" s="11"/>
      <c r="Q1201" s="11"/>
      <c r="R1201" s="11"/>
      <c r="S1201" s="11"/>
      <c r="T1201" s="11"/>
      <c r="U1201" s="11"/>
      <c r="W1201" s="11"/>
      <c r="Z1201" s="11"/>
      <c r="AB1201" s="11"/>
      <c r="AF1201" s="11"/>
      <c r="AM1201" s="11"/>
      <c r="AT1201" s="9"/>
      <c r="AU1201" s="9"/>
    </row>
    <row r="1202" spans="1:47" ht="15" x14ac:dyDescent="0.25">
      <c r="A1202" s="63"/>
      <c r="B1202" s="63"/>
      <c r="C1202" s="64"/>
      <c r="D1202" s="64"/>
      <c r="E1202" s="64"/>
      <c r="F1202" s="64"/>
      <c r="G1202" s="64"/>
      <c r="H1202" s="64"/>
      <c r="I1202" s="64"/>
      <c r="J1202" s="64"/>
      <c r="K1202" s="64"/>
      <c r="L1202" s="64"/>
      <c r="M1202" s="64"/>
      <c r="N1202" s="16"/>
      <c r="O1202" s="11"/>
      <c r="P1202" s="11"/>
      <c r="Q1202" s="11"/>
      <c r="R1202" s="11"/>
      <c r="S1202" s="11"/>
      <c r="T1202" s="11"/>
      <c r="U1202" s="11"/>
      <c r="W1202" s="11"/>
      <c r="Z1202" s="11"/>
      <c r="AB1202" s="11"/>
      <c r="AF1202" s="11"/>
      <c r="AM1202" s="11"/>
      <c r="AT1202" s="9"/>
      <c r="AU1202" s="9"/>
    </row>
    <row r="1203" spans="1:47" ht="15" x14ac:dyDescent="0.25">
      <c r="A1203" s="63"/>
      <c r="B1203" s="63"/>
      <c r="C1203" s="64"/>
      <c r="D1203" s="64"/>
      <c r="E1203" s="64"/>
      <c r="F1203" s="64"/>
      <c r="G1203" s="64"/>
      <c r="H1203" s="64"/>
      <c r="I1203" s="64"/>
      <c r="J1203" s="64"/>
      <c r="K1203" s="64"/>
      <c r="L1203" s="64"/>
      <c r="M1203" s="64"/>
      <c r="N1203" s="16"/>
      <c r="O1203" s="11"/>
      <c r="P1203" s="11"/>
      <c r="Q1203" s="11"/>
      <c r="R1203" s="11"/>
      <c r="S1203" s="11"/>
      <c r="T1203" s="11"/>
      <c r="U1203" s="11"/>
      <c r="W1203" s="11"/>
      <c r="Z1203" s="11"/>
      <c r="AB1203" s="11"/>
      <c r="AF1203" s="11"/>
      <c r="AM1203" s="11"/>
      <c r="AT1203" s="9"/>
      <c r="AU1203" s="9"/>
    </row>
    <row r="1204" spans="1:47" ht="15" x14ac:dyDescent="0.25">
      <c r="A1204" s="63"/>
      <c r="B1204" s="63"/>
      <c r="C1204" s="64"/>
      <c r="D1204" s="64"/>
      <c r="E1204" s="64"/>
      <c r="F1204" s="64"/>
      <c r="G1204" s="64"/>
      <c r="H1204" s="64"/>
      <c r="I1204" s="64"/>
      <c r="J1204" s="64"/>
      <c r="K1204" s="64"/>
      <c r="L1204" s="64"/>
      <c r="M1204" s="64"/>
      <c r="N1204" s="16"/>
      <c r="O1204" s="11"/>
      <c r="P1204" s="11"/>
      <c r="Q1204" s="11"/>
      <c r="R1204" s="11"/>
      <c r="S1204" s="11"/>
      <c r="T1204" s="11"/>
      <c r="U1204" s="11"/>
      <c r="W1204" s="11"/>
      <c r="Z1204" s="11"/>
      <c r="AB1204" s="11"/>
      <c r="AF1204" s="11"/>
      <c r="AM1204" s="11"/>
      <c r="AT1204" s="9"/>
      <c r="AU1204" s="9"/>
    </row>
    <row r="1205" spans="1:47" ht="15" x14ac:dyDescent="0.25">
      <c r="A1205" s="63"/>
      <c r="B1205" s="63"/>
      <c r="C1205" s="64"/>
      <c r="D1205" s="64"/>
      <c r="E1205" s="64"/>
      <c r="F1205" s="64"/>
      <c r="G1205" s="64"/>
      <c r="H1205" s="64"/>
      <c r="I1205" s="64"/>
      <c r="J1205" s="64"/>
      <c r="K1205" s="64"/>
      <c r="L1205" s="64"/>
      <c r="M1205" s="64"/>
      <c r="N1205" s="16"/>
      <c r="O1205" s="11"/>
      <c r="P1205" s="11"/>
      <c r="Q1205" s="11"/>
      <c r="R1205" s="11"/>
      <c r="S1205" s="11"/>
      <c r="T1205" s="11"/>
      <c r="U1205" s="11"/>
      <c r="W1205" s="11"/>
      <c r="Z1205" s="11"/>
      <c r="AB1205" s="11"/>
      <c r="AF1205" s="11"/>
      <c r="AM1205" s="11"/>
      <c r="AT1205" s="9"/>
      <c r="AU1205" s="9"/>
    </row>
    <row r="1206" spans="1:47" ht="15" x14ac:dyDescent="0.25">
      <c r="A1206" s="63"/>
      <c r="B1206" s="63"/>
      <c r="C1206" s="64"/>
      <c r="D1206" s="64"/>
      <c r="E1206" s="64"/>
      <c r="F1206" s="64"/>
      <c r="G1206" s="64"/>
      <c r="H1206" s="64"/>
      <c r="I1206" s="64"/>
      <c r="J1206" s="64"/>
      <c r="K1206" s="64"/>
      <c r="L1206" s="64"/>
      <c r="M1206" s="64"/>
      <c r="N1206" s="16"/>
      <c r="O1206" s="11"/>
      <c r="P1206" s="11"/>
      <c r="Q1206" s="11"/>
      <c r="R1206" s="11"/>
      <c r="S1206" s="11"/>
      <c r="T1206" s="11"/>
      <c r="U1206" s="11"/>
      <c r="W1206" s="11"/>
      <c r="Z1206" s="11"/>
      <c r="AB1206" s="11"/>
      <c r="AF1206" s="11"/>
      <c r="AM1206" s="11"/>
      <c r="AT1206" s="9"/>
      <c r="AU1206" s="9"/>
    </row>
    <row r="1207" spans="1:47" ht="15" x14ac:dyDescent="0.25">
      <c r="A1207" s="63"/>
      <c r="B1207" s="63"/>
      <c r="C1207" s="64"/>
      <c r="D1207" s="64"/>
      <c r="E1207" s="64"/>
      <c r="F1207" s="64"/>
      <c r="G1207" s="64"/>
      <c r="H1207" s="64"/>
      <c r="I1207" s="64"/>
      <c r="J1207" s="64"/>
      <c r="K1207" s="64"/>
      <c r="L1207" s="64"/>
      <c r="M1207" s="64"/>
      <c r="N1207" s="16"/>
      <c r="O1207" s="11"/>
      <c r="P1207" s="11"/>
      <c r="Q1207" s="11"/>
      <c r="R1207" s="11"/>
      <c r="S1207" s="11"/>
      <c r="T1207" s="11"/>
      <c r="U1207" s="11"/>
      <c r="W1207" s="11"/>
      <c r="Z1207" s="11"/>
      <c r="AB1207" s="11"/>
      <c r="AF1207" s="11"/>
      <c r="AM1207" s="11"/>
      <c r="AT1207" s="9"/>
      <c r="AU1207" s="9"/>
    </row>
    <row r="1208" spans="1:47" ht="15" x14ac:dyDescent="0.25">
      <c r="A1208" s="63"/>
      <c r="B1208" s="63"/>
      <c r="C1208" s="64"/>
      <c r="D1208" s="64"/>
      <c r="E1208" s="64"/>
      <c r="F1208" s="64"/>
      <c r="G1208" s="64"/>
      <c r="H1208" s="64"/>
      <c r="I1208" s="64"/>
      <c r="J1208" s="64"/>
      <c r="K1208" s="64"/>
      <c r="L1208" s="64"/>
      <c r="M1208" s="64"/>
      <c r="N1208" s="16"/>
      <c r="O1208" s="11"/>
      <c r="P1208" s="11"/>
      <c r="Q1208" s="11"/>
      <c r="R1208" s="11"/>
      <c r="S1208" s="11"/>
      <c r="T1208" s="11"/>
      <c r="U1208" s="11"/>
      <c r="W1208" s="11"/>
      <c r="Z1208" s="11"/>
      <c r="AB1208" s="11"/>
      <c r="AF1208" s="11"/>
      <c r="AM1208" s="11"/>
      <c r="AT1208" s="9"/>
      <c r="AU1208" s="9"/>
    </row>
    <row r="1209" spans="1:47" ht="15" x14ac:dyDescent="0.25">
      <c r="A1209" s="63"/>
      <c r="B1209" s="63"/>
      <c r="C1209" s="64"/>
      <c r="D1209" s="64"/>
      <c r="E1209" s="64"/>
      <c r="F1209" s="64"/>
      <c r="G1209" s="64"/>
      <c r="H1209" s="64"/>
      <c r="I1209" s="64"/>
      <c r="J1209" s="64"/>
      <c r="K1209" s="64"/>
      <c r="L1209" s="64"/>
      <c r="M1209" s="64"/>
      <c r="N1209" s="16"/>
      <c r="O1209" s="11"/>
      <c r="P1209" s="11"/>
      <c r="Q1209" s="11"/>
      <c r="R1209" s="11"/>
      <c r="S1209" s="11"/>
      <c r="T1209" s="11"/>
      <c r="U1209" s="11"/>
      <c r="W1209" s="11"/>
      <c r="Z1209" s="11"/>
      <c r="AB1209" s="11"/>
      <c r="AF1209" s="11"/>
      <c r="AM1209" s="11"/>
      <c r="AT1209" s="9"/>
      <c r="AU1209" s="9"/>
    </row>
    <row r="1210" spans="1:47" ht="15" x14ac:dyDescent="0.25">
      <c r="A1210" s="63"/>
      <c r="B1210" s="63"/>
      <c r="C1210" s="64"/>
      <c r="D1210" s="64"/>
      <c r="E1210" s="64"/>
      <c r="F1210" s="64"/>
      <c r="G1210" s="64"/>
      <c r="H1210" s="64"/>
      <c r="I1210" s="64"/>
      <c r="J1210" s="64"/>
      <c r="K1210" s="64"/>
      <c r="L1210" s="64"/>
      <c r="M1210" s="64"/>
      <c r="N1210" s="16"/>
      <c r="O1210" s="11"/>
      <c r="P1210" s="11"/>
      <c r="Q1210" s="11"/>
      <c r="R1210" s="11"/>
      <c r="S1210" s="11"/>
      <c r="T1210" s="11"/>
      <c r="U1210" s="11"/>
      <c r="W1210" s="11"/>
      <c r="Z1210" s="11"/>
      <c r="AB1210" s="11"/>
      <c r="AF1210" s="11"/>
      <c r="AM1210" s="11"/>
      <c r="AT1210" s="9"/>
      <c r="AU1210" s="9"/>
    </row>
    <row r="1211" spans="1:47" ht="15" x14ac:dyDescent="0.25">
      <c r="A1211" s="63"/>
      <c r="B1211" s="63"/>
      <c r="C1211" s="64"/>
      <c r="D1211" s="64"/>
      <c r="E1211" s="64"/>
      <c r="F1211" s="64"/>
      <c r="G1211" s="64"/>
      <c r="H1211" s="64"/>
      <c r="I1211" s="64"/>
      <c r="J1211" s="64"/>
      <c r="K1211" s="64"/>
      <c r="L1211" s="64"/>
      <c r="M1211" s="64"/>
      <c r="N1211" s="16"/>
      <c r="O1211" s="11"/>
      <c r="P1211" s="11"/>
      <c r="Q1211" s="11"/>
      <c r="R1211" s="11"/>
      <c r="S1211" s="11"/>
      <c r="T1211" s="11"/>
      <c r="U1211" s="11"/>
      <c r="W1211" s="11"/>
      <c r="Z1211" s="11"/>
      <c r="AB1211" s="11"/>
      <c r="AF1211" s="11"/>
      <c r="AM1211" s="11"/>
      <c r="AT1211" s="9"/>
      <c r="AU1211" s="9"/>
    </row>
    <row r="1212" spans="1:47" ht="15" x14ac:dyDescent="0.25">
      <c r="A1212" s="63"/>
      <c r="B1212" s="63"/>
      <c r="C1212" s="64"/>
      <c r="D1212" s="64"/>
      <c r="E1212" s="64"/>
      <c r="F1212" s="64"/>
      <c r="G1212" s="64"/>
      <c r="H1212" s="64"/>
      <c r="I1212" s="64"/>
      <c r="J1212" s="64"/>
      <c r="K1212" s="64"/>
      <c r="L1212" s="64"/>
      <c r="M1212" s="64"/>
      <c r="N1212" s="16"/>
      <c r="O1212" s="11"/>
      <c r="P1212" s="11"/>
      <c r="Q1212" s="11"/>
      <c r="R1212" s="11"/>
      <c r="S1212" s="11"/>
      <c r="T1212" s="11"/>
      <c r="U1212" s="11"/>
      <c r="W1212" s="11"/>
      <c r="Z1212" s="11"/>
      <c r="AB1212" s="11"/>
      <c r="AF1212" s="11"/>
      <c r="AM1212" s="11"/>
      <c r="AT1212" s="9"/>
      <c r="AU1212" s="9"/>
    </row>
    <row r="1213" spans="1:47" ht="15" x14ac:dyDescent="0.25">
      <c r="A1213" s="63"/>
      <c r="B1213" s="63"/>
      <c r="C1213" s="64"/>
      <c r="D1213" s="64"/>
      <c r="E1213" s="64"/>
      <c r="F1213" s="64"/>
      <c r="G1213" s="64"/>
      <c r="H1213" s="64"/>
      <c r="I1213" s="64"/>
      <c r="J1213" s="64"/>
      <c r="K1213" s="64"/>
      <c r="L1213" s="64"/>
      <c r="M1213" s="64"/>
      <c r="N1213" s="16"/>
      <c r="O1213" s="11"/>
      <c r="P1213" s="11"/>
      <c r="Q1213" s="11"/>
      <c r="R1213" s="11"/>
      <c r="S1213" s="11"/>
      <c r="T1213" s="11"/>
      <c r="U1213" s="11"/>
      <c r="W1213" s="11"/>
      <c r="Z1213" s="11"/>
      <c r="AB1213" s="11"/>
      <c r="AF1213" s="11"/>
      <c r="AM1213" s="11"/>
      <c r="AT1213" s="9"/>
      <c r="AU1213" s="9"/>
    </row>
    <row r="1214" spans="1:47" ht="15" x14ac:dyDescent="0.25">
      <c r="A1214" s="63"/>
      <c r="B1214" s="63"/>
      <c r="C1214" s="64"/>
      <c r="D1214" s="64"/>
      <c r="E1214" s="64"/>
      <c r="F1214" s="64"/>
      <c r="G1214" s="64"/>
      <c r="H1214" s="64"/>
      <c r="I1214" s="64"/>
      <c r="J1214" s="64"/>
      <c r="K1214" s="64"/>
      <c r="L1214" s="64"/>
      <c r="M1214" s="64"/>
      <c r="N1214" s="16"/>
      <c r="O1214" s="11"/>
      <c r="P1214" s="11"/>
      <c r="Q1214" s="11"/>
      <c r="R1214" s="11"/>
      <c r="S1214" s="11"/>
      <c r="T1214" s="11"/>
      <c r="U1214" s="11"/>
      <c r="W1214" s="11"/>
      <c r="Z1214" s="11"/>
      <c r="AB1214" s="11"/>
      <c r="AF1214" s="11"/>
      <c r="AM1214" s="11"/>
      <c r="AT1214" s="9"/>
      <c r="AU1214" s="9"/>
    </row>
    <row r="1215" spans="1:47" ht="15" x14ac:dyDescent="0.25">
      <c r="A1215" s="63"/>
      <c r="B1215" s="63"/>
      <c r="C1215" s="64"/>
      <c r="D1215" s="64"/>
      <c r="E1215" s="64"/>
      <c r="F1215" s="64"/>
      <c r="G1215" s="64"/>
      <c r="H1215" s="64"/>
      <c r="I1215" s="64"/>
      <c r="J1215" s="64"/>
      <c r="K1215" s="64"/>
      <c r="L1215" s="64"/>
      <c r="M1215" s="64"/>
      <c r="N1215" s="16"/>
      <c r="O1215" s="11"/>
      <c r="P1215" s="11"/>
      <c r="Q1215" s="11"/>
      <c r="R1215" s="11"/>
      <c r="S1215" s="11"/>
      <c r="T1215" s="11"/>
      <c r="U1215" s="11"/>
      <c r="W1215" s="11"/>
      <c r="Z1215" s="11"/>
      <c r="AB1215" s="11"/>
      <c r="AF1215" s="11"/>
      <c r="AM1215" s="11"/>
      <c r="AT1215" s="9"/>
      <c r="AU1215" s="9"/>
    </row>
    <row r="1216" spans="1:47" ht="15" x14ac:dyDescent="0.25">
      <c r="A1216" s="63"/>
      <c r="B1216" s="63"/>
      <c r="C1216" s="64"/>
      <c r="D1216" s="64"/>
      <c r="E1216" s="64"/>
      <c r="F1216" s="64"/>
      <c r="G1216" s="64"/>
      <c r="H1216" s="64"/>
      <c r="I1216" s="64"/>
      <c r="J1216" s="64"/>
      <c r="K1216" s="64"/>
      <c r="L1216" s="64"/>
      <c r="M1216" s="64"/>
      <c r="N1216" s="16"/>
      <c r="O1216" s="11"/>
      <c r="P1216" s="11"/>
      <c r="Q1216" s="11"/>
      <c r="R1216" s="11"/>
      <c r="S1216" s="11"/>
      <c r="T1216" s="11"/>
      <c r="U1216" s="11"/>
      <c r="W1216" s="11"/>
      <c r="Z1216" s="11"/>
      <c r="AB1216" s="11"/>
      <c r="AF1216" s="11"/>
      <c r="AM1216" s="11"/>
      <c r="AT1216" s="9"/>
      <c r="AU1216" s="9"/>
    </row>
    <row r="1217" spans="1:47" ht="15" x14ac:dyDescent="0.25">
      <c r="A1217" s="63"/>
      <c r="B1217" s="63"/>
      <c r="C1217" s="64"/>
      <c r="D1217" s="64"/>
      <c r="E1217" s="64"/>
      <c r="F1217" s="64"/>
      <c r="G1217" s="64"/>
      <c r="H1217" s="64"/>
      <c r="I1217" s="64"/>
      <c r="J1217" s="64"/>
      <c r="K1217" s="64"/>
      <c r="L1217" s="64"/>
      <c r="M1217" s="64"/>
      <c r="N1217" s="16"/>
      <c r="O1217" s="11"/>
      <c r="P1217" s="11"/>
      <c r="Q1217" s="11"/>
      <c r="R1217" s="11"/>
      <c r="S1217" s="11"/>
      <c r="T1217" s="11"/>
      <c r="U1217" s="11"/>
      <c r="W1217" s="11"/>
      <c r="Z1217" s="11"/>
      <c r="AB1217" s="11"/>
      <c r="AF1217" s="11"/>
      <c r="AM1217" s="11"/>
      <c r="AT1217" s="9"/>
      <c r="AU1217" s="9"/>
    </row>
    <row r="1218" spans="1:47" ht="15" x14ac:dyDescent="0.25">
      <c r="A1218" s="63"/>
      <c r="B1218" s="63"/>
      <c r="C1218" s="64"/>
      <c r="D1218" s="64"/>
      <c r="E1218" s="64"/>
      <c r="F1218" s="64"/>
      <c r="G1218" s="64"/>
      <c r="H1218" s="64"/>
      <c r="I1218" s="64"/>
      <c r="J1218" s="64"/>
      <c r="K1218" s="64"/>
      <c r="L1218" s="64"/>
      <c r="M1218" s="64"/>
      <c r="N1218" s="16"/>
      <c r="O1218" s="11"/>
      <c r="P1218" s="11"/>
      <c r="Q1218" s="11"/>
      <c r="R1218" s="11"/>
      <c r="S1218" s="11"/>
      <c r="T1218" s="11"/>
      <c r="U1218" s="11"/>
      <c r="W1218" s="11"/>
      <c r="Z1218" s="11"/>
      <c r="AB1218" s="11"/>
      <c r="AF1218" s="11"/>
      <c r="AM1218" s="11"/>
      <c r="AT1218" s="9"/>
      <c r="AU1218" s="9"/>
    </row>
    <row r="1219" spans="1:47" ht="15" x14ac:dyDescent="0.25">
      <c r="A1219" s="63"/>
      <c r="B1219" s="63"/>
      <c r="C1219" s="64"/>
      <c r="D1219" s="64"/>
      <c r="E1219" s="64"/>
      <c r="F1219" s="64"/>
      <c r="G1219" s="64"/>
      <c r="H1219" s="64"/>
      <c r="I1219" s="64"/>
      <c r="J1219" s="64"/>
      <c r="K1219" s="64"/>
      <c r="L1219" s="64"/>
      <c r="M1219" s="64"/>
      <c r="N1219" s="16"/>
      <c r="O1219" s="11"/>
      <c r="P1219" s="11"/>
      <c r="Q1219" s="11"/>
      <c r="R1219" s="11"/>
      <c r="S1219" s="11"/>
      <c r="T1219" s="11"/>
      <c r="U1219" s="11"/>
      <c r="W1219" s="11"/>
      <c r="Z1219" s="11"/>
      <c r="AB1219" s="11"/>
      <c r="AF1219" s="11"/>
      <c r="AM1219" s="11"/>
      <c r="AT1219" s="9"/>
      <c r="AU1219" s="9"/>
    </row>
    <row r="1220" spans="1:47" ht="15" x14ac:dyDescent="0.25">
      <c r="A1220" s="63"/>
      <c r="B1220" s="63"/>
      <c r="C1220" s="64"/>
      <c r="D1220" s="64"/>
      <c r="E1220" s="64"/>
      <c r="F1220" s="64"/>
      <c r="G1220" s="64"/>
      <c r="H1220" s="64"/>
      <c r="I1220" s="64"/>
      <c r="J1220" s="64"/>
      <c r="K1220" s="64"/>
      <c r="L1220" s="64"/>
      <c r="M1220" s="64"/>
      <c r="N1220" s="16"/>
      <c r="O1220" s="11"/>
      <c r="P1220" s="11"/>
      <c r="Q1220" s="11"/>
      <c r="R1220" s="11"/>
      <c r="S1220" s="11"/>
      <c r="T1220" s="11"/>
      <c r="U1220" s="11"/>
      <c r="W1220" s="11"/>
      <c r="Z1220" s="11"/>
      <c r="AB1220" s="11"/>
      <c r="AF1220" s="11"/>
      <c r="AM1220" s="11"/>
      <c r="AT1220" s="9"/>
      <c r="AU1220" s="9"/>
    </row>
    <row r="1221" spans="1:47" ht="15" x14ac:dyDescent="0.25">
      <c r="A1221" s="63"/>
      <c r="B1221" s="63"/>
      <c r="C1221" s="64"/>
      <c r="D1221" s="64"/>
      <c r="E1221" s="64"/>
      <c r="F1221" s="64"/>
      <c r="G1221" s="64"/>
      <c r="H1221" s="64"/>
      <c r="I1221" s="64"/>
      <c r="J1221" s="64"/>
      <c r="K1221" s="64"/>
      <c r="L1221" s="64"/>
      <c r="M1221" s="64"/>
      <c r="N1221" s="16"/>
      <c r="O1221" s="11"/>
      <c r="P1221" s="11"/>
      <c r="Q1221" s="11"/>
      <c r="R1221" s="11"/>
      <c r="S1221" s="11"/>
      <c r="T1221" s="11"/>
      <c r="U1221" s="11"/>
      <c r="W1221" s="11"/>
      <c r="Z1221" s="11"/>
      <c r="AB1221" s="11"/>
      <c r="AF1221" s="11"/>
      <c r="AM1221" s="11"/>
      <c r="AT1221" s="9"/>
      <c r="AU1221" s="9"/>
    </row>
    <row r="1222" spans="1:47" ht="15" x14ac:dyDescent="0.25">
      <c r="A1222" s="63"/>
      <c r="B1222" s="63"/>
      <c r="C1222" s="64"/>
      <c r="D1222" s="64"/>
      <c r="E1222" s="64"/>
      <c r="F1222" s="64"/>
      <c r="G1222" s="64"/>
      <c r="H1222" s="64"/>
      <c r="I1222" s="64"/>
      <c r="J1222" s="64"/>
      <c r="K1222" s="64"/>
      <c r="L1222" s="64"/>
      <c r="M1222" s="64"/>
      <c r="N1222" s="16"/>
      <c r="O1222" s="11"/>
      <c r="P1222" s="11"/>
      <c r="Q1222" s="11"/>
      <c r="R1222" s="11"/>
      <c r="S1222" s="11"/>
      <c r="T1222" s="11"/>
      <c r="U1222" s="11"/>
      <c r="W1222" s="11"/>
      <c r="Z1222" s="11"/>
      <c r="AB1222" s="11"/>
      <c r="AF1222" s="11"/>
      <c r="AM1222" s="11"/>
      <c r="AT1222" s="9"/>
      <c r="AU1222" s="9"/>
    </row>
    <row r="1223" spans="1:47" ht="15" x14ac:dyDescent="0.25">
      <c r="A1223" s="63"/>
      <c r="B1223" s="63"/>
      <c r="C1223" s="64"/>
      <c r="D1223" s="64"/>
      <c r="E1223" s="64"/>
      <c r="F1223" s="64"/>
      <c r="G1223" s="64"/>
      <c r="H1223" s="64"/>
      <c r="I1223" s="64"/>
      <c r="J1223" s="64"/>
      <c r="K1223" s="64"/>
      <c r="L1223" s="64"/>
      <c r="M1223" s="64"/>
      <c r="N1223" s="16"/>
      <c r="O1223" s="11"/>
      <c r="P1223" s="11"/>
      <c r="Q1223" s="11"/>
      <c r="R1223" s="11"/>
      <c r="S1223" s="11"/>
      <c r="T1223" s="11"/>
      <c r="U1223" s="11"/>
      <c r="W1223" s="11"/>
      <c r="Z1223" s="11"/>
      <c r="AB1223" s="11"/>
      <c r="AF1223" s="11"/>
      <c r="AM1223" s="11"/>
      <c r="AT1223" s="9"/>
      <c r="AU1223" s="9"/>
    </row>
    <row r="1224" spans="1:47" ht="15" x14ac:dyDescent="0.25">
      <c r="A1224" s="63"/>
      <c r="B1224" s="63"/>
      <c r="C1224" s="64"/>
      <c r="D1224" s="64"/>
      <c r="E1224" s="64"/>
      <c r="F1224" s="64"/>
      <c r="G1224" s="64"/>
      <c r="H1224" s="64"/>
      <c r="I1224" s="64"/>
      <c r="J1224" s="64"/>
      <c r="K1224" s="64"/>
      <c r="L1224" s="64"/>
      <c r="M1224" s="64"/>
      <c r="N1224" s="16"/>
      <c r="O1224" s="11"/>
      <c r="P1224" s="11"/>
      <c r="Q1224" s="11"/>
      <c r="R1224" s="11"/>
      <c r="S1224" s="11"/>
      <c r="T1224" s="11"/>
      <c r="U1224" s="11"/>
      <c r="W1224" s="11"/>
      <c r="Z1224" s="11"/>
      <c r="AB1224" s="11"/>
      <c r="AF1224" s="11"/>
      <c r="AM1224" s="11"/>
      <c r="AT1224" s="9"/>
      <c r="AU1224" s="9"/>
    </row>
    <row r="1225" spans="1:47" ht="15" x14ac:dyDescent="0.25">
      <c r="A1225" s="63"/>
      <c r="B1225" s="63"/>
      <c r="C1225" s="64"/>
      <c r="D1225" s="64"/>
      <c r="E1225" s="64"/>
      <c r="F1225" s="64"/>
      <c r="G1225" s="64"/>
      <c r="H1225" s="64"/>
      <c r="I1225" s="64"/>
      <c r="J1225" s="64"/>
      <c r="K1225" s="64"/>
      <c r="L1225" s="64"/>
      <c r="M1225" s="64"/>
      <c r="N1225" s="16"/>
      <c r="O1225" s="11"/>
      <c r="P1225" s="11"/>
      <c r="Q1225" s="11"/>
      <c r="R1225" s="11"/>
      <c r="S1225" s="11"/>
      <c r="T1225" s="11"/>
      <c r="U1225" s="11"/>
      <c r="W1225" s="11"/>
      <c r="Z1225" s="11"/>
      <c r="AB1225" s="11"/>
      <c r="AF1225" s="11"/>
      <c r="AM1225" s="11"/>
      <c r="AT1225" s="9"/>
      <c r="AU1225" s="9"/>
    </row>
    <row r="1226" spans="1:47" ht="15" x14ac:dyDescent="0.25">
      <c r="A1226" s="63"/>
      <c r="B1226" s="63"/>
      <c r="C1226" s="64"/>
      <c r="D1226" s="64"/>
      <c r="E1226" s="64"/>
      <c r="F1226" s="64"/>
      <c r="G1226" s="64"/>
      <c r="H1226" s="64"/>
      <c r="I1226" s="64"/>
      <c r="J1226" s="64"/>
      <c r="K1226" s="64"/>
      <c r="L1226" s="64"/>
      <c r="M1226" s="64"/>
      <c r="N1226" s="16"/>
      <c r="O1226" s="11"/>
      <c r="P1226" s="11"/>
      <c r="Q1226" s="11"/>
      <c r="R1226" s="11"/>
      <c r="S1226" s="11"/>
      <c r="T1226" s="11"/>
      <c r="U1226" s="11"/>
      <c r="W1226" s="11"/>
      <c r="Z1226" s="11"/>
      <c r="AB1226" s="11"/>
      <c r="AF1226" s="11"/>
      <c r="AM1226" s="11"/>
      <c r="AT1226" s="9"/>
      <c r="AU1226" s="9"/>
    </row>
    <row r="1227" spans="1:47" ht="15" x14ac:dyDescent="0.25">
      <c r="A1227" s="63"/>
      <c r="B1227" s="63"/>
      <c r="C1227" s="64"/>
      <c r="D1227" s="64"/>
      <c r="E1227" s="64"/>
      <c r="F1227" s="64"/>
      <c r="G1227" s="64"/>
      <c r="H1227" s="64"/>
      <c r="I1227" s="64"/>
      <c r="J1227" s="64"/>
      <c r="K1227" s="64"/>
      <c r="L1227" s="64"/>
      <c r="M1227" s="64"/>
      <c r="N1227" s="16"/>
      <c r="O1227" s="11"/>
      <c r="P1227" s="11"/>
      <c r="Q1227" s="11"/>
      <c r="R1227" s="11"/>
      <c r="S1227" s="11"/>
      <c r="T1227" s="11"/>
      <c r="U1227" s="11"/>
      <c r="W1227" s="11"/>
      <c r="Z1227" s="11"/>
      <c r="AB1227" s="11"/>
      <c r="AF1227" s="11"/>
      <c r="AM1227" s="11"/>
      <c r="AT1227" s="9"/>
      <c r="AU1227" s="9"/>
    </row>
    <row r="1228" spans="1:47" ht="15" x14ac:dyDescent="0.25">
      <c r="A1228" s="63"/>
      <c r="B1228" s="63"/>
      <c r="C1228" s="64"/>
      <c r="D1228" s="64"/>
      <c r="E1228" s="64"/>
      <c r="F1228" s="64"/>
      <c r="G1228" s="64"/>
      <c r="H1228" s="64"/>
      <c r="I1228" s="64"/>
      <c r="J1228" s="64"/>
      <c r="K1228" s="64"/>
      <c r="L1228" s="64"/>
      <c r="M1228" s="64"/>
      <c r="N1228" s="16"/>
      <c r="O1228" s="11"/>
      <c r="P1228" s="11"/>
      <c r="Q1228" s="11"/>
      <c r="R1228" s="11"/>
      <c r="S1228" s="11"/>
      <c r="T1228" s="11"/>
      <c r="U1228" s="11"/>
      <c r="W1228" s="11"/>
      <c r="Z1228" s="11"/>
      <c r="AB1228" s="11"/>
      <c r="AF1228" s="11"/>
      <c r="AM1228" s="11"/>
      <c r="AT1228" s="9"/>
      <c r="AU1228" s="9"/>
    </row>
    <row r="1229" spans="1:47" ht="15" x14ac:dyDescent="0.25">
      <c r="A1229" s="63"/>
      <c r="B1229" s="63"/>
      <c r="C1229" s="64"/>
      <c r="D1229" s="64"/>
      <c r="E1229" s="64"/>
      <c r="F1229" s="64"/>
      <c r="G1229" s="64"/>
      <c r="H1229" s="64"/>
      <c r="I1229" s="64"/>
      <c r="J1229" s="64"/>
      <c r="K1229" s="64"/>
      <c r="L1229" s="64"/>
      <c r="M1229" s="64"/>
      <c r="N1229" s="16"/>
      <c r="O1229" s="11"/>
      <c r="P1229" s="11"/>
      <c r="Q1229" s="11"/>
      <c r="R1229" s="11"/>
      <c r="S1229" s="11"/>
      <c r="T1229" s="11"/>
      <c r="U1229" s="11"/>
      <c r="W1229" s="11"/>
      <c r="Z1229" s="11"/>
      <c r="AB1229" s="11"/>
      <c r="AF1229" s="11"/>
      <c r="AM1229" s="11"/>
      <c r="AT1229" s="9"/>
      <c r="AU1229" s="9"/>
    </row>
    <row r="1230" spans="1:47" ht="15" x14ac:dyDescent="0.25">
      <c r="A1230" s="63"/>
      <c r="B1230" s="63"/>
      <c r="C1230" s="64"/>
      <c r="D1230" s="64"/>
      <c r="E1230" s="64"/>
      <c r="F1230" s="64"/>
      <c r="G1230" s="64"/>
      <c r="H1230" s="64"/>
      <c r="I1230" s="64"/>
      <c r="J1230" s="64"/>
      <c r="K1230" s="64"/>
      <c r="L1230" s="64"/>
      <c r="M1230" s="64"/>
      <c r="N1230" s="16"/>
      <c r="O1230" s="11"/>
      <c r="P1230" s="11"/>
      <c r="Q1230" s="11"/>
      <c r="R1230" s="11"/>
      <c r="S1230" s="11"/>
      <c r="T1230" s="11"/>
      <c r="U1230" s="11"/>
      <c r="W1230" s="11"/>
      <c r="Z1230" s="11"/>
      <c r="AB1230" s="11"/>
      <c r="AF1230" s="11"/>
      <c r="AM1230" s="11"/>
      <c r="AT1230" s="9"/>
      <c r="AU1230" s="9"/>
    </row>
    <row r="1231" spans="1:47" ht="15" x14ac:dyDescent="0.25">
      <c r="A1231" s="63"/>
      <c r="B1231" s="63"/>
      <c r="C1231" s="64"/>
      <c r="D1231" s="64"/>
      <c r="E1231" s="64"/>
      <c r="F1231" s="64"/>
      <c r="G1231" s="64"/>
      <c r="H1231" s="64"/>
      <c r="I1231" s="64"/>
      <c r="J1231" s="64"/>
      <c r="K1231" s="64"/>
      <c r="L1231" s="64"/>
      <c r="M1231" s="64"/>
      <c r="N1231" s="16"/>
      <c r="O1231" s="11"/>
      <c r="P1231" s="11"/>
      <c r="Q1231" s="11"/>
      <c r="R1231" s="11"/>
      <c r="S1231" s="11"/>
      <c r="T1231" s="11"/>
      <c r="U1231" s="11"/>
      <c r="W1231" s="11"/>
      <c r="Z1231" s="11"/>
      <c r="AB1231" s="11"/>
      <c r="AF1231" s="11"/>
      <c r="AM1231" s="11"/>
      <c r="AT1231" s="9"/>
      <c r="AU1231" s="9"/>
    </row>
    <row r="1232" spans="1:47" ht="15" x14ac:dyDescent="0.25">
      <c r="A1232" s="63"/>
      <c r="B1232" s="63"/>
      <c r="C1232" s="64"/>
      <c r="D1232" s="64"/>
      <c r="E1232" s="64"/>
      <c r="F1232" s="64"/>
      <c r="G1232" s="64"/>
      <c r="H1232" s="64"/>
      <c r="I1232" s="64"/>
      <c r="J1232" s="64"/>
      <c r="K1232" s="64"/>
      <c r="L1232" s="64"/>
      <c r="M1232" s="64"/>
      <c r="N1232" s="16"/>
      <c r="O1232" s="11"/>
      <c r="P1232" s="11"/>
      <c r="Q1232" s="11"/>
      <c r="R1232" s="11"/>
      <c r="S1232" s="11"/>
      <c r="T1232" s="11"/>
      <c r="U1232" s="11"/>
      <c r="W1232" s="11"/>
      <c r="Z1232" s="11"/>
      <c r="AB1232" s="11"/>
      <c r="AF1232" s="11"/>
      <c r="AM1232" s="11"/>
      <c r="AT1232" s="9"/>
      <c r="AU1232" s="9"/>
    </row>
    <row r="1233" spans="1:47" ht="15" x14ac:dyDescent="0.25">
      <c r="A1233" s="63"/>
      <c r="B1233" s="63"/>
      <c r="C1233" s="64"/>
      <c r="D1233" s="64"/>
      <c r="E1233" s="64"/>
      <c r="F1233" s="64"/>
      <c r="G1233" s="64"/>
      <c r="H1233" s="64"/>
      <c r="I1233" s="64"/>
      <c r="J1233" s="64"/>
      <c r="K1233" s="64"/>
      <c r="L1233" s="64"/>
      <c r="M1233" s="64"/>
      <c r="N1233" s="16"/>
      <c r="O1233" s="11"/>
      <c r="P1233" s="11"/>
      <c r="Q1233" s="11"/>
      <c r="R1233" s="11"/>
      <c r="S1233" s="11"/>
      <c r="T1233" s="11"/>
      <c r="U1233" s="11"/>
      <c r="W1233" s="11"/>
      <c r="Z1233" s="11"/>
      <c r="AB1233" s="11"/>
      <c r="AF1233" s="11"/>
      <c r="AM1233" s="11"/>
      <c r="AT1233" s="9"/>
      <c r="AU1233" s="9"/>
    </row>
    <row r="1234" spans="1:47" ht="15" x14ac:dyDescent="0.25">
      <c r="A1234" s="63"/>
      <c r="B1234" s="63"/>
      <c r="C1234" s="64"/>
      <c r="D1234" s="64"/>
      <c r="E1234" s="64"/>
      <c r="F1234" s="64"/>
      <c r="G1234" s="64"/>
      <c r="H1234" s="64"/>
      <c r="I1234" s="64"/>
      <c r="J1234" s="64"/>
      <c r="K1234" s="64"/>
      <c r="L1234" s="64"/>
      <c r="M1234" s="64"/>
      <c r="N1234" s="16"/>
      <c r="O1234" s="11"/>
      <c r="P1234" s="11"/>
      <c r="Q1234" s="11"/>
      <c r="R1234" s="11"/>
      <c r="S1234" s="11"/>
      <c r="T1234" s="11"/>
      <c r="U1234" s="11"/>
      <c r="W1234" s="11"/>
      <c r="Z1234" s="11"/>
      <c r="AB1234" s="11"/>
      <c r="AF1234" s="11"/>
      <c r="AM1234" s="11"/>
      <c r="AT1234" s="9"/>
      <c r="AU1234" s="9"/>
    </row>
    <row r="1235" spans="1:47" ht="15" x14ac:dyDescent="0.25">
      <c r="A1235" s="63"/>
      <c r="B1235" s="63"/>
      <c r="C1235" s="64"/>
      <c r="D1235" s="64"/>
      <c r="E1235" s="64"/>
      <c r="F1235" s="64"/>
      <c r="G1235" s="64"/>
      <c r="H1235" s="64"/>
      <c r="I1235" s="64"/>
      <c r="J1235" s="64"/>
      <c r="K1235" s="64"/>
      <c r="L1235" s="64"/>
      <c r="M1235" s="64"/>
      <c r="N1235" s="16"/>
      <c r="O1235" s="11"/>
      <c r="P1235" s="11"/>
      <c r="Q1235" s="11"/>
      <c r="R1235" s="11"/>
      <c r="S1235" s="11"/>
      <c r="T1235" s="11"/>
      <c r="U1235" s="11"/>
      <c r="W1235" s="11"/>
      <c r="Z1235" s="11"/>
      <c r="AB1235" s="11"/>
      <c r="AF1235" s="11"/>
      <c r="AM1235" s="11"/>
      <c r="AT1235" s="9"/>
      <c r="AU1235" s="9"/>
    </row>
    <row r="1236" spans="1:47" ht="15" x14ac:dyDescent="0.25">
      <c r="A1236" s="63"/>
      <c r="B1236" s="63"/>
      <c r="C1236" s="64"/>
      <c r="D1236" s="64"/>
      <c r="E1236" s="64"/>
      <c r="F1236" s="64"/>
      <c r="G1236" s="64"/>
      <c r="H1236" s="64"/>
      <c r="I1236" s="64"/>
      <c r="J1236" s="64"/>
      <c r="K1236" s="64"/>
      <c r="L1236" s="64"/>
      <c r="M1236" s="64"/>
      <c r="N1236" s="16"/>
      <c r="O1236" s="11"/>
      <c r="P1236" s="11"/>
      <c r="Q1236" s="11"/>
      <c r="R1236" s="11"/>
      <c r="S1236" s="11"/>
      <c r="T1236" s="11"/>
      <c r="U1236" s="11"/>
      <c r="W1236" s="11"/>
      <c r="Z1236" s="11"/>
      <c r="AB1236" s="11"/>
      <c r="AF1236" s="11"/>
      <c r="AM1236" s="11"/>
      <c r="AT1236" s="9"/>
      <c r="AU1236" s="9"/>
    </row>
    <row r="1237" spans="1:47" ht="15" x14ac:dyDescent="0.25">
      <c r="A1237" s="63"/>
      <c r="B1237" s="63"/>
      <c r="C1237" s="64"/>
      <c r="D1237" s="64"/>
      <c r="E1237" s="64"/>
      <c r="F1237" s="64"/>
      <c r="G1237" s="64"/>
      <c r="H1237" s="64"/>
      <c r="I1237" s="64"/>
      <c r="J1237" s="64"/>
      <c r="K1237" s="64"/>
      <c r="L1237" s="64"/>
      <c r="M1237" s="64"/>
      <c r="N1237" s="16"/>
      <c r="O1237" s="11"/>
      <c r="P1237" s="11"/>
      <c r="Q1237" s="11"/>
      <c r="R1237" s="11"/>
      <c r="S1237" s="11"/>
      <c r="T1237" s="11"/>
      <c r="U1237" s="11"/>
      <c r="W1237" s="11"/>
      <c r="Z1237" s="11"/>
      <c r="AB1237" s="11"/>
      <c r="AF1237" s="11"/>
      <c r="AM1237" s="11"/>
      <c r="AT1237" s="9"/>
      <c r="AU1237" s="9"/>
    </row>
    <row r="1238" spans="1:47" ht="15" x14ac:dyDescent="0.25">
      <c r="A1238" s="63"/>
      <c r="B1238" s="63"/>
      <c r="C1238" s="64"/>
      <c r="D1238" s="64"/>
      <c r="E1238" s="64"/>
      <c r="F1238" s="64"/>
      <c r="G1238" s="64"/>
      <c r="H1238" s="64"/>
      <c r="I1238" s="64"/>
      <c r="J1238" s="64"/>
      <c r="K1238" s="64"/>
      <c r="L1238" s="64"/>
      <c r="M1238" s="64"/>
      <c r="N1238" s="16"/>
      <c r="O1238" s="11"/>
      <c r="P1238" s="11"/>
      <c r="Q1238" s="11"/>
      <c r="R1238" s="11"/>
      <c r="S1238" s="11"/>
      <c r="T1238" s="11"/>
      <c r="U1238" s="11"/>
      <c r="W1238" s="11"/>
      <c r="Z1238" s="11"/>
      <c r="AB1238" s="11"/>
      <c r="AF1238" s="11"/>
      <c r="AM1238" s="11"/>
      <c r="AT1238" s="9"/>
      <c r="AU1238" s="9"/>
    </row>
    <row r="1239" spans="1:47" ht="15" x14ac:dyDescent="0.25">
      <c r="A1239" s="63"/>
      <c r="B1239" s="63"/>
      <c r="C1239" s="64"/>
      <c r="D1239" s="64"/>
      <c r="E1239" s="64"/>
      <c r="F1239" s="64"/>
      <c r="G1239" s="64"/>
      <c r="H1239" s="64"/>
      <c r="I1239" s="64"/>
      <c r="J1239" s="64"/>
      <c r="K1239" s="64"/>
      <c r="L1239" s="64"/>
      <c r="M1239" s="64"/>
      <c r="N1239" s="16"/>
      <c r="O1239" s="11"/>
      <c r="P1239" s="11"/>
      <c r="Q1239" s="11"/>
      <c r="R1239" s="11"/>
      <c r="S1239" s="11"/>
      <c r="T1239" s="11"/>
      <c r="U1239" s="11"/>
      <c r="W1239" s="11"/>
      <c r="Z1239" s="11"/>
      <c r="AB1239" s="11"/>
      <c r="AF1239" s="11"/>
      <c r="AM1239" s="11"/>
      <c r="AT1239" s="9"/>
      <c r="AU1239" s="9"/>
    </row>
    <row r="1240" spans="1:47" ht="15" x14ac:dyDescent="0.25">
      <c r="A1240" s="63"/>
      <c r="B1240" s="63"/>
      <c r="C1240" s="64"/>
      <c r="D1240" s="64"/>
      <c r="E1240" s="64"/>
      <c r="F1240" s="64"/>
      <c r="G1240" s="64"/>
      <c r="H1240" s="64"/>
      <c r="I1240" s="64"/>
      <c r="J1240" s="64"/>
      <c r="K1240" s="64"/>
      <c r="L1240" s="64"/>
      <c r="M1240" s="64"/>
      <c r="N1240" s="16"/>
      <c r="O1240" s="11"/>
      <c r="P1240" s="11"/>
      <c r="Q1240" s="11"/>
      <c r="R1240" s="11"/>
      <c r="S1240" s="11"/>
      <c r="T1240" s="11"/>
      <c r="U1240" s="11"/>
      <c r="W1240" s="11"/>
      <c r="Z1240" s="11"/>
      <c r="AB1240" s="11"/>
      <c r="AF1240" s="11"/>
      <c r="AM1240" s="11"/>
      <c r="AT1240" s="9"/>
      <c r="AU1240" s="9"/>
    </row>
    <row r="1241" spans="1:47" ht="15" x14ac:dyDescent="0.25">
      <c r="A1241" s="63"/>
      <c r="B1241" s="63"/>
      <c r="C1241" s="64"/>
      <c r="D1241" s="64"/>
      <c r="E1241" s="64"/>
      <c r="F1241" s="64"/>
      <c r="G1241" s="64"/>
      <c r="H1241" s="64"/>
      <c r="I1241" s="64"/>
      <c r="J1241" s="64"/>
      <c r="K1241" s="64"/>
      <c r="L1241" s="64"/>
      <c r="M1241" s="64"/>
      <c r="N1241" s="16"/>
      <c r="O1241" s="11"/>
      <c r="P1241" s="11"/>
      <c r="Q1241" s="11"/>
      <c r="R1241" s="11"/>
      <c r="S1241" s="11"/>
      <c r="T1241" s="11"/>
      <c r="U1241" s="11"/>
      <c r="W1241" s="11"/>
      <c r="Z1241" s="11"/>
      <c r="AB1241" s="11"/>
      <c r="AF1241" s="11"/>
      <c r="AM1241" s="11"/>
      <c r="AT1241" s="9"/>
      <c r="AU1241" s="9"/>
    </row>
    <row r="1242" spans="1:47" ht="15" x14ac:dyDescent="0.25">
      <c r="A1242" s="63"/>
      <c r="B1242" s="63"/>
      <c r="C1242" s="64"/>
      <c r="D1242" s="64"/>
      <c r="E1242" s="64"/>
      <c r="F1242" s="64"/>
      <c r="G1242" s="64"/>
      <c r="H1242" s="64"/>
      <c r="I1242" s="64"/>
      <c r="J1242" s="64"/>
      <c r="K1242" s="64"/>
      <c r="L1242" s="64"/>
      <c r="M1242" s="64"/>
      <c r="N1242" s="16"/>
      <c r="O1242" s="11"/>
      <c r="P1242" s="11"/>
      <c r="Q1242" s="11"/>
      <c r="R1242" s="11"/>
      <c r="S1242" s="11"/>
      <c r="T1242" s="11"/>
      <c r="U1242" s="11"/>
      <c r="W1242" s="11"/>
      <c r="Z1242" s="11"/>
      <c r="AB1242" s="11"/>
      <c r="AF1242" s="11"/>
      <c r="AM1242" s="11"/>
      <c r="AT1242" s="9"/>
      <c r="AU1242" s="9"/>
    </row>
    <row r="1243" spans="1:47" ht="15" x14ac:dyDescent="0.25">
      <c r="A1243" s="63"/>
      <c r="B1243" s="63"/>
      <c r="C1243" s="64"/>
      <c r="D1243" s="64"/>
      <c r="E1243" s="64"/>
      <c r="F1243" s="64"/>
      <c r="G1243" s="64"/>
      <c r="H1243" s="64"/>
      <c r="I1243" s="64"/>
      <c r="J1243" s="64"/>
      <c r="K1243" s="64"/>
      <c r="L1243" s="64"/>
      <c r="M1243" s="64"/>
      <c r="N1243" s="16"/>
      <c r="O1243" s="11"/>
      <c r="P1243" s="11"/>
      <c r="Q1243" s="11"/>
      <c r="R1243" s="11"/>
      <c r="S1243" s="11"/>
      <c r="T1243" s="11"/>
      <c r="U1243" s="11"/>
      <c r="W1243" s="11"/>
      <c r="Z1243" s="11"/>
      <c r="AB1243" s="11"/>
      <c r="AF1243" s="11"/>
      <c r="AM1243" s="11"/>
      <c r="AT1243" s="9"/>
      <c r="AU1243" s="9"/>
    </row>
    <row r="1244" spans="1:47" ht="15" x14ac:dyDescent="0.25">
      <c r="A1244" s="63"/>
      <c r="B1244" s="63"/>
      <c r="C1244" s="64"/>
      <c r="D1244" s="64"/>
      <c r="E1244" s="64"/>
      <c r="F1244" s="64"/>
      <c r="G1244" s="64"/>
      <c r="H1244" s="64"/>
      <c r="I1244" s="64"/>
      <c r="J1244" s="64"/>
      <c r="K1244" s="64"/>
      <c r="L1244" s="64"/>
      <c r="M1244" s="64"/>
      <c r="N1244" s="16"/>
      <c r="O1244" s="11"/>
      <c r="P1244" s="11"/>
      <c r="Q1244" s="11"/>
      <c r="R1244" s="11"/>
      <c r="S1244" s="11"/>
      <c r="T1244" s="11"/>
      <c r="U1244" s="11"/>
      <c r="W1244" s="11"/>
      <c r="Z1244" s="11"/>
      <c r="AB1244" s="11"/>
      <c r="AF1244" s="11"/>
      <c r="AM1244" s="11"/>
      <c r="AT1244" s="9"/>
      <c r="AU1244" s="9"/>
    </row>
    <row r="1245" spans="1:47" ht="15" x14ac:dyDescent="0.25">
      <c r="A1245" s="63"/>
      <c r="B1245" s="63"/>
      <c r="C1245" s="64"/>
      <c r="D1245" s="64"/>
      <c r="E1245" s="64"/>
      <c r="F1245" s="64"/>
      <c r="G1245" s="64"/>
      <c r="H1245" s="64"/>
      <c r="I1245" s="64"/>
      <c r="J1245" s="64"/>
      <c r="K1245" s="64"/>
      <c r="L1245" s="64"/>
      <c r="M1245" s="64"/>
      <c r="N1245" s="16"/>
      <c r="O1245" s="11"/>
      <c r="P1245" s="11"/>
      <c r="Q1245" s="11"/>
      <c r="R1245" s="11"/>
      <c r="S1245" s="11"/>
      <c r="T1245" s="11"/>
      <c r="U1245" s="11"/>
      <c r="W1245" s="11"/>
      <c r="Z1245" s="11"/>
      <c r="AB1245" s="11"/>
      <c r="AF1245" s="11"/>
      <c r="AM1245" s="11"/>
      <c r="AT1245" s="9"/>
      <c r="AU1245" s="9"/>
    </row>
    <row r="1246" spans="1:47" ht="15" x14ac:dyDescent="0.25">
      <c r="A1246" s="63"/>
      <c r="B1246" s="63"/>
      <c r="C1246" s="64"/>
      <c r="D1246" s="64"/>
      <c r="E1246" s="64"/>
      <c r="F1246" s="64"/>
      <c r="G1246" s="64"/>
      <c r="H1246" s="64"/>
      <c r="I1246" s="64"/>
      <c r="J1246" s="64"/>
      <c r="K1246" s="64"/>
      <c r="L1246" s="64"/>
      <c r="M1246" s="64"/>
      <c r="N1246" s="16"/>
      <c r="O1246" s="11"/>
      <c r="P1246" s="11"/>
      <c r="Q1246" s="11"/>
      <c r="R1246" s="11"/>
      <c r="S1246" s="11"/>
      <c r="T1246" s="11"/>
      <c r="U1246" s="11"/>
      <c r="W1246" s="11"/>
      <c r="Z1246" s="11"/>
      <c r="AB1246" s="11"/>
      <c r="AF1246" s="11"/>
      <c r="AM1246" s="11"/>
      <c r="AT1246" s="9"/>
      <c r="AU1246" s="9"/>
    </row>
    <row r="1247" spans="1:47" ht="15" x14ac:dyDescent="0.25">
      <c r="A1247" s="63"/>
      <c r="B1247" s="63"/>
      <c r="C1247" s="64"/>
      <c r="D1247" s="64"/>
      <c r="E1247" s="64"/>
      <c r="F1247" s="64"/>
      <c r="G1247" s="64"/>
      <c r="H1247" s="64"/>
      <c r="I1247" s="64"/>
      <c r="J1247" s="64"/>
      <c r="K1247" s="64"/>
      <c r="L1247" s="64"/>
      <c r="M1247" s="64"/>
      <c r="N1247" s="16"/>
      <c r="O1247" s="11"/>
      <c r="P1247" s="11"/>
      <c r="Q1247" s="11"/>
      <c r="R1247" s="11"/>
      <c r="S1247" s="11"/>
      <c r="T1247" s="11"/>
      <c r="U1247" s="11"/>
      <c r="W1247" s="11"/>
      <c r="Z1247" s="11"/>
      <c r="AB1247" s="11"/>
      <c r="AF1247" s="11"/>
      <c r="AM1247" s="11"/>
      <c r="AT1247" s="9"/>
      <c r="AU1247" s="9"/>
    </row>
    <row r="1248" spans="1:47" ht="15" x14ac:dyDescent="0.25">
      <c r="A1248" s="63"/>
      <c r="B1248" s="63"/>
      <c r="C1248" s="64"/>
      <c r="D1248" s="64"/>
      <c r="E1248" s="64"/>
      <c r="F1248" s="64"/>
      <c r="G1248" s="64"/>
      <c r="H1248" s="64"/>
      <c r="I1248" s="64"/>
      <c r="J1248" s="64"/>
      <c r="K1248" s="64"/>
      <c r="L1248" s="64"/>
      <c r="M1248" s="64"/>
      <c r="N1248" s="16"/>
      <c r="O1248" s="11"/>
      <c r="P1248" s="11"/>
      <c r="Q1248" s="11"/>
      <c r="R1248" s="11"/>
      <c r="S1248" s="11"/>
      <c r="T1248" s="11"/>
      <c r="U1248" s="11"/>
      <c r="W1248" s="11"/>
      <c r="Z1248" s="11"/>
      <c r="AB1248" s="11"/>
      <c r="AF1248" s="11"/>
      <c r="AM1248" s="11"/>
      <c r="AT1248" s="9"/>
      <c r="AU1248" s="9"/>
    </row>
    <row r="1249" spans="1:47" ht="15" x14ac:dyDescent="0.25">
      <c r="A1249" s="63"/>
      <c r="B1249" s="63"/>
      <c r="C1249" s="64"/>
      <c r="D1249" s="64"/>
      <c r="E1249" s="64"/>
      <c r="F1249" s="64"/>
      <c r="G1249" s="64"/>
      <c r="H1249" s="64"/>
      <c r="I1249" s="64"/>
      <c r="J1249" s="64"/>
      <c r="K1249" s="64"/>
      <c r="L1249" s="64"/>
      <c r="M1249" s="64"/>
      <c r="N1249" s="16"/>
      <c r="O1249" s="11"/>
      <c r="P1249" s="11"/>
      <c r="Q1249" s="11"/>
      <c r="R1249" s="11"/>
      <c r="S1249" s="11"/>
      <c r="T1249" s="11"/>
      <c r="U1249" s="11"/>
      <c r="W1249" s="11"/>
      <c r="Z1249" s="11"/>
      <c r="AB1249" s="11"/>
      <c r="AF1249" s="11"/>
      <c r="AM1249" s="11"/>
      <c r="AT1249" s="9"/>
      <c r="AU1249" s="9"/>
    </row>
    <row r="1250" spans="1:47" ht="15" x14ac:dyDescent="0.25">
      <c r="A1250" s="63"/>
      <c r="B1250" s="63"/>
      <c r="C1250" s="64"/>
      <c r="D1250" s="64"/>
      <c r="E1250" s="64"/>
      <c r="F1250" s="64"/>
      <c r="G1250" s="64"/>
      <c r="H1250" s="64"/>
      <c r="I1250" s="64"/>
      <c r="J1250" s="64"/>
      <c r="K1250" s="64"/>
      <c r="L1250" s="64"/>
      <c r="M1250" s="64"/>
      <c r="N1250" s="16"/>
      <c r="O1250" s="11"/>
      <c r="P1250" s="11"/>
      <c r="Q1250" s="11"/>
      <c r="R1250" s="11"/>
      <c r="S1250" s="11"/>
      <c r="T1250" s="11"/>
      <c r="U1250" s="11"/>
      <c r="W1250" s="11"/>
      <c r="Z1250" s="11"/>
      <c r="AB1250" s="11"/>
      <c r="AF1250" s="11"/>
      <c r="AM1250" s="11"/>
      <c r="AT1250" s="9"/>
      <c r="AU1250" s="9"/>
    </row>
    <row r="1251" spans="1:47" ht="15" x14ac:dyDescent="0.25">
      <c r="A1251" s="63"/>
      <c r="B1251" s="63"/>
      <c r="C1251" s="64"/>
      <c r="D1251" s="64"/>
      <c r="E1251" s="64"/>
      <c r="F1251" s="64"/>
      <c r="G1251" s="64"/>
      <c r="H1251" s="64"/>
      <c r="I1251" s="64"/>
      <c r="J1251" s="64"/>
      <c r="K1251" s="64"/>
      <c r="L1251" s="64"/>
      <c r="M1251" s="64"/>
      <c r="N1251" s="16"/>
      <c r="O1251" s="11"/>
      <c r="P1251" s="11"/>
      <c r="Q1251" s="11"/>
      <c r="R1251" s="11"/>
      <c r="S1251" s="11"/>
      <c r="T1251" s="11"/>
      <c r="U1251" s="11"/>
      <c r="W1251" s="11"/>
      <c r="Z1251" s="11"/>
      <c r="AB1251" s="11"/>
      <c r="AF1251" s="11"/>
      <c r="AM1251" s="11"/>
      <c r="AT1251" s="9"/>
      <c r="AU1251" s="9"/>
    </row>
    <row r="1252" spans="1:47" ht="15" x14ac:dyDescent="0.25">
      <c r="A1252" s="63"/>
      <c r="B1252" s="63"/>
      <c r="C1252" s="64"/>
      <c r="D1252" s="64"/>
      <c r="E1252" s="64"/>
      <c r="F1252" s="64"/>
      <c r="G1252" s="64"/>
      <c r="H1252" s="64"/>
      <c r="I1252" s="64"/>
      <c r="J1252" s="64"/>
      <c r="K1252" s="64"/>
      <c r="L1252" s="64"/>
      <c r="M1252" s="64"/>
      <c r="N1252" s="16"/>
      <c r="O1252" s="11"/>
      <c r="P1252" s="11"/>
      <c r="Q1252" s="11"/>
      <c r="R1252" s="11"/>
      <c r="S1252" s="11"/>
      <c r="T1252" s="11"/>
      <c r="U1252" s="11"/>
      <c r="W1252" s="11"/>
      <c r="Z1252" s="11"/>
      <c r="AB1252" s="11"/>
      <c r="AF1252" s="11"/>
      <c r="AM1252" s="11"/>
      <c r="AT1252" s="9"/>
      <c r="AU1252" s="9"/>
    </row>
    <row r="1253" spans="1:47" ht="15" x14ac:dyDescent="0.25">
      <c r="A1253" s="63"/>
      <c r="B1253" s="63"/>
      <c r="C1253" s="64"/>
      <c r="D1253" s="64"/>
      <c r="E1253" s="64"/>
      <c r="F1253" s="64"/>
      <c r="G1253" s="64"/>
      <c r="H1253" s="64"/>
      <c r="I1253" s="64"/>
      <c r="J1253" s="64"/>
      <c r="K1253" s="64"/>
      <c r="L1253" s="64"/>
      <c r="M1253" s="64"/>
      <c r="N1253" s="16"/>
      <c r="O1253" s="11"/>
      <c r="P1253" s="11"/>
      <c r="Q1253" s="11"/>
      <c r="R1253" s="11"/>
      <c r="S1253" s="11"/>
      <c r="T1253" s="11"/>
      <c r="U1253" s="11"/>
      <c r="W1253" s="11"/>
      <c r="Z1253" s="11"/>
      <c r="AB1253" s="11"/>
      <c r="AF1253" s="11"/>
      <c r="AM1253" s="11"/>
      <c r="AT1253" s="9"/>
      <c r="AU1253" s="9"/>
    </row>
    <row r="1254" spans="1:47" ht="15" x14ac:dyDescent="0.25">
      <c r="A1254" s="63"/>
      <c r="B1254" s="63"/>
      <c r="C1254" s="64"/>
      <c r="D1254" s="64"/>
      <c r="E1254" s="64"/>
      <c r="F1254" s="64"/>
      <c r="G1254" s="64"/>
      <c r="H1254" s="64"/>
      <c r="I1254" s="64"/>
      <c r="J1254" s="64"/>
      <c r="K1254" s="64"/>
      <c r="L1254" s="64"/>
      <c r="M1254" s="64"/>
      <c r="N1254" s="16"/>
      <c r="O1254" s="11"/>
      <c r="P1254" s="11"/>
      <c r="Q1254" s="11"/>
      <c r="R1254" s="11"/>
      <c r="S1254" s="11"/>
      <c r="T1254" s="11"/>
      <c r="U1254" s="11"/>
      <c r="W1254" s="11"/>
      <c r="Z1254" s="11"/>
      <c r="AB1254" s="11"/>
      <c r="AF1254" s="11"/>
      <c r="AM1254" s="11"/>
      <c r="AT1254" s="9"/>
      <c r="AU1254" s="9"/>
    </row>
    <row r="1255" spans="1:47" ht="15" x14ac:dyDescent="0.25">
      <c r="A1255" s="63"/>
      <c r="B1255" s="63"/>
      <c r="C1255" s="64"/>
      <c r="D1255" s="64"/>
      <c r="E1255" s="64"/>
      <c r="F1255" s="64"/>
      <c r="G1255" s="64"/>
      <c r="H1255" s="64"/>
      <c r="I1255" s="64"/>
      <c r="J1255" s="64"/>
      <c r="K1255" s="64"/>
      <c r="L1255" s="64"/>
      <c r="M1255" s="64"/>
      <c r="N1255" s="16"/>
      <c r="O1255" s="11"/>
      <c r="P1255" s="11"/>
      <c r="Q1255" s="11"/>
      <c r="R1255" s="11"/>
      <c r="S1255" s="11"/>
      <c r="T1255" s="11"/>
      <c r="U1255" s="11"/>
      <c r="W1255" s="11"/>
      <c r="Z1255" s="11"/>
      <c r="AB1255" s="11"/>
      <c r="AF1255" s="11"/>
      <c r="AM1255" s="11"/>
      <c r="AT1255" s="9"/>
      <c r="AU1255" s="9"/>
    </row>
    <row r="1256" spans="1:47" ht="15" x14ac:dyDescent="0.25">
      <c r="A1256" s="63"/>
      <c r="B1256" s="63"/>
      <c r="C1256" s="64"/>
      <c r="D1256" s="64"/>
      <c r="E1256" s="64"/>
      <c r="F1256" s="64"/>
      <c r="G1256" s="64"/>
      <c r="H1256" s="64"/>
      <c r="I1256" s="64"/>
      <c r="J1256" s="64"/>
      <c r="K1256" s="64"/>
      <c r="L1256" s="64"/>
      <c r="M1256" s="64"/>
      <c r="N1256" s="16"/>
      <c r="O1256" s="11"/>
      <c r="P1256" s="11"/>
      <c r="Q1256" s="11"/>
      <c r="R1256" s="11"/>
      <c r="S1256" s="11"/>
      <c r="T1256" s="11"/>
      <c r="U1256" s="11"/>
      <c r="W1256" s="11"/>
      <c r="Z1256" s="11"/>
      <c r="AB1256" s="11"/>
      <c r="AF1256" s="11"/>
      <c r="AM1256" s="11"/>
      <c r="AT1256" s="9"/>
      <c r="AU1256" s="9"/>
    </row>
    <row r="1257" spans="1:47" ht="15" x14ac:dyDescent="0.25">
      <c r="A1257" s="63"/>
      <c r="B1257" s="63"/>
      <c r="C1257" s="64"/>
      <c r="D1257" s="64"/>
      <c r="E1257" s="64"/>
      <c r="F1257" s="64"/>
      <c r="G1257" s="64"/>
      <c r="H1257" s="64"/>
      <c r="I1257" s="64"/>
      <c r="J1257" s="64"/>
      <c r="K1257" s="64"/>
      <c r="L1257" s="64"/>
      <c r="M1257" s="64"/>
      <c r="N1257" s="16"/>
      <c r="O1257" s="11"/>
      <c r="P1257" s="11"/>
      <c r="Q1257" s="11"/>
      <c r="R1257" s="11"/>
      <c r="S1257" s="11"/>
      <c r="T1257" s="11"/>
      <c r="U1257" s="11"/>
      <c r="W1257" s="11"/>
      <c r="Z1257" s="11"/>
      <c r="AB1257" s="11"/>
      <c r="AF1257" s="11"/>
      <c r="AM1257" s="11"/>
      <c r="AT1257" s="9"/>
      <c r="AU1257" s="9"/>
    </row>
    <row r="1258" spans="1:47" ht="15" x14ac:dyDescent="0.25">
      <c r="A1258" s="63"/>
      <c r="B1258" s="63"/>
      <c r="C1258" s="64"/>
      <c r="D1258" s="64"/>
      <c r="E1258" s="64"/>
      <c r="F1258" s="64"/>
      <c r="G1258" s="64"/>
      <c r="H1258" s="64"/>
      <c r="I1258" s="64"/>
      <c r="J1258" s="64"/>
      <c r="K1258" s="64"/>
      <c r="L1258" s="64"/>
      <c r="M1258" s="64"/>
      <c r="N1258" s="16"/>
      <c r="O1258" s="11"/>
      <c r="P1258" s="11"/>
      <c r="Q1258" s="11"/>
      <c r="R1258" s="11"/>
      <c r="S1258" s="11"/>
      <c r="T1258" s="11"/>
      <c r="U1258" s="11"/>
      <c r="W1258" s="11"/>
      <c r="Z1258" s="11"/>
      <c r="AB1258" s="11"/>
      <c r="AF1258" s="11"/>
      <c r="AM1258" s="11"/>
      <c r="AT1258" s="9"/>
      <c r="AU1258" s="9"/>
    </row>
    <row r="1259" spans="1:47" ht="15" x14ac:dyDescent="0.25">
      <c r="A1259" s="63"/>
      <c r="B1259" s="63"/>
      <c r="C1259" s="64"/>
      <c r="D1259" s="64"/>
      <c r="E1259" s="64"/>
      <c r="F1259" s="64"/>
      <c r="G1259" s="64"/>
      <c r="H1259" s="64"/>
      <c r="I1259" s="64"/>
      <c r="J1259" s="64"/>
      <c r="K1259" s="64"/>
      <c r="L1259" s="64"/>
      <c r="M1259" s="64"/>
      <c r="N1259" s="16"/>
      <c r="O1259" s="11"/>
      <c r="P1259" s="11"/>
      <c r="Q1259" s="11"/>
      <c r="R1259" s="11"/>
      <c r="S1259" s="11"/>
      <c r="T1259" s="11"/>
      <c r="U1259" s="11"/>
      <c r="W1259" s="11"/>
      <c r="Z1259" s="11"/>
      <c r="AB1259" s="11"/>
      <c r="AF1259" s="11"/>
      <c r="AM1259" s="11"/>
      <c r="AT1259" s="9"/>
      <c r="AU1259" s="9"/>
    </row>
    <row r="1260" spans="1:47" ht="15" x14ac:dyDescent="0.25">
      <c r="A1260" s="63"/>
      <c r="B1260" s="63"/>
      <c r="C1260" s="64"/>
      <c r="D1260" s="64"/>
      <c r="E1260" s="64"/>
      <c r="F1260" s="64"/>
      <c r="G1260" s="64"/>
      <c r="H1260" s="64"/>
      <c r="I1260" s="64"/>
      <c r="J1260" s="64"/>
      <c r="K1260" s="64"/>
      <c r="L1260" s="64"/>
      <c r="M1260" s="64"/>
      <c r="N1260" s="16"/>
      <c r="O1260" s="11"/>
      <c r="P1260" s="11"/>
      <c r="Q1260" s="11"/>
      <c r="R1260" s="11"/>
      <c r="S1260" s="11"/>
      <c r="T1260" s="11"/>
      <c r="U1260" s="11"/>
      <c r="W1260" s="11"/>
      <c r="Z1260" s="11"/>
      <c r="AB1260" s="11"/>
      <c r="AF1260" s="11"/>
      <c r="AM1260" s="11"/>
      <c r="AT1260" s="9"/>
      <c r="AU1260" s="9"/>
    </row>
    <row r="1261" spans="1:47" ht="15" x14ac:dyDescent="0.25">
      <c r="A1261" s="63"/>
      <c r="B1261" s="63"/>
      <c r="C1261" s="64"/>
      <c r="D1261" s="64"/>
      <c r="E1261" s="64"/>
      <c r="F1261" s="64"/>
      <c r="G1261" s="64"/>
      <c r="H1261" s="64"/>
      <c r="I1261" s="64"/>
      <c r="J1261" s="64"/>
      <c r="K1261" s="64"/>
      <c r="L1261" s="64"/>
      <c r="M1261" s="64"/>
      <c r="N1261" s="16"/>
      <c r="O1261" s="11"/>
      <c r="P1261" s="11"/>
      <c r="Q1261" s="11"/>
      <c r="R1261" s="11"/>
      <c r="S1261" s="11"/>
      <c r="T1261" s="11"/>
      <c r="U1261" s="11"/>
      <c r="W1261" s="11"/>
      <c r="Z1261" s="11"/>
      <c r="AB1261" s="11"/>
      <c r="AF1261" s="11"/>
      <c r="AM1261" s="11"/>
      <c r="AT1261" s="9"/>
      <c r="AU1261" s="9"/>
    </row>
    <row r="1262" spans="1:47" ht="15" x14ac:dyDescent="0.25">
      <c r="A1262" s="63"/>
      <c r="B1262" s="63"/>
      <c r="C1262" s="64"/>
      <c r="D1262" s="64"/>
      <c r="E1262" s="64"/>
      <c r="F1262" s="64"/>
      <c r="G1262" s="64"/>
      <c r="H1262" s="64"/>
      <c r="I1262" s="64"/>
      <c r="J1262" s="64"/>
      <c r="K1262" s="64"/>
      <c r="L1262" s="64"/>
      <c r="M1262" s="64"/>
      <c r="N1262" s="16"/>
      <c r="O1262" s="11"/>
      <c r="P1262" s="11"/>
      <c r="Q1262" s="11"/>
      <c r="R1262" s="11"/>
      <c r="S1262" s="11"/>
      <c r="T1262" s="11"/>
      <c r="U1262" s="11"/>
      <c r="W1262" s="11"/>
      <c r="Z1262" s="11"/>
      <c r="AB1262" s="11"/>
      <c r="AF1262" s="11"/>
      <c r="AM1262" s="11"/>
      <c r="AT1262" s="9"/>
      <c r="AU1262" s="9"/>
    </row>
    <row r="1263" spans="1:47" ht="15" x14ac:dyDescent="0.25">
      <c r="A1263" s="63"/>
      <c r="B1263" s="63"/>
      <c r="C1263" s="64"/>
      <c r="D1263" s="64"/>
      <c r="E1263" s="64"/>
      <c r="F1263" s="64"/>
      <c r="G1263" s="64"/>
      <c r="H1263" s="64"/>
      <c r="I1263" s="64"/>
      <c r="J1263" s="64"/>
      <c r="K1263" s="64"/>
      <c r="L1263" s="64"/>
      <c r="M1263" s="64"/>
      <c r="N1263" s="16"/>
      <c r="O1263" s="11"/>
      <c r="P1263" s="11"/>
      <c r="Q1263" s="11"/>
      <c r="R1263" s="11"/>
      <c r="S1263" s="11"/>
      <c r="T1263" s="11"/>
      <c r="U1263" s="11"/>
      <c r="W1263" s="11"/>
      <c r="Z1263" s="11"/>
      <c r="AB1263" s="11"/>
      <c r="AF1263" s="11"/>
      <c r="AM1263" s="11"/>
      <c r="AT1263" s="9"/>
      <c r="AU1263" s="9"/>
    </row>
    <row r="1264" spans="1:47" ht="15" x14ac:dyDescent="0.25">
      <c r="A1264" s="63"/>
      <c r="B1264" s="63"/>
      <c r="C1264" s="64"/>
      <c r="D1264" s="64"/>
      <c r="E1264" s="64"/>
      <c r="F1264" s="64"/>
      <c r="G1264" s="64"/>
      <c r="H1264" s="64"/>
      <c r="I1264" s="64"/>
      <c r="J1264" s="64"/>
      <c r="K1264" s="64"/>
      <c r="L1264" s="64"/>
      <c r="M1264" s="64"/>
      <c r="N1264" s="16"/>
      <c r="O1264" s="11"/>
      <c r="P1264" s="11"/>
      <c r="Q1264" s="11"/>
      <c r="R1264" s="11"/>
      <c r="S1264" s="11"/>
      <c r="T1264" s="11"/>
      <c r="U1264" s="11"/>
      <c r="W1264" s="11"/>
      <c r="Z1264" s="11"/>
      <c r="AB1264" s="11"/>
      <c r="AF1264" s="11"/>
      <c r="AM1264" s="11"/>
      <c r="AT1264" s="9"/>
      <c r="AU1264" s="9"/>
    </row>
    <row r="1265" spans="1:47" ht="15" x14ac:dyDescent="0.25">
      <c r="A1265" s="63"/>
      <c r="B1265" s="63"/>
      <c r="C1265" s="64"/>
      <c r="D1265" s="64"/>
      <c r="E1265" s="64"/>
      <c r="F1265" s="64"/>
      <c r="G1265" s="64"/>
      <c r="H1265" s="64"/>
      <c r="I1265" s="64"/>
      <c r="J1265" s="64"/>
      <c r="K1265" s="64"/>
      <c r="L1265" s="64"/>
      <c r="M1265" s="64"/>
      <c r="N1265" s="16"/>
      <c r="O1265" s="11"/>
      <c r="P1265" s="11"/>
      <c r="Q1265" s="11"/>
      <c r="R1265" s="11"/>
      <c r="S1265" s="11"/>
      <c r="T1265" s="11"/>
      <c r="U1265" s="11"/>
      <c r="W1265" s="11"/>
      <c r="Z1265" s="11"/>
      <c r="AB1265" s="11"/>
      <c r="AF1265" s="11"/>
      <c r="AM1265" s="11"/>
      <c r="AT1265" s="9"/>
      <c r="AU1265" s="9"/>
    </row>
    <row r="1266" spans="1:47" ht="15" x14ac:dyDescent="0.25">
      <c r="A1266" s="63"/>
      <c r="B1266" s="63"/>
      <c r="C1266" s="64"/>
      <c r="D1266" s="64"/>
      <c r="E1266" s="64"/>
      <c r="F1266" s="64"/>
      <c r="G1266" s="64"/>
      <c r="H1266" s="64"/>
      <c r="I1266" s="64"/>
      <c r="J1266" s="64"/>
      <c r="K1266" s="64"/>
      <c r="L1266" s="64"/>
      <c r="M1266" s="64"/>
      <c r="N1266" s="16"/>
      <c r="O1266" s="11"/>
      <c r="P1266" s="11"/>
      <c r="Q1266" s="11"/>
      <c r="R1266" s="11"/>
      <c r="S1266" s="11"/>
      <c r="T1266" s="11"/>
      <c r="U1266" s="11"/>
      <c r="W1266" s="11"/>
      <c r="Z1266" s="11"/>
      <c r="AB1266" s="11"/>
      <c r="AF1266" s="11"/>
      <c r="AM1266" s="11"/>
      <c r="AT1266" s="9"/>
      <c r="AU1266" s="9"/>
    </row>
    <row r="1267" spans="1:47" ht="15" x14ac:dyDescent="0.25">
      <c r="A1267" s="63"/>
      <c r="B1267" s="63"/>
      <c r="C1267" s="64"/>
      <c r="D1267" s="64"/>
      <c r="E1267" s="64"/>
      <c r="F1267" s="64"/>
      <c r="G1267" s="64"/>
      <c r="H1267" s="64"/>
      <c r="I1267" s="64"/>
      <c r="J1267" s="64"/>
      <c r="K1267" s="64"/>
      <c r="L1267" s="64"/>
      <c r="M1267" s="64"/>
      <c r="N1267" s="16"/>
      <c r="O1267" s="11"/>
      <c r="P1267" s="11"/>
      <c r="Q1267" s="11"/>
      <c r="R1267" s="11"/>
      <c r="S1267" s="11"/>
      <c r="T1267" s="11"/>
      <c r="U1267" s="11"/>
      <c r="W1267" s="11"/>
      <c r="Z1267" s="11"/>
      <c r="AB1267" s="11"/>
      <c r="AF1267" s="11"/>
      <c r="AM1267" s="11"/>
      <c r="AT1267" s="9"/>
      <c r="AU1267" s="9"/>
    </row>
    <row r="1268" spans="1:47" ht="15" x14ac:dyDescent="0.25">
      <c r="A1268" s="63"/>
      <c r="B1268" s="63"/>
      <c r="C1268" s="64"/>
      <c r="D1268" s="64"/>
      <c r="E1268" s="64"/>
      <c r="F1268" s="64"/>
      <c r="G1268" s="64"/>
      <c r="H1268" s="64"/>
      <c r="I1268" s="64"/>
      <c r="J1268" s="64"/>
      <c r="K1268" s="64"/>
      <c r="L1268" s="64"/>
      <c r="M1268" s="64"/>
      <c r="N1268" s="16"/>
      <c r="O1268" s="11"/>
      <c r="P1268" s="11"/>
      <c r="Q1268" s="11"/>
      <c r="R1268" s="11"/>
      <c r="S1268" s="11"/>
      <c r="T1268" s="11"/>
      <c r="U1268" s="11"/>
      <c r="W1268" s="11"/>
      <c r="Z1268" s="11"/>
      <c r="AB1268" s="11"/>
      <c r="AF1268" s="11"/>
      <c r="AM1268" s="11"/>
      <c r="AT1268" s="9"/>
      <c r="AU1268" s="9"/>
    </row>
    <row r="1269" spans="1:47" ht="15" x14ac:dyDescent="0.25">
      <c r="A1269" s="63"/>
      <c r="B1269" s="63"/>
      <c r="C1269" s="64"/>
      <c r="D1269" s="64"/>
      <c r="E1269" s="64"/>
      <c r="F1269" s="64"/>
      <c r="G1269" s="64"/>
      <c r="H1269" s="64"/>
      <c r="I1269" s="64"/>
      <c r="J1269" s="64"/>
      <c r="K1269" s="64"/>
      <c r="L1269" s="64"/>
      <c r="M1269" s="64"/>
      <c r="N1269" s="16"/>
      <c r="O1269" s="11"/>
      <c r="P1269" s="11"/>
      <c r="Q1269" s="11"/>
      <c r="R1269" s="11"/>
      <c r="S1269" s="11"/>
      <c r="T1269" s="11"/>
      <c r="U1269" s="11"/>
      <c r="W1269" s="11"/>
      <c r="Z1269" s="11"/>
      <c r="AB1269" s="11"/>
      <c r="AF1269" s="11"/>
      <c r="AM1269" s="11"/>
      <c r="AT1269" s="9"/>
      <c r="AU1269" s="9"/>
    </row>
    <row r="1270" spans="1:47" ht="15" x14ac:dyDescent="0.25">
      <c r="A1270" s="63"/>
      <c r="B1270" s="63"/>
      <c r="C1270" s="64"/>
      <c r="D1270" s="64"/>
      <c r="E1270" s="64"/>
      <c r="F1270" s="64"/>
      <c r="G1270" s="64"/>
      <c r="H1270" s="64"/>
      <c r="I1270" s="64"/>
      <c r="J1270" s="64"/>
      <c r="K1270" s="64"/>
      <c r="L1270" s="64"/>
      <c r="M1270" s="64"/>
      <c r="N1270" s="16"/>
      <c r="O1270" s="11"/>
      <c r="P1270" s="11"/>
      <c r="Q1270" s="11"/>
      <c r="R1270" s="11"/>
      <c r="S1270" s="11"/>
      <c r="T1270" s="11"/>
      <c r="U1270" s="11"/>
      <c r="W1270" s="11"/>
      <c r="Z1270" s="11"/>
      <c r="AB1270" s="11"/>
      <c r="AF1270" s="11"/>
      <c r="AM1270" s="11"/>
      <c r="AT1270" s="9"/>
      <c r="AU1270" s="9"/>
    </row>
    <row r="1271" spans="1:47" ht="15" x14ac:dyDescent="0.25">
      <c r="A1271" s="63"/>
      <c r="B1271" s="63"/>
      <c r="C1271" s="64"/>
      <c r="D1271" s="64"/>
      <c r="E1271" s="64"/>
      <c r="F1271" s="64"/>
      <c r="G1271" s="64"/>
      <c r="H1271" s="64"/>
      <c r="I1271" s="64"/>
      <c r="J1271" s="64"/>
      <c r="K1271" s="64"/>
      <c r="L1271" s="64"/>
      <c r="M1271" s="64"/>
      <c r="N1271" s="16"/>
      <c r="O1271" s="11"/>
      <c r="P1271" s="11"/>
      <c r="Q1271" s="11"/>
      <c r="R1271" s="11"/>
      <c r="S1271" s="11"/>
      <c r="T1271" s="11"/>
      <c r="U1271" s="11"/>
      <c r="W1271" s="11"/>
      <c r="Z1271" s="11"/>
      <c r="AB1271" s="11"/>
      <c r="AF1271" s="11"/>
      <c r="AM1271" s="11"/>
      <c r="AT1271" s="9"/>
      <c r="AU1271" s="9"/>
    </row>
    <row r="1272" spans="1:47" ht="15" x14ac:dyDescent="0.25">
      <c r="A1272" s="63"/>
      <c r="B1272" s="63"/>
      <c r="C1272" s="64"/>
      <c r="D1272" s="64"/>
      <c r="E1272" s="64"/>
      <c r="F1272" s="64"/>
      <c r="G1272" s="64"/>
      <c r="H1272" s="64"/>
      <c r="I1272" s="64"/>
      <c r="J1272" s="64"/>
      <c r="K1272" s="64"/>
      <c r="L1272" s="64"/>
      <c r="M1272" s="64"/>
      <c r="N1272" s="16"/>
      <c r="O1272" s="11"/>
      <c r="P1272" s="11"/>
      <c r="Q1272" s="11"/>
      <c r="R1272" s="11"/>
      <c r="S1272" s="11"/>
      <c r="T1272" s="11"/>
      <c r="U1272" s="11"/>
      <c r="W1272" s="11"/>
      <c r="Z1272" s="11"/>
      <c r="AB1272" s="11"/>
      <c r="AF1272" s="11"/>
      <c r="AM1272" s="11"/>
      <c r="AT1272" s="9"/>
      <c r="AU1272" s="9"/>
    </row>
    <row r="1273" spans="1:47" ht="15" x14ac:dyDescent="0.25">
      <c r="A1273" s="63"/>
      <c r="B1273" s="63"/>
      <c r="C1273" s="64"/>
      <c r="D1273" s="64"/>
      <c r="E1273" s="64"/>
      <c r="F1273" s="64"/>
      <c r="G1273" s="64"/>
      <c r="H1273" s="64"/>
      <c r="I1273" s="64"/>
      <c r="J1273" s="64"/>
      <c r="K1273" s="64"/>
      <c r="L1273" s="64"/>
      <c r="M1273" s="64"/>
      <c r="N1273" s="16"/>
      <c r="O1273" s="11"/>
      <c r="P1273" s="11"/>
      <c r="Q1273" s="11"/>
      <c r="R1273" s="11"/>
      <c r="S1273" s="11"/>
      <c r="T1273" s="11"/>
      <c r="U1273" s="11"/>
      <c r="W1273" s="11"/>
      <c r="Z1273" s="11"/>
      <c r="AB1273" s="11"/>
      <c r="AF1273" s="11"/>
      <c r="AM1273" s="11"/>
      <c r="AT1273" s="9"/>
      <c r="AU1273" s="9"/>
    </row>
    <row r="1274" spans="1:47" ht="15" x14ac:dyDescent="0.25">
      <c r="A1274" s="63"/>
      <c r="B1274" s="63"/>
      <c r="C1274" s="64"/>
      <c r="D1274" s="64"/>
      <c r="E1274" s="64"/>
      <c r="F1274" s="64"/>
      <c r="G1274" s="64"/>
      <c r="H1274" s="64"/>
      <c r="I1274" s="64"/>
      <c r="J1274" s="64"/>
      <c r="K1274" s="64"/>
      <c r="L1274" s="64"/>
      <c r="M1274" s="64"/>
      <c r="N1274" s="16"/>
      <c r="O1274" s="11"/>
      <c r="P1274" s="11"/>
      <c r="Q1274" s="11"/>
      <c r="R1274" s="11"/>
      <c r="S1274" s="11"/>
      <c r="T1274" s="11"/>
      <c r="U1274" s="11"/>
      <c r="W1274" s="11"/>
      <c r="Z1274" s="11"/>
      <c r="AB1274" s="11"/>
      <c r="AF1274" s="11"/>
      <c r="AM1274" s="11"/>
      <c r="AT1274" s="9"/>
      <c r="AU1274" s="9"/>
    </row>
    <row r="1275" spans="1:47" ht="15" x14ac:dyDescent="0.25">
      <c r="A1275" s="63"/>
      <c r="B1275" s="63"/>
      <c r="C1275" s="64"/>
      <c r="D1275" s="64"/>
      <c r="E1275" s="64"/>
      <c r="F1275" s="64"/>
      <c r="G1275" s="64"/>
      <c r="H1275" s="64"/>
      <c r="I1275" s="64"/>
      <c r="J1275" s="64"/>
      <c r="K1275" s="64"/>
      <c r="L1275" s="64"/>
      <c r="M1275" s="64"/>
      <c r="N1275" s="16"/>
      <c r="O1275" s="11"/>
      <c r="P1275" s="11"/>
      <c r="Q1275" s="11"/>
      <c r="R1275" s="11"/>
      <c r="S1275" s="11"/>
      <c r="T1275" s="11"/>
      <c r="U1275" s="11"/>
      <c r="W1275" s="11"/>
      <c r="Z1275" s="11"/>
      <c r="AB1275" s="11"/>
      <c r="AF1275" s="11"/>
      <c r="AM1275" s="11"/>
      <c r="AT1275" s="9"/>
      <c r="AU1275" s="9"/>
    </row>
    <row r="1276" spans="1:47" ht="15" x14ac:dyDescent="0.25">
      <c r="A1276" s="63"/>
      <c r="B1276" s="63"/>
      <c r="C1276" s="64"/>
      <c r="D1276" s="64"/>
      <c r="E1276" s="64"/>
      <c r="F1276" s="64"/>
      <c r="G1276" s="64"/>
      <c r="H1276" s="64"/>
      <c r="I1276" s="64"/>
      <c r="J1276" s="64"/>
      <c r="K1276" s="64"/>
      <c r="L1276" s="64"/>
      <c r="M1276" s="64"/>
      <c r="N1276" s="16"/>
      <c r="O1276" s="11"/>
      <c r="P1276" s="11"/>
      <c r="Q1276" s="11"/>
      <c r="R1276" s="11"/>
      <c r="S1276" s="11"/>
      <c r="T1276" s="11"/>
      <c r="U1276" s="11"/>
      <c r="W1276" s="11"/>
      <c r="Z1276" s="11"/>
      <c r="AB1276" s="11"/>
      <c r="AF1276" s="11"/>
      <c r="AM1276" s="11"/>
      <c r="AT1276" s="9"/>
      <c r="AU1276" s="9"/>
    </row>
    <row r="1277" spans="1:47" ht="15" x14ac:dyDescent="0.25">
      <c r="A1277" s="63"/>
      <c r="B1277" s="63"/>
      <c r="C1277" s="64"/>
      <c r="D1277" s="64"/>
      <c r="E1277" s="64"/>
      <c r="F1277" s="64"/>
      <c r="G1277" s="64"/>
      <c r="H1277" s="64"/>
      <c r="I1277" s="64"/>
      <c r="J1277" s="64"/>
      <c r="K1277" s="64"/>
      <c r="L1277" s="64"/>
      <c r="M1277" s="64"/>
      <c r="N1277" s="16"/>
      <c r="O1277" s="11"/>
      <c r="P1277" s="11"/>
      <c r="Q1277" s="11"/>
      <c r="R1277" s="11"/>
      <c r="S1277" s="11"/>
      <c r="T1277" s="11"/>
      <c r="U1277" s="11"/>
      <c r="W1277" s="11"/>
      <c r="Z1277" s="11"/>
      <c r="AB1277" s="11"/>
      <c r="AF1277" s="11"/>
      <c r="AM1277" s="11"/>
      <c r="AT1277" s="9"/>
      <c r="AU1277" s="9"/>
    </row>
    <row r="1278" spans="1:47" ht="15" x14ac:dyDescent="0.25">
      <c r="A1278" s="63"/>
      <c r="B1278" s="63"/>
      <c r="C1278" s="64"/>
      <c r="D1278" s="64"/>
      <c r="E1278" s="64"/>
      <c r="F1278" s="64"/>
      <c r="G1278" s="64"/>
      <c r="H1278" s="64"/>
      <c r="I1278" s="64"/>
      <c r="J1278" s="64"/>
      <c r="K1278" s="64"/>
      <c r="L1278" s="64"/>
      <c r="M1278" s="64"/>
      <c r="N1278" s="16"/>
      <c r="O1278" s="11"/>
      <c r="P1278" s="11"/>
      <c r="Q1278" s="11"/>
      <c r="R1278" s="11"/>
      <c r="S1278" s="11"/>
      <c r="T1278" s="11"/>
      <c r="U1278" s="11"/>
      <c r="W1278" s="11"/>
      <c r="Z1278" s="11"/>
      <c r="AB1278" s="11"/>
      <c r="AF1278" s="11"/>
      <c r="AM1278" s="11"/>
      <c r="AT1278" s="9"/>
      <c r="AU1278" s="9"/>
    </row>
    <row r="1279" spans="1:47" ht="15" x14ac:dyDescent="0.25">
      <c r="A1279" s="63"/>
      <c r="B1279" s="63"/>
      <c r="C1279" s="64"/>
      <c r="D1279" s="64"/>
      <c r="E1279" s="64"/>
      <c r="F1279" s="64"/>
      <c r="G1279" s="64"/>
      <c r="H1279" s="64"/>
      <c r="I1279" s="64"/>
      <c r="J1279" s="64"/>
      <c r="K1279" s="64"/>
      <c r="L1279" s="64"/>
      <c r="M1279" s="64"/>
      <c r="N1279" s="16"/>
      <c r="O1279" s="11"/>
      <c r="P1279" s="11"/>
      <c r="Q1279" s="11"/>
      <c r="R1279" s="11"/>
      <c r="S1279" s="11"/>
      <c r="T1279" s="11"/>
      <c r="U1279" s="11"/>
      <c r="W1279" s="11"/>
      <c r="Z1279" s="11"/>
      <c r="AB1279" s="11"/>
      <c r="AF1279" s="11"/>
      <c r="AM1279" s="11"/>
      <c r="AT1279" s="9"/>
      <c r="AU1279" s="9"/>
    </row>
    <row r="1280" spans="1:47" ht="15" x14ac:dyDescent="0.25">
      <c r="A1280" s="63"/>
      <c r="B1280" s="63"/>
      <c r="C1280" s="64"/>
      <c r="D1280" s="64"/>
      <c r="E1280" s="64"/>
      <c r="F1280" s="64"/>
      <c r="G1280" s="64"/>
      <c r="H1280" s="64"/>
      <c r="I1280" s="64"/>
      <c r="J1280" s="64"/>
      <c r="K1280" s="64"/>
      <c r="L1280" s="64"/>
      <c r="M1280" s="64"/>
      <c r="N1280" s="16"/>
      <c r="O1280" s="11"/>
      <c r="P1280" s="11"/>
      <c r="Q1280" s="11"/>
      <c r="R1280" s="11"/>
      <c r="S1280" s="11"/>
      <c r="T1280" s="11"/>
      <c r="U1280" s="11"/>
      <c r="W1280" s="11"/>
      <c r="Z1280" s="11"/>
      <c r="AB1280" s="11"/>
      <c r="AF1280" s="11"/>
      <c r="AM1280" s="11"/>
      <c r="AT1280" s="9"/>
      <c r="AU1280" s="9"/>
    </row>
    <row r="1281" spans="1:47" ht="15" x14ac:dyDescent="0.25">
      <c r="A1281" s="63"/>
      <c r="B1281" s="63"/>
      <c r="C1281" s="64"/>
      <c r="D1281" s="64"/>
      <c r="E1281" s="64"/>
      <c r="F1281" s="64"/>
      <c r="G1281" s="64"/>
      <c r="H1281" s="64"/>
      <c r="I1281" s="64"/>
      <c r="J1281" s="64"/>
      <c r="K1281" s="64"/>
      <c r="L1281" s="64"/>
      <c r="M1281" s="64"/>
      <c r="N1281" s="16"/>
      <c r="O1281" s="11"/>
      <c r="P1281" s="11"/>
      <c r="Q1281" s="11"/>
      <c r="R1281" s="11"/>
      <c r="S1281" s="11"/>
      <c r="T1281" s="11"/>
      <c r="U1281" s="11"/>
      <c r="W1281" s="11"/>
      <c r="Z1281" s="11"/>
      <c r="AB1281" s="11"/>
      <c r="AF1281" s="11"/>
      <c r="AM1281" s="11"/>
      <c r="AT1281" s="9"/>
      <c r="AU1281" s="9"/>
    </row>
    <row r="1282" spans="1:47" ht="15" x14ac:dyDescent="0.25">
      <c r="A1282" s="63"/>
      <c r="B1282" s="63"/>
      <c r="C1282" s="64"/>
      <c r="D1282" s="64"/>
      <c r="E1282" s="64"/>
      <c r="F1282" s="64"/>
      <c r="G1282" s="64"/>
      <c r="H1282" s="64"/>
      <c r="I1282" s="64"/>
      <c r="J1282" s="64"/>
      <c r="K1282" s="64"/>
      <c r="L1282" s="64"/>
      <c r="M1282" s="64"/>
      <c r="N1282" s="16"/>
      <c r="O1282" s="11"/>
      <c r="P1282" s="11"/>
      <c r="Q1282" s="11"/>
      <c r="R1282" s="11"/>
      <c r="S1282" s="11"/>
      <c r="T1282" s="11"/>
      <c r="U1282" s="11"/>
      <c r="W1282" s="11"/>
      <c r="Z1282" s="11"/>
      <c r="AB1282" s="11"/>
      <c r="AF1282" s="11"/>
      <c r="AM1282" s="11"/>
      <c r="AT1282" s="9"/>
      <c r="AU1282" s="9"/>
    </row>
    <row r="1283" spans="1:47" ht="15" x14ac:dyDescent="0.25">
      <c r="A1283" s="63"/>
      <c r="B1283" s="63"/>
      <c r="C1283" s="64"/>
      <c r="D1283" s="64"/>
      <c r="E1283" s="64"/>
      <c r="F1283" s="64"/>
      <c r="G1283" s="64"/>
      <c r="H1283" s="64"/>
      <c r="I1283" s="64"/>
      <c r="J1283" s="64"/>
      <c r="K1283" s="64"/>
      <c r="L1283" s="64"/>
      <c r="M1283" s="64"/>
      <c r="N1283" s="16"/>
      <c r="O1283" s="11"/>
      <c r="P1283" s="11"/>
      <c r="Q1283" s="11"/>
      <c r="R1283" s="11"/>
      <c r="S1283" s="11"/>
      <c r="T1283" s="11"/>
      <c r="U1283" s="11"/>
      <c r="W1283" s="11"/>
      <c r="Z1283" s="11"/>
      <c r="AB1283" s="11"/>
      <c r="AF1283" s="11"/>
      <c r="AM1283" s="11"/>
      <c r="AT1283" s="9"/>
      <c r="AU1283" s="9"/>
    </row>
    <row r="1284" spans="1:47" ht="15" x14ac:dyDescent="0.25">
      <c r="A1284" s="63"/>
      <c r="B1284" s="63"/>
      <c r="C1284" s="64"/>
      <c r="D1284" s="64"/>
      <c r="E1284" s="64"/>
      <c r="F1284" s="64"/>
      <c r="G1284" s="64"/>
      <c r="H1284" s="64"/>
      <c r="I1284" s="64"/>
      <c r="J1284" s="64"/>
      <c r="K1284" s="64"/>
      <c r="L1284" s="64"/>
      <c r="M1284" s="64"/>
      <c r="N1284" s="16"/>
      <c r="O1284" s="11"/>
      <c r="P1284" s="11"/>
      <c r="Q1284" s="11"/>
      <c r="R1284" s="11"/>
      <c r="S1284" s="11"/>
      <c r="T1284" s="11"/>
      <c r="U1284" s="11"/>
      <c r="W1284" s="11"/>
      <c r="Z1284" s="11"/>
      <c r="AB1284" s="11"/>
      <c r="AF1284" s="11"/>
      <c r="AM1284" s="11"/>
      <c r="AT1284" s="9"/>
      <c r="AU1284" s="9"/>
    </row>
    <row r="1285" spans="1:47" ht="15" x14ac:dyDescent="0.25">
      <c r="A1285" s="63"/>
      <c r="B1285" s="63"/>
      <c r="C1285" s="64"/>
      <c r="D1285" s="64"/>
      <c r="E1285" s="64"/>
      <c r="F1285" s="64"/>
      <c r="G1285" s="64"/>
      <c r="H1285" s="64"/>
      <c r="I1285" s="64"/>
      <c r="J1285" s="64"/>
      <c r="K1285" s="64"/>
      <c r="L1285" s="64"/>
      <c r="M1285" s="64"/>
      <c r="N1285" s="16"/>
      <c r="O1285" s="11"/>
      <c r="P1285" s="11"/>
      <c r="Q1285" s="11"/>
      <c r="R1285" s="11"/>
      <c r="S1285" s="11"/>
      <c r="T1285" s="11"/>
      <c r="U1285" s="11"/>
      <c r="W1285" s="11"/>
      <c r="Z1285" s="11"/>
      <c r="AB1285" s="11"/>
      <c r="AF1285" s="11"/>
      <c r="AM1285" s="11"/>
      <c r="AT1285" s="9"/>
      <c r="AU1285" s="9"/>
    </row>
    <row r="1286" spans="1:47" ht="15" x14ac:dyDescent="0.25">
      <c r="A1286" s="63"/>
      <c r="B1286" s="63"/>
      <c r="C1286" s="64"/>
      <c r="D1286" s="64"/>
      <c r="E1286" s="64"/>
      <c r="F1286" s="64"/>
      <c r="G1286" s="64"/>
      <c r="H1286" s="64"/>
      <c r="I1286" s="64"/>
      <c r="J1286" s="64"/>
      <c r="K1286" s="64"/>
      <c r="L1286" s="64"/>
      <c r="M1286" s="64"/>
      <c r="N1286" s="16"/>
      <c r="O1286" s="11"/>
      <c r="P1286" s="11"/>
      <c r="Q1286" s="11"/>
      <c r="R1286" s="11"/>
      <c r="S1286" s="11"/>
      <c r="T1286" s="11"/>
      <c r="U1286" s="11"/>
      <c r="W1286" s="11"/>
      <c r="Z1286" s="11"/>
      <c r="AB1286" s="11"/>
      <c r="AF1286" s="11"/>
      <c r="AM1286" s="11"/>
      <c r="AT1286" s="9"/>
      <c r="AU1286" s="9"/>
    </row>
    <row r="1287" spans="1:47" ht="15" x14ac:dyDescent="0.25">
      <c r="A1287" s="63"/>
      <c r="B1287" s="63"/>
      <c r="C1287" s="64"/>
      <c r="D1287" s="64"/>
      <c r="E1287" s="64"/>
      <c r="F1287" s="64"/>
      <c r="G1287" s="64"/>
      <c r="H1287" s="64"/>
      <c r="I1287" s="64"/>
      <c r="J1287" s="64"/>
      <c r="K1287" s="64"/>
      <c r="L1287" s="64"/>
      <c r="M1287" s="64"/>
      <c r="N1287" s="16"/>
      <c r="O1287" s="11"/>
      <c r="P1287" s="11"/>
      <c r="Q1287" s="11"/>
      <c r="R1287" s="11"/>
      <c r="S1287" s="11"/>
      <c r="T1287" s="11"/>
      <c r="U1287" s="11"/>
      <c r="W1287" s="11"/>
      <c r="Z1287" s="11"/>
      <c r="AB1287" s="11"/>
      <c r="AF1287" s="11"/>
      <c r="AM1287" s="11"/>
      <c r="AT1287" s="9"/>
      <c r="AU1287" s="9"/>
    </row>
    <row r="1288" spans="1:47" ht="15" x14ac:dyDescent="0.25">
      <c r="A1288" s="63"/>
      <c r="B1288" s="63"/>
      <c r="C1288" s="64"/>
      <c r="D1288" s="64"/>
      <c r="E1288" s="64"/>
      <c r="F1288" s="64"/>
      <c r="G1288" s="64"/>
      <c r="H1288" s="64"/>
      <c r="I1288" s="64"/>
      <c r="J1288" s="64"/>
      <c r="K1288" s="64"/>
      <c r="L1288" s="64"/>
      <c r="M1288" s="64"/>
      <c r="N1288" s="16"/>
      <c r="O1288" s="11"/>
      <c r="P1288" s="11"/>
      <c r="Q1288" s="11"/>
      <c r="R1288" s="11"/>
      <c r="S1288" s="11"/>
      <c r="T1288" s="11"/>
      <c r="U1288" s="11"/>
      <c r="W1288" s="11"/>
      <c r="Z1288" s="11"/>
      <c r="AB1288" s="11"/>
      <c r="AF1288" s="11"/>
      <c r="AM1288" s="11"/>
      <c r="AT1288" s="9"/>
      <c r="AU1288" s="9"/>
    </row>
    <row r="1289" spans="1:47" ht="15" x14ac:dyDescent="0.25">
      <c r="A1289" s="63"/>
      <c r="B1289" s="63"/>
      <c r="C1289" s="64"/>
      <c r="D1289" s="64"/>
      <c r="E1289" s="64"/>
      <c r="F1289" s="64"/>
      <c r="G1289" s="64"/>
      <c r="H1289" s="64"/>
      <c r="I1289" s="64"/>
      <c r="J1289" s="64"/>
      <c r="K1289" s="64"/>
      <c r="L1289" s="64"/>
      <c r="M1289" s="64"/>
      <c r="N1289" s="16"/>
      <c r="O1289" s="11"/>
      <c r="P1289" s="11"/>
      <c r="Q1289" s="11"/>
      <c r="R1289" s="11"/>
      <c r="S1289" s="11"/>
      <c r="T1289" s="11"/>
      <c r="U1289" s="11"/>
      <c r="W1289" s="11"/>
      <c r="Z1289" s="11"/>
      <c r="AB1289" s="11"/>
      <c r="AF1289" s="11"/>
      <c r="AM1289" s="11"/>
      <c r="AT1289" s="9"/>
      <c r="AU1289" s="9"/>
    </row>
    <row r="1290" spans="1:47" ht="15" x14ac:dyDescent="0.25">
      <c r="A1290" s="63"/>
      <c r="B1290" s="63"/>
      <c r="C1290" s="64"/>
      <c r="D1290" s="64"/>
      <c r="E1290" s="64"/>
      <c r="F1290" s="64"/>
      <c r="G1290" s="64"/>
      <c r="H1290" s="64"/>
      <c r="I1290" s="64"/>
      <c r="J1290" s="64"/>
      <c r="K1290" s="64"/>
      <c r="L1290" s="64"/>
      <c r="M1290" s="64"/>
      <c r="N1290" s="16"/>
      <c r="O1290" s="11"/>
      <c r="P1290" s="11"/>
      <c r="Q1290" s="11"/>
      <c r="R1290" s="11"/>
      <c r="S1290" s="11"/>
      <c r="T1290" s="11"/>
      <c r="U1290" s="11"/>
      <c r="W1290" s="11"/>
      <c r="Z1290" s="11"/>
      <c r="AB1290" s="11"/>
      <c r="AF1290" s="11"/>
      <c r="AM1290" s="11"/>
      <c r="AT1290" s="9"/>
      <c r="AU1290" s="9"/>
    </row>
    <row r="1291" spans="1:47" ht="15" x14ac:dyDescent="0.25">
      <c r="A1291" s="63"/>
      <c r="B1291" s="63"/>
      <c r="C1291" s="64"/>
      <c r="D1291" s="64"/>
      <c r="E1291" s="64"/>
      <c r="F1291" s="64"/>
      <c r="G1291" s="64"/>
      <c r="H1291" s="64"/>
      <c r="I1291" s="64"/>
      <c r="J1291" s="64"/>
      <c r="K1291" s="64"/>
      <c r="L1291" s="64"/>
      <c r="M1291" s="64"/>
      <c r="N1291" s="16"/>
      <c r="O1291" s="11"/>
      <c r="P1291" s="11"/>
      <c r="Q1291" s="11"/>
      <c r="R1291" s="11"/>
      <c r="S1291" s="11"/>
      <c r="T1291" s="11"/>
      <c r="U1291" s="11"/>
      <c r="W1291" s="11"/>
      <c r="Z1291" s="11"/>
      <c r="AB1291" s="11"/>
      <c r="AF1291" s="11"/>
      <c r="AM1291" s="11"/>
      <c r="AT1291" s="9"/>
      <c r="AU1291" s="9"/>
    </row>
    <row r="1292" spans="1:47" ht="15" x14ac:dyDescent="0.25">
      <c r="A1292" s="63"/>
      <c r="B1292" s="63"/>
      <c r="C1292" s="64"/>
      <c r="D1292" s="64"/>
      <c r="E1292" s="64"/>
      <c r="F1292" s="64"/>
      <c r="G1292" s="64"/>
      <c r="H1292" s="64"/>
      <c r="I1292" s="64"/>
      <c r="J1292" s="64"/>
      <c r="K1292" s="64"/>
      <c r="L1292" s="64"/>
      <c r="M1292" s="64"/>
      <c r="N1292" s="16"/>
      <c r="O1292" s="11"/>
      <c r="P1292" s="11"/>
      <c r="Q1292" s="11"/>
      <c r="R1292" s="11"/>
      <c r="S1292" s="11"/>
      <c r="T1292" s="11"/>
      <c r="U1292" s="11"/>
      <c r="W1292" s="11"/>
      <c r="Z1292" s="11"/>
      <c r="AB1292" s="11"/>
      <c r="AF1292" s="11"/>
      <c r="AM1292" s="11"/>
      <c r="AT1292" s="9"/>
      <c r="AU1292" s="9"/>
    </row>
    <row r="1293" spans="1:47" ht="15" x14ac:dyDescent="0.25">
      <c r="A1293" s="63"/>
      <c r="B1293" s="63"/>
      <c r="C1293" s="64"/>
      <c r="D1293" s="64"/>
      <c r="E1293" s="64"/>
      <c r="F1293" s="64"/>
      <c r="G1293" s="64"/>
      <c r="H1293" s="64"/>
      <c r="I1293" s="64"/>
      <c r="J1293" s="64"/>
      <c r="K1293" s="64"/>
      <c r="L1293" s="64"/>
      <c r="M1293" s="64"/>
      <c r="N1293" s="16"/>
      <c r="O1293" s="11"/>
      <c r="P1293" s="11"/>
      <c r="Q1293" s="11"/>
      <c r="R1293" s="11"/>
      <c r="S1293" s="11"/>
      <c r="T1293" s="11"/>
      <c r="U1293" s="11"/>
      <c r="W1293" s="11"/>
      <c r="Z1293" s="11"/>
      <c r="AB1293" s="11"/>
      <c r="AF1293" s="11"/>
      <c r="AM1293" s="11"/>
      <c r="AT1293" s="9"/>
      <c r="AU1293" s="9"/>
    </row>
    <row r="1294" spans="1:47" ht="15" x14ac:dyDescent="0.25">
      <c r="A1294" s="63"/>
      <c r="B1294" s="63"/>
      <c r="C1294" s="64"/>
      <c r="D1294" s="64"/>
      <c r="E1294" s="64"/>
      <c r="F1294" s="64"/>
      <c r="G1294" s="64"/>
      <c r="H1294" s="64"/>
      <c r="I1294" s="64"/>
      <c r="J1294" s="64"/>
      <c r="K1294" s="64"/>
      <c r="L1294" s="64"/>
      <c r="M1294" s="64"/>
      <c r="N1294" s="16"/>
      <c r="O1294" s="11"/>
      <c r="P1294" s="11"/>
      <c r="Q1294" s="11"/>
      <c r="R1294" s="11"/>
      <c r="S1294" s="11"/>
      <c r="T1294" s="11"/>
      <c r="U1294" s="11"/>
      <c r="W1294" s="11"/>
      <c r="Z1294" s="11"/>
      <c r="AB1294" s="11"/>
      <c r="AF1294" s="11"/>
      <c r="AM1294" s="11"/>
      <c r="AT1294" s="9"/>
      <c r="AU1294" s="9"/>
    </row>
    <row r="1295" spans="1:47" ht="15" x14ac:dyDescent="0.25">
      <c r="A1295" s="63"/>
      <c r="B1295" s="63"/>
      <c r="C1295" s="64"/>
      <c r="D1295" s="64"/>
      <c r="E1295" s="64"/>
      <c r="F1295" s="64"/>
      <c r="G1295" s="64"/>
      <c r="H1295" s="64"/>
      <c r="I1295" s="64"/>
      <c r="J1295" s="64"/>
      <c r="K1295" s="64"/>
      <c r="L1295" s="64"/>
      <c r="M1295" s="64"/>
      <c r="N1295" s="16"/>
      <c r="O1295" s="11"/>
      <c r="P1295" s="11"/>
      <c r="Q1295" s="11"/>
      <c r="R1295" s="11"/>
      <c r="S1295" s="11"/>
      <c r="T1295" s="11"/>
      <c r="U1295" s="11"/>
      <c r="W1295" s="11"/>
      <c r="Z1295" s="11"/>
      <c r="AB1295" s="11"/>
      <c r="AF1295" s="11"/>
      <c r="AM1295" s="11"/>
      <c r="AT1295" s="9"/>
      <c r="AU1295" s="9"/>
    </row>
    <row r="1296" spans="1:47" ht="15" x14ac:dyDescent="0.25">
      <c r="A1296" s="63"/>
      <c r="B1296" s="63"/>
      <c r="C1296" s="64"/>
      <c r="D1296" s="64"/>
      <c r="E1296" s="64"/>
      <c r="F1296" s="64"/>
      <c r="G1296" s="64"/>
      <c r="H1296" s="64"/>
      <c r="I1296" s="64"/>
      <c r="J1296" s="64"/>
      <c r="K1296" s="64"/>
      <c r="L1296" s="64"/>
      <c r="M1296" s="64"/>
      <c r="N1296" s="16"/>
      <c r="O1296" s="11"/>
      <c r="P1296" s="11"/>
      <c r="Q1296" s="11"/>
      <c r="R1296" s="11"/>
      <c r="S1296" s="11"/>
      <c r="T1296" s="11"/>
      <c r="U1296" s="11"/>
      <c r="W1296" s="11"/>
      <c r="Z1296" s="11"/>
      <c r="AB1296" s="11"/>
      <c r="AF1296" s="11"/>
      <c r="AM1296" s="11"/>
      <c r="AT1296" s="9"/>
      <c r="AU1296" s="9"/>
    </row>
    <row r="1297" spans="1:47" ht="15" x14ac:dyDescent="0.25">
      <c r="A1297" s="63"/>
      <c r="B1297" s="63"/>
      <c r="C1297" s="64"/>
      <c r="D1297" s="64"/>
      <c r="E1297" s="64"/>
      <c r="F1297" s="64"/>
      <c r="G1297" s="64"/>
      <c r="H1297" s="64"/>
      <c r="I1297" s="64"/>
      <c r="J1297" s="64"/>
      <c r="K1297" s="64"/>
      <c r="L1297" s="64"/>
      <c r="M1297" s="64"/>
      <c r="N1297" s="16"/>
      <c r="O1297" s="11"/>
      <c r="P1297" s="11"/>
      <c r="Q1297" s="11"/>
      <c r="R1297" s="11"/>
      <c r="S1297" s="11"/>
      <c r="T1297" s="11"/>
      <c r="U1297" s="11"/>
      <c r="W1297" s="11"/>
      <c r="Z1297" s="11"/>
      <c r="AB1297" s="11"/>
      <c r="AF1297" s="11"/>
      <c r="AM1297" s="11"/>
      <c r="AT1297" s="9"/>
      <c r="AU1297" s="9"/>
    </row>
    <row r="1298" spans="1:47" ht="15" x14ac:dyDescent="0.25">
      <c r="A1298" s="63"/>
      <c r="B1298" s="63"/>
      <c r="C1298" s="64"/>
      <c r="D1298" s="64"/>
      <c r="E1298" s="64"/>
      <c r="F1298" s="64"/>
      <c r="G1298" s="64"/>
      <c r="H1298" s="64"/>
      <c r="I1298" s="64"/>
      <c r="J1298" s="64"/>
      <c r="K1298" s="64"/>
      <c r="L1298" s="64"/>
      <c r="M1298" s="64"/>
      <c r="N1298" s="16"/>
      <c r="O1298" s="11"/>
      <c r="P1298" s="11"/>
      <c r="Q1298" s="11"/>
      <c r="R1298" s="11"/>
      <c r="S1298" s="11"/>
      <c r="T1298" s="11"/>
      <c r="U1298" s="11"/>
      <c r="W1298" s="11"/>
      <c r="Z1298" s="11"/>
      <c r="AB1298" s="11"/>
      <c r="AF1298" s="11"/>
      <c r="AM1298" s="11"/>
      <c r="AT1298" s="9"/>
      <c r="AU1298" s="9"/>
    </row>
    <row r="1299" spans="1:47" ht="15" x14ac:dyDescent="0.25">
      <c r="A1299" s="63"/>
      <c r="B1299" s="63"/>
      <c r="C1299" s="64"/>
      <c r="D1299" s="64"/>
      <c r="E1299" s="64"/>
      <c r="F1299" s="64"/>
      <c r="G1299" s="64"/>
      <c r="H1299" s="64"/>
      <c r="I1299" s="64"/>
      <c r="J1299" s="64"/>
      <c r="K1299" s="64"/>
      <c r="L1299" s="64"/>
      <c r="M1299" s="64"/>
      <c r="N1299" s="16"/>
      <c r="O1299" s="11"/>
      <c r="P1299" s="11"/>
      <c r="Q1299" s="11"/>
      <c r="R1299" s="11"/>
      <c r="S1299" s="11"/>
      <c r="T1299" s="11"/>
      <c r="U1299" s="11"/>
      <c r="W1299" s="11"/>
      <c r="Z1299" s="11"/>
      <c r="AB1299" s="11"/>
      <c r="AF1299" s="11"/>
      <c r="AM1299" s="11"/>
      <c r="AT1299" s="9"/>
      <c r="AU1299" s="9"/>
    </row>
    <row r="1300" spans="1:47" ht="15" x14ac:dyDescent="0.25">
      <c r="A1300" s="63"/>
      <c r="B1300" s="63"/>
      <c r="C1300" s="64"/>
      <c r="D1300" s="64"/>
      <c r="E1300" s="64"/>
      <c r="F1300" s="64"/>
      <c r="G1300" s="64"/>
      <c r="H1300" s="64"/>
      <c r="I1300" s="64"/>
      <c r="J1300" s="64"/>
      <c r="K1300" s="64"/>
      <c r="L1300" s="64"/>
      <c r="M1300" s="64"/>
      <c r="N1300" s="16"/>
      <c r="O1300" s="11"/>
      <c r="P1300" s="11"/>
      <c r="Q1300" s="11"/>
      <c r="R1300" s="11"/>
      <c r="S1300" s="11"/>
      <c r="T1300" s="11"/>
      <c r="U1300" s="11"/>
      <c r="W1300" s="11"/>
      <c r="Z1300" s="11"/>
      <c r="AB1300" s="11"/>
      <c r="AF1300" s="11"/>
      <c r="AM1300" s="11"/>
      <c r="AT1300" s="9"/>
      <c r="AU1300" s="9"/>
    </row>
    <row r="1301" spans="1:47" ht="15" x14ac:dyDescent="0.25">
      <c r="A1301" s="63"/>
      <c r="B1301" s="63"/>
      <c r="C1301" s="64"/>
      <c r="D1301" s="64"/>
      <c r="E1301" s="64"/>
      <c r="F1301" s="64"/>
      <c r="G1301" s="64"/>
      <c r="H1301" s="64"/>
      <c r="I1301" s="64"/>
      <c r="J1301" s="64"/>
      <c r="K1301" s="64"/>
      <c r="L1301" s="64"/>
      <c r="M1301" s="64"/>
      <c r="N1301" s="16"/>
      <c r="O1301" s="11"/>
      <c r="P1301" s="11"/>
      <c r="Q1301" s="11"/>
      <c r="R1301" s="11"/>
      <c r="S1301" s="11"/>
      <c r="T1301" s="11"/>
      <c r="U1301" s="11"/>
      <c r="W1301" s="11"/>
      <c r="Z1301" s="11"/>
      <c r="AB1301" s="11"/>
      <c r="AF1301" s="11"/>
      <c r="AM1301" s="11"/>
      <c r="AT1301" s="9"/>
      <c r="AU1301" s="9"/>
    </row>
    <row r="1302" spans="1:47" ht="15" x14ac:dyDescent="0.25">
      <c r="A1302" s="63"/>
      <c r="B1302" s="63"/>
      <c r="C1302" s="64"/>
      <c r="D1302" s="64"/>
      <c r="E1302" s="64"/>
      <c r="F1302" s="64"/>
      <c r="G1302" s="64"/>
      <c r="H1302" s="64"/>
      <c r="I1302" s="64"/>
      <c r="J1302" s="64"/>
      <c r="K1302" s="64"/>
      <c r="L1302" s="64"/>
      <c r="M1302" s="64"/>
      <c r="N1302" s="16"/>
      <c r="O1302" s="11"/>
      <c r="P1302" s="11"/>
      <c r="Q1302" s="11"/>
      <c r="R1302" s="11"/>
      <c r="S1302" s="11"/>
      <c r="T1302" s="11"/>
      <c r="U1302" s="11"/>
      <c r="W1302" s="11"/>
      <c r="Z1302" s="11"/>
      <c r="AB1302" s="11"/>
      <c r="AF1302" s="11"/>
      <c r="AM1302" s="11"/>
      <c r="AT1302" s="9"/>
      <c r="AU1302" s="9"/>
    </row>
    <row r="1303" spans="1:47" ht="15" x14ac:dyDescent="0.25">
      <c r="A1303" s="63"/>
      <c r="B1303" s="63"/>
      <c r="C1303" s="64"/>
      <c r="D1303" s="64"/>
      <c r="E1303" s="64"/>
      <c r="F1303" s="64"/>
      <c r="G1303" s="64"/>
      <c r="H1303" s="64"/>
      <c r="I1303" s="64"/>
      <c r="J1303" s="64"/>
      <c r="K1303" s="64"/>
      <c r="L1303" s="64"/>
      <c r="M1303" s="64"/>
      <c r="N1303" s="16"/>
      <c r="O1303" s="11"/>
      <c r="P1303" s="11"/>
      <c r="Q1303" s="11"/>
      <c r="R1303" s="11"/>
      <c r="S1303" s="11"/>
      <c r="T1303" s="11"/>
      <c r="U1303" s="11"/>
      <c r="W1303" s="11"/>
      <c r="Z1303" s="11"/>
      <c r="AB1303" s="11"/>
      <c r="AF1303" s="11"/>
      <c r="AM1303" s="11"/>
      <c r="AT1303" s="9"/>
      <c r="AU1303" s="9"/>
    </row>
    <row r="1304" spans="1:47" ht="15" x14ac:dyDescent="0.25">
      <c r="A1304" s="63"/>
      <c r="B1304" s="63"/>
      <c r="C1304" s="64"/>
      <c r="D1304" s="64"/>
      <c r="E1304" s="64"/>
      <c r="F1304" s="64"/>
      <c r="G1304" s="64"/>
      <c r="H1304" s="64"/>
      <c r="I1304" s="64"/>
      <c r="J1304" s="64"/>
      <c r="K1304" s="64"/>
      <c r="L1304" s="64"/>
      <c r="M1304" s="64"/>
      <c r="N1304" s="16"/>
      <c r="O1304" s="11"/>
      <c r="P1304" s="11"/>
      <c r="Q1304" s="11"/>
      <c r="R1304" s="11"/>
      <c r="S1304" s="11"/>
      <c r="T1304" s="11"/>
      <c r="U1304" s="11"/>
      <c r="W1304" s="11"/>
      <c r="Z1304" s="11"/>
      <c r="AB1304" s="11"/>
      <c r="AF1304" s="11"/>
      <c r="AM1304" s="11"/>
      <c r="AT1304" s="9"/>
      <c r="AU1304" s="9"/>
    </row>
    <row r="1305" spans="1:47" ht="15" x14ac:dyDescent="0.25">
      <c r="A1305" s="63"/>
      <c r="B1305" s="63"/>
      <c r="C1305" s="64"/>
      <c r="D1305" s="64"/>
      <c r="E1305" s="64"/>
      <c r="F1305" s="64"/>
      <c r="G1305" s="64"/>
      <c r="H1305" s="64"/>
      <c r="I1305" s="64"/>
      <c r="J1305" s="64"/>
      <c r="K1305" s="64"/>
      <c r="L1305" s="64"/>
      <c r="M1305" s="64"/>
      <c r="N1305" s="16"/>
      <c r="O1305" s="11"/>
      <c r="P1305" s="11"/>
      <c r="Q1305" s="11"/>
      <c r="R1305" s="11"/>
      <c r="S1305" s="11"/>
      <c r="T1305" s="11"/>
      <c r="U1305" s="11"/>
      <c r="W1305" s="11"/>
      <c r="Z1305" s="11"/>
      <c r="AB1305" s="11"/>
      <c r="AF1305" s="11"/>
      <c r="AM1305" s="11"/>
      <c r="AT1305" s="9"/>
      <c r="AU1305" s="9"/>
    </row>
    <row r="1306" spans="1:47" ht="15" x14ac:dyDescent="0.25">
      <c r="A1306" s="63"/>
      <c r="B1306" s="63"/>
      <c r="C1306" s="64"/>
      <c r="D1306" s="64"/>
      <c r="E1306" s="64"/>
      <c r="F1306" s="64"/>
      <c r="G1306" s="64"/>
      <c r="H1306" s="64"/>
      <c r="I1306" s="64"/>
      <c r="J1306" s="64"/>
      <c r="K1306" s="64"/>
      <c r="L1306" s="64"/>
      <c r="M1306" s="64"/>
      <c r="N1306" s="16"/>
      <c r="O1306" s="11"/>
      <c r="P1306" s="11"/>
      <c r="Q1306" s="11"/>
      <c r="R1306" s="11"/>
      <c r="S1306" s="11"/>
      <c r="T1306" s="11"/>
      <c r="U1306" s="11"/>
      <c r="W1306" s="11"/>
      <c r="Z1306" s="11"/>
      <c r="AB1306" s="11"/>
      <c r="AF1306" s="11"/>
      <c r="AM1306" s="11"/>
      <c r="AT1306" s="9"/>
      <c r="AU1306" s="9"/>
    </row>
    <row r="1307" spans="1:47" ht="15" x14ac:dyDescent="0.25">
      <c r="A1307" s="63"/>
      <c r="B1307" s="63"/>
      <c r="C1307" s="64"/>
      <c r="D1307" s="64"/>
      <c r="E1307" s="64"/>
      <c r="F1307" s="64"/>
      <c r="G1307" s="64"/>
      <c r="H1307" s="64"/>
      <c r="I1307" s="64"/>
      <c r="J1307" s="64"/>
      <c r="K1307" s="64"/>
      <c r="L1307" s="64"/>
      <c r="M1307" s="64"/>
      <c r="N1307" s="16"/>
      <c r="O1307" s="11"/>
      <c r="P1307" s="11"/>
      <c r="Q1307" s="11"/>
      <c r="R1307" s="11"/>
      <c r="S1307" s="11"/>
      <c r="T1307" s="11"/>
      <c r="U1307" s="11"/>
      <c r="W1307" s="11"/>
      <c r="Z1307" s="11"/>
      <c r="AB1307" s="11"/>
      <c r="AF1307" s="11"/>
      <c r="AM1307" s="11"/>
      <c r="AT1307" s="9"/>
      <c r="AU1307" s="9"/>
    </row>
    <row r="1308" spans="1:47" ht="15" x14ac:dyDescent="0.25">
      <c r="A1308" s="63"/>
      <c r="B1308" s="63"/>
      <c r="C1308" s="64"/>
      <c r="D1308" s="64"/>
      <c r="E1308" s="64"/>
      <c r="F1308" s="64"/>
      <c r="G1308" s="64"/>
      <c r="H1308" s="64"/>
      <c r="I1308" s="64"/>
      <c r="J1308" s="64"/>
      <c r="K1308" s="64"/>
      <c r="L1308" s="64"/>
      <c r="M1308" s="64"/>
      <c r="N1308" s="16"/>
      <c r="O1308" s="11"/>
      <c r="P1308" s="11"/>
      <c r="Q1308" s="11"/>
      <c r="R1308" s="11"/>
      <c r="S1308" s="11"/>
      <c r="T1308" s="11"/>
      <c r="U1308" s="11"/>
      <c r="W1308" s="11"/>
      <c r="Z1308" s="11"/>
      <c r="AB1308" s="11"/>
      <c r="AF1308" s="11"/>
      <c r="AM1308" s="11"/>
      <c r="AT1308" s="9"/>
      <c r="AU1308" s="9"/>
    </row>
    <row r="1309" spans="1:47" ht="15" x14ac:dyDescent="0.25">
      <c r="A1309" s="63"/>
      <c r="B1309" s="63"/>
      <c r="C1309" s="64"/>
      <c r="D1309" s="64"/>
      <c r="E1309" s="64"/>
      <c r="F1309" s="64"/>
      <c r="G1309" s="64"/>
      <c r="H1309" s="64"/>
      <c r="I1309" s="64"/>
      <c r="J1309" s="64"/>
      <c r="K1309" s="64"/>
      <c r="L1309" s="64"/>
      <c r="M1309" s="64"/>
      <c r="N1309" s="16"/>
      <c r="O1309" s="11"/>
      <c r="P1309" s="11"/>
      <c r="Q1309" s="11"/>
      <c r="R1309" s="11"/>
      <c r="S1309" s="11"/>
      <c r="T1309" s="11"/>
      <c r="U1309" s="11"/>
      <c r="W1309" s="11"/>
      <c r="Z1309" s="11"/>
      <c r="AB1309" s="11"/>
      <c r="AF1309" s="11"/>
      <c r="AM1309" s="11"/>
      <c r="AT1309" s="9"/>
      <c r="AU1309" s="9"/>
    </row>
    <row r="1310" spans="1:47" ht="15" x14ac:dyDescent="0.25">
      <c r="A1310" s="63"/>
      <c r="B1310" s="63"/>
      <c r="C1310" s="64"/>
      <c r="D1310" s="64"/>
      <c r="E1310" s="64"/>
      <c r="F1310" s="64"/>
      <c r="G1310" s="64"/>
      <c r="H1310" s="64"/>
      <c r="I1310" s="64"/>
      <c r="J1310" s="64"/>
      <c r="K1310" s="64"/>
      <c r="L1310" s="64"/>
      <c r="M1310" s="64"/>
      <c r="N1310" s="16"/>
      <c r="O1310" s="11"/>
      <c r="P1310" s="11"/>
      <c r="Q1310" s="11"/>
      <c r="R1310" s="11"/>
      <c r="S1310" s="11"/>
      <c r="T1310" s="11"/>
      <c r="U1310" s="11"/>
      <c r="W1310" s="11"/>
      <c r="Z1310" s="11"/>
      <c r="AB1310" s="11"/>
      <c r="AF1310" s="11"/>
      <c r="AM1310" s="11"/>
      <c r="AT1310" s="9"/>
      <c r="AU1310" s="9"/>
    </row>
    <row r="1311" spans="1:47" ht="15" x14ac:dyDescent="0.25">
      <c r="A1311" s="63"/>
      <c r="B1311" s="63"/>
      <c r="C1311" s="64"/>
      <c r="D1311" s="64"/>
      <c r="E1311" s="64"/>
      <c r="F1311" s="64"/>
      <c r="G1311" s="64"/>
      <c r="H1311" s="64"/>
      <c r="I1311" s="64"/>
      <c r="J1311" s="64"/>
      <c r="K1311" s="64"/>
      <c r="L1311" s="64"/>
      <c r="M1311" s="64"/>
      <c r="N1311" s="16"/>
      <c r="O1311" s="11"/>
      <c r="P1311" s="11"/>
      <c r="Q1311" s="11"/>
      <c r="R1311" s="11"/>
      <c r="S1311" s="11"/>
      <c r="T1311" s="11"/>
      <c r="U1311" s="11"/>
      <c r="W1311" s="11"/>
      <c r="Z1311" s="11"/>
      <c r="AB1311" s="11"/>
      <c r="AF1311" s="11"/>
      <c r="AM1311" s="11"/>
      <c r="AT1311" s="9"/>
      <c r="AU1311" s="9"/>
    </row>
    <row r="1312" spans="1:47" ht="15" x14ac:dyDescent="0.25">
      <c r="A1312" s="63"/>
      <c r="B1312" s="63"/>
      <c r="C1312" s="64"/>
      <c r="D1312" s="64"/>
      <c r="E1312" s="64"/>
      <c r="F1312" s="64"/>
      <c r="G1312" s="64"/>
      <c r="H1312" s="64"/>
      <c r="I1312" s="64"/>
      <c r="J1312" s="64"/>
      <c r="K1312" s="64"/>
      <c r="L1312" s="64"/>
      <c r="M1312" s="64"/>
      <c r="N1312" s="16"/>
      <c r="O1312" s="11"/>
      <c r="P1312" s="11"/>
      <c r="Q1312" s="11"/>
      <c r="R1312" s="11"/>
      <c r="S1312" s="11"/>
      <c r="T1312" s="11"/>
      <c r="U1312" s="11"/>
      <c r="W1312" s="11"/>
      <c r="Z1312" s="11"/>
      <c r="AB1312" s="11"/>
      <c r="AF1312" s="11"/>
      <c r="AM1312" s="11"/>
      <c r="AT1312" s="9"/>
      <c r="AU1312" s="9"/>
    </row>
    <row r="1313" spans="1:47" ht="15" x14ac:dyDescent="0.25">
      <c r="A1313" s="63"/>
      <c r="B1313" s="63"/>
      <c r="C1313" s="64"/>
      <c r="D1313" s="64"/>
      <c r="E1313" s="64"/>
      <c r="F1313" s="64"/>
      <c r="G1313" s="64"/>
      <c r="H1313" s="64"/>
      <c r="I1313" s="64"/>
      <c r="J1313" s="64"/>
      <c r="K1313" s="64"/>
      <c r="L1313" s="64"/>
      <c r="M1313" s="64"/>
      <c r="N1313" s="16"/>
      <c r="O1313" s="11"/>
      <c r="P1313" s="11"/>
      <c r="Q1313" s="11"/>
      <c r="R1313" s="11"/>
      <c r="S1313" s="11"/>
      <c r="T1313" s="11"/>
      <c r="U1313" s="11"/>
      <c r="W1313" s="11"/>
      <c r="Z1313" s="11"/>
      <c r="AB1313" s="11"/>
      <c r="AF1313" s="11"/>
      <c r="AM1313" s="11"/>
      <c r="AT1313" s="9"/>
      <c r="AU1313" s="9"/>
    </row>
    <row r="1314" spans="1:47" ht="15" x14ac:dyDescent="0.25">
      <c r="A1314" s="63"/>
      <c r="B1314" s="63"/>
      <c r="C1314" s="64"/>
      <c r="D1314" s="64"/>
      <c r="E1314" s="64"/>
      <c r="F1314" s="64"/>
      <c r="G1314" s="64"/>
      <c r="H1314" s="64"/>
      <c r="I1314" s="64"/>
      <c r="J1314" s="64"/>
      <c r="K1314" s="64"/>
      <c r="L1314" s="64"/>
      <c r="M1314" s="64"/>
      <c r="N1314" s="16"/>
      <c r="O1314" s="11"/>
      <c r="P1314" s="11"/>
      <c r="Q1314" s="11"/>
      <c r="R1314" s="11"/>
      <c r="S1314" s="11"/>
      <c r="T1314" s="11"/>
      <c r="U1314" s="11"/>
      <c r="W1314" s="11"/>
      <c r="Z1314" s="11"/>
      <c r="AB1314" s="11"/>
      <c r="AF1314" s="11"/>
      <c r="AM1314" s="11"/>
      <c r="AT1314" s="9"/>
      <c r="AU1314" s="9"/>
    </row>
    <row r="1315" spans="1:47" ht="15" x14ac:dyDescent="0.25">
      <c r="A1315" s="63"/>
      <c r="B1315" s="63"/>
      <c r="C1315" s="64"/>
      <c r="D1315" s="64"/>
      <c r="E1315" s="64"/>
      <c r="F1315" s="64"/>
      <c r="G1315" s="64"/>
      <c r="H1315" s="64"/>
      <c r="I1315" s="64"/>
      <c r="J1315" s="64"/>
      <c r="K1315" s="64"/>
      <c r="L1315" s="64"/>
      <c r="M1315" s="64"/>
      <c r="N1315" s="16"/>
      <c r="O1315" s="11"/>
      <c r="P1315" s="11"/>
      <c r="Q1315" s="11"/>
      <c r="R1315" s="11"/>
      <c r="S1315" s="11"/>
      <c r="T1315" s="11"/>
      <c r="U1315" s="11"/>
      <c r="W1315" s="11"/>
      <c r="Z1315" s="11"/>
      <c r="AB1315" s="11"/>
      <c r="AF1315" s="11"/>
      <c r="AM1315" s="11"/>
      <c r="AT1315" s="9"/>
      <c r="AU1315" s="9"/>
    </row>
    <row r="1316" spans="1:47" ht="15" x14ac:dyDescent="0.25">
      <c r="A1316" s="63"/>
      <c r="B1316" s="63"/>
      <c r="C1316" s="64"/>
      <c r="D1316" s="64"/>
      <c r="E1316" s="64"/>
      <c r="F1316" s="64"/>
      <c r="G1316" s="64"/>
      <c r="H1316" s="64"/>
      <c r="I1316" s="64"/>
      <c r="J1316" s="64"/>
      <c r="K1316" s="64"/>
      <c r="L1316" s="64"/>
      <c r="M1316" s="64"/>
      <c r="N1316" s="16"/>
      <c r="O1316" s="11"/>
      <c r="P1316" s="11"/>
      <c r="Q1316" s="11"/>
      <c r="R1316" s="11"/>
      <c r="S1316" s="11"/>
      <c r="T1316" s="11"/>
      <c r="U1316" s="11"/>
      <c r="W1316" s="11"/>
      <c r="Z1316" s="11"/>
      <c r="AB1316" s="11"/>
      <c r="AF1316" s="11"/>
      <c r="AM1316" s="11"/>
      <c r="AT1316" s="9"/>
      <c r="AU1316" s="9"/>
    </row>
    <row r="1317" spans="1:47" ht="15" x14ac:dyDescent="0.25">
      <c r="A1317" s="63"/>
      <c r="B1317" s="63"/>
      <c r="C1317" s="64"/>
      <c r="D1317" s="64"/>
      <c r="E1317" s="64"/>
      <c r="F1317" s="64"/>
      <c r="G1317" s="64"/>
      <c r="H1317" s="64"/>
      <c r="I1317" s="64"/>
      <c r="J1317" s="64"/>
      <c r="K1317" s="64"/>
      <c r="L1317" s="64"/>
      <c r="M1317" s="64"/>
      <c r="N1317" s="16"/>
      <c r="O1317" s="11"/>
      <c r="P1317" s="11"/>
      <c r="Q1317" s="11"/>
      <c r="R1317" s="11"/>
      <c r="S1317" s="11"/>
      <c r="T1317" s="11"/>
      <c r="U1317" s="11"/>
      <c r="W1317" s="11"/>
      <c r="Z1317" s="11"/>
      <c r="AB1317" s="11"/>
      <c r="AF1317" s="11"/>
      <c r="AM1317" s="11"/>
      <c r="AT1317" s="9"/>
      <c r="AU1317" s="9"/>
    </row>
    <row r="1318" spans="1:47" ht="15" x14ac:dyDescent="0.25">
      <c r="A1318" s="63"/>
      <c r="B1318" s="63"/>
      <c r="C1318" s="64"/>
      <c r="D1318" s="64"/>
      <c r="E1318" s="64"/>
      <c r="F1318" s="64"/>
      <c r="G1318" s="64"/>
      <c r="H1318" s="64"/>
      <c r="I1318" s="64"/>
      <c r="J1318" s="64"/>
      <c r="K1318" s="64"/>
      <c r="L1318" s="64"/>
      <c r="M1318" s="64"/>
      <c r="N1318" s="16"/>
      <c r="O1318" s="11"/>
      <c r="P1318" s="11"/>
      <c r="Q1318" s="11"/>
      <c r="R1318" s="11"/>
      <c r="S1318" s="11"/>
      <c r="T1318" s="11"/>
      <c r="U1318" s="11"/>
      <c r="W1318" s="11"/>
      <c r="Z1318" s="11"/>
      <c r="AB1318" s="11"/>
      <c r="AF1318" s="11"/>
      <c r="AM1318" s="11"/>
      <c r="AT1318" s="9"/>
      <c r="AU1318" s="9"/>
    </row>
    <row r="1319" spans="1:47" ht="15" x14ac:dyDescent="0.25">
      <c r="A1319" s="63"/>
      <c r="B1319" s="63"/>
      <c r="C1319" s="64"/>
      <c r="D1319" s="64"/>
      <c r="E1319" s="64"/>
      <c r="F1319" s="64"/>
      <c r="G1319" s="64"/>
      <c r="H1319" s="64"/>
      <c r="I1319" s="64"/>
      <c r="J1319" s="64"/>
      <c r="K1319" s="64"/>
      <c r="L1319" s="64"/>
      <c r="M1319" s="64"/>
      <c r="N1319" s="16"/>
      <c r="O1319" s="11"/>
      <c r="P1319" s="11"/>
      <c r="Q1319" s="11"/>
      <c r="R1319" s="11"/>
      <c r="S1319" s="11"/>
      <c r="T1319" s="11"/>
      <c r="U1319" s="11"/>
      <c r="W1319" s="11"/>
      <c r="Z1319" s="11"/>
      <c r="AB1319" s="11"/>
      <c r="AF1319" s="11"/>
      <c r="AM1319" s="11"/>
      <c r="AT1319" s="9"/>
      <c r="AU1319" s="9"/>
    </row>
    <row r="1320" spans="1:47" ht="15" x14ac:dyDescent="0.25">
      <c r="A1320" s="63"/>
      <c r="B1320" s="63"/>
      <c r="C1320" s="64"/>
      <c r="D1320" s="64"/>
      <c r="E1320" s="64"/>
      <c r="F1320" s="64"/>
      <c r="G1320" s="64"/>
      <c r="H1320" s="64"/>
      <c r="I1320" s="64"/>
      <c r="J1320" s="64"/>
      <c r="K1320" s="64"/>
      <c r="L1320" s="64"/>
      <c r="M1320" s="64"/>
      <c r="N1320" s="16"/>
      <c r="O1320" s="11"/>
      <c r="P1320" s="11"/>
      <c r="Q1320" s="11"/>
      <c r="R1320" s="11"/>
      <c r="S1320" s="11"/>
      <c r="T1320" s="11"/>
      <c r="U1320" s="11"/>
      <c r="W1320" s="11"/>
      <c r="Z1320" s="11"/>
      <c r="AB1320" s="11"/>
      <c r="AF1320" s="11"/>
      <c r="AM1320" s="11"/>
      <c r="AT1320" s="9"/>
      <c r="AU1320" s="9"/>
    </row>
    <row r="1321" spans="1:47" ht="15" x14ac:dyDescent="0.25">
      <c r="A1321" s="63"/>
      <c r="B1321" s="63"/>
      <c r="C1321" s="64"/>
      <c r="D1321" s="64"/>
      <c r="E1321" s="64"/>
      <c r="F1321" s="64"/>
      <c r="G1321" s="64"/>
      <c r="H1321" s="64"/>
      <c r="I1321" s="64"/>
      <c r="J1321" s="64"/>
      <c r="K1321" s="64"/>
      <c r="L1321" s="64"/>
      <c r="M1321" s="64"/>
      <c r="N1321" s="16"/>
      <c r="O1321" s="11"/>
      <c r="P1321" s="11"/>
      <c r="Q1321" s="11"/>
      <c r="R1321" s="11"/>
      <c r="S1321" s="11"/>
      <c r="T1321" s="11"/>
      <c r="U1321" s="11"/>
      <c r="W1321" s="11"/>
      <c r="Z1321" s="11"/>
      <c r="AB1321" s="11"/>
      <c r="AF1321" s="11"/>
      <c r="AM1321" s="11"/>
      <c r="AT1321" s="9"/>
      <c r="AU1321" s="9"/>
    </row>
    <row r="1322" spans="1:47" ht="15" x14ac:dyDescent="0.25">
      <c r="A1322" s="63"/>
      <c r="B1322" s="63"/>
      <c r="C1322" s="64"/>
      <c r="D1322" s="64"/>
      <c r="E1322" s="64"/>
      <c r="F1322" s="64"/>
      <c r="G1322" s="64"/>
      <c r="H1322" s="64"/>
      <c r="I1322" s="64"/>
      <c r="J1322" s="64"/>
      <c r="K1322" s="64"/>
      <c r="L1322" s="64"/>
      <c r="M1322" s="64"/>
      <c r="N1322" s="16"/>
      <c r="O1322" s="11"/>
      <c r="P1322" s="11"/>
      <c r="Q1322" s="11"/>
      <c r="R1322" s="11"/>
      <c r="S1322" s="11"/>
      <c r="T1322" s="11"/>
      <c r="U1322" s="11"/>
      <c r="W1322" s="11"/>
      <c r="Z1322" s="11"/>
      <c r="AB1322" s="11"/>
      <c r="AF1322" s="11"/>
      <c r="AM1322" s="11"/>
      <c r="AT1322" s="9"/>
      <c r="AU1322" s="9"/>
    </row>
    <row r="1323" spans="1:47" ht="15" x14ac:dyDescent="0.25">
      <c r="A1323" s="63"/>
      <c r="B1323" s="63"/>
      <c r="C1323" s="64"/>
      <c r="D1323" s="64"/>
      <c r="E1323" s="64"/>
      <c r="F1323" s="64"/>
      <c r="G1323" s="64"/>
      <c r="H1323" s="64"/>
      <c r="I1323" s="64"/>
      <c r="J1323" s="64"/>
      <c r="K1323" s="64"/>
      <c r="L1323" s="64"/>
      <c r="M1323" s="64"/>
      <c r="N1323" s="16"/>
      <c r="O1323" s="11"/>
      <c r="P1323" s="11"/>
      <c r="Q1323" s="11"/>
      <c r="R1323" s="11"/>
      <c r="S1323" s="11"/>
      <c r="T1323" s="11"/>
      <c r="U1323" s="11"/>
      <c r="W1323" s="11"/>
      <c r="Z1323" s="11"/>
      <c r="AB1323" s="11"/>
      <c r="AF1323" s="11"/>
      <c r="AM1323" s="11"/>
      <c r="AT1323" s="9"/>
      <c r="AU1323" s="9"/>
    </row>
    <row r="1324" spans="1:47" ht="15" x14ac:dyDescent="0.25">
      <c r="A1324" s="63"/>
      <c r="B1324" s="63"/>
      <c r="C1324" s="64"/>
      <c r="D1324" s="64"/>
      <c r="E1324" s="64"/>
      <c r="F1324" s="64"/>
      <c r="G1324" s="64"/>
      <c r="H1324" s="64"/>
      <c r="I1324" s="64"/>
      <c r="J1324" s="64"/>
      <c r="K1324" s="64"/>
      <c r="L1324" s="64"/>
      <c r="M1324" s="64"/>
      <c r="N1324" s="16"/>
      <c r="O1324" s="11"/>
      <c r="P1324" s="11"/>
      <c r="Q1324" s="11"/>
      <c r="R1324" s="11"/>
      <c r="S1324" s="11"/>
      <c r="T1324" s="11"/>
      <c r="U1324" s="11"/>
      <c r="W1324" s="11"/>
      <c r="Z1324" s="11"/>
      <c r="AB1324" s="11"/>
      <c r="AF1324" s="11"/>
      <c r="AM1324" s="11"/>
      <c r="AT1324" s="9"/>
      <c r="AU1324" s="9"/>
    </row>
    <row r="1325" spans="1:47" ht="15" x14ac:dyDescent="0.25">
      <c r="A1325" s="63"/>
      <c r="B1325" s="63"/>
      <c r="C1325" s="64"/>
      <c r="D1325" s="64"/>
      <c r="E1325" s="64"/>
      <c r="F1325" s="64"/>
      <c r="G1325" s="64"/>
      <c r="H1325" s="64"/>
      <c r="I1325" s="64"/>
      <c r="J1325" s="64"/>
      <c r="K1325" s="64"/>
      <c r="L1325" s="64"/>
      <c r="M1325" s="64"/>
      <c r="N1325" s="16"/>
      <c r="O1325" s="11"/>
      <c r="P1325" s="11"/>
      <c r="Q1325" s="11"/>
      <c r="R1325" s="11"/>
      <c r="S1325" s="11"/>
      <c r="T1325" s="11"/>
      <c r="U1325" s="11"/>
      <c r="W1325" s="11"/>
      <c r="Z1325" s="11"/>
      <c r="AB1325" s="11"/>
      <c r="AF1325" s="11"/>
      <c r="AM1325" s="11"/>
      <c r="AT1325" s="9"/>
      <c r="AU1325" s="9"/>
    </row>
    <row r="1326" spans="1:47" ht="15" x14ac:dyDescent="0.25">
      <c r="A1326" s="63"/>
      <c r="B1326" s="63"/>
      <c r="C1326" s="64"/>
      <c r="D1326" s="64"/>
      <c r="E1326" s="64"/>
      <c r="F1326" s="64"/>
      <c r="G1326" s="64"/>
      <c r="H1326" s="64"/>
      <c r="I1326" s="64"/>
      <c r="J1326" s="64"/>
      <c r="K1326" s="64"/>
      <c r="L1326" s="64"/>
      <c r="M1326" s="64"/>
      <c r="N1326" s="16"/>
      <c r="O1326" s="11"/>
      <c r="P1326" s="11"/>
      <c r="Q1326" s="11"/>
      <c r="R1326" s="11"/>
      <c r="S1326" s="11"/>
      <c r="T1326" s="11"/>
      <c r="U1326" s="11"/>
      <c r="W1326" s="11"/>
      <c r="Z1326" s="11"/>
      <c r="AB1326" s="11"/>
      <c r="AF1326" s="11"/>
      <c r="AM1326" s="11"/>
      <c r="AT1326" s="9"/>
      <c r="AU1326" s="9"/>
    </row>
    <row r="1327" spans="1:47" ht="15" x14ac:dyDescent="0.25">
      <c r="A1327" s="63"/>
      <c r="B1327" s="63"/>
      <c r="C1327" s="64"/>
      <c r="D1327" s="64"/>
      <c r="E1327" s="64"/>
      <c r="F1327" s="64"/>
      <c r="G1327" s="64"/>
      <c r="H1327" s="64"/>
      <c r="I1327" s="64"/>
      <c r="J1327" s="64"/>
      <c r="K1327" s="64"/>
      <c r="L1327" s="64"/>
      <c r="M1327" s="64"/>
      <c r="N1327" s="16"/>
      <c r="O1327" s="11"/>
      <c r="P1327" s="11"/>
      <c r="Q1327" s="11"/>
      <c r="R1327" s="11"/>
      <c r="S1327" s="11"/>
      <c r="T1327" s="11"/>
      <c r="U1327" s="11"/>
      <c r="W1327" s="11"/>
      <c r="Z1327" s="11"/>
      <c r="AB1327" s="11"/>
      <c r="AF1327" s="11"/>
      <c r="AM1327" s="11"/>
      <c r="AT1327" s="9"/>
      <c r="AU1327" s="9"/>
    </row>
    <row r="1328" spans="1:47" ht="15" x14ac:dyDescent="0.25">
      <c r="A1328" s="63"/>
      <c r="B1328" s="63"/>
      <c r="C1328" s="64"/>
      <c r="D1328" s="64"/>
      <c r="E1328" s="64"/>
      <c r="F1328" s="64"/>
      <c r="G1328" s="64"/>
      <c r="H1328" s="64"/>
      <c r="I1328" s="64"/>
      <c r="J1328" s="64"/>
      <c r="K1328" s="64"/>
      <c r="L1328" s="64"/>
      <c r="M1328" s="64"/>
      <c r="N1328" s="16"/>
      <c r="O1328" s="11"/>
      <c r="P1328" s="11"/>
      <c r="Q1328" s="11"/>
      <c r="R1328" s="11"/>
      <c r="S1328" s="11"/>
      <c r="T1328" s="11"/>
      <c r="U1328" s="11"/>
      <c r="W1328" s="11"/>
      <c r="Z1328" s="11"/>
      <c r="AB1328" s="11"/>
      <c r="AF1328" s="11"/>
      <c r="AM1328" s="11"/>
      <c r="AT1328" s="9"/>
      <c r="AU1328" s="9"/>
    </row>
    <row r="1329" spans="1:47" ht="15" x14ac:dyDescent="0.25">
      <c r="A1329" s="63"/>
      <c r="B1329" s="63"/>
      <c r="C1329" s="64"/>
      <c r="D1329" s="64"/>
      <c r="E1329" s="64"/>
      <c r="F1329" s="64"/>
      <c r="G1329" s="64"/>
      <c r="H1329" s="64"/>
      <c r="I1329" s="64"/>
      <c r="J1329" s="64"/>
      <c r="K1329" s="64"/>
      <c r="L1329" s="64"/>
      <c r="M1329" s="64"/>
      <c r="N1329" s="16"/>
      <c r="O1329" s="11"/>
      <c r="P1329" s="11"/>
      <c r="Q1329" s="11"/>
      <c r="R1329" s="11"/>
      <c r="S1329" s="11"/>
      <c r="T1329" s="11"/>
      <c r="U1329" s="11"/>
      <c r="W1329" s="11"/>
      <c r="Z1329" s="11"/>
      <c r="AB1329" s="11"/>
      <c r="AF1329" s="11"/>
      <c r="AM1329" s="11"/>
      <c r="AT1329" s="9"/>
      <c r="AU1329" s="9"/>
    </row>
    <row r="1330" spans="1:47" ht="15" x14ac:dyDescent="0.25">
      <c r="A1330" s="63"/>
      <c r="B1330" s="63"/>
      <c r="C1330" s="64"/>
      <c r="D1330" s="64"/>
      <c r="E1330" s="64"/>
      <c r="F1330" s="64"/>
      <c r="G1330" s="64"/>
      <c r="H1330" s="64"/>
      <c r="I1330" s="64"/>
      <c r="J1330" s="64"/>
      <c r="K1330" s="64"/>
      <c r="L1330" s="64"/>
      <c r="M1330" s="64"/>
      <c r="N1330" s="16"/>
      <c r="O1330" s="11"/>
      <c r="P1330" s="11"/>
      <c r="Q1330" s="11"/>
      <c r="R1330" s="11"/>
      <c r="S1330" s="11"/>
      <c r="T1330" s="11"/>
      <c r="U1330" s="11"/>
      <c r="W1330" s="11"/>
      <c r="Z1330" s="11"/>
      <c r="AB1330" s="11"/>
      <c r="AF1330" s="11"/>
      <c r="AM1330" s="11"/>
      <c r="AT1330" s="9"/>
      <c r="AU1330" s="9"/>
    </row>
    <row r="1331" spans="1:47" ht="15" x14ac:dyDescent="0.25">
      <c r="A1331" s="63"/>
      <c r="B1331" s="63"/>
      <c r="C1331" s="64"/>
      <c r="D1331" s="64"/>
      <c r="E1331" s="64"/>
      <c r="F1331" s="64"/>
      <c r="G1331" s="64"/>
      <c r="H1331" s="64"/>
      <c r="I1331" s="64"/>
      <c r="J1331" s="64"/>
      <c r="K1331" s="64"/>
      <c r="L1331" s="64"/>
      <c r="M1331" s="64"/>
      <c r="N1331" s="16"/>
      <c r="O1331" s="11"/>
      <c r="P1331" s="11"/>
      <c r="Q1331" s="11"/>
      <c r="R1331" s="11"/>
      <c r="S1331" s="11"/>
      <c r="T1331" s="11"/>
      <c r="U1331" s="11"/>
      <c r="W1331" s="11"/>
      <c r="Z1331" s="11"/>
      <c r="AB1331" s="11"/>
      <c r="AF1331" s="11"/>
      <c r="AM1331" s="11"/>
      <c r="AT1331" s="9"/>
      <c r="AU1331" s="9"/>
    </row>
    <row r="1332" spans="1:47" ht="15" x14ac:dyDescent="0.25">
      <c r="A1332" s="63"/>
      <c r="B1332" s="63"/>
      <c r="C1332" s="64"/>
      <c r="D1332" s="64"/>
      <c r="E1332" s="64"/>
      <c r="F1332" s="64"/>
      <c r="G1332" s="64"/>
      <c r="H1332" s="64"/>
      <c r="I1332" s="64"/>
      <c r="J1332" s="64"/>
      <c r="K1332" s="64"/>
      <c r="L1332" s="64"/>
      <c r="M1332" s="64"/>
      <c r="N1332" s="16"/>
      <c r="O1332" s="11"/>
      <c r="P1332" s="11"/>
      <c r="Q1332" s="11"/>
      <c r="R1332" s="11"/>
      <c r="S1332" s="11"/>
      <c r="T1332" s="11"/>
      <c r="U1332" s="11"/>
      <c r="W1332" s="11"/>
      <c r="Z1332" s="11"/>
      <c r="AB1332" s="11"/>
      <c r="AF1332" s="11"/>
      <c r="AM1332" s="11"/>
      <c r="AT1332" s="9"/>
      <c r="AU1332" s="9"/>
    </row>
    <row r="1333" spans="1:47" ht="15" x14ac:dyDescent="0.25">
      <c r="A1333" s="63"/>
      <c r="B1333" s="63"/>
      <c r="C1333" s="64"/>
      <c r="D1333" s="64"/>
      <c r="E1333" s="64"/>
      <c r="F1333" s="64"/>
      <c r="G1333" s="64"/>
      <c r="H1333" s="64"/>
      <c r="I1333" s="64"/>
      <c r="J1333" s="64"/>
      <c r="K1333" s="64"/>
      <c r="L1333" s="64"/>
      <c r="M1333" s="64"/>
      <c r="N1333" s="16"/>
      <c r="O1333" s="11"/>
      <c r="P1333" s="11"/>
      <c r="Q1333" s="11"/>
      <c r="R1333" s="11"/>
      <c r="S1333" s="11"/>
      <c r="T1333" s="11"/>
      <c r="U1333" s="11"/>
      <c r="W1333" s="11"/>
      <c r="Z1333" s="11"/>
      <c r="AB1333" s="11"/>
      <c r="AF1333" s="11"/>
      <c r="AM1333" s="11"/>
      <c r="AT1333" s="9"/>
      <c r="AU1333" s="9"/>
    </row>
    <row r="1334" spans="1:47" ht="15" x14ac:dyDescent="0.25">
      <c r="A1334" s="63"/>
      <c r="B1334" s="63"/>
      <c r="C1334" s="64"/>
      <c r="D1334" s="64"/>
      <c r="E1334" s="64"/>
      <c r="F1334" s="64"/>
      <c r="G1334" s="64"/>
      <c r="H1334" s="64"/>
      <c r="I1334" s="64"/>
      <c r="J1334" s="64"/>
      <c r="K1334" s="64"/>
      <c r="L1334" s="64"/>
      <c r="M1334" s="64"/>
      <c r="N1334" s="16"/>
      <c r="O1334" s="11"/>
      <c r="P1334" s="11"/>
      <c r="Q1334" s="11"/>
      <c r="R1334" s="11"/>
      <c r="S1334" s="11"/>
      <c r="T1334" s="11"/>
      <c r="U1334" s="11"/>
      <c r="W1334" s="11"/>
      <c r="Z1334" s="11"/>
      <c r="AB1334" s="11"/>
      <c r="AF1334" s="11"/>
      <c r="AM1334" s="11"/>
      <c r="AT1334" s="9"/>
      <c r="AU1334" s="9"/>
    </row>
    <row r="1335" spans="1:47" ht="15" x14ac:dyDescent="0.25">
      <c r="A1335" s="63"/>
      <c r="B1335" s="63"/>
      <c r="C1335" s="64"/>
      <c r="D1335" s="64"/>
      <c r="E1335" s="64"/>
      <c r="F1335" s="64"/>
      <c r="G1335" s="64"/>
      <c r="H1335" s="64"/>
      <c r="I1335" s="64"/>
      <c r="J1335" s="64"/>
      <c r="K1335" s="64"/>
      <c r="L1335" s="64"/>
      <c r="M1335" s="64"/>
      <c r="N1335" s="16"/>
      <c r="O1335" s="11"/>
      <c r="P1335" s="11"/>
      <c r="Q1335" s="11"/>
      <c r="R1335" s="11"/>
      <c r="S1335" s="11"/>
      <c r="T1335" s="11"/>
      <c r="U1335" s="11"/>
      <c r="W1335" s="11"/>
      <c r="Z1335" s="11"/>
      <c r="AB1335" s="11"/>
      <c r="AF1335" s="11"/>
      <c r="AM1335" s="11"/>
      <c r="AT1335" s="9"/>
      <c r="AU1335" s="9"/>
    </row>
    <row r="1336" spans="1:47" ht="15" x14ac:dyDescent="0.25">
      <c r="A1336" s="63"/>
      <c r="B1336" s="63"/>
      <c r="C1336" s="64"/>
      <c r="D1336" s="64"/>
      <c r="E1336" s="64"/>
      <c r="F1336" s="64"/>
      <c r="G1336" s="64"/>
      <c r="H1336" s="64"/>
      <c r="I1336" s="64"/>
      <c r="J1336" s="64"/>
      <c r="K1336" s="64"/>
      <c r="L1336" s="64"/>
      <c r="M1336" s="64"/>
      <c r="N1336" s="16"/>
      <c r="O1336" s="11"/>
      <c r="P1336" s="11"/>
      <c r="Q1336" s="11"/>
      <c r="R1336" s="11"/>
      <c r="S1336" s="11"/>
      <c r="T1336" s="11"/>
      <c r="U1336" s="11"/>
      <c r="W1336" s="11"/>
      <c r="Z1336" s="11"/>
      <c r="AB1336" s="11"/>
      <c r="AF1336" s="11"/>
      <c r="AM1336" s="11"/>
      <c r="AT1336" s="9"/>
      <c r="AU1336" s="9"/>
    </row>
    <row r="1337" spans="1:47" ht="15" x14ac:dyDescent="0.25">
      <c r="A1337" s="63"/>
      <c r="B1337" s="63"/>
      <c r="C1337" s="64"/>
      <c r="D1337" s="64"/>
      <c r="E1337" s="64"/>
      <c r="F1337" s="64"/>
      <c r="G1337" s="64"/>
      <c r="H1337" s="64"/>
      <c r="I1337" s="64"/>
      <c r="J1337" s="64"/>
      <c r="K1337" s="64"/>
      <c r="L1337" s="64"/>
      <c r="M1337" s="64"/>
      <c r="N1337" s="16"/>
      <c r="O1337" s="11"/>
      <c r="P1337" s="11"/>
      <c r="Q1337" s="11"/>
      <c r="R1337" s="11"/>
      <c r="S1337" s="11"/>
      <c r="T1337" s="11"/>
      <c r="U1337" s="11"/>
      <c r="W1337" s="11"/>
      <c r="Z1337" s="11"/>
      <c r="AB1337" s="11"/>
      <c r="AF1337" s="11"/>
      <c r="AM1337" s="11"/>
      <c r="AT1337" s="9"/>
      <c r="AU1337" s="9"/>
    </row>
    <row r="1338" spans="1:47" ht="15" x14ac:dyDescent="0.25">
      <c r="A1338" s="63"/>
      <c r="B1338" s="63"/>
      <c r="C1338" s="64"/>
      <c r="D1338" s="64"/>
      <c r="E1338" s="64"/>
      <c r="F1338" s="64"/>
      <c r="G1338" s="64"/>
      <c r="H1338" s="64"/>
      <c r="I1338" s="64"/>
      <c r="J1338" s="64"/>
      <c r="K1338" s="64"/>
      <c r="L1338" s="64"/>
      <c r="M1338" s="64"/>
      <c r="N1338" s="16"/>
      <c r="O1338" s="11"/>
      <c r="P1338" s="11"/>
      <c r="Q1338" s="11"/>
      <c r="R1338" s="11"/>
      <c r="S1338" s="11"/>
      <c r="T1338" s="11"/>
      <c r="U1338" s="11"/>
      <c r="W1338" s="11"/>
      <c r="Z1338" s="11"/>
      <c r="AB1338" s="11"/>
      <c r="AF1338" s="11"/>
      <c r="AM1338" s="11"/>
      <c r="AT1338" s="9"/>
      <c r="AU1338" s="9"/>
    </row>
    <row r="1339" spans="1:47" ht="15" x14ac:dyDescent="0.25">
      <c r="A1339" s="63"/>
      <c r="B1339" s="63"/>
      <c r="C1339" s="64"/>
      <c r="D1339" s="64"/>
      <c r="E1339" s="64"/>
      <c r="F1339" s="64"/>
      <c r="G1339" s="64"/>
      <c r="H1339" s="64"/>
      <c r="I1339" s="64"/>
      <c r="J1339" s="64"/>
      <c r="K1339" s="64"/>
      <c r="L1339" s="64"/>
      <c r="M1339" s="64"/>
      <c r="N1339" s="16"/>
      <c r="O1339" s="11"/>
      <c r="P1339" s="11"/>
      <c r="Q1339" s="11"/>
      <c r="R1339" s="11"/>
      <c r="S1339" s="11"/>
      <c r="T1339" s="11"/>
      <c r="U1339" s="11"/>
      <c r="W1339" s="11"/>
      <c r="Z1339" s="11"/>
      <c r="AB1339" s="11"/>
      <c r="AF1339" s="11"/>
      <c r="AM1339" s="11"/>
      <c r="AT1339" s="9"/>
      <c r="AU1339" s="9"/>
    </row>
    <row r="1340" spans="1:47" ht="15" x14ac:dyDescent="0.25">
      <c r="A1340" s="63"/>
      <c r="B1340" s="63"/>
      <c r="C1340" s="64"/>
      <c r="D1340" s="64"/>
      <c r="E1340" s="64"/>
      <c r="F1340" s="64"/>
      <c r="G1340" s="64"/>
      <c r="H1340" s="64"/>
      <c r="I1340" s="64"/>
      <c r="J1340" s="64"/>
      <c r="K1340" s="64"/>
      <c r="L1340" s="64"/>
      <c r="M1340" s="64"/>
      <c r="N1340" s="16"/>
      <c r="O1340" s="11"/>
      <c r="P1340" s="11"/>
      <c r="Q1340" s="11"/>
      <c r="R1340" s="11"/>
      <c r="S1340" s="11"/>
      <c r="T1340" s="11"/>
      <c r="U1340" s="11"/>
      <c r="W1340" s="11"/>
      <c r="Z1340" s="11"/>
      <c r="AB1340" s="11"/>
      <c r="AF1340" s="11"/>
      <c r="AM1340" s="11"/>
      <c r="AT1340" s="9"/>
      <c r="AU1340" s="9"/>
    </row>
    <row r="1341" spans="1:47" ht="15" x14ac:dyDescent="0.25">
      <c r="A1341" s="63"/>
      <c r="B1341" s="63"/>
      <c r="C1341" s="64"/>
      <c r="D1341" s="64"/>
      <c r="E1341" s="64"/>
      <c r="F1341" s="64"/>
      <c r="G1341" s="64"/>
      <c r="H1341" s="64"/>
      <c r="I1341" s="64"/>
      <c r="J1341" s="64"/>
      <c r="K1341" s="64"/>
      <c r="L1341" s="64"/>
      <c r="M1341" s="64"/>
      <c r="N1341" s="16"/>
      <c r="O1341" s="11"/>
      <c r="P1341" s="11"/>
      <c r="Q1341" s="11"/>
      <c r="R1341" s="11"/>
      <c r="S1341" s="11"/>
      <c r="T1341" s="11"/>
      <c r="U1341" s="11"/>
      <c r="W1341" s="11"/>
      <c r="Z1341" s="11"/>
      <c r="AB1341" s="11"/>
      <c r="AF1341" s="11"/>
      <c r="AM1341" s="11"/>
      <c r="AT1341" s="9"/>
      <c r="AU1341" s="9"/>
    </row>
    <row r="1342" spans="1:47" ht="15" x14ac:dyDescent="0.25">
      <c r="A1342" s="63"/>
      <c r="B1342" s="63"/>
      <c r="C1342" s="64"/>
      <c r="D1342" s="64"/>
      <c r="E1342" s="64"/>
      <c r="F1342" s="64"/>
      <c r="G1342" s="64"/>
      <c r="H1342" s="64"/>
      <c r="I1342" s="64"/>
      <c r="J1342" s="64"/>
      <c r="K1342" s="64"/>
      <c r="L1342" s="64"/>
      <c r="M1342" s="64"/>
      <c r="N1342" s="16"/>
      <c r="O1342" s="11"/>
      <c r="P1342" s="11"/>
      <c r="Q1342" s="11"/>
      <c r="R1342" s="11"/>
      <c r="S1342" s="11"/>
      <c r="T1342" s="11"/>
      <c r="U1342" s="11"/>
      <c r="W1342" s="11"/>
      <c r="Z1342" s="11"/>
      <c r="AB1342" s="11"/>
      <c r="AF1342" s="11"/>
      <c r="AM1342" s="11"/>
      <c r="AT1342" s="9"/>
      <c r="AU1342" s="9"/>
    </row>
    <row r="1343" spans="1:47" ht="15" x14ac:dyDescent="0.25">
      <c r="A1343" s="63"/>
      <c r="B1343" s="63"/>
      <c r="C1343" s="64"/>
      <c r="D1343" s="64"/>
      <c r="E1343" s="64"/>
      <c r="F1343" s="64"/>
      <c r="G1343" s="64"/>
      <c r="H1343" s="64"/>
      <c r="I1343" s="64"/>
      <c r="J1343" s="64"/>
      <c r="K1343" s="64"/>
      <c r="L1343" s="64"/>
      <c r="M1343" s="64"/>
      <c r="N1343" s="16"/>
      <c r="O1343" s="11"/>
      <c r="P1343" s="11"/>
      <c r="Q1343" s="11"/>
      <c r="R1343" s="11"/>
      <c r="S1343" s="11"/>
      <c r="T1343" s="11"/>
      <c r="U1343" s="11"/>
      <c r="W1343" s="11"/>
      <c r="Z1343" s="11"/>
      <c r="AB1343" s="11"/>
      <c r="AF1343" s="11"/>
      <c r="AM1343" s="11"/>
      <c r="AT1343" s="9"/>
      <c r="AU1343" s="9"/>
    </row>
    <row r="1344" spans="1:47" ht="15" x14ac:dyDescent="0.25">
      <c r="A1344" s="63"/>
      <c r="B1344" s="63"/>
      <c r="C1344" s="64"/>
      <c r="D1344" s="64"/>
      <c r="E1344" s="64"/>
      <c r="F1344" s="64"/>
      <c r="G1344" s="64"/>
      <c r="H1344" s="64"/>
      <c r="I1344" s="64"/>
      <c r="J1344" s="64"/>
      <c r="K1344" s="64"/>
      <c r="L1344" s="64"/>
      <c r="M1344" s="64"/>
      <c r="N1344" s="16"/>
      <c r="O1344" s="11"/>
      <c r="P1344" s="11"/>
      <c r="Q1344" s="11"/>
      <c r="R1344" s="11"/>
      <c r="S1344" s="11"/>
      <c r="T1344" s="11"/>
      <c r="U1344" s="11"/>
      <c r="W1344" s="11"/>
      <c r="Z1344" s="11"/>
      <c r="AB1344" s="11"/>
      <c r="AF1344" s="11"/>
      <c r="AM1344" s="11"/>
      <c r="AT1344" s="9"/>
      <c r="AU1344" s="9"/>
    </row>
    <row r="1345" spans="1:47" ht="15" x14ac:dyDescent="0.25">
      <c r="A1345" s="63"/>
      <c r="B1345" s="63"/>
      <c r="C1345" s="64"/>
      <c r="D1345" s="64"/>
      <c r="E1345" s="64"/>
      <c r="F1345" s="64"/>
      <c r="G1345" s="64"/>
      <c r="H1345" s="64"/>
      <c r="I1345" s="64"/>
      <c r="J1345" s="64"/>
      <c r="K1345" s="64"/>
      <c r="L1345" s="64"/>
      <c r="M1345" s="64"/>
      <c r="N1345" s="16"/>
      <c r="O1345" s="11"/>
      <c r="P1345" s="11"/>
      <c r="Q1345" s="11"/>
      <c r="R1345" s="11"/>
      <c r="S1345" s="11"/>
      <c r="T1345" s="11"/>
      <c r="U1345" s="11"/>
      <c r="W1345" s="11"/>
      <c r="Z1345" s="11"/>
      <c r="AB1345" s="11"/>
      <c r="AF1345" s="11"/>
      <c r="AM1345" s="11"/>
      <c r="AT1345" s="9"/>
      <c r="AU1345" s="9"/>
    </row>
    <row r="1346" spans="1:47" ht="15" x14ac:dyDescent="0.25">
      <c r="A1346" s="63"/>
      <c r="B1346" s="63"/>
      <c r="C1346" s="64"/>
      <c r="D1346" s="64"/>
      <c r="E1346" s="64"/>
      <c r="F1346" s="64"/>
      <c r="G1346" s="64"/>
      <c r="H1346" s="64"/>
      <c r="I1346" s="64"/>
      <c r="J1346" s="64"/>
      <c r="K1346" s="64"/>
      <c r="L1346" s="64"/>
      <c r="M1346" s="64"/>
      <c r="N1346" s="16"/>
      <c r="O1346" s="11"/>
      <c r="P1346" s="11"/>
      <c r="Q1346" s="11"/>
      <c r="R1346" s="11"/>
      <c r="S1346" s="11"/>
      <c r="T1346" s="11"/>
      <c r="U1346" s="11"/>
      <c r="W1346" s="11"/>
      <c r="Z1346" s="11"/>
      <c r="AB1346" s="11"/>
      <c r="AF1346" s="11"/>
      <c r="AM1346" s="11"/>
      <c r="AT1346" s="9"/>
      <c r="AU1346" s="9"/>
    </row>
    <row r="1347" spans="1:47" ht="15" x14ac:dyDescent="0.25">
      <c r="A1347" s="63"/>
      <c r="B1347" s="63"/>
      <c r="C1347" s="64"/>
      <c r="D1347" s="64"/>
      <c r="E1347" s="64"/>
      <c r="F1347" s="64"/>
      <c r="G1347" s="64"/>
      <c r="H1347" s="64"/>
      <c r="I1347" s="64"/>
      <c r="J1347" s="64"/>
      <c r="K1347" s="64"/>
      <c r="L1347" s="64"/>
      <c r="M1347" s="64"/>
      <c r="N1347" s="16"/>
      <c r="O1347" s="11"/>
      <c r="P1347" s="11"/>
      <c r="Q1347" s="11"/>
      <c r="R1347" s="11"/>
      <c r="S1347" s="11"/>
      <c r="T1347" s="11"/>
      <c r="U1347" s="11"/>
      <c r="W1347" s="11"/>
      <c r="Z1347" s="11"/>
      <c r="AB1347" s="11"/>
      <c r="AF1347" s="11"/>
      <c r="AM1347" s="11"/>
      <c r="AT1347" s="9"/>
      <c r="AU1347" s="9"/>
    </row>
    <row r="1348" spans="1:47" ht="15" x14ac:dyDescent="0.25">
      <c r="A1348" s="63"/>
      <c r="B1348" s="63"/>
      <c r="C1348" s="64"/>
      <c r="D1348" s="64"/>
      <c r="E1348" s="64"/>
      <c r="F1348" s="64"/>
      <c r="G1348" s="64"/>
      <c r="H1348" s="64"/>
      <c r="I1348" s="64"/>
      <c r="J1348" s="64"/>
      <c r="K1348" s="64"/>
      <c r="L1348" s="64"/>
      <c r="M1348" s="64"/>
      <c r="N1348" s="16"/>
      <c r="O1348" s="11"/>
      <c r="P1348" s="11"/>
      <c r="Q1348" s="11"/>
      <c r="R1348" s="11"/>
      <c r="S1348" s="11"/>
      <c r="T1348" s="11"/>
      <c r="U1348" s="11"/>
      <c r="W1348" s="11"/>
      <c r="Z1348" s="11"/>
      <c r="AB1348" s="11"/>
      <c r="AF1348" s="11"/>
      <c r="AM1348" s="11"/>
      <c r="AT1348" s="9"/>
      <c r="AU1348" s="9"/>
    </row>
    <row r="1349" spans="1:47" ht="15" x14ac:dyDescent="0.25">
      <c r="A1349" s="63"/>
      <c r="B1349" s="63"/>
      <c r="C1349" s="64"/>
      <c r="D1349" s="64"/>
      <c r="E1349" s="64"/>
      <c r="F1349" s="64"/>
      <c r="G1349" s="64"/>
      <c r="H1349" s="64"/>
      <c r="I1349" s="64"/>
      <c r="J1349" s="64"/>
      <c r="K1349" s="64"/>
      <c r="L1349" s="64"/>
      <c r="M1349" s="64"/>
      <c r="N1349" s="16"/>
      <c r="O1349" s="11"/>
      <c r="P1349" s="11"/>
      <c r="Q1349" s="11"/>
      <c r="R1349" s="11"/>
      <c r="S1349" s="11"/>
      <c r="T1349" s="11"/>
      <c r="U1349" s="11"/>
      <c r="W1349" s="11"/>
      <c r="Z1349" s="11"/>
      <c r="AB1349" s="11"/>
      <c r="AF1349" s="11"/>
      <c r="AM1349" s="11"/>
      <c r="AT1349" s="9"/>
      <c r="AU1349" s="9"/>
    </row>
    <row r="1350" spans="1:47" ht="15" x14ac:dyDescent="0.25">
      <c r="A1350" s="63"/>
      <c r="B1350" s="63"/>
      <c r="C1350" s="64"/>
      <c r="D1350" s="64"/>
      <c r="E1350" s="64"/>
      <c r="F1350" s="64"/>
      <c r="G1350" s="64"/>
      <c r="H1350" s="64"/>
      <c r="I1350" s="64"/>
      <c r="J1350" s="64"/>
      <c r="K1350" s="64"/>
      <c r="L1350" s="64"/>
      <c r="M1350" s="64"/>
      <c r="N1350" s="16"/>
      <c r="O1350" s="11"/>
      <c r="P1350" s="11"/>
      <c r="Q1350" s="11"/>
      <c r="R1350" s="11"/>
      <c r="S1350" s="11"/>
      <c r="T1350" s="11"/>
      <c r="U1350" s="11"/>
      <c r="W1350" s="11"/>
      <c r="Z1350" s="11"/>
      <c r="AB1350" s="11"/>
      <c r="AF1350" s="11"/>
      <c r="AM1350" s="11"/>
      <c r="AT1350" s="9"/>
      <c r="AU1350" s="9"/>
    </row>
    <row r="1351" spans="1:47" ht="15" x14ac:dyDescent="0.25">
      <c r="A1351" s="63"/>
      <c r="B1351" s="63"/>
      <c r="C1351" s="64"/>
      <c r="D1351" s="64"/>
      <c r="E1351" s="64"/>
      <c r="F1351" s="64"/>
      <c r="G1351" s="64"/>
      <c r="H1351" s="64"/>
      <c r="I1351" s="64"/>
      <c r="J1351" s="64"/>
      <c r="K1351" s="64"/>
      <c r="L1351" s="64"/>
      <c r="M1351" s="64"/>
      <c r="N1351" s="16"/>
      <c r="O1351" s="11"/>
      <c r="P1351" s="11"/>
      <c r="Q1351" s="11"/>
      <c r="R1351" s="11"/>
      <c r="S1351" s="11"/>
      <c r="T1351" s="11"/>
      <c r="U1351" s="11"/>
      <c r="W1351" s="11"/>
      <c r="Z1351" s="11"/>
      <c r="AB1351" s="11"/>
      <c r="AF1351" s="11"/>
      <c r="AM1351" s="11"/>
      <c r="AT1351" s="9"/>
      <c r="AU1351" s="9"/>
    </row>
    <row r="1352" spans="1:47" ht="15" x14ac:dyDescent="0.25">
      <c r="A1352" s="63"/>
      <c r="B1352" s="63"/>
      <c r="C1352" s="64"/>
      <c r="D1352" s="64"/>
      <c r="E1352" s="64"/>
      <c r="F1352" s="64"/>
      <c r="G1352" s="64"/>
      <c r="H1352" s="64"/>
      <c r="I1352" s="64"/>
      <c r="J1352" s="64"/>
      <c r="K1352" s="64"/>
      <c r="L1352" s="64"/>
      <c r="M1352" s="64"/>
      <c r="N1352" s="16"/>
      <c r="O1352" s="11"/>
      <c r="P1352" s="11"/>
      <c r="Q1352" s="11"/>
      <c r="R1352" s="11"/>
      <c r="S1352" s="11"/>
      <c r="T1352" s="11"/>
      <c r="U1352" s="11"/>
      <c r="W1352" s="11"/>
      <c r="Z1352" s="11"/>
      <c r="AB1352" s="11"/>
      <c r="AF1352" s="11"/>
      <c r="AM1352" s="11"/>
      <c r="AT1352" s="9"/>
      <c r="AU1352" s="9"/>
    </row>
    <row r="1353" spans="1:47" ht="15" x14ac:dyDescent="0.25">
      <c r="A1353" s="63"/>
      <c r="B1353" s="63"/>
      <c r="C1353" s="64"/>
      <c r="D1353" s="64"/>
      <c r="E1353" s="64"/>
      <c r="F1353" s="64"/>
      <c r="G1353" s="64"/>
      <c r="H1353" s="64"/>
      <c r="I1353" s="64"/>
      <c r="J1353" s="64"/>
      <c r="K1353" s="64"/>
      <c r="L1353" s="64"/>
      <c r="M1353" s="64"/>
      <c r="N1353" s="16"/>
      <c r="O1353" s="11"/>
      <c r="P1353" s="11"/>
      <c r="Q1353" s="11"/>
      <c r="R1353" s="11"/>
      <c r="S1353" s="11"/>
      <c r="T1353" s="11"/>
      <c r="U1353" s="11"/>
      <c r="W1353" s="11"/>
      <c r="Z1353" s="11"/>
      <c r="AB1353" s="11"/>
      <c r="AF1353" s="11"/>
      <c r="AM1353" s="11"/>
      <c r="AT1353" s="9"/>
      <c r="AU1353" s="9"/>
    </row>
    <row r="1354" spans="1:47" ht="15" x14ac:dyDescent="0.25">
      <c r="A1354" s="63"/>
      <c r="B1354" s="63"/>
      <c r="C1354" s="64"/>
      <c r="D1354" s="64"/>
      <c r="E1354" s="64"/>
      <c r="F1354" s="64"/>
      <c r="G1354" s="64"/>
      <c r="H1354" s="64"/>
      <c r="I1354" s="64"/>
      <c r="J1354" s="64"/>
      <c r="K1354" s="64"/>
      <c r="L1354" s="64"/>
      <c r="M1354" s="64"/>
      <c r="N1354" s="16"/>
      <c r="O1354" s="11"/>
      <c r="P1354" s="11"/>
      <c r="Q1354" s="11"/>
      <c r="R1354" s="11"/>
      <c r="S1354" s="11"/>
      <c r="T1354" s="11"/>
      <c r="U1354" s="11"/>
      <c r="W1354" s="11"/>
      <c r="Z1354" s="11"/>
      <c r="AB1354" s="11"/>
      <c r="AF1354" s="11"/>
      <c r="AM1354" s="11"/>
      <c r="AT1354" s="9"/>
      <c r="AU1354" s="9"/>
    </row>
    <row r="1355" spans="1:47" ht="15" x14ac:dyDescent="0.25">
      <c r="A1355" s="63"/>
      <c r="B1355" s="63"/>
      <c r="C1355" s="64"/>
      <c r="D1355" s="64"/>
      <c r="E1355" s="64"/>
      <c r="F1355" s="64"/>
      <c r="G1355" s="64"/>
      <c r="H1355" s="64"/>
      <c r="I1355" s="64"/>
      <c r="J1355" s="64"/>
      <c r="K1355" s="64"/>
      <c r="L1355" s="64"/>
      <c r="M1355" s="64"/>
      <c r="N1355" s="16"/>
      <c r="O1355" s="11"/>
      <c r="P1355" s="11"/>
      <c r="Q1355" s="11"/>
      <c r="R1355" s="11"/>
      <c r="S1355" s="11"/>
      <c r="T1355" s="11"/>
      <c r="U1355" s="11"/>
      <c r="W1355" s="11"/>
      <c r="Z1355" s="11"/>
      <c r="AB1355" s="11"/>
      <c r="AF1355" s="11"/>
      <c r="AM1355" s="11"/>
      <c r="AT1355" s="9"/>
      <c r="AU1355" s="9"/>
    </row>
    <row r="1356" spans="1:47" ht="15" x14ac:dyDescent="0.25">
      <c r="A1356" s="63"/>
      <c r="B1356" s="63"/>
      <c r="C1356" s="64"/>
      <c r="D1356" s="64"/>
      <c r="E1356" s="64"/>
      <c r="F1356" s="64"/>
      <c r="G1356" s="64"/>
      <c r="H1356" s="64"/>
      <c r="I1356" s="64"/>
      <c r="J1356" s="64"/>
      <c r="K1356" s="64"/>
      <c r="L1356" s="64"/>
      <c r="M1356" s="64"/>
      <c r="N1356" s="16"/>
      <c r="O1356" s="11"/>
      <c r="P1356" s="11"/>
      <c r="Q1356" s="11"/>
      <c r="R1356" s="11"/>
      <c r="S1356" s="11"/>
      <c r="T1356" s="11"/>
      <c r="U1356" s="11"/>
      <c r="W1356" s="11"/>
      <c r="Z1356" s="11"/>
      <c r="AB1356" s="11"/>
      <c r="AF1356" s="11"/>
      <c r="AM1356" s="11"/>
      <c r="AT1356" s="9"/>
      <c r="AU1356" s="9"/>
    </row>
    <row r="1357" spans="1:47" ht="15" x14ac:dyDescent="0.25">
      <c r="A1357" s="63"/>
      <c r="B1357" s="63"/>
      <c r="C1357" s="64"/>
      <c r="D1357" s="64"/>
      <c r="E1357" s="64"/>
      <c r="F1357" s="64"/>
      <c r="G1357" s="64"/>
      <c r="H1357" s="64"/>
      <c r="I1357" s="64"/>
      <c r="J1357" s="64"/>
      <c r="K1357" s="64"/>
      <c r="L1357" s="64"/>
      <c r="M1357" s="64"/>
      <c r="N1357" s="16"/>
      <c r="O1357" s="11"/>
      <c r="P1357" s="11"/>
      <c r="Q1357" s="11"/>
      <c r="R1357" s="11"/>
      <c r="S1357" s="11"/>
      <c r="T1357" s="11"/>
      <c r="U1357" s="11"/>
      <c r="W1357" s="11"/>
      <c r="Z1357" s="11"/>
      <c r="AB1357" s="11"/>
      <c r="AF1357" s="11"/>
      <c r="AM1357" s="11"/>
      <c r="AT1357" s="9"/>
      <c r="AU1357" s="9"/>
    </row>
    <row r="1358" spans="1:47" ht="15" x14ac:dyDescent="0.25">
      <c r="A1358" s="63"/>
      <c r="B1358" s="63"/>
      <c r="C1358" s="64"/>
      <c r="D1358" s="64"/>
      <c r="E1358" s="64"/>
      <c r="F1358" s="64"/>
      <c r="G1358" s="64"/>
      <c r="H1358" s="64"/>
      <c r="I1358" s="64"/>
      <c r="J1358" s="64"/>
      <c r="K1358" s="64"/>
      <c r="L1358" s="64"/>
      <c r="M1358" s="64"/>
      <c r="N1358" s="16"/>
      <c r="O1358" s="11"/>
      <c r="P1358" s="11"/>
      <c r="Q1358" s="11"/>
      <c r="R1358" s="11"/>
      <c r="S1358" s="11"/>
      <c r="T1358" s="11"/>
      <c r="U1358" s="11"/>
      <c r="W1358" s="11"/>
      <c r="Z1358" s="11"/>
      <c r="AB1358" s="11"/>
      <c r="AF1358" s="11"/>
      <c r="AM1358" s="11"/>
      <c r="AT1358" s="9"/>
      <c r="AU1358" s="9"/>
    </row>
    <row r="1359" spans="1:47" ht="15" x14ac:dyDescent="0.25">
      <c r="A1359" s="63"/>
      <c r="B1359" s="63"/>
      <c r="C1359" s="64"/>
      <c r="D1359" s="64"/>
      <c r="E1359" s="64"/>
      <c r="F1359" s="64"/>
      <c r="G1359" s="64"/>
      <c r="H1359" s="64"/>
      <c r="I1359" s="64"/>
      <c r="J1359" s="64"/>
      <c r="K1359" s="64"/>
      <c r="L1359" s="64"/>
      <c r="M1359" s="64"/>
      <c r="N1359" s="16"/>
      <c r="O1359" s="11"/>
      <c r="P1359" s="11"/>
      <c r="Q1359" s="11"/>
      <c r="R1359" s="11"/>
      <c r="S1359" s="11"/>
      <c r="T1359" s="11"/>
      <c r="U1359" s="11"/>
      <c r="W1359" s="11"/>
      <c r="Z1359" s="11"/>
      <c r="AB1359" s="11"/>
      <c r="AF1359" s="11"/>
      <c r="AM1359" s="11"/>
      <c r="AT1359" s="9"/>
      <c r="AU1359" s="9"/>
    </row>
    <row r="1360" spans="1:47" ht="15" x14ac:dyDescent="0.25">
      <c r="A1360" s="63"/>
      <c r="B1360" s="63"/>
      <c r="C1360" s="64"/>
      <c r="D1360" s="64"/>
      <c r="E1360" s="64"/>
      <c r="F1360" s="64"/>
      <c r="G1360" s="64"/>
      <c r="H1360" s="64"/>
      <c r="I1360" s="64"/>
      <c r="J1360" s="64"/>
      <c r="K1360" s="64"/>
      <c r="L1360" s="64"/>
      <c r="M1360" s="64"/>
      <c r="N1360" s="16"/>
      <c r="O1360" s="11"/>
      <c r="P1360" s="11"/>
      <c r="Q1360" s="11"/>
      <c r="R1360" s="11"/>
      <c r="S1360" s="11"/>
      <c r="T1360" s="11"/>
      <c r="U1360" s="11"/>
      <c r="W1360" s="11"/>
      <c r="Z1360" s="11"/>
      <c r="AB1360" s="11"/>
      <c r="AF1360" s="11"/>
      <c r="AM1360" s="11"/>
      <c r="AT1360" s="9"/>
      <c r="AU1360" s="9"/>
    </row>
    <row r="1361" spans="1:47" ht="15" x14ac:dyDescent="0.25">
      <c r="A1361" s="63"/>
      <c r="B1361" s="63"/>
      <c r="C1361" s="64"/>
      <c r="D1361" s="64"/>
      <c r="E1361" s="64"/>
      <c r="F1361" s="64"/>
      <c r="G1361" s="64"/>
      <c r="H1361" s="64"/>
      <c r="I1361" s="64"/>
      <c r="J1361" s="64"/>
      <c r="K1361" s="64"/>
      <c r="L1361" s="64"/>
      <c r="M1361" s="64"/>
      <c r="N1361" s="16"/>
      <c r="O1361" s="11"/>
      <c r="P1361" s="11"/>
      <c r="Q1361" s="11"/>
      <c r="R1361" s="11"/>
      <c r="S1361" s="11"/>
      <c r="T1361" s="11"/>
      <c r="U1361" s="11"/>
      <c r="W1361" s="11"/>
      <c r="Z1361" s="11"/>
      <c r="AB1361" s="11"/>
      <c r="AF1361" s="11"/>
      <c r="AM1361" s="11"/>
      <c r="AT1361" s="9"/>
      <c r="AU1361" s="9"/>
    </row>
    <row r="1362" spans="1:47" ht="15" x14ac:dyDescent="0.25">
      <c r="A1362" s="63"/>
      <c r="B1362" s="63"/>
      <c r="C1362" s="64"/>
      <c r="D1362" s="64"/>
      <c r="E1362" s="64"/>
      <c r="F1362" s="64"/>
      <c r="G1362" s="64"/>
      <c r="H1362" s="64"/>
      <c r="I1362" s="64"/>
      <c r="J1362" s="64"/>
      <c r="K1362" s="64"/>
      <c r="L1362" s="64"/>
      <c r="M1362" s="64"/>
      <c r="N1362" s="16"/>
      <c r="O1362" s="11"/>
      <c r="P1362" s="11"/>
      <c r="Q1362" s="11"/>
      <c r="R1362" s="11"/>
      <c r="S1362" s="11"/>
      <c r="T1362" s="11"/>
      <c r="U1362" s="11"/>
      <c r="W1362" s="11"/>
      <c r="Z1362" s="11"/>
      <c r="AB1362" s="11"/>
      <c r="AF1362" s="11"/>
      <c r="AM1362" s="11"/>
      <c r="AT1362" s="9"/>
      <c r="AU1362" s="9"/>
    </row>
    <row r="1363" spans="1:47" ht="15" x14ac:dyDescent="0.25">
      <c r="A1363" s="63"/>
      <c r="B1363" s="63"/>
      <c r="C1363" s="64"/>
      <c r="D1363" s="64"/>
      <c r="E1363" s="64"/>
      <c r="F1363" s="64"/>
      <c r="G1363" s="64"/>
      <c r="H1363" s="64"/>
      <c r="I1363" s="64"/>
      <c r="J1363" s="64"/>
      <c r="K1363" s="64"/>
      <c r="L1363" s="64"/>
      <c r="M1363" s="64"/>
      <c r="N1363" s="16"/>
      <c r="O1363" s="11"/>
      <c r="P1363" s="11"/>
      <c r="Q1363" s="11"/>
      <c r="R1363" s="11"/>
      <c r="S1363" s="11"/>
      <c r="T1363" s="11"/>
      <c r="U1363" s="11"/>
      <c r="W1363" s="11"/>
      <c r="Z1363" s="11"/>
      <c r="AB1363" s="11"/>
      <c r="AF1363" s="11"/>
      <c r="AM1363" s="11"/>
      <c r="AT1363" s="9"/>
      <c r="AU1363" s="9"/>
    </row>
    <row r="1364" spans="1:47" ht="15" x14ac:dyDescent="0.25">
      <c r="A1364" s="63"/>
      <c r="B1364" s="63"/>
      <c r="C1364" s="64"/>
      <c r="D1364" s="64"/>
      <c r="E1364" s="64"/>
      <c r="F1364" s="64"/>
      <c r="G1364" s="64"/>
      <c r="H1364" s="64"/>
      <c r="I1364" s="64"/>
      <c r="J1364" s="64"/>
      <c r="K1364" s="64"/>
      <c r="L1364" s="64"/>
      <c r="M1364" s="64"/>
      <c r="N1364" s="16"/>
      <c r="O1364" s="11"/>
      <c r="P1364" s="11"/>
      <c r="Q1364" s="11"/>
      <c r="R1364" s="11"/>
      <c r="S1364" s="11"/>
      <c r="T1364" s="11"/>
      <c r="U1364" s="11"/>
      <c r="W1364" s="11"/>
      <c r="Z1364" s="11"/>
      <c r="AB1364" s="11"/>
      <c r="AF1364" s="11"/>
      <c r="AM1364" s="11"/>
      <c r="AT1364" s="9"/>
      <c r="AU1364" s="9"/>
    </row>
    <row r="1365" spans="1:47" ht="15" x14ac:dyDescent="0.25">
      <c r="A1365" s="63"/>
      <c r="B1365" s="63"/>
      <c r="C1365" s="64"/>
      <c r="D1365" s="64"/>
      <c r="E1365" s="64"/>
      <c r="F1365" s="64"/>
      <c r="G1365" s="64"/>
      <c r="H1365" s="64"/>
      <c r="I1365" s="64"/>
      <c r="J1365" s="64"/>
      <c r="K1365" s="64"/>
      <c r="L1365" s="64"/>
      <c r="M1365" s="64"/>
      <c r="N1365" s="16"/>
      <c r="O1365" s="11"/>
      <c r="P1365" s="11"/>
      <c r="Q1365" s="11"/>
      <c r="R1365" s="11"/>
      <c r="S1365" s="11"/>
      <c r="T1365" s="11"/>
      <c r="U1365" s="11"/>
      <c r="W1365" s="11"/>
      <c r="Z1365" s="11"/>
      <c r="AB1365" s="11"/>
      <c r="AF1365" s="11"/>
      <c r="AM1365" s="11"/>
      <c r="AT1365" s="9"/>
      <c r="AU1365" s="9"/>
    </row>
    <row r="1366" spans="1:47" ht="15" x14ac:dyDescent="0.25">
      <c r="A1366" s="63"/>
      <c r="B1366" s="63"/>
      <c r="C1366" s="64"/>
      <c r="D1366" s="64"/>
      <c r="E1366" s="64"/>
      <c r="F1366" s="64"/>
      <c r="G1366" s="64"/>
      <c r="H1366" s="64"/>
      <c r="I1366" s="64"/>
      <c r="J1366" s="64"/>
      <c r="K1366" s="64"/>
      <c r="L1366" s="64"/>
      <c r="M1366" s="64"/>
      <c r="N1366" s="10"/>
      <c r="O1366" s="11"/>
      <c r="P1366" s="11"/>
      <c r="Q1366" s="11"/>
      <c r="R1366" s="11"/>
      <c r="S1366" s="11"/>
      <c r="T1366" s="11"/>
      <c r="U1366" s="11"/>
      <c r="W1366" s="11"/>
      <c r="Z1366" s="11"/>
      <c r="AB1366" s="11"/>
      <c r="AF1366" s="11"/>
      <c r="AM1366" s="11"/>
      <c r="AT1366" s="9"/>
      <c r="AU1366" s="9"/>
    </row>
    <row r="1367" spans="1:47" ht="15" x14ac:dyDescent="0.25">
      <c r="A1367" s="10"/>
      <c r="B1367" s="10"/>
      <c r="C1367" s="16"/>
      <c r="D1367" s="16"/>
      <c r="E1367" s="16"/>
      <c r="F1367" s="16"/>
      <c r="G1367" s="16"/>
      <c r="H1367" s="10"/>
      <c r="I1367" s="10"/>
      <c r="J1367" s="10"/>
      <c r="K1367" s="10"/>
      <c r="L1367" s="10"/>
      <c r="M1367" s="10"/>
      <c r="N1367" s="10"/>
      <c r="O1367" s="11"/>
      <c r="P1367" s="11"/>
      <c r="Q1367" s="11"/>
      <c r="R1367" s="11"/>
      <c r="S1367" s="11"/>
      <c r="T1367" s="11"/>
      <c r="U1367" s="11"/>
      <c r="W1367" s="11"/>
      <c r="Z1367" s="11"/>
      <c r="AB1367" s="11"/>
      <c r="AF1367" s="11"/>
      <c r="AM1367" s="11"/>
      <c r="AT1367" s="9"/>
      <c r="AU1367" s="9"/>
    </row>
    <row r="1368" spans="1:47" ht="15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6"/>
      <c r="O1368" s="11"/>
      <c r="P1368" s="11"/>
      <c r="Q1368" s="11"/>
      <c r="R1368" s="11"/>
      <c r="S1368" s="11"/>
      <c r="T1368" s="11"/>
      <c r="U1368" s="11"/>
      <c r="W1368" s="11"/>
      <c r="Z1368" s="11"/>
      <c r="AB1368" s="11"/>
      <c r="AF1368" s="11"/>
      <c r="AM1368" s="11"/>
      <c r="AT1368" s="9"/>
      <c r="AU1368" s="9"/>
    </row>
    <row r="1369" spans="1:47" ht="15" x14ac:dyDescent="0.25">
      <c r="A1369" s="10"/>
      <c r="B1369" s="10"/>
      <c r="C1369" s="10"/>
      <c r="D1369" s="10"/>
      <c r="E1369" s="10"/>
      <c r="F1369" s="10"/>
      <c r="G1369" s="10"/>
      <c r="H1369" s="16"/>
      <c r="I1369" s="16"/>
      <c r="J1369" s="16"/>
      <c r="K1369" s="16"/>
      <c r="L1369" s="16"/>
      <c r="M1369" s="16"/>
      <c r="N1369" s="16"/>
      <c r="O1369" s="11"/>
      <c r="P1369" s="11"/>
      <c r="Q1369" s="11"/>
      <c r="R1369" s="11"/>
      <c r="S1369" s="11"/>
      <c r="T1369" s="11"/>
      <c r="U1369" s="11"/>
      <c r="W1369" s="11"/>
      <c r="Z1369" s="11"/>
      <c r="AB1369" s="11"/>
      <c r="AF1369" s="11"/>
      <c r="AM1369" s="11"/>
      <c r="AT1369" s="9"/>
      <c r="AU1369" s="9"/>
    </row>
    <row r="1370" spans="1:47" ht="15" x14ac:dyDescent="0.25">
      <c r="A1370" s="10"/>
      <c r="B1370" s="10"/>
      <c r="C1370" s="16"/>
      <c r="D1370" s="16"/>
      <c r="E1370" s="16"/>
      <c r="F1370" s="16"/>
      <c r="G1370" s="16"/>
      <c r="H1370" s="16"/>
      <c r="I1370" s="16"/>
      <c r="J1370" s="16"/>
      <c r="K1370" s="16"/>
      <c r="L1370" s="16"/>
      <c r="M1370" s="16"/>
      <c r="N1370" s="16"/>
      <c r="O1370" s="11"/>
      <c r="P1370" s="11"/>
      <c r="Q1370" s="11"/>
      <c r="R1370" s="11"/>
      <c r="S1370" s="11"/>
      <c r="T1370" s="11"/>
      <c r="U1370" s="11"/>
      <c r="W1370" s="11"/>
      <c r="Z1370" s="11"/>
      <c r="AB1370" s="11"/>
      <c r="AF1370" s="11"/>
      <c r="AM1370" s="11"/>
      <c r="AT1370" s="9"/>
      <c r="AU1370" s="9"/>
    </row>
    <row r="1371" spans="1:47" ht="15" x14ac:dyDescent="0.25">
      <c r="A1371" s="10"/>
      <c r="B1371" s="10"/>
      <c r="C1371" s="16"/>
      <c r="D1371" s="16"/>
      <c r="E1371" s="16"/>
      <c r="F1371" s="16"/>
      <c r="G1371" s="16"/>
      <c r="H1371" s="16"/>
      <c r="I1371" s="16"/>
      <c r="J1371" s="16"/>
      <c r="K1371" s="16"/>
      <c r="L1371" s="16"/>
      <c r="M1371" s="16"/>
      <c r="N1371" s="16"/>
      <c r="O1371" s="11"/>
      <c r="P1371" s="11"/>
      <c r="Q1371" s="11"/>
      <c r="R1371" s="11"/>
      <c r="S1371" s="11"/>
      <c r="T1371" s="11"/>
      <c r="U1371" s="11"/>
      <c r="W1371" s="11"/>
      <c r="Z1371" s="11"/>
      <c r="AB1371" s="11"/>
      <c r="AF1371" s="11"/>
      <c r="AM1371" s="11"/>
      <c r="AT1371" s="9"/>
      <c r="AU1371" s="9"/>
    </row>
    <row r="1372" spans="1:47" ht="15" x14ac:dyDescent="0.25">
      <c r="A1372" s="10"/>
      <c r="B1372" s="10"/>
      <c r="C1372" s="16"/>
      <c r="D1372" s="16"/>
      <c r="E1372" s="16"/>
      <c r="F1372" s="16"/>
      <c r="G1372" s="16"/>
      <c r="H1372" s="16"/>
      <c r="I1372" s="16"/>
      <c r="J1372" s="16"/>
      <c r="K1372" s="16"/>
      <c r="L1372" s="16"/>
      <c r="M1372" s="16"/>
      <c r="N1372" s="16"/>
      <c r="O1372" s="11"/>
      <c r="P1372" s="11"/>
      <c r="Q1372" s="11"/>
      <c r="R1372" s="11"/>
      <c r="S1372" s="11"/>
      <c r="T1372" s="11"/>
      <c r="U1372" s="11"/>
      <c r="W1372" s="11"/>
      <c r="Z1372" s="11"/>
      <c r="AB1372" s="11"/>
      <c r="AF1372" s="11"/>
      <c r="AM1372" s="11"/>
      <c r="AT1372" s="9"/>
      <c r="AU1372" s="9"/>
    </row>
    <row r="1373" spans="1:47" ht="15" x14ac:dyDescent="0.25">
      <c r="A1373" s="10"/>
      <c r="B1373" s="10"/>
      <c r="C1373" s="16"/>
      <c r="D1373" s="16"/>
      <c r="E1373" s="16"/>
      <c r="F1373" s="16"/>
      <c r="G1373" s="16"/>
      <c r="H1373" s="16"/>
      <c r="I1373" s="16"/>
      <c r="J1373" s="16"/>
      <c r="K1373" s="16"/>
      <c r="L1373" s="16"/>
      <c r="M1373" s="16"/>
      <c r="N1373" s="10"/>
      <c r="O1373" s="11"/>
      <c r="P1373" s="11"/>
      <c r="Q1373" s="11"/>
      <c r="R1373" s="11"/>
      <c r="S1373" s="11"/>
      <c r="T1373" s="11"/>
      <c r="U1373" s="11"/>
      <c r="W1373" s="11"/>
      <c r="Z1373" s="11"/>
      <c r="AB1373" s="11"/>
      <c r="AF1373" s="11"/>
      <c r="AM1373" s="11"/>
      <c r="AT1373" s="9"/>
      <c r="AU1373" s="9"/>
    </row>
    <row r="1374" spans="1:47" ht="15" x14ac:dyDescent="0.25">
      <c r="A1374" s="10"/>
      <c r="C1374" s="16"/>
      <c r="D1374" s="16"/>
      <c r="E1374" s="16"/>
      <c r="F1374" s="16"/>
      <c r="G1374" s="16"/>
      <c r="H1374" s="10"/>
      <c r="I1374" s="10"/>
      <c r="J1374" s="10"/>
      <c r="K1374" s="10"/>
      <c r="L1374" s="10"/>
      <c r="M1374" s="10"/>
      <c r="O1374" s="11"/>
      <c r="P1374" s="11"/>
      <c r="Q1374" s="11"/>
      <c r="R1374" s="11"/>
      <c r="S1374" s="11"/>
      <c r="T1374" s="11"/>
      <c r="U1374" s="11"/>
      <c r="W1374" s="11"/>
      <c r="Z1374" s="11"/>
      <c r="AB1374" s="11"/>
      <c r="AF1374" s="11"/>
      <c r="AM1374" s="11"/>
      <c r="AT1374" s="9"/>
      <c r="AU1374" s="9"/>
    </row>
    <row r="1375" spans="1:47" ht="15" x14ac:dyDescent="0.25">
      <c r="A1375" s="10"/>
      <c r="C1375" s="10"/>
      <c r="D1375" s="10"/>
      <c r="E1375" s="10"/>
      <c r="F1375" s="10"/>
      <c r="G1375" s="10"/>
      <c r="O1375" s="11"/>
      <c r="P1375" s="11"/>
      <c r="Q1375" s="11"/>
      <c r="R1375" s="11"/>
      <c r="S1375" s="11"/>
      <c r="T1375" s="11"/>
      <c r="U1375" s="11"/>
      <c r="W1375" s="11"/>
      <c r="Z1375" s="11"/>
      <c r="AB1375" s="11"/>
      <c r="AF1375" s="11"/>
      <c r="AM1375" s="11"/>
      <c r="AT1375" s="9"/>
      <c r="AU1375" s="9"/>
    </row>
    <row r="1376" spans="1:47" ht="15" x14ac:dyDescent="0.25">
      <c r="A1376" s="10"/>
      <c r="O1376" s="11"/>
      <c r="P1376" s="11"/>
      <c r="Q1376" s="11"/>
      <c r="R1376" s="11"/>
      <c r="S1376" s="11"/>
      <c r="T1376" s="11"/>
      <c r="U1376" s="11"/>
      <c r="W1376" s="11"/>
      <c r="Z1376" s="11"/>
      <c r="AB1376" s="11"/>
      <c r="AF1376" s="11"/>
      <c r="AM1376" s="11"/>
      <c r="AT1376" s="9"/>
      <c r="AU1376" s="9"/>
    </row>
    <row r="1377" spans="1:47" ht="15" x14ac:dyDescent="0.25">
      <c r="A1377" s="10"/>
      <c r="O1377" s="11"/>
      <c r="P1377" s="11"/>
      <c r="Q1377" s="11"/>
      <c r="R1377" s="11"/>
      <c r="S1377" s="11"/>
      <c r="T1377" s="11"/>
      <c r="U1377" s="11"/>
      <c r="W1377" s="11"/>
      <c r="Z1377" s="11"/>
      <c r="AB1377" s="11"/>
      <c r="AF1377" s="11"/>
      <c r="AM1377" s="11"/>
      <c r="AT1377" s="9"/>
      <c r="AU1377" s="9"/>
    </row>
    <row r="1378" spans="1:47" ht="15" x14ac:dyDescent="0.25">
      <c r="A1378" s="10"/>
      <c r="O1378" s="11"/>
      <c r="P1378" s="11"/>
      <c r="Q1378" s="11"/>
      <c r="R1378" s="11"/>
      <c r="S1378" s="11"/>
      <c r="T1378" s="11"/>
      <c r="U1378" s="11"/>
      <c r="W1378" s="11"/>
      <c r="Z1378" s="11"/>
      <c r="AB1378" s="11"/>
      <c r="AF1378" s="11"/>
      <c r="AM1378" s="11"/>
      <c r="AT1378" s="9"/>
      <c r="AU1378" s="9"/>
    </row>
    <row r="1379" spans="1:47" ht="15" x14ac:dyDescent="0.25">
      <c r="A1379" s="10"/>
      <c r="O1379" s="11"/>
      <c r="P1379" s="11"/>
      <c r="Q1379" s="11"/>
      <c r="R1379" s="11"/>
      <c r="S1379" s="11"/>
      <c r="T1379" s="11"/>
      <c r="U1379" s="11"/>
      <c r="W1379" s="11"/>
      <c r="Z1379" s="11"/>
      <c r="AB1379" s="11"/>
      <c r="AF1379" s="11"/>
      <c r="AM1379" s="11"/>
      <c r="AT1379" s="9"/>
      <c r="AU1379" s="9"/>
    </row>
    <row r="1380" spans="1:47" ht="15" x14ac:dyDescent="0.25">
      <c r="A1380" s="10"/>
      <c r="O1380" s="11"/>
      <c r="P1380" s="11"/>
      <c r="Q1380" s="11"/>
      <c r="R1380" s="11"/>
      <c r="S1380" s="11"/>
      <c r="T1380" s="11"/>
      <c r="U1380" s="11"/>
      <c r="W1380" s="11"/>
      <c r="Z1380" s="11"/>
      <c r="AB1380" s="11"/>
      <c r="AF1380" s="11"/>
      <c r="AM1380" s="11"/>
      <c r="AT1380" s="9"/>
      <c r="AU1380" s="9"/>
    </row>
    <row r="1381" spans="1:47" ht="15" x14ac:dyDescent="0.25">
      <c r="A1381" s="10"/>
      <c r="O1381" s="11"/>
      <c r="P1381" s="11"/>
      <c r="Q1381" s="11"/>
      <c r="R1381" s="11"/>
      <c r="S1381" s="11"/>
      <c r="T1381" s="11"/>
      <c r="U1381" s="11"/>
      <c r="W1381" s="11"/>
      <c r="Z1381" s="11"/>
      <c r="AB1381" s="11"/>
      <c r="AF1381" s="11"/>
      <c r="AM1381" s="11"/>
      <c r="AT1381" s="9"/>
      <c r="AU1381" s="9"/>
    </row>
    <row r="1382" spans="1:47" ht="15" x14ac:dyDescent="0.25">
      <c r="A1382" s="10"/>
      <c r="O1382" s="11"/>
      <c r="P1382" s="11"/>
      <c r="Q1382" s="11"/>
      <c r="R1382" s="11"/>
      <c r="S1382" s="11"/>
      <c r="T1382" s="11"/>
      <c r="U1382" s="11"/>
      <c r="W1382" s="11"/>
      <c r="Z1382" s="11"/>
      <c r="AB1382" s="11"/>
      <c r="AF1382" s="11"/>
      <c r="AM1382" s="11"/>
      <c r="AT1382" s="9"/>
      <c r="AU1382" s="9"/>
    </row>
    <row r="1383" spans="1:47" ht="15" x14ac:dyDescent="0.25">
      <c r="A1383" s="10"/>
      <c r="O1383" s="11"/>
      <c r="P1383" s="11"/>
      <c r="Q1383" s="11"/>
      <c r="R1383" s="11"/>
      <c r="S1383" s="11"/>
      <c r="T1383" s="11"/>
      <c r="U1383" s="11"/>
      <c r="W1383" s="11"/>
      <c r="Z1383" s="11"/>
      <c r="AB1383" s="11"/>
      <c r="AF1383" s="11"/>
      <c r="AM1383" s="11"/>
      <c r="AT1383" s="9"/>
      <c r="AU1383" s="9"/>
    </row>
    <row r="1384" spans="1:47" ht="15" x14ac:dyDescent="0.25">
      <c r="A1384" s="10"/>
      <c r="O1384" s="11"/>
      <c r="P1384" s="11"/>
      <c r="Q1384" s="11"/>
      <c r="R1384" s="11"/>
      <c r="S1384" s="11"/>
      <c r="T1384" s="11"/>
      <c r="U1384" s="11"/>
      <c r="W1384" s="11"/>
      <c r="Z1384" s="11"/>
      <c r="AB1384" s="11"/>
      <c r="AF1384" s="11"/>
      <c r="AM1384" s="11"/>
      <c r="AT1384" s="9"/>
      <c r="AU1384" s="9"/>
    </row>
    <row r="1385" spans="1:47" ht="15" x14ac:dyDescent="0.25">
      <c r="A1385" s="10"/>
      <c r="O1385" s="11"/>
      <c r="P1385" s="11"/>
      <c r="Q1385" s="11"/>
      <c r="R1385" s="11"/>
      <c r="S1385" s="11"/>
      <c r="T1385" s="11"/>
      <c r="U1385" s="11"/>
      <c r="W1385" s="11"/>
      <c r="Z1385" s="11"/>
      <c r="AB1385" s="11"/>
      <c r="AF1385" s="11"/>
      <c r="AM1385" s="11"/>
      <c r="AT1385" s="9"/>
      <c r="AU1385" s="9"/>
    </row>
    <row r="1386" spans="1:47" ht="15" x14ac:dyDescent="0.25">
      <c r="A1386" s="10"/>
      <c r="O1386" s="11"/>
      <c r="P1386" s="11"/>
      <c r="Q1386" s="11"/>
      <c r="R1386" s="11"/>
      <c r="S1386" s="11"/>
      <c r="T1386" s="11"/>
      <c r="U1386" s="11"/>
      <c r="W1386" s="11"/>
      <c r="Z1386" s="11"/>
      <c r="AB1386" s="11"/>
      <c r="AF1386" s="11"/>
      <c r="AM1386" s="11"/>
      <c r="AT1386" s="9"/>
      <c r="AU1386" s="9"/>
    </row>
    <row r="1387" spans="1:47" ht="15" x14ac:dyDescent="0.25">
      <c r="A1387" s="10"/>
      <c r="O1387" s="11"/>
      <c r="P1387" s="11"/>
      <c r="Q1387" s="11"/>
      <c r="R1387" s="11"/>
      <c r="S1387" s="11"/>
      <c r="T1387" s="11"/>
      <c r="U1387" s="11"/>
      <c r="W1387" s="11"/>
      <c r="Z1387" s="11"/>
      <c r="AB1387" s="11"/>
      <c r="AF1387" s="11"/>
      <c r="AM1387" s="11"/>
      <c r="AT1387" s="9"/>
      <c r="AU1387" s="9"/>
    </row>
    <row r="1388" spans="1:47" ht="15" x14ac:dyDescent="0.25">
      <c r="A1388" s="10"/>
      <c r="O1388" s="11"/>
      <c r="P1388" s="11"/>
      <c r="Q1388" s="11"/>
      <c r="R1388" s="11"/>
      <c r="S1388" s="11"/>
      <c r="T1388" s="11"/>
      <c r="U1388" s="11"/>
      <c r="W1388" s="11"/>
      <c r="Z1388" s="11"/>
      <c r="AB1388" s="11"/>
      <c r="AF1388" s="11"/>
      <c r="AM1388" s="11"/>
      <c r="AT1388" s="9"/>
      <c r="AU1388" s="9"/>
    </row>
    <row r="1389" spans="1:47" ht="15" x14ac:dyDescent="0.25">
      <c r="A1389" s="10"/>
      <c r="O1389" s="11"/>
      <c r="P1389" s="11"/>
      <c r="Q1389" s="11"/>
      <c r="R1389" s="11"/>
      <c r="S1389" s="11"/>
      <c r="T1389" s="11"/>
      <c r="U1389" s="11"/>
      <c r="W1389" s="11"/>
      <c r="Z1389" s="11"/>
      <c r="AB1389" s="11"/>
      <c r="AF1389" s="11"/>
      <c r="AM1389" s="11"/>
      <c r="AT1389" s="9"/>
      <c r="AU1389" s="9"/>
    </row>
    <row r="1390" spans="1:47" ht="15" x14ac:dyDescent="0.25">
      <c r="A1390" s="10"/>
      <c r="O1390" s="11"/>
      <c r="P1390" s="11"/>
      <c r="Q1390" s="11"/>
      <c r="R1390" s="11"/>
      <c r="S1390" s="11"/>
      <c r="T1390" s="11"/>
      <c r="U1390" s="11"/>
      <c r="W1390" s="11"/>
      <c r="Z1390" s="11"/>
      <c r="AB1390" s="11"/>
      <c r="AF1390" s="11"/>
      <c r="AM1390" s="11"/>
      <c r="AT1390" s="9"/>
      <c r="AU1390" s="9"/>
    </row>
    <row r="1391" spans="1:47" ht="15" x14ac:dyDescent="0.25">
      <c r="A1391" s="10"/>
      <c r="O1391" s="11"/>
      <c r="P1391" s="11"/>
      <c r="Q1391" s="11"/>
      <c r="R1391" s="11"/>
      <c r="S1391" s="11"/>
      <c r="T1391" s="11"/>
      <c r="U1391" s="11"/>
      <c r="W1391" s="11"/>
      <c r="Z1391" s="11"/>
      <c r="AB1391" s="11"/>
      <c r="AF1391" s="11"/>
      <c r="AM1391" s="11"/>
      <c r="AT1391" s="9"/>
      <c r="AU1391" s="9"/>
    </row>
    <row r="1392" spans="1:47" ht="15" x14ac:dyDescent="0.25">
      <c r="A1392" s="10"/>
      <c r="O1392" s="11"/>
      <c r="P1392" s="11"/>
      <c r="Q1392" s="11"/>
      <c r="R1392" s="11"/>
      <c r="S1392" s="11"/>
      <c r="T1392" s="11"/>
      <c r="U1392" s="11"/>
      <c r="W1392" s="11"/>
      <c r="Z1392" s="11"/>
      <c r="AB1392" s="11"/>
      <c r="AF1392" s="11"/>
      <c r="AM1392" s="11"/>
      <c r="AT1392" s="9"/>
      <c r="AU1392" s="9"/>
    </row>
    <row r="1393" spans="1:47" ht="15" x14ac:dyDescent="0.25">
      <c r="A1393" s="10"/>
      <c r="O1393" s="11"/>
      <c r="P1393" s="11"/>
      <c r="Q1393" s="11"/>
      <c r="R1393" s="11"/>
      <c r="S1393" s="11"/>
      <c r="T1393" s="11"/>
      <c r="U1393" s="11"/>
      <c r="W1393" s="11"/>
      <c r="Z1393" s="11"/>
      <c r="AB1393" s="11"/>
      <c r="AF1393" s="11"/>
      <c r="AM1393" s="11"/>
      <c r="AT1393" s="9"/>
      <c r="AU1393" s="9"/>
    </row>
    <row r="1394" spans="1:47" ht="15" x14ac:dyDescent="0.25">
      <c r="A1394" s="10"/>
      <c r="O1394" s="11"/>
      <c r="P1394" s="11"/>
      <c r="Q1394" s="11"/>
      <c r="R1394" s="11"/>
      <c r="S1394" s="11"/>
      <c r="T1394" s="11"/>
      <c r="U1394" s="11"/>
      <c r="W1394" s="11"/>
      <c r="Z1394" s="11"/>
      <c r="AB1394" s="11"/>
      <c r="AF1394" s="11"/>
      <c r="AM1394" s="11"/>
      <c r="AT1394" s="9"/>
      <c r="AU1394" s="9"/>
    </row>
    <row r="1395" spans="1:47" ht="15" x14ac:dyDescent="0.25">
      <c r="A1395" s="10"/>
      <c r="O1395" s="11"/>
      <c r="P1395" s="11"/>
      <c r="Q1395" s="11"/>
      <c r="R1395" s="11"/>
      <c r="S1395" s="11"/>
      <c r="T1395" s="11"/>
      <c r="U1395" s="11"/>
      <c r="W1395" s="11"/>
      <c r="Z1395" s="11"/>
      <c r="AB1395" s="11"/>
      <c r="AF1395" s="11"/>
      <c r="AM1395" s="11"/>
      <c r="AT1395" s="9"/>
      <c r="AU1395" s="9"/>
    </row>
    <row r="1396" spans="1:47" ht="15" x14ac:dyDescent="0.25">
      <c r="A1396" s="10"/>
      <c r="O1396" s="11"/>
      <c r="P1396" s="11"/>
      <c r="Q1396" s="11"/>
      <c r="R1396" s="11"/>
      <c r="S1396" s="11"/>
      <c r="T1396" s="11"/>
      <c r="U1396" s="11"/>
      <c r="W1396" s="11"/>
      <c r="Z1396" s="11"/>
      <c r="AB1396" s="11"/>
      <c r="AF1396" s="11"/>
      <c r="AM1396" s="11"/>
      <c r="AT1396" s="9"/>
      <c r="AU1396" s="9"/>
    </row>
    <row r="1397" spans="1:47" ht="15" x14ac:dyDescent="0.25">
      <c r="A1397" s="10"/>
      <c r="O1397" s="11"/>
      <c r="P1397" s="11"/>
      <c r="Q1397" s="11"/>
      <c r="R1397" s="11"/>
      <c r="S1397" s="11"/>
      <c r="T1397" s="11"/>
      <c r="U1397" s="11"/>
      <c r="W1397" s="11"/>
      <c r="Z1397" s="11"/>
      <c r="AB1397" s="11"/>
      <c r="AF1397" s="11"/>
      <c r="AM1397" s="11"/>
      <c r="AT1397" s="9"/>
      <c r="AU1397" s="9"/>
    </row>
    <row r="1398" spans="1:47" ht="15" x14ac:dyDescent="0.25">
      <c r="A1398" s="10"/>
      <c r="O1398" s="11"/>
      <c r="P1398" s="11"/>
      <c r="Q1398" s="11"/>
      <c r="R1398" s="11"/>
      <c r="S1398" s="11"/>
      <c r="T1398" s="11"/>
      <c r="U1398" s="11"/>
      <c r="W1398" s="11"/>
      <c r="Z1398" s="11"/>
      <c r="AB1398" s="11"/>
      <c r="AF1398" s="11"/>
      <c r="AM1398" s="11"/>
      <c r="AT1398" s="9"/>
      <c r="AU1398" s="9"/>
    </row>
    <row r="1399" spans="1:47" ht="15" x14ac:dyDescent="0.25">
      <c r="A1399" s="10"/>
      <c r="O1399" s="11"/>
      <c r="P1399" s="11"/>
      <c r="Q1399" s="11"/>
      <c r="R1399" s="11"/>
      <c r="S1399" s="11"/>
      <c r="T1399" s="11"/>
      <c r="U1399" s="11"/>
      <c r="W1399" s="11"/>
      <c r="Z1399" s="11"/>
      <c r="AB1399" s="11"/>
      <c r="AF1399" s="11"/>
      <c r="AM1399" s="11"/>
      <c r="AT1399" s="9"/>
      <c r="AU1399" s="9"/>
    </row>
    <row r="1400" spans="1:47" ht="15" x14ac:dyDescent="0.25">
      <c r="A1400" s="10"/>
      <c r="O1400" s="11"/>
      <c r="P1400" s="11"/>
      <c r="Q1400" s="11"/>
      <c r="R1400" s="11"/>
      <c r="S1400" s="11"/>
      <c r="T1400" s="11"/>
      <c r="U1400" s="11"/>
      <c r="W1400" s="11"/>
      <c r="Z1400" s="11"/>
      <c r="AB1400" s="11"/>
      <c r="AF1400" s="11"/>
      <c r="AM1400" s="11"/>
      <c r="AT1400" s="9"/>
      <c r="AU1400" s="9"/>
    </row>
    <row r="1401" spans="1:47" ht="15" x14ac:dyDescent="0.25">
      <c r="A1401" s="10"/>
      <c r="O1401" s="11"/>
      <c r="P1401" s="11"/>
      <c r="Q1401" s="11"/>
      <c r="R1401" s="11"/>
      <c r="S1401" s="11"/>
      <c r="T1401" s="11"/>
      <c r="U1401" s="11"/>
      <c r="W1401" s="11"/>
      <c r="Z1401" s="11"/>
      <c r="AB1401" s="11"/>
      <c r="AF1401" s="11"/>
      <c r="AM1401" s="11"/>
      <c r="AT1401" s="9"/>
      <c r="AU1401" s="9"/>
    </row>
    <row r="1402" spans="1:47" ht="15" x14ac:dyDescent="0.25">
      <c r="A1402" s="10"/>
      <c r="O1402" s="11"/>
      <c r="P1402" s="11"/>
      <c r="Q1402" s="11"/>
      <c r="R1402" s="11"/>
      <c r="S1402" s="11"/>
      <c r="T1402" s="11"/>
      <c r="U1402" s="11"/>
      <c r="W1402" s="11"/>
      <c r="Z1402" s="11"/>
      <c r="AB1402" s="11"/>
      <c r="AF1402" s="11"/>
      <c r="AM1402" s="11"/>
      <c r="AT1402" s="9"/>
      <c r="AU1402" s="9"/>
    </row>
    <row r="1403" spans="1:47" ht="15" x14ac:dyDescent="0.25">
      <c r="A1403" s="10"/>
      <c r="O1403" s="11"/>
      <c r="P1403" s="11"/>
      <c r="Q1403" s="11"/>
      <c r="R1403" s="11"/>
      <c r="S1403" s="11"/>
      <c r="T1403" s="11"/>
      <c r="U1403" s="11"/>
      <c r="W1403" s="11"/>
      <c r="Z1403" s="11"/>
      <c r="AB1403" s="11"/>
      <c r="AF1403" s="11"/>
      <c r="AM1403" s="11"/>
      <c r="AT1403" s="9"/>
      <c r="AU1403" s="9"/>
    </row>
    <row r="1404" spans="1:47" ht="15" x14ac:dyDescent="0.25">
      <c r="A1404" s="10"/>
      <c r="O1404" s="11"/>
      <c r="P1404" s="11"/>
      <c r="Q1404" s="11"/>
      <c r="R1404" s="11"/>
      <c r="S1404" s="11"/>
      <c r="T1404" s="11"/>
      <c r="U1404" s="11"/>
      <c r="W1404" s="11"/>
      <c r="Z1404" s="11"/>
      <c r="AB1404" s="11"/>
      <c r="AF1404" s="11"/>
      <c r="AM1404" s="11"/>
      <c r="AT1404" s="9"/>
      <c r="AU1404" s="9"/>
    </row>
    <row r="1405" spans="1:47" ht="15" x14ac:dyDescent="0.25">
      <c r="A1405" s="10"/>
      <c r="O1405" s="11"/>
      <c r="P1405" s="11"/>
      <c r="Q1405" s="11"/>
      <c r="R1405" s="11"/>
      <c r="S1405" s="11"/>
      <c r="T1405" s="11"/>
      <c r="U1405" s="11"/>
      <c r="W1405" s="11"/>
      <c r="Z1405" s="11"/>
      <c r="AB1405" s="11"/>
      <c r="AF1405" s="11"/>
      <c r="AM1405" s="11"/>
      <c r="AT1405" s="9"/>
      <c r="AU1405" s="9"/>
    </row>
    <row r="1406" spans="1:47" ht="15" x14ac:dyDescent="0.25">
      <c r="A1406" s="10"/>
      <c r="O1406" s="11"/>
      <c r="P1406" s="11"/>
      <c r="Q1406" s="11"/>
      <c r="R1406" s="11"/>
      <c r="S1406" s="11"/>
      <c r="T1406" s="11"/>
      <c r="U1406" s="11"/>
      <c r="W1406" s="11"/>
      <c r="Z1406" s="11"/>
      <c r="AB1406" s="11"/>
      <c r="AF1406" s="11"/>
      <c r="AM1406" s="11"/>
      <c r="AT1406" s="9"/>
      <c r="AU1406" s="9"/>
    </row>
    <row r="1407" spans="1:47" ht="15" x14ac:dyDescent="0.25">
      <c r="A1407" s="10"/>
      <c r="O1407" s="11"/>
      <c r="P1407" s="11"/>
      <c r="Q1407" s="11"/>
      <c r="R1407" s="11"/>
      <c r="S1407" s="11"/>
      <c r="T1407" s="11"/>
      <c r="U1407" s="11"/>
      <c r="W1407" s="11"/>
      <c r="Z1407" s="11"/>
      <c r="AB1407" s="11"/>
      <c r="AF1407" s="11"/>
      <c r="AM1407" s="11"/>
      <c r="AT1407" s="9"/>
      <c r="AU1407" s="9"/>
    </row>
    <row r="1408" spans="1:47" ht="15" x14ac:dyDescent="0.25">
      <c r="A1408" s="10"/>
      <c r="O1408" s="11"/>
      <c r="P1408" s="11"/>
      <c r="Q1408" s="11"/>
      <c r="R1408" s="11"/>
      <c r="S1408" s="11"/>
      <c r="T1408" s="11"/>
      <c r="U1408" s="11"/>
      <c r="W1408" s="11"/>
      <c r="Z1408" s="11"/>
      <c r="AB1408" s="11"/>
      <c r="AF1408" s="11"/>
      <c r="AM1408" s="11"/>
      <c r="AT1408" s="9"/>
      <c r="AU1408" s="9"/>
    </row>
    <row r="1409" spans="1:47" ht="15" x14ac:dyDescent="0.25">
      <c r="A1409" s="10"/>
      <c r="O1409" s="11"/>
      <c r="P1409" s="11"/>
      <c r="Q1409" s="11"/>
      <c r="R1409" s="11"/>
      <c r="S1409" s="11"/>
      <c r="T1409" s="11"/>
      <c r="U1409" s="11"/>
      <c r="W1409" s="11"/>
      <c r="Z1409" s="11"/>
      <c r="AB1409" s="11"/>
      <c r="AF1409" s="11"/>
      <c r="AM1409" s="11"/>
      <c r="AT1409" s="9"/>
      <c r="AU1409" s="9"/>
    </row>
    <row r="1410" spans="1:47" ht="15" x14ac:dyDescent="0.25">
      <c r="A1410" s="10"/>
      <c r="O1410" s="11"/>
      <c r="P1410" s="11"/>
      <c r="Q1410" s="11"/>
      <c r="R1410" s="11"/>
      <c r="S1410" s="11"/>
      <c r="T1410" s="11"/>
      <c r="U1410" s="11"/>
      <c r="W1410" s="11"/>
      <c r="Z1410" s="11"/>
      <c r="AB1410" s="11"/>
      <c r="AF1410" s="11"/>
      <c r="AM1410" s="11"/>
      <c r="AT1410" s="9"/>
      <c r="AU1410" s="9"/>
    </row>
    <row r="1411" spans="1:47" ht="15" x14ac:dyDescent="0.25">
      <c r="A1411" s="10"/>
      <c r="O1411" s="11"/>
      <c r="P1411" s="11"/>
      <c r="Q1411" s="11"/>
      <c r="R1411" s="11"/>
      <c r="S1411" s="11"/>
      <c r="T1411" s="11"/>
      <c r="U1411" s="11"/>
      <c r="W1411" s="11"/>
      <c r="Z1411" s="11"/>
      <c r="AB1411" s="11"/>
      <c r="AF1411" s="11"/>
      <c r="AM1411" s="11"/>
      <c r="AT1411" s="9"/>
      <c r="AU1411" s="9"/>
    </row>
    <row r="1412" spans="1:47" ht="15" x14ac:dyDescent="0.25">
      <c r="A1412" s="10"/>
      <c r="O1412" s="11"/>
      <c r="P1412" s="11"/>
      <c r="Q1412" s="11"/>
      <c r="R1412" s="11"/>
      <c r="S1412" s="11"/>
      <c r="T1412" s="11"/>
      <c r="U1412" s="11"/>
      <c r="W1412" s="11"/>
      <c r="Z1412" s="11"/>
      <c r="AB1412" s="11"/>
      <c r="AF1412" s="11"/>
      <c r="AM1412" s="11"/>
      <c r="AT1412" s="9"/>
      <c r="AU1412" s="9"/>
    </row>
    <row r="1413" spans="1:47" ht="15" x14ac:dyDescent="0.25">
      <c r="A1413" s="10"/>
      <c r="O1413" s="11"/>
      <c r="P1413" s="11"/>
      <c r="Q1413" s="11"/>
      <c r="R1413" s="11"/>
      <c r="S1413" s="11"/>
      <c r="T1413" s="11"/>
      <c r="U1413" s="11"/>
      <c r="W1413" s="11"/>
      <c r="Z1413" s="11"/>
      <c r="AB1413" s="11"/>
      <c r="AF1413" s="11"/>
      <c r="AM1413" s="11"/>
      <c r="AT1413" s="9"/>
      <c r="AU1413" s="9"/>
    </row>
    <row r="1414" spans="1:47" ht="15" x14ac:dyDescent="0.25">
      <c r="A1414" s="10"/>
      <c r="O1414" s="11"/>
      <c r="P1414" s="11"/>
      <c r="Q1414" s="11"/>
      <c r="R1414" s="11"/>
      <c r="S1414" s="11"/>
      <c r="T1414" s="11"/>
      <c r="U1414" s="11"/>
      <c r="W1414" s="11"/>
      <c r="Z1414" s="11"/>
      <c r="AB1414" s="11"/>
      <c r="AF1414" s="11"/>
      <c r="AM1414" s="11"/>
      <c r="AT1414" s="9"/>
      <c r="AU1414" s="9"/>
    </row>
    <row r="1415" spans="1:47" ht="15" x14ac:dyDescent="0.25">
      <c r="A1415" s="10"/>
      <c r="O1415" s="11"/>
      <c r="P1415" s="11"/>
      <c r="Q1415" s="11"/>
      <c r="R1415" s="11"/>
      <c r="S1415" s="11"/>
      <c r="T1415" s="11"/>
      <c r="U1415" s="11"/>
      <c r="W1415" s="11"/>
      <c r="Z1415" s="11"/>
      <c r="AB1415" s="11"/>
      <c r="AF1415" s="11"/>
      <c r="AM1415" s="11"/>
      <c r="AT1415" s="9"/>
      <c r="AU1415" s="9"/>
    </row>
    <row r="1416" spans="1:47" ht="15" x14ac:dyDescent="0.25">
      <c r="A1416" s="10"/>
      <c r="O1416" s="11"/>
      <c r="P1416" s="11"/>
      <c r="Q1416" s="11"/>
      <c r="R1416" s="11"/>
      <c r="S1416" s="11"/>
      <c r="T1416" s="11"/>
      <c r="U1416" s="11"/>
      <c r="W1416" s="11"/>
      <c r="Z1416" s="11"/>
      <c r="AB1416" s="11"/>
      <c r="AF1416" s="11"/>
      <c r="AM1416" s="11"/>
      <c r="AT1416" s="9"/>
      <c r="AU1416" s="9"/>
    </row>
    <row r="1417" spans="1:47" ht="15" x14ac:dyDescent="0.25">
      <c r="A1417" s="10"/>
      <c r="O1417" s="11"/>
      <c r="P1417" s="11"/>
      <c r="Q1417" s="11"/>
      <c r="R1417" s="11"/>
      <c r="S1417" s="11"/>
      <c r="T1417" s="11"/>
      <c r="U1417" s="11"/>
      <c r="W1417" s="11"/>
      <c r="Z1417" s="11"/>
      <c r="AB1417" s="11"/>
      <c r="AF1417" s="11"/>
      <c r="AM1417" s="11"/>
      <c r="AT1417" s="9"/>
      <c r="AU1417" s="9"/>
    </row>
    <row r="1418" spans="1:47" ht="15" x14ac:dyDescent="0.25">
      <c r="A1418" s="10"/>
      <c r="O1418" s="11"/>
      <c r="P1418" s="11"/>
      <c r="Q1418" s="11"/>
      <c r="R1418" s="11"/>
      <c r="S1418" s="11"/>
      <c r="T1418" s="11"/>
      <c r="U1418" s="11"/>
      <c r="W1418" s="11"/>
      <c r="Z1418" s="11"/>
      <c r="AB1418" s="11"/>
      <c r="AF1418" s="11"/>
      <c r="AM1418" s="11"/>
      <c r="AT1418" s="9"/>
      <c r="AU1418" s="9"/>
    </row>
    <row r="1419" spans="1:47" ht="15" x14ac:dyDescent="0.25">
      <c r="A1419" s="10"/>
      <c r="O1419" s="11"/>
      <c r="P1419" s="11"/>
      <c r="Q1419" s="11"/>
      <c r="R1419" s="11"/>
      <c r="S1419" s="11"/>
      <c r="T1419" s="11"/>
      <c r="U1419" s="11"/>
      <c r="W1419" s="11"/>
      <c r="Z1419" s="11"/>
      <c r="AB1419" s="11"/>
      <c r="AF1419" s="11"/>
      <c r="AM1419" s="11"/>
      <c r="AT1419" s="9"/>
      <c r="AU1419" s="9"/>
    </row>
    <row r="1420" spans="1:47" ht="15" x14ac:dyDescent="0.25">
      <c r="A1420" s="10"/>
      <c r="O1420" s="11"/>
      <c r="P1420" s="11"/>
      <c r="Q1420" s="11"/>
      <c r="R1420" s="11"/>
      <c r="S1420" s="11"/>
      <c r="T1420" s="11"/>
      <c r="U1420" s="11"/>
      <c r="W1420" s="11"/>
      <c r="Z1420" s="11"/>
      <c r="AB1420" s="11"/>
      <c r="AF1420" s="11"/>
      <c r="AM1420" s="11"/>
      <c r="AT1420" s="9"/>
      <c r="AU1420" s="9"/>
    </row>
    <row r="1421" spans="1:47" ht="15" x14ac:dyDescent="0.25">
      <c r="A1421" s="10"/>
      <c r="O1421" s="11"/>
      <c r="P1421" s="11"/>
      <c r="Q1421" s="11"/>
      <c r="R1421" s="11"/>
      <c r="S1421" s="11"/>
      <c r="T1421" s="11"/>
      <c r="U1421" s="11"/>
      <c r="W1421" s="11"/>
      <c r="Z1421" s="11"/>
      <c r="AB1421" s="11"/>
      <c r="AF1421" s="11"/>
      <c r="AM1421" s="11"/>
      <c r="AT1421" s="9"/>
      <c r="AU1421" s="9"/>
    </row>
    <row r="1422" spans="1:47" ht="15" x14ac:dyDescent="0.25">
      <c r="A1422" s="10"/>
      <c r="O1422" s="11"/>
      <c r="P1422" s="11"/>
      <c r="Q1422" s="11"/>
      <c r="R1422" s="11"/>
      <c r="S1422" s="11"/>
      <c r="T1422" s="11"/>
      <c r="U1422" s="11"/>
      <c r="W1422" s="11"/>
      <c r="Z1422" s="11"/>
      <c r="AB1422" s="11"/>
      <c r="AF1422" s="11"/>
      <c r="AM1422" s="11"/>
      <c r="AT1422" s="9"/>
      <c r="AU1422" s="9"/>
    </row>
    <row r="1423" spans="1:47" ht="15" x14ac:dyDescent="0.25">
      <c r="A1423" s="10"/>
      <c r="O1423" s="11"/>
      <c r="P1423" s="11"/>
      <c r="Q1423" s="11"/>
      <c r="R1423" s="11"/>
      <c r="S1423" s="11"/>
      <c r="T1423" s="11"/>
      <c r="U1423" s="11"/>
      <c r="W1423" s="11"/>
      <c r="Z1423" s="11"/>
      <c r="AB1423" s="11"/>
      <c r="AF1423" s="11"/>
      <c r="AM1423" s="11"/>
      <c r="AT1423" s="9"/>
      <c r="AU1423" s="9"/>
    </row>
    <row r="1424" spans="1:47" ht="15" x14ac:dyDescent="0.25">
      <c r="A1424" s="10"/>
      <c r="O1424" s="11"/>
      <c r="P1424" s="11"/>
      <c r="Q1424" s="11"/>
      <c r="R1424" s="11"/>
      <c r="S1424" s="11"/>
      <c r="T1424" s="11"/>
      <c r="U1424" s="11"/>
      <c r="W1424" s="11"/>
      <c r="Z1424" s="11"/>
      <c r="AB1424" s="11"/>
      <c r="AF1424" s="11"/>
      <c r="AM1424" s="11"/>
      <c r="AT1424" s="9"/>
      <c r="AU1424" s="9"/>
    </row>
    <row r="1425" spans="1:47" ht="15" x14ac:dyDescent="0.25">
      <c r="A1425" s="10"/>
      <c r="O1425" s="11"/>
      <c r="P1425" s="11"/>
      <c r="Q1425" s="11"/>
      <c r="R1425" s="11"/>
      <c r="S1425" s="11"/>
      <c r="T1425" s="11"/>
      <c r="U1425" s="11"/>
      <c r="W1425" s="11"/>
      <c r="Z1425" s="11"/>
      <c r="AB1425" s="11"/>
      <c r="AF1425" s="11"/>
      <c r="AM1425" s="11"/>
      <c r="AT1425" s="9"/>
      <c r="AU1425" s="9"/>
    </row>
    <row r="1426" spans="1:47" ht="15" x14ac:dyDescent="0.25">
      <c r="A1426" s="10"/>
      <c r="O1426" s="11"/>
      <c r="P1426" s="11"/>
      <c r="Q1426" s="11"/>
      <c r="R1426" s="11"/>
      <c r="S1426" s="11"/>
      <c r="T1426" s="11"/>
      <c r="U1426" s="11"/>
      <c r="W1426" s="11"/>
      <c r="Z1426" s="11"/>
      <c r="AB1426" s="11"/>
      <c r="AF1426" s="11"/>
      <c r="AM1426" s="11"/>
      <c r="AT1426" s="9"/>
      <c r="AU1426" s="9"/>
    </row>
    <row r="1427" spans="1:47" ht="15" x14ac:dyDescent="0.25">
      <c r="A1427" s="10"/>
      <c r="O1427" s="11"/>
      <c r="P1427" s="11"/>
      <c r="Q1427" s="11"/>
      <c r="R1427" s="11"/>
      <c r="S1427" s="11"/>
      <c r="T1427" s="11"/>
      <c r="U1427" s="11"/>
      <c r="W1427" s="11"/>
      <c r="Z1427" s="11"/>
      <c r="AB1427" s="11"/>
      <c r="AF1427" s="11"/>
      <c r="AM1427" s="11"/>
      <c r="AT1427" s="9"/>
      <c r="AU1427" s="9"/>
    </row>
    <row r="1428" spans="1:47" ht="15" x14ac:dyDescent="0.25">
      <c r="A1428" s="10"/>
      <c r="O1428" s="11"/>
      <c r="P1428" s="11"/>
      <c r="Q1428" s="11"/>
      <c r="R1428" s="11"/>
      <c r="S1428" s="11"/>
      <c r="T1428" s="11"/>
      <c r="U1428" s="11"/>
      <c r="W1428" s="11"/>
      <c r="Z1428" s="11"/>
      <c r="AB1428" s="11"/>
      <c r="AF1428" s="11"/>
      <c r="AM1428" s="11"/>
      <c r="AT1428" s="9"/>
      <c r="AU1428" s="9"/>
    </row>
    <row r="1429" spans="1:47" ht="15" x14ac:dyDescent="0.25">
      <c r="A1429" s="10"/>
      <c r="O1429" s="11"/>
      <c r="P1429" s="11"/>
      <c r="Q1429" s="11"/>
      <c r="R1429" s="11"/>
      <c r="S1429" s="11"/>
      <c r="T1429" s="11"/>
      <c r="U1429" s="11"/>
      <c r="W1429" s="11"/>
      <c r="Z1429" s="11"/>
      <c r="AB1429" s="11"/>
      <c r="AF1429" s="11"/>
      <c r="AM1429" s="11"/>
      <c r="AT1429" s="9"/>
      <c r="AU1429" s="9"/>
    </row>
    <row r="1430" spans="1:47" ht="15" x14ac:dyDescent="0.25">
      <c r="A1430" s="10"/>
      <c r="O1430" s="11"/>
      <c r="P1430" s="11"/>
      <c r="Q1430" s="11"/>
      <c r="R1430" s="11"/>
      <c r="S1430" s="11"/>
      <c r="T1430" s="11"/>
      <c r="U1430" s="11"/>
      <c r="W1430" s="11"/>
      <c r="Z1430" s="11"/>
      <c r="AB1430" s="11"/>
      <c r="AF1430" s="11"/>
      <c r="AM1430" s="11"/>
      <c r="AT1430" s="9"/>
      <c r="AU1430" s="9"/>
    </row>
    <row r="1431" spans="1:47" ht="15" x14ac:dyDescent="0.25">
      <c r="A1431" s="10"/>
      <c r="O1431" s="11"/>
      <c r="P1431" s="11"/>
      <c r="Q1431" s="11"/>
      <c r="R1431" s="11"/>
      <c r="S1431" s="11"/>
      <c r="T1431" s="11"/>
      <c r="U1431" s="11"/>
      <c r="W1431" s="11"/>
      <c r="Z1431" s="11"/>
      <c r="AB1431" s="11"/>
      <c r="AF1431" s="11"/>
      <c r="AM1431" s="11"/>
      <c r="AT1431" s="9"/>
      <c r="AU1431" s="9"/>
    </row>
    <row r="1432" spans="1:47" ht="15" x14ac:dyDescent="0.25">
      <c r="A1432" s="10"/>
      <c r="O1432" s="11"/>
      <c r="P1432" s="11"/>
      <c r="Q1432" s="11"/>
      <c r="R1432" s="11"/>
      <c r="S1432" s="11"/>
      <c r="T1432" s="11"/>
      <c r="U1432" s="11"/>
      <c r="W1432" s="11"/>
      <c r="Z1432" s="11"/>
      <c r="AB1432" s="11"/>
      <c r="AF1432" s="11"/>
      <c r="AM1432" s="11"/>
      <c r="AT1432" s="9"/>
      <c r="AU1432" s="9"/>
    </row>
    <row r="1433" spans="1:47" ht="15" x14ac:dyDescent="0.25">
      <c r="A1433" s="10"/>
      <c r="O1433" s="11"/>
      <c r="P1433" s="11"/>
      <c r="Q1433" s="11"/>
      <c r="R1433" s="11"/>
      <c r="S1433" s="11"/>
      <c r="T1433" s="11"/>
      <c r="U1433" s="11"/>
      <c r="W1433" s="11"/>
      <c r="Z1433" s="11"/>
      <c r="AB1433" s="11"/>
      <c r="AF1433" s="11"/>
      <c r="AM1433" s="11"/>
      <c r="AT1433" s="9"/>
      <c r="AU1433" s="9"/>
    </row>
    <row r="1434" spans="1:47" ht="15" x14ac:dyDescent="0.25">
      <c r="A1434" s="10"/>
      <c r="O1434" s="11"/>
      <c r="P1434" s="11"/>
      <c r="Q1434" s="11"/>
      <c r="R1434" s="11"/>
      <c r="S1434" s="11"/>
      <c r="T1434" s="11"/>
      <c r="U1434" s="11"/>
      <c r="W1434" s="11"/>
      <c r="Z1434" s="11"/>
      <c r="AB1434" s="11"/>
      <c r="AF1434" s="11"/>
      <c r="AM1434" s="11"/>
      <c r="AT1434" s="9"/>
      <c r="AU1434" s="9"/>
    </row>
    <row r="1435" spans="1:47" ht="15" x14ac:dyDescent="0.25">
      <c r="A1435" s="10"/>
      <c r="O1435" s="11"/>
      <c r="P1435" s="11"/>
      <c r="Q1435" s="11"/>
      <c r="R1435" s="11"/>
      <c r="S1435" s="11"/>
      <c r="T1435" s="11"/>
      <c r="U1435" s="11"/>
      <c r="W1435" s="11"/>
      <c r="Z1435" s="11"/>
      <c r="AB1435" s="11"/>
      <c r="AF1435" s="11"/>
      <c r="AM1435" s="11"/>
      <c r="AT1435" s="9"/>
      <c r="AU1435" s="9"/>
    </row>
    <row r="1436" spans="1:47" ht="15" x14ac:dyDescent="0.25">
      <c r="A1436" s="10"/>
      <c r="O1436" s="11"/>
      <c r="P1436" s="11"/>
      <c r="Q1436" s="11"/>
      <c r="R1436" s="11"/>
      <c r="S1436" s="11"/>
      <c r="T1436" s="11"/>
      <c r="U1436" s="11"/>
      <c r="W1436" s="11"/>
      <c r="Z1436" s="11"/>
      <c r="AB1436" s="11"/>
      <c r="AF1436" s="11"/>
      <c r="AM1436" s="11"/>
      <c r="AT1436" s="9"/>
      <c r="AU1436" s="9"/>
    </row>
    <row r="1437" spans="1:47" ht="15" x14ac:dyDescent="0.25">
      <c r="A1437" s="10"/>
      <c r="O1437" s="11"/>
      <c r="P1437" s="11"/>
      <c r="Q1437" s="11"/>
      <c r="R1437" s="11"/>
      <c r="S1437" s="11"/>
      <c r="T1437" s="11"/>
      <c r="U1437" s="11"/>
      <c r="W1437" s="11"/>
      <c r="Z1437" s="11"/>
      <c r="AB1437" s="11"/>
      <c r="AF1437" s="11"/>
      <c r="AM1437" s="11"/>
      <c r="AT1437" s="9"/>
      <c r="AU1437" s="9"/>
    </row>
    <row r="1438" spans="1:47" ht="15" x14ac:dyDescent="0.25">
      <c r="A1438" s="10"/>
      <c r="O1438" s="11"/>
      <c r="P1438" s="11"/>
      <c r="Q1438" s="11"/>
      <c r="R1438" s="11"/>
      <c r="S1438" s="11"/>
      <c r="T1438" s="11"/>
      <c r="U1438" s="11"/>
      <c r="W1438" s="11"/>
      <c r="Z1438" s="11"/>
      <c r="AB1438" s="11"/>
      <c r="AF1438" s="11"/>
      <c r="AM1438" s="11"/>
      <c r="AT1438" s="9"/>
      <c r="AU1438" s="9"/>
    </row>
    <row r="1439" spans="1:47" ht="15" x14ac:dyDescent="0.25">
      <c r="A1439" s="10"/>
      <c r="O1439" s="11"/>
      <c r="P1439" s="11"/>
      <c r="Q1439" s="11"/>
      <c r="R1439" s="11"/>
      <c r="S1439" s="11"/>
      <c r="T1439" s="11"/>
      <c r="U1439" s="11"/>
      <c r="W1439" s="11"/>
      <c r="Z1439" s="11"/>
      <c r="AB1439" s="11"/>
      <c r="AF1439" s="11"/>
      <c r="AM1439" s="11"/>
      <c r="AT1439" s="9"/>
      <c r="AU1439" s="9"/>
    </row>
    <row r="1440" spans="1:47" ht="15" x14ac:dyDescent="0.25">
      <c r="A1440" s="10"/>
      <c r="O1440" s="11"/>
      <c r="P1440" s="11"/>
      <c r="Q1440" s="11"/>
      <c r="R1440" s="11"/>
      <c r="S1440" s="11"/>
      <c r="T1440" s="11"/>
      <c r="U1440" s="11"/>
      <c r="W1440" s="11"/>
      <c r="Z1440" s="11"/>
      <c r="AB1440" s="11"/>
      <c r="AF1440" s="11"/>
      <c r="AM1440" s="11"/>
      <c r="AT1440" s="9"/>
      <c r="AU1440" s="9"/>
    </row>
    <row r="1441" spans="1:47" ht="15" x14ac:dyDescent="0.25">
      <c r="A1441" s="10"/>
      <c r="O1441" s="11"/>
      <c r="P1441" s="11"/>
      <c r="Q1441" s="11"/>
      <c r="R1441" s="11"/>
      <c r="S1441" s="11"/>
      <c r="T1441" s="11"/>
      <c r="U1441" s="11"/>
      <c r="W1441" s="11"/>
      <c r="Z1441" s="11"/>
      <c r="AB1441" s="11"/>
      <c r="AF1441" s="11"/>
      <c r="AM1441" s="11"/>
      <c r="AT1441" s="9"/>
      <c r="AU1441" s="9"/>
    </row>
    <row r="1442" spans="1:47" ht="15" x14ac:dyDescent="0.25">
      <c r="A1442" s="10"/>
      <c r="O1442" s="11"/>
      <c r="P1442" s="11"/>
      <c r="Q1442" s="11"/>
      <c r="R1442" s="11"/>
      <c r="S1442" s="11"/>
      <c r="T1442" s="11"/>
      <c r="U1442" s="11"/>
      <c r="W1442" s="11"/>
      <c r="Z1442" s="11"/>
      <c r="AB1442" s="11"/>
      <c r="AF1442" s="11"/>
      <c r="AM1442" s="11"/>
      <c r="AT1442" s="9"/>
      <c r="AU1442" s="9"/>
    </row>
    <row r="1443" spans="1:47" ht="15" x14ac:dyDescent="0.25">
      <c r="A1443" s="10"/>
      <c r="O1443" s="11"/>
      <c r="P1443" s="11"/>
      <c r="Q1443" s="11"/>
      <c r="R1443" s="11"/>
      <c r="S1443" s="11"/>
      <c r="T1443" s="11"/>
      <c r="U1443" s="11"/>
      <c r="W1443" s="11"/>
      <c r="Z1443" s="11"/>
      <c r="AB1443" s="11"/>
      <c r="AF1443" s="11"/>
      <c r="AM1443" s="11"/>
      <c r="AT1443" s="9"/>
      <c r="AU1443" s="9"/>
    </row>
    <row r="1444" spans="1:47" ht="15" x14ac:dyDescent="0.25">
      <c r="A1444" s="10"/>
      <c r="O1444" s="11"/>
      <c r="P1444" s="11"/>
      <c r="Q1444" s="11"/>
      <c r="R1444" s="11"/>
      <c r="S1444" s="11"/>
      <c r="T1444" s="11"/>
      <c r="U1444" s="11"/>
      <c r="W1444" s="11"/>
      <c r="Z1444" s="11"/>
      <c r="AB1444" s="11"/>
      <c r="AF1444" s="11"/>
      <c r="AM1444" s="11"/>
      <c r="AT1444" s="9"/>
      <c r="AU1444" s="9"/>
    </row>
    <row r="1445" spans="1:47" ht="15" x14ac:dyDescent="0.25">
      <c r="A1445" s="10"/>
      <c r="O1445" s="11"/>
      <c r="P1445" s="11"/>
      <c r="Q1445" s="11"/>
      <c r="R1445" s="11"/>
      <c r="S1445" s="11"/>
      <c r="T1445" s="11"/>
      <c r="U1445" s="11"/>
      <c r="W1445" s="11"/>
      <c r="Z1445" s="11"/>
      <c r="AB1445" s="11"/>
      <c r="AF1445" s="11"/>
      <c r="AM1445" s="11"/>
      <c r="AT1445" s="9"/>
      <c r="AU1445" s="9"/>
    </row>
    <row r="1446" spans="1:47" ht="15" x14ac:dyDescent="0.25">
      <c r="A1446" s="10"/>
      <c r="O1446" s="11"/>
      <c r="P1446" s="11"/>
      <c r="Q1446" s="11"/>
      <c r="R1446" s="11"/>
      <c r="S1446" s="11"/>
      <c r="T1446" s="11"/>
      <c r="U1446" s="11"/>
      <c r="W1446" s="11"/>
      <c r="Z1446" s="11"/>
      <c r="AB1446" s="11"/>
      <c r="AF1446" s="11"/>
      <c r="AM1446" s="11"/>
      <c r="AT1446" s="9"/>
      <c r="AU1446" s="9"/>
    </row>
    <row r="1447" spans="1:47" ht="15" x14ac:dyDescent="0.25">
      <c r="A1447" s="10"/>
      <c r="O1447" s="11"/>
      <c r="P1447" s="11"/>
      <c r="Q1447" s="11"/>
      <c r="R1447" s="11"/>
      <c r="S1447" s="11"/>
      <c r="T1447" s="11"/>
      <c r="U1447" s="11"/>
      <c r="W1447" s="11"/>
      <c r="Z1447" s="11"/>
      <c r="AB1447" s="11"/>
      <c r="AF1447" s="11"/>
      <c r="AM1447" s="11"/>
      <c r="AT1447" s="9"/>
      <c r="AU1447" s="9"/>
    </row>
    <row r="1448" spans="1:47" ht="15" x14ac:dyDescent="0.25">
      <c r="A1448" s="10"/>
      <c r="O1448" s="11"/>
      <c r="P1448" s="11"/>
      <c r="Q1448" s="11"/>
      <c r="R1448" s="11"/>
      <c r="S1448" s="11"/>
      <c r="T1448" s="11"/>
      <c r="U1448" s="11"/>
      <c r="W1448" s="11"/>
      <c r="Z1448" s="11"/>
      <c r="AB1448" s="11"/>
      <c r="AF1448" s="11"/>
      <c r="AM1448" s="11"/>
      <c r="AT1448" s="9"/>
      <c r="AU1448" s="9"/>
    </row>
    <row r="1449" spans="1:47" ht="15" x14ac:dyDescent="0.25">
      <c r="A1449" s="10"/>
      <c r="O1449" s="11"/>
      <c r="P1449" s="11"/>
      <c r="Q1449" s="11"/>
      <c r="R1449" s="11"/>
      <c r="S1449" s="11"/>
      <c r="T1449" s="11"/>
      <c r="U1449" s="11"/>
      <c r="W1449" s="11"/>
      <c r="Z1449" s="11"/>
      <c r="AB1449" s="11"/>
      <c r="AF1449" s="11"/>
      <c r="AM1449" s="11"/>
      <c r="AT1449" s="9"/>
      <c r="AU1449" s="9"/>
    </row>
    <row r="1450" spans="1:47" ht="15" x14ac:dyDescent="0.25">
      <c r="A1450" s="10"/>
      <c r="O1450" s="11"/>
      <c r="P1450" s="11"/>
      <c r="Q1450" s="11"/>
      <c r="R1450" s="11"/>
      <c r="S1450" s="11"/>
      <c r="T1450" s="11"/>
      <c r="U1450" s="11"/>
      <c r="W1450" s="11"/>
      <c r="Z1450" s="11"/>
      <c r="AB1450" s="11"/>
      <c r="AF1450" s="11"/>
      <c r="AM1450" s="11"/>
      <c r="AT1450" s="9"/>
      <c r="AU1450" s="9"/>
    </row>
    <row r="1451" spans="1:47" ht="15" x14ac:dyDescent="0.25">
      <c r="A1451" s="10"/>
      <c r="O1451" s="11"/>
      <c r="P1451" s="11"/>
      <c r="Q1451" s="11"/>
      <c r="R1451" s="11"/>
      <c r="S1451" s="11"/>
      <c r="T1451" s="11"/>
      <c r="U1451" s="11"/>
      <c r="W1451" s="11"/>
      <c r="Z1451" s="11"/>
      <c r="AB1451" s="11"/>
      <c r="AF1451" s="11"/>
      <c r="AM1451" s="11"/>
      <c r="AT1451" s="9"/>
      <c r="AU1451" s="9"/>
    </row>
    <row r="1452" spans="1:47" ht="15" x14ac:dyDescent="0.25">
      <c r="A1452" s="10"/>
      <c r="O1452" s="11"/>
      <c r="P1452" s="11"/>
      <c r="Q1452" s="11"/>
      <c r="R1452" s="11"/>
      <c r="S1452" s="11"/>
      <c r="T1452" s="11"/>
      <c r="U1452" s="11"/>
      <c r="W1452" s="11"/>
      <c r="Z1452" s="11"/>
      <c r="AB1452" s="11"/>
      <c r="AF1452" s="11"/>
      <c r="AM1452" s="11"/>
      <c r="AT1452" s="9"/>
      <c r="AU1452" s="9"/>
    </row>
    <row r="1453" spans="1:47" ht="15" x14ac:dyDescent="0.25">
      <c r="A1453" s="10"/>
      <c r="O1453" s="11"/>
      <c r="P1453" s="11"/>
      <c r="Q1453" s="11"/>
      <c r="R1453" s="11"/>
      <c r="S1453" s="11"/>
      <c r="T1453" s="11"/>
      <c r="U1453" s="11"/>
      <c r="W1453" s="11"/>
      <c r="Z1453" s="11"/>
      <c r="AB1453" s="11"/>
      <c r="AF1453" s="11"/>
      <c r="AM1453" s="11"/>
      <c r="AT1453" s="9"/>
      <c r="AU1453" s="9"/>
    </row>
    <row r="1454" spans="1:47" ht="15" x14ac:dyDescent="0.25">
      <c r="A1454" s="10"/>
      <c r="O1454" s="11"/>
      <c r="P1454" s="11"/>
      <c r="Q1454" s="11"/>
      <c r="R1454" s="11"/>
      <c r="S1454" s="11"/>
      <c r="T1454" s="11"/>
      <c r="U1454" s="11"/>
      <c r="W1454" s="11"/>
      <c r="Z1454" s="11"/>
      <c r="AB1454" s="11"/>
      <c r="AF1454" s="11"/>
      <c r="AM1454" s="11"/>
      <c r="AT1454" s="9"/>
      <c r="AU1454" s="9"/>
    </row>
    <row r="1455" spans="1:47" ht="15" x14ac:dyDescent="0.25">
      <c r="A1455" s="10"/>
      <c r="O1455" s="11"/>
      <c r="P1455" s="11"/>
      <c r="Q1455" s="11"/>
      <c r="R1455" s="11"/>
      <c r="S1455" s="11"/>
      <c r="T1455" s="11"/>
      <c r="U1455" s="11"/>
      <c r="W1455" s="11"/>
      <c r="Z1455" s="11"/>
      <c r="AB1455" s="11"/>
      <c r="AF1455" s="11"/>
      <c r="AM1455" s="11"/>
      <c r="AT1455" s="9"/>
      <c r="AU1455" s="9"/>
    </row>
    <row r="1456" spans="1:47" ht="15" x14ac:dyDescent="0.25">
      <c r="A1456" s="10"/>
      <c r="O1456" s="11"/>
      <c r="P1456" s="11"/>
      <c r="Q1456" s="11"/>
      <c r="R1456" s="11"/>
      <c r="S1456" s="11"/>
      <c r="T1456" s="11"/>
      <c r="U1456" s="11"/>
      <c r="W1456" s="11"/>
      <c r="Z1456" s="11"/>
      <c r="AB1456" s="11"/>
      <c r="AF1456" s="11"/>
      <c r="AM1456" s="11"/>
      <c r="AT1456" s="9"/>
      <c r="AU1456" s="9"/>
    </row>
    <row r="1457" spans="1:47" ht="15" x14ac:dyDescent="0.25">
      <c r="A1457" s="10"/>
      <c r="O1457" s="11"/>
      <c r="P1457" s="11"/>
      <c r="Q1457" s="11"/>
      <c r="R1457" s="11"/>
      <c r="S1457" s="11"/>
      <c r="T1457" s="11"/>
      <c r="U1457" s="11"/>
      <c r="W1457" s="11"/>
      <c r="Z1457" s="11"/>
      <c r="AB1457" s="11"/>
      <c r="AF1457" s="11"/>
      <c r="AM1457" s="11"/>
      <c r="AT1457" s="9"/>
      <c r="AU1457" s="9"/>
    </row>
    <row r="1458" spans="1:47" ht="15" x14ac:dyDescent="0.25">
      <c r="A1458" s="10"/>
      <c r="O1458" s="11"/>
      <c r="P1458" s="11"/>
      <c r="Q1458" s="11"/>
      <c r="R1458" s="11"/>
      <c r="S1458" s="11"/>
      <c r="T1458" s="11"/>
      <c r="U1458" s="11"/>
      <c r="W1458" s="11"/>
      <c r="Z1458" s="11"/>
      <c r="AB1458" s="11"/>
      <c r="AF1458" s="11"/>
      <c r="AM1458" s="11"/>
      <c r="AT1458" s="9"/>
      <c r="AU1458" s="9"/>
    </row>
    <row r="1459" spans="1:47" ht="15" x14ac:dyDescent="0.25">
      <c r="A1459" s="10"/>
      <c r="O1459" s="11"/>
      <c r="P1459" s="11"/>
      <c r="Q1459" s="11"/>
      <c r="R1459" s="11"/>
      <c r="S1459" s="11"/>
      <c r="T1459" s="11"/>
      <c r="U1459" s="11"/>
      <c r="W1459" s="11"/>
      <c r="Z1459" s="11"/>
      <c r="AB1459" s="11"/>
      <c r="AF1459" s="11"/>
      <c r="AM1459" s="11"/>
      <c r="AT1459" s="9"/>
      <c r="AU1459" s="9"/>
    </row>
    <row r="1460" spans="1:47" ht="15" x14ac:dyDescent="0.25">
      <c r="A1460" s="10"/>
      <c r="O1460" s="11"/>
      <c r="P1460" s="11"/>
      <c r="Q1460" s="11"/>
      <c r="R1460" s="11"/>
      <c r="S1460" s="11"/>
      <c r="T1460" s="11"/>
      <c r="U1460" s="11"/>
      <c r="W1460" s="11"/>
      <c r="Z1460" s="11"/>
      <c r="AB1460" s="11"/>
      <c r="AF1460" s="11"/>
      <c r="AM1460" s="11"/>
      <c r="AT1460" s="9"/>
      <c r="AU1460" s="9"/>
    </row>
    <row r="1461" spans="1:47" ht="15" x14ac:dyDescent="0.25">
      <c r="A1461" s="10"/>
      <c r="O1461" s="11"/>
      <c r="P1461" s="11"/>
      <c r="Q1461" s="11"/>
      <c r="R1461" s="11"/>
      <c r="S1461" s="11"/>
      <c r="T1461" s="11"/>
      <c r="U1461" s="11"/>
      <c r="W1461" s="11"/>
      <c r="Z1461" s="11"/>
      <c r="AB1461" s="11"/>
      <c r="AF1461" s="11"/>
      <c r="AM1461" s="11"/>
      <c r="AT1461" s="9"/>
      <c r="AU1461" s="9"/>
    </row>
    <row r="1462" spans="1:47" ht="15" x14ac:dyDescent="0.25">
      <c r="A1462" s="10"/>
      <c r="O1462" s="11"/>
      <c r="P1462" s="11"/>
      <c r="Q1462" s="11"/>
      <c r="R1462" s="11"/>
      <c r="S1462" s="11"/>
      <c r="T1462" s="11"/>
      <c r="U1462" s="11"/>
      <c r="W1462" s="11"/>
      <c r="Z1462" s="11"/>
      <c r="AB1462" s="11"/>
      <c r="AF1462" s="11"/>
      <c r="AM1462" s="11"/>
      <c r="AT1462" s="9"/>
      <c r="AU1462" s="9"/>
    </row>
    <row r="1463" spans="1:47" ht="15" x14ac:dyDescent="0.25">
      <c r="A1463" s="10"/>
      <c r="O1463" s="11"/>
      <c r="P1463" s="11"/>
      <c r="Q1463" s="11"/>
      <c r="R1463" s="11"/>
      <c r="S1463" s="11"/>
      <c r="T1463" s="11"/>
      <c r="U1463" s="11"/>
      <c r="W1463" s="11"/>
      <c r="Z1463" s="11"/>
      <c r="AB1463" s="11"/>
      <c r="AF1463" s="11"/>
      <c r="AM1463" s="11"/>
      <c r="AT1463" s="9"/>
      <c r="AU1463" s="9"/>
    </row>
    <row r="1464" spans="1:47" ht="15" x14ac:dyDescent="0.25">
      <c r="A1464" s="10"/>
      <c r="O1464" s="11"/>
      <c r="P1464" s="11"/>
      <c r="Q1464" s="11"/>
      <c r="R1464" s="11"/>
      <c r="S1464" s="11"/>
      <c r="T1464" s="11"/>
      <c r="U1464" s="11"/>
      <c r="W1464" s="11"/>
      <c r="Z1464" s="11"/>
      <c r="AB1464" s="11"/>
      <c r="AF1464" s="11"/>
      <c r="AM1464" s="11"/>
      <c r="AT1464" s="9"/>
      <c r="AU1464" s="9"/>
    </row>
    <row r="1465" spans="1:47" ht="15" x14ac:dyDescent="0.25">
      <c r="A1465" s="10"/>
      <c r="O1465" s="11"/>
      <c r="P1465" s="11"/>
      <c r="Q1465" s="11"/>
      <c r="R1465" s="11"/>
      <c r="S1465" s="11"/>
      <c r="T1465" s="11"/>
      <c r="U1465" s="11"/>
      <c r="W1465" s="11"/>
      <c r="Z1465" s="11"/>
      <c r="AB1465" s="11"/>
      <c r="AF1465" s="11"/>
      <c r="AM1465" s="11"/>
      <c r="AT1465" s="9"/>
      <c r="AU1465" s="9"/>
    </row>
    <row r="1466" spans="1:47" ht="15" x14ac:dyDescent="0.25">
      <c r="A1466" s="10"/>
      <c r="O1466" s="11"/>
      <c r="P1466" s="11"/>
      <c r="Q1466" s="11"/>
      <c r="R1466" s="11"/>
      <c r="S1466" s="11"/>
      <c r="T1466" s="11"/>
      <c r="U1466" s="11"/>
      <c r="W1466" s="11"/>
      <c r="Z1466" s="11"/>
      <c r="AB1466" s="11"/>
      <c r="AF1466" s="11"/>
      <c r="AM1466" s="11"/>
      <c r="AT1466" s="9"/>
      <c r="AU1466" s="9"/>
    </row>
    <row r="1467" spans="1:47" ht="15" x14ac:dyDescent="0.25">
      <c r="A1467" s="10"/>
      <c r="O1467" s="11"/>
      <c r="P1467" s="11"/>
      <c r="Q1467" s="11"/>
      <c r="R1467" s="11"/>
      <c r="S1467" s="11"/>
      <c r="T1467" s="11"/>
      <c r="U1467" s="11"/>
      <c r="W1467" s="11"/>
      <c r="Z1467" s="11"/>
      <c r="AB1467" s="11"/>
      <c r="AF1467" s="11"/>
      <c r="AM1467" s="11"/>
      <c r="AT1467" s="9"/>
      <c r="AU1467" s="9"/>
    </row>
    <row r="1468" spans="1:47" ht="15" x14ac:dyDescent="0.25">
      <c r="A1468" s="10"/>
      <c r="O1468" s="11"/>
      <c r="P1468" s="11"/>
      <c r="Q1468" s="11"/>
      <c r="R1468" s="11"/>
      <c r="S1468" s="11"/>
      <c r="T1468" s="11"/>
      <c r="U1468" s="11"/>
      <c r="W1468" s="11"/>
      <c r="Z1468" s="11"/>
      <c r="AB1468" s="11"/>
      <c r="AF1468" s="11"/>
      <c r="AM1468" s="11"/>
      <c r="AT1468" s="9"/>
      <c r="AU1468" s="9"/>
    </row>
    <row r="1469" spans="1:47" ht="15" x14ac:dyDescent="0.25">
      <c r="A1469" s="10"/>
      <c r="O1469" s="11"/>
      <c r="P1469" s="11"/>
      <c r="Q1469" s="11"/>
      <c r="R1469" s="11"/>
      <c r="S1469" s="11"/>
      <c r="T1469" s="11"/>
      <c r="U1469" s="11"/>
      <c r="W1469" s="11"/>
      <c r="Z1469" s="11"/>
      <c r="AB1469" s="11"/>
      <c r="AF1469" s="11"/>
      <c r="AM1469" s="11"/>
      <c r="AT1469" s="9"/>
      <c r="AU1469" s="9"/>
    </row>
    <row r="1470" spans="1:47" ht="15" x14ac:dyDescent="0.25">
      <c r="A1470" s="10"/>
      <c r="O1470" s="11"/>
      <c r="P1470" s="11"/>
      <c r="Q1470" s="11"/>
      <c r="R1470" s="11"/>
      <c r="S1470" s="11"/>
      <c r="T1470" s="11"/>
      <c r="U1470" s="11"/>
      <c r="W1470" s="11"/>
      <c r="Z1470" s="11"/>
      <c r="AB1470" s="11"/>
      <c r="AF1470" s="11"/>
      <c r="AM1470" s="11"/>
      <c r="AT1470" s="9"/>
      <c r="AU1470" s="9"/>
    </row>
    <row r="1471" spans="1:47" ht="15" x14ac:dyDescent="0.25">
      <c r="A1471" s="10"/>
      <c r="O1471" s="11"/>
      <c r="P1471" s="11"/>
      <c r="Q1471" s="11"/>
      <c r="R1471" s="11"/>
      <c r="S1471" s="11"/>
      <c r="T1471" s="11"/>
      <c r="U1471" s="11"/>
      <c r="W1471" s="11"/>
      <c r="Z1471" s="11"/>
      <c r="AB1471" s="11"/>
      <c r="AF1471" s="11"/>
      <c r="AM1471" s="11"/>
      <c r="AT1471" s="9"/>
      <c r="AU1471" s="9"/>
    </row>
    <row r="1472" spans="1:47" ht="15" x14ac:dyDescent="0.25">
      <c r="A1472" s="10"/>
      <c r="O1472" s="11"/>
      <c r="P1472" s="11"/>
      <c r="Q1472" s="11"/>
      <c r="R1472" s="11"/>
      <c r="S1472" s="11"/>
      <c r="T1472" s="11"/>
      <c r="U1472" s="11"/>
      <c r="W1472" s="11"/>
      <c r="Z1472" s="11"/>
      <c r="AB1472" s="11"/>
      <c r="AF1472" s="11"/>
      <c r="AM1472" s="11"/>
      <c r="AT1472" s="9"/>
      <c r="AU1472" s="9"/>
    </row>
    <row r="1473" spans="1:47" ht="15" x14ac:dyDescent="0.25">
      <c r="A1473" s="10"/>
      <c r="O1473" s="11"/>
      <c r="P1473" s="11"/>
      <c r="Q1473" s="11"/>
      <c r="R1473" s="11"/>
      <c r="S1473" s="11"/>
      <c r="T1473" s="11"/>
      <c r="U1473" s="11"/>
      <c r="W1473" s="11"/>
      <c r="Z1473" s="11"/>
      <c r="AB1473" s="11"/>
      <c r="AF1473" s="11"/>
      <c r="AM1473" s="11"/>
      <c r="AT1473" s="9"/>
      <c r="AU1473" s="9"/>
    </row>
    <row r="1474" spans="1:47" ht="15" x14ac:dyDescent="0.25">
      <c r="A1474" s="10"/>
      <c r="O1474" s="11"/>
      <c r="P1474" s="11"/>
      <c r="Q1474" s="11"/>
      <c r="R1474" s="11"/>
      <c r="S1474" s="11"/>
      <c r="T1474" s="11"/>
      <c r="U1474" s="11"/>
      <c r="W1474" s="11"/>
      <c r="Z1474" s="11"/>
      <c r="AB1474" s="11"/>
      <c r="AF1474" s="11"/>
      <c r="AM1474" s="11"/>
      <c r="AT1474" s="9"/>
      <c r="AU1474" s="9"/>
    </row>
    <row r="1475" spans="1:47" ht="15" x14ac:dyDescent="0.25">
      <c r="A1475" s="10"/>
      <c r="O1475" s="11"/>
      <c r="P1475" s="11"/>
      <c r="Q1475" s="11"/>
      <c r="R1475" s="11"/>
      <c r="S1475" s="11"/>
      <c r="T1475" s="11"/>
      <c r="U1475" s="11"/>
      <c r="W1475" s="11"/>
      <c r="Z1475" s="11"/>
      <c r="AB1475" s="11"/>
      <c r="AF1475" s="11"/>
      <c r="AM1475" s="11"/>
      <c r="AT1475" s="9"/>
      <c r="AU1475" s="9"/>
    </row>
    <row r="1476" spans="1:47" ht="15" x14ac:dyDescent="0.25">
      <c r="A1476" s="10"/>
      <c r="O1476" s="11"/>
      <c r="P1476" s="11"/>
      <c r="Q1476" s="11"/>
      <c r="R1476" s="11"/>
      <c r="S1476" s="11"/>
      <c r="T1476" s="11"/>
      <c r="U1476" s="11"/>
      <c r="W1476" s="11"/>
      <c r="Z1476" s="11"/>
      <c r="AB1476" s="11"/>
      <c r="AF1476" s="11"/>
      <c r="AM1476" s="11"/>
      <c r="AT1476" s="9"/>
      <c r="AU1476" s="9"/>
    </row>
    <row r="1477" spans="1:47" ht="15" x14ac:dyDescent="0.25">
      <c r="A1477" s="10"/>
      <c r="O1477" s="11"/>
      <c r="P1477" s="11"/>
      <c r="Q1477" s="11"/>
      <c r="R1477" s="11"/>
      <c r="S1477" s="11"/>
      <c r="T1477" s="11"/>
      <c r="U1477" s="11"/>
      <c r="W1477" s="11"/>
      <c r="Z1477" s="11"/>
      <c r="AB1477" s="11"/>
      <c r="AF1477" s="11"/>
      <c r="AM1477" s="11"/>
      <c r="AT1477" s="9"/>
      <c r="AU1477" s="9"/>
    </row>
    <row r="1478" spans="1:47" ht="15" x14ac:dyDescent="0.25">
      <c r="A1478" s="10"/>
      <c r="O1478" s="11"/>
      <c r="P1478" s="11"/>
      <c r="Q1478" s="11"/>
      <c r="R1478" s="11"/>
      <c r="S1478" s="11"/>
      <c r="T1478" s="11"/>
      <c r="U1478" s="11"/>
      <c r="W1478" s="11"/>
      <c r="Z1478" s="11"/>
      <c r="AB1478" s="11"/>
      <c r="AF1478" s="11"/>
      <c r="AM1478" s="11"/>
      <c r="AT1478" s="9"/>
      <c r="AU1478" s="9"/>
    </row>
    <row r="1479" spans="1:47" ht="15" x14ac:dyDescent="0.25">
      <c r="A1479" s="10"/>
      <c r="O1479" s="11"/>
      <c r="P1479" s="11"/>
      <c r="Q1479" s="11"/>
      <c r="R1479" s="11"/>
      <c r="S1479" s="11"/>
      <c r="T1479" s="11"/>
      <c r="U1479" s="11"/>
      <c r="W1479" s="11"/>
      <c r="Z1479" s="11"/>
      <c r="AB1479" s="11"/>
      <c r="AF1479" s="11"/>
      <c r="AM1479" s="11"/>
      <c r="AT1479" s="9"/>
      <c r="AU1479" s="9"/>
    </row>
    <row r="1480" spans="1:47" ht="15" x14ac:dyDescent="0.25">
      <c r="A1480" s="10"/>
      <c r="O1480" s="11"/>
      <c r="P1480" s="11"/>
      <c r="Q1480" s="11"/>
      <c r="R1480" s="11"/>
      <c r="S1480" s="11"/>
      <c r="T1480" s="11"/>
      <c r="U1480" s="11"/>
      <c r="W1480" s="11"/>
      <c r="Z1480" s="11"/>
      <c r="AB1480" s="11"/>
      <c r="AF1480" s="11"/>
      <c r="AM1480" s="11"/>
      <c r="AT1480" s="9"/>
      <c r="AU1480" s="9"/>
    </row>
    <row r="1481" spans="1:47" ht="15" x14ac:dyDescent="0.25">
      <c r="A1481" s="10"/>
      <c r="O1481" s="11"/>
      <c r="P1481" s="11"/>
      <c r="Q1481" s="11"/>
      <c r="R1481" s="11"/>
      <c r="S1481" s="11"/>
      <c r="T1481" s="11"/>
      <c r="U1481" s="11"/>
      <c r="W1481" s="11"/>
      <c r="Z1481" s="11"/>
      <c r="AB1481" s="11"/>
      <c r="AF1481" s="11"/>
      <c r="AM1481" s="11"/>
      <c r="AT1481" s="9"/>
      <c r="AU1481" s="9"/>
    </row>
    <row r="1482" spans="1:47" ht="15" x14ac:dyDescent="0.25">
      <c r="A1482" s="10"/>
      <c r="O1482" s="11"/>
      <c r="P1482" s="11"/>
      <c r="Q1482" s="11"/>
      <c r="R1482" s="11"/>
      <c r="S1482" s="11"/>
      <c r="T1482" s="11"/>
      <c r="U1482" s="11"/>
      <c r="W1482" s="11"/>
      <c r="Z1482" s="11"/>
      <c r="AB1482" s="11"/>
      <c r="AF1482" s="11"/>
      <c r="AM1482" s="11"/>
      <c r="AT1482" s="9"/>
      <c r="AU1482" s="9"/>
    </row>
    <row r="1483" spans="1:47" ht="15" x14ac:dyDescent="0.25">
      <c r="A1483" s="10"/>
      <c r="O1483" s="11"/>
      <c r="P1483" s="11"/>
      <c r="Q1483" s="11"/>
      <c r="R1483" s="11"/>
      <c r="S1483" s="11"/>
      <c r="T1483" s="11"/>
      <c r="U1483" s="11"/>
      <c r="W1483" s="11"/>
      <c r="Z1483" s="11"/>
      <c r="AB1483" s="11"/>
      <c r="AF1483" s="11"/>
      <c r="AM1483" s="11"/>
      <c r="AT1483" s="9"/>
      <c r="AU1483" s="9"/>
    </row>
    <row r="1484" spans="1:47" ht="15" x14ac:dyDescent="0.25">
      <c r="A1484" s="10"/>
      <c r="O1484" s="11"/>
      <c r="P1484" s="11"/>
      <c r="Q1484" s="11"/>
      <c r="R1484" s="11"/>
      <c r="S1484" s="11"/>
      <c r="T1484" s="11"/>
      <c r="U1484" s="11"/>
      <c r="W1484" s="11"/>
      <c r="Z1484" s="11"/>
      <c r="AB1484" s="11"/>
      <c r="AF1484" s="11"/>
      <c r="AM1484" s="11"/>
      <c r="AT1484" s="9"/>
      <c r="AU1484" s="9"/>
    </row>
    <row r="1485" spans="1:47" ht="15" x14ac:dyDescent="0.25">
      <c r="A1485" s="10"/>
      <c r="O1485" s="11"/>
      <c r="P1485" s="11"/>
      <c r="Q1485" s="11"/>
      <c r="R1485" s="11"/>
      <c r="S1485" s="11"/>
      <c r="T1485" s="11"/>
      <c r="U1485" s="11"/>
      <c r="W1485" s="11"/>
      <c r="Z1485" s="11"/>
      <c r="AB1485" s="11"/>
      <c r="AF1485" s="11"/>
      <c r="AM1485" s="11"/>
      <c r="AT1485" s="9"/>
      <c r="AU1485" s="9"/>
    </row>
    <row r="1486" spans="1:47" ht="15" x14ac:dyDescent="0.25">
      <c r="A1486" s="10"/>
      <c r="O1486" s="11"/>
      <c r="P1486" s="11"/>
      <c r="Q1486" s="11"/>
      <c r="R1486" s="11"/>
      <c r="S1486" s="11"/>
      <c r="T1486" s="11"/>
      <c r="U1486" s="11"/>
      <c r="W1486" s="11"/>
      <c r="Z1486" s="11"/>
      <c r="AB1486" s="11"/>
      <c r="AF1486" s="11"/>
      <c r="AM1486" s="11"/>
      <c r="AT1486" s="9"/>
      <c r="AU1486" s="9"/>
    </row>
    <row r="1487" spans="1:47" ht="15" x14ac:dyDescent="0.25">
      <c r="A1487" s="10"/>
      <c r="O1487" s="11"/>
      <c r="P1487" s="11"/>
      <c r="Q1487" s="11"/>
      <c r="R1487" s="11"/>
      <c r="S1487" s="11"/>
      <c r="T1487" s="11"/>
      <c r="U1487" s="11"/>
      <c r="W1487" s="11"/>
      <c r="Z1487" s="11"/>
      <c r="AB1487" s="11"/>
      <c r="AF1487" s="11"/>
      <c r="AM1487" s="11"/>
      <c r="AT1487" s="9"/>
      <c r="AU1487" s="9"/>
    </row>
    <row r="1488" spans="1:47" ht="15" x14ac:dyDescent="0.25">
      <c r="A1488" s="10"/>
      <c r="O1488" s="11"/>
      <c r="P1488" s="11"/>
      <c r="Q1488" s="11"/>
      <c r="R1488" s="11"/>
      <c r="S1488" s="11"/>
      <c r="T1488" s="11"/>
      <c r="U1488" s="11"/>
      <c r="W1488" s="11"/>
      <c r="Z1488" s="11"/>
      <c r="AB1488" s="11"/>
      <c r="AF1488" s="11"/>
      <c r="AM1488" s="11"/>
      <c r="AT1488" s="9"/>
      <c r="AU1488" s="9"/>
    </row>
    <row r="1489" spans="1:47" ht="15" x14ac:dyDescent="0.25">
      <c r="A1489" s="10"/>
      <c r="O1489" s="11"/>
      <c r="P1489" s="11"/>
      <c r="Q1489" s="11"/>
      <c r="R1489" s="11"/>
      <c r="S1489" s="11"/>
      <c r="T1489" s="11"/>
      <c r="U1489" s="11"/>
      <c r="W1489" s="11"/>
      <c r="Z1489" s="11"/>
      <c r="AB1489" s="11"/>
      <c r="AF1489" s="11"/>
      <c r="AM1489" s="11"/>
      <c r="AT1489" s="9"/>
      <c r="AU1489" s="9"/>
    </row>
    <row r="1490" spans="1:47" ht="15" x14ac:dyDescent="0.25">
      <c r="A1490" s="10"/>
      <c r="O1490" s="11"/>
      <c r="P1490" s="11"/>
      <c r="Q1490" s="11"/>
      <c r="R1490" s="11"/>
      <c r="S1490" s="11"/>
      <c r="T1490" s="11"/>
      <c r="U1490" s="11"/>
      <c r="W1490" s="11"/>
      <c r="Z1490" s="11"/>
      <c r="AB1490" s="11"/>
      <c r="AF1490" s="11"/>
      <c r="AM1490" s="11"/>
      <c r="AT1490" s="9"/>
      <c r="AU1490" s="9"/>
    </row>
    <row r="1491" spans="1:47" ht="15" x14ac:dyDescent="0.25">
      <c r="A1491" s="10"/>
      <c r="O1491" s="11"/>
      <c r="P1491" s="11"/>
      <c r="Q1491" s="11"/>
      <c r="R1491" s="11"/>
      <c r="S1491" s="11"/>
      <c r="T1491" s="11"/>
      <c r="U1491" s="11"/>
      <c r="W1491" s="11"/>
      <c r="Z1491" s="11"/>
      <c r="AB1491" s="11"/>
      <c r="AF1491" s="11"/>
      <c r="AM1491" s="11"/>
      <c r="AT1491" s="9"/>
      <c r="AU1491" s="9"/>
    </row>
    <row r="1492" spans="1:47" ht="15" x14ac:dyDescent="0.25">
      <c r="A1492" s="10"/>
      <c r="O1492" s="11"/>
      <c r="P1492" s="11"/>
      <c r="Q1492" s="11"/>
      <c r="R1492" s="11"/>
      <c r="S1492" s="11"/>
      <c r="T1492" s="11"/>
      <c r="U1492" s="11"/>
      <c r="W1492" s="11"/>
      <c r="Z1492" s="11"/>
      <c r="AB1492" s="11"/>
      <c r="AF1492" s="11"/>
      <c r="AM1492" s="11"/>
      <c r="AT1492" s="9"/>
      <c r="AU1492" s="9"/>
    </row>
    <row r="1493" spans="1:47" ht="15" x14ac:dyDescent="0.25">
      <c r="A1493" s="10"/>
      <c r="O1493" s="11"/>
      <c r="P1493" s="11"/>
      <c r="Q1493" s="11"/>
      <c r="R1493" s="11"/>
      <c r="S1493" s="11"/>
      <c r="T1493" s="11"/>
      <c r="U1493" s="11"/>
      <c r="W1493" s="11"/>
      <c r="Z1493" s="11"/>
      <c r="AB1493" s="11"/>
      <c r="AF1493" s="11"/>
      <c r="AM1493" s="11"/>
      <c r="AT1493" s="9"/>
      <c r="AU1493" s="9"/>
    </row>
    <row r="1494" spans="1:47" ht="15" x14ac:dyDescent="0.25">
      <c r="A1494" s="10"/>
      <c r="O1494" s="11"/>
      <c r="P1494" s="11"/>
      <c r="Q1494" s="11"/>
      <c r="R1494" s="11"/>
      <c r="S1494" s="11"/>
      <c r="T1494" s="11"/>
      <c r="U1494" s="11"/>
      <c r="W1494" s="11"/>
      <c r="Z1494" s="11"/>
      <c r="AB1494" s="11"/>
      <c r="AF1494" s="11"/>
      <c r="AM1494" s="11"/>
      <c r="AT1494" s="9"/>
      <c r="AU1494" s="9"/>
    </row>
    <row r="1495" spans="1:47" ht="15" x14ac:dyDescent="0.25">
      <c r="A1495" s="10"/>
      <c r="O1495" s="11"/>
      <c r="P1495" s="11"/>
      <c r="Q1495" s="11"/>
      <c r="R1495" s="11"/>
      <c r="S1495" s="11"/>
      <c r="T1495" s="11"/>
      <c r="U1495" s="11"/>
      <c r="W1495" s="11"/>
      <c r="Z1495" s="11"/>
      <c r="AB1495" s="11"/>
      <c r="AF1495" s="11"/>
      <c r="AM1495" s="11"/>
      <c r="AT1495" s="9"/>
      <c r="AU1495" s="9"/>
    </row>
    <row r="1496" spans="1:47" ht="15" x14ac:dyDescent="0.25">
      <c r="A1496" s="10"/>
      <c r="O1496" s="11"/>
      <c r="P1496" s="11"/>
      <c r="Q1496" s="11"/>
      <c r="R1496" s="11"/>
      <c r="S1496" s="11"/>
      <c r="T1496" s="11"/>
      <c r="U1496" s="11"/>
      <c r="W1496" s="11"/>
      <c r="Z1496" s="11"/>
      <c r="AB1496" s="11"/>
      <c r="AF1496" s="11"/>
      <c r="AM1496" s="11"/>
      <c r="AT1496" s="9"/>
      <c r="AU1496" s="9"/>
    </row>
    <row r="1497" spans="1:47" ht="15" x14ac:dyDescent="0.25">
      <c r="A1497" s="10"/>
      <c r="O1497" s="11"/>
      <c r="P1497" s="11"/>
      <c r="Q1497" s="11"/>
      <c r="R1497" s="11"/>
      <c r="S1497" s="11"/>
      <c r="T1497" s="11"/>
      <c r="U1497" s="11"/>
      <c r="W1497" s="11"/>
      <c r="Z1497" s="11"/>
      <c r="AB1497" s="11"/>
      <c r="AF1497" s="11"/>
      <c r="AM1497" s="11"/>
      <c r="AT1497" s="9"/>
      <c r="AU1497" s="9"/>
    </row>
    <row r="1498" spans="1:47" ht="15" x14ac:dyDescent="0.25">
      <c r="A1498" s="10"/>
      <c r="O1498" s="11"/>
      <c r="P1498" s="11"/>
      <c r="Q1498" s="11"/>
      <c r="R1498" s="11"/>
      <c r="S1498" s="11"/>
      <c r="T1498" s="11"/>
      <c r="U1498" s="11"/>
      <c r="W1498" s="11"/>
      <c r="Z1498" s="11"/>
      <c r="AB1498" s="11"/>
      <c r="AF1498" s="11"/>
      <c r="AM1498" s="11"/>
      <c r="AT1498" s="9"/>
      <c r="AU1498" s="9"/>
    </row>
    <row r="1499" spans="1:47" ht="15" x14ac:dyDescent="0.25">
      <c r="A1499" s="10"/>
      <c r="O1499" s="11"/>
      <c r="P1499" s="11"/>
      <c r="Q1499" s="11"/>
      <c r="R1499" s="11"/>
      <c r="S1499" s="11"/>
      <c r="T1499" s="11"/>
      <c r="U1499" s="11"/>
      <c r="W1499" s="11"/>
      <c r="Z1499" s="11"/>
      <c r="AB1499" s="11"/>
      <c r="AF1499" s="11"/>
      <c r="AM1499" s="11"/>
      <c r="AT1499" s="9"/>
      <c r="AU1499" s="9"/>
    </row>
    <row r="1500" spans="1:47" ht="15" x14ac:dyDescent="0.25">
      <c r="A1500" s="10"/>
      <c r="O1500" s="11"/>
      <c r="P1500" s="11"/>
      <c r="Q1500" s="11"/>
      <c r="R1500" s="11"/>
      <c r="S1500" s="11"/>
      <c r="T1500" s="11"/>
      <c r="U1500" s="11"/>
      <c r="W1500" s="11"/>
      <c r="Z1500" s="11"/>
      <c r="AB1500" s="11"/>
      <c r="AF1500" s="11"/>
      <c r="AM1500" s="11"/>
      <c r="AT1500" s="9"/>
      <c r="AU1500" s="9"/>
    </row>
    <row r="1501" spans="1:47" ht="15" x14ac:dyDescent="0.25">
      <c r="A1501" s="10"/>
      <c r="O1501" s="11"/>
      <c r="P1501" s="11"/>
      <c r="Q1501" s="11"/>
      <c r="R1501" s="11"/>
      <c r="S1501" s="11"/>
      <c r="T1501" s="11"/>
      <c r="U1501" s="11"/>
      <c r="W1501" s="11"/>
      <c r="Z1501" s="11"/>
      <c r="AB1501" s="11"/>
      <c r="AF1501" s="11"/>
      <c r="AM1501" s="11"/>
      <c r="AT1501" s="9"/>
      <c r="AU1501" s="9"/>
    </row>
    <row r="1502" spans="1:47" ht="15" x14ac:dyDescent="0.25">
      <c r="A1502" s="10"/>
      <c r="O1502" s="11"/>
      <c r="P1502" s="11"/>
      <c r="Q1502" s="11"/>
      <c r="R1502" s="11"/>
      <c r="S1502" s="11"/>
      <c r="T1502" s="11"/>
      <c r="U1502" s="11"/>
      <c r="W1502" s="11"/>
      <c r="Z1502" s="11"/>
      <c r="AB1502" s="11"/>
      <c r="AF1502" s="11"/>
      <c r="AM1502" s="11"/>
      <c r="AT1502" s="9"/>
      <c r="AU1502" s="9"/>
    </row>
    <row r="1503" spans="1:47" ht="15" x14ac:dyDescent="0.25">
      <c r="A1503" s="10"/>
      <c r="O1503" s="11"/>
      <c r="P1503" s="11"/>
      <c r="Q1503" s="11"/>
      <c r="R1503" s="11"/>
      <c r="S1503" s="11"/>
      <c r="T1503" s="11"/>
      <c r="U1503" s="11"/>
      <c r="W1503" s="11"/>
      <c r="Z1503" s="11"/>
      <c r="AB1503" s="11"/>
      <c r="AF1503" s="11"/>
      <c r="AM1503" s="11"/>
      <c r="AT1503" s="9"/>
      <c r="AU1503" s="9"/>
    </row>
    <row r="1504" spans="1:47" ht="15" x14ac:dyDescent="0.25">
      <c r="A1504" s="10"/>
      <c r="O1504" s="11"/>
      <c r="P1504" s="11"/>
      <c r="Q1504" s="11"/>
      <c r="R1504" s="11"/>
      <c r="S1504" s="11"/>
      <c r="T1504" s="11"/>
      <c r="U1504" s="11"/>
      <c r="W1504" s="11"/>
      <c r="Z1504" s="11"/>
      <c r="AB1504" s="11"/>
      <c r="AF1504" s="11"/>
      <c r="AM1504" s="11"/>
      <c r="AT1504" s="9"/>
      <c r="AU1504" s="9"/>
    </row>
    <row r="1505" spans="1:47" ht="15" x14ac:dyDescent="0.25">
      <c r="A1505" s="10"/>
      <c r="O1505" s="11"/>
      <c r="P1505" s="11"/>
      <c r="Q1505" s="11"/>
      <c r="R1505" s="11"/>
      <c r="S1505" s="11"/>
      <c r="T1505" s="11"/>
      <c r="U1505" s="11"/>
      <c r="W1505" s="11"/>
      <c r="Z1505" s="11"/>
      <c r="AB1505" s="11"/>
      <c r="AF1505" s="11"/>
      <c r="AM1505" s="11"/>
      <c r="AT1505" s="9"/>
      <c r="AU1505" s="9"/>
    </row>
    <row r="1506" spans="1:47" ht="15" x14ac:dyDescent="0.25">
      <c r="A1506" s="10"/>
      <c r="O1506" s="11"/>
      <c r="P1506" s="11"/>
      <c r="Q1506" s="11"/>
      <c r="R1506" s="11"/>
      <c r="S1506" s="11"/>
      <c r="T1506" s="11"/>
      <c r="U1506" s="11"/>
      <c r="W1506" s="11"/>
      <c r="Z1506" s="11"/>
      <c r="AB1506" s="11"/>
      <c r="AF1506" s="11"/>
      <c r="AM1506" s="11"/>
      <c r="AT1506" s="9"/>
      <c r="AU1506" s="9"/>
    </row>
    <row r="1507" spans="1:47" ht="15" x14ac:dyDescent="0.25">
      <c r="A1507" s="10"/>
      <c r="O1507" s="11"/>
      <c r="P1507" s="11"/>
      <c r="Q1507" s="11"/>
      <c r="R1507" s="11"/>
      <c r="S1507" s="11"/>
      <c r="T1507" s="11"/>
      <c r="U1507" s="11"/>
      <c r="W1507" s="11"/>
      <c r="Z1507" s="11"/>
      <c r="AB1507" s="11"/>
      <c r="AF1507" s="11"/>
      <c r="AM1507" s="11"/>
      <c r="AT1507" s="9"/>
      <c r="AU1507" s="9"/>
    </row>
    <row r="1508" spans="1:47" ht="15" x14ac:dyDescent="0.25">
      <c r="A1508" s="10"/>
      <c r="O1508" s="11"/>
      <c r="P1508" s="11"/>
      <c r="Q1508" s="11"/>
      <c r="R1508" s="11"/>
      <c r="S1508" s="11"/>
      <c r="T1508" s="11"/>
      <c r="U1508" s="11"/>
      <c r="W1508" s="11"/>
      <c r="Z1508" s="11"/>
      <c r="AB1508" s="11"/>
      <c r="AF1508" s="11"/>
      <c r="AM1508" s="11"/>
      <c r="AT1508" s="9"/>
      <c r="AU1508" s="9"/>
    </row>
    <row r="1509" spans="1:47" ht="15" x14ac:dyDescent="0.25">
      <c r="A1509" s="10"/>
      <c r="O1509" s="11"/>
      <c r="P1509" s="11"/>
      <c r="Q1509" s="11"/>
      <c r="R1509" s="11"/>
      <c r="S1509" s="11"/>
      <c r="T1509" s="11"/>
      <c r="U1509" s="11"/>
      <c r="W1509" s="11"/>
      <c r="Z1509" s="11"/>
      <c r="AB1509" s="11"/>
      <c r="AF1509" s="11"/>
      <c r="AM1509" s="11"/>
      <c r="AT1509" s="9"/>
      <c r="AU1509" s="9"/>
    </row>
    <row r="1510" spans="1:47" ht="15" x14ac:dyDescent="0.25">
      <c r="A1510" s="10"/>
      <c r="O1510" s="11"/>
      <c r="P1510" s="11"/>
      <c r="Q1510" s="11"/>
      <c r="R1510" s="11"/>
      <c r="S1510" s="11"/>
      <c r="T1510" s="11"/>
      <c r="U1510" s="11"/>
      <c r="W1510" s="11"/>
      <c r="Z1510" s="11"/>
      <c r="AB1510" s="11"/>
      <c r="AF1510" s="11"/>
      <c r="AM1510" s="11"/>
      <c r="AT1510" s="9"/>
      <c r="AU1510" s="9"/>
    </row>
    <row r="1511" spans="1:47" ht="15" x14ac:dyDescent="0.25">
      <c r="A1511" s="10"/>
      <c r="O1511" s="11"/>
      <c r="P1511" s="11"/>
      <c r="Q1511" s="11"/>
      <c r="R1511" s="11"/>
      <c r="S1511" s="11"/>
      <c r="T1511" s="11"/>
      <c r="U1511" s="11"/>
      <c r="W1511" s="11"/>
      <c r="Z1511" s="11"/>
      <c r="AB1511" s="11"/>
      <c r="AF1511" s="11"/>
      <c r="AM1511" s="11"/>
      <c r="AT1511" s="9"/>
      <c r="AU1511" s="9"/>
    </row>
    <row r="1512" spans="1:47" ht="15" x14ac:dyDescent="0.25">
      <c r="A1512" s="10"/>
      <c r="O1512" s="11"/>
      <c r="P1512" s="11"/>
      <c r="Q1512" s="11"/>
      <c r="R1512" s="11"/>
      <c r="S1512" s="11"/>
      <c r="T1512" s="11"/>
      <c r="U1512" s="11"/>
      <c r="W1512" s="11"/>
      <c r="Z1512" s="11"/>
      <c r="AB1512" s="11"/>
      <c r="AF1512" s="11"/>
      <c r="AM1512" s="11"/>
      <c r="AT1512" s="9"/>
      <c r="AU1512" s="9"/>
    </row>
    <row r="1513" spans="1:47" ht="15" x14ac:dyDescent="0.25">
      <c r="A1513" s="10"/>
      <c r="O1513" s="11"/>
      <c r="P1513" s="11"/>
      <c r="Q1513" s="11"/>
      <c r="R1513" s="11"/>
      <c r="S1513" s="11"/>
      <c r="T1513" s="11"/>
      <c r="U1513" s="11"/>
      <c r="W1513" s="11"/>
      <c r="Z1513" s="11"/>
      <c r="AB1513" s="11"/>
      <c r="AF1513" s="11"/>
      <c r="AM1513" s="11"/>
      <c r="AT1513" s="9"/>
      <c r="AU1513" s="9"/>
    </row>
    <row r="1514" spans="1:47" ht="15" x14ac:dyDescent="0.25">
      <c r="A1514" s="10"/>
      <c r="O1514" s="11"/>
      <c r="P1514" s="11"/>
      <c r="Q1514" s="11"/>
      <c r="R1514" s="11"/>
      <c r="S1514" s="11"/>
      <c r="T1514" s="11"/>
      <c r="U1514" s="11"/>
      <c r="W1514" s="11"/>
      <c r="Z1514" s="11"/>
      <c r="AB1514" s="11"/>
      <c r="AF1514" s="11"/>
      <c r="AM1514" s="11"/>
      <c r="AT1514" s="9"/>
      <c r="AU1514" s="9"/>
    </row>
    <row r="1515" spans="1:47" ht="15" x14ac:dyDescent="0.25">
      <c r="A1515" s="10"/>
      <c r="O1515" s="11"/>
      <c r="P1515" s="11"/>
      <c r="Q1515" s="11"/>
      <c r="R1515" s="11"/>
      <c r="S1515" s="11"/>
      <c r="T1515" s="11"/>
      <c r="U1515" s="11"/>
      <c r="W1515" s="11"/>
      <c r="Z1515" s="11"/>
      <c r="AB1515" s="11"/>
      <c r="AF1515" s="11"/>
      <c r="AM1515" s="11"/>
      <c r="AT1515" s="9"/>
      <c r="AU1515" s="9"/>
    </row>
    <row r="1516" spans="1:47" ht="15" x14ac:dyDescent="0.25">
      <c r="A1516" s="10"/>
      <c r="O1516" s="11"/>
      <c r="P1516" s="11"/>
      <c r="Q1516" s="11"/>
      <c r="R1516" s="11"/>
      <c r="S1516" s="11"/>
      <c r="T1516" s="11"/>
      <c r="U1516" s="11"/>
      <c r="W1516" s="11"/>
      <c r="Z1516" s="11"/>
      <c r="AB1516" s="11"/>
      <c r="AF1516" s="11"/>
      <c r="AM1516" s="11"/>
      <c r="AT1516" s="9"/>
      <c r="AU1516" s="9"/>
    </row>
    <row r="1517" spans="1:47" ht="15" x14ac:dyDescent="0.25">
      <c r="A1517" s="10"/>
      <c r="O1517" s="11"/>
      <c r="P1517" s="11"/>
      <c r="Q1517" s="11"/>
      <c r="R1517" s="11"/>
      <c r="S1517" s="11"/>
      <c r="T1517" s="11"/>
      <c r="U1517" s="11"/>
      <c r="W1517" s="11"/>
      <c r="Z1517" s="11"/>
      <c r="AB1517" s="11"/>
      <c r="AF1517" s="11"/>
      <c r="AM1517" s="11"/>
      <c r="AT1517" s="9"/>
      <c r="AU1517" s="9"/>
    </row>
    <row r="1518" spans="1:47" ht="15" x14ac:dyDescent="0.25">
      <c r="A1518" s="10"/>
      <c r="O1518" s="11"/>
      <c r="P1518" s="11"/>
      <c r="Q1518" s="11"/>
      <c r="R1518" s="11"/>
      <c r="S1518" s="11"/>
      <c r="T1518" s="11"/>
      <c r="U1518" s="11"/>
      <c r="W1518" s="11"/>
      <c r="Z1518" s="11"/>
      <c r="AB1518" s="11"/>
      <c r="AF1518" s="11"/>
      <c r="AM1518" s="11"/>
      <c r="AT1518" s="9"/>
      <c r="AU1518" s="9"/>
    </row>
    <row r="1519" spans="1:47" ht="15" x14ac:dyDescent="0.25">
      <c r="A1519" s="10"/>
      <c r="O1519" s="11"/>
      <c r="P1519" s="11"/>
      <c r="Q1519" s="11"/>
      <c r="R1519" s="11"/>
      <c r="S1519" s="11"/>
      <c r="T1519" s="11"/>
      <c r="U1519" s="11"/>
      <c r="W1519" s="11"/>
      <c r="Z1519" s="11"/>
      <c r="AB1519" s="11"/>
      <c r="AF1519" s="11"/>
      <c r="AM1519" s="11"/>
      <c r="AT1519" s="9"/>
      <c r="AU1519" s="9"/>
    </row>
    <row r="1520" spans="1:47" ht="15" x14ac:dyDescent="0.25">
      <c r="A1520" s="10"/>
      <c r="O1520" s="11"/>
      <c r="P1520" s="11"/>
      <c r="Q1520" s="11"/>
      <c r="R1520" s="11"/>
      <c r="S1520" s="11"/>
      <c r="T1520" s="11"/>
      <c r="U1520" s="11"/>
      <c r="W1520" s="11"/>
      <c r="Z1520" s="11"/>
      <c r="AB1520" s="11"/>
      <c r="AF1520" s="11"/>
      <c r="AM1520" s="11"/>
      <c r="AT1520" s="9"/>
      <c r="AU1520" s="9"/>
    </row>
    <row r="1521" spans="1:47" ht="15" x14ac:dyDescent="0.25">
      <c r="A1521" s="10"/>
      <c r="O1521" s="11"/>
      <c r="P1521" s="11"/>
      <c r="Q1521" s="11"/>
      <c r="R1521" s="11"/>
      <c r="S1521" s="11"/>
      <c r="T1521" s="11"/>
      <c r="U1521" s="11"/>
      <c r="W1521" s="11"/>
      <c r="Z1521" s="11"/>
      <c r="AB1521" s="11"/>
      <c r="AF1521" s="11"/>
      <c r="AM1521" s="11"/>
      <c r="AT1521" s="9"/>
      <c r="AU1521" s="9"/>
    </row>
    <row r="1522" spans="1:47" ht="15" x14ac:dyDescent="0.25">
      <c r="A1522" s="10"/>
      <c r="O1522" s="11"/>
      <c r="P1522" s="11"/>
      <c r="Q1522" s="11"/>
      <c r="R1522" s="11"/>
      <c r="S1522" s="11"/>
      <c r="T1522" s="11"/>
      <c r="U1522" s="11"/>
      <c r="W1522" s="11"/>
      <c r="Z1522" s="11"/>
      <c r="AB1522" s="11"/>
      <c r="AF1522" s="11"/>
      <c r="AM1522" s="11"/>
      <c r="AT1522" s="9"/>
      <c r="AU1522" s="9"/>
    </row>
    <row r="1523" spans="1:47" ht="15" x14ac:dyDescent="0.25">
      <c r="A1523" s="10"/>
      <c r="O1523" s="11"/>
      <c r="P1523" s="11"/>
      <c r="Q1523" s="11"/>
      <c r="R1523" s="11"/>
      <c r="S1523" s="11"/>
      <c r="T1523" s="11"/>
      <c r="U1523" s="11"/>
      <c r="W1523" s="11"/>
      <c r="Z1523" s="11"/>
      <c r="AB1523" s="11"/>
      <c r="AF1523" s="11"/>
      <c r="AM1523" s="11"/>
      <c r="AT1523" s="9"/>
      <c r="AU1523" s="9"/>
    </row>
    <row r="1524" spans="1:47" ht="15" x14ac:dyDescent="0.25">
      <c r="A1524" s="10"/>
      <c r="O1524" s="11"/>
      <c r="P1524" s="11"/>
      <c r="Q1524" s="11"/>
      <c r="R1524" s="11"/>
      <c r="S1524" s="11"/>
      <c r="T1524" s="11"/>
      <c r="U1524" s="11"/>
      <c r="W1524" s="11"/>
      <c r="Z1524" s="11"/>
      <c r="AB1524" s="11"/>
      <c r="AF1524" s="11"/>
      <c r="AM1524" s="11"/>
      <c r="AT1524" s="9"/>
      <c r="AU1524" s="9"/>
    </row>
    <row r="1525" spans="1:47" ht="15" x14ac:dyDescent="0.25">
      <c r="A1525" s="10"/>
      <c r="O1525" s="11"/>
      <c r="P1525" s="11"/>
      <c r="Q1525" s="11"/>
      <c r="R1525" s="11"/>
      <c r="S1525" s="11"/>
      <c r="T1525" s="11"/>
      <c r="U1525" s="11"/>
      <c r="W1525" s="11"/>
      <c r="Z1525" s="11"/>
      <c r="AB1525" s="11"/>
      <c r="AF1525" s="11"/>
      <c r="AM1525" s="11"/>
      <c r="AT1525" s="9"/>
      <c r="AU1525" s="9"/>
    </row>
    <row r="1526" spans="1:47" ht="15" x14ac:dyDescent="0.25">
      <c r="A1526" s="10"/>
      <c r="O1526" s="11"/>
      <c r="P1526" s="11"/>
      <c r="Q1526" s="11"/>
      <c r="R1526" s="11"/>
      <c r="S1526" s="11"/>
      <c r="T1526" s="11"/>
      <c r="U1526" s="11"/>
      <c r="W1526" s="11"/>
      <c r="Z1526" s="11"/>
      <c r="AB1526" s="11"/>
      <c r="AF1526" s="11"/>
      <c r="AM1526" s="11"/>
      <c r="AT1526" s="9"/>
      <c r="AU1526" s="9"/>
    </row>
    <row r="1527" spans="1:47" ht="15" x14ac:dyDescent="0.25">
      <c r="A1527" s="10"/>
      <c r="O1527" s="11"/>
      <c r="P1527" s="11"/>
      <c r="Q1527" s="11"/>
      <c r="R1527" s="11"/>
      <c r="S1527" s="11"/>
      <c r="T1527" s="11"/>
      <c r="U1527" s="11"/>
      <c r="W1527" s="11"/>
      <c r="Z1527" s="11"/>
      <c r="AB1527" s="11"/>
      <c r="AF1527" s="11"/>
      <c r="AM1527" s="11"/>
      <c r="AT1527" s="9"/>
      <c r="AU1527" s="9"/>
    </row>
    <row r="1528" spans="1:47" ht="15" x14ac:dyDescent="0.25">
      <c r="A1528" s="10"/>
      <c r="O1528" s="11"/>
      <c r="P1528" s="11"/>
      <c r="Q1528" s="11"/>
      <c r="R1528" s="11"/>
      <c r="S1528" s="11"/>
      <c r="T1528" s="11"/>
      <c r="U1528" s="11"/>
      <c r="W1528" s="11"/>
      <c r="Z1528" s="11"/>
      <c r="AB1528" s="11"/>
      <c r="AF1528" s="11"/>
      <c r="AM1528" s="11"/>
      <c r="AT1528" s="9"/>
      <c r="AU1528" s="9"/>
    </row>
    <row r="1529" spans="1:47" ht="15" x14ac:dyDescent="0.25">
      <c r="A1529" s="10"/>
      <c r="O1529" s="11"/>
      <c r="P1529" s="11"/>
      <c r="Q1529" s="11"/>
      <c r="R1529" s="11"/>
      <c r="S1529" s="11"/>
      <c r="T1529" s="11"/>
      <c r="U1529" s="11"/>
      <c r="W1529" s="11"/>
      <c r="Z1529" s="11"/>
      <c r="AB1529" s="11"/>
      <c r="AF1529" s="11"/>
      <c r="AM1529" s="11"/>
      <c r="AT1529" s="9"/>
      <c r="AU1529" s="9"/>
    </row>
    <row r="1530" spans="1:47" ht="15" x14ac:dyDescent="0.25">
      <c r="A1530" s="10"/>
      <c r="O1530" s="11"/>
      <c r="P1530" s="11"/>
      <c r="Q1530" s="11"/>
      <c r="R1530" s="11"/>
      <c r="S1530" s="11"/>
      <c r="T1530" s="11"/>
      <c r="U1530" s="11"/>
      <c r="W1530" s="11"/>
      <c r="Z1530" s="11"/>
      <c r="AB1530" s="11"/>
      <c r="AF1530" s="11"/>
      <c r="AM1530" s="11"/>
      <c r="AT1530" s="9"/>
      <c r="AU1530" s="9"/>
    </row>
    <row r="1531" spans="1:47" ht="15" x14ac:dyDescent="0.25">
      <c r="A1531" s="10"/>
      <c r="O1531" s="11"/>
      <c r="P1531" s="11"/>
      <c r="Q1531" s="11"/>
      <c r="R1531" s="11"/>
      <c r="S1531" s="11"/>
      <c r="T1531" s="11"/>
      <c r="U1531" s="11"/>
      <c r="W1531" s="11"/>
      <c r="Z1531" s="11"/>
      <c r="AB1531" s="11"/>
      <c r="AF1531" s="11"/>
      <c r="AM1531" s="11"/>
      <c r="AT1531" s="9"/>
      <c r="AU1531" s="9"/>
    </row>
    <row r="1532" spans="1:47" ht="15" x14ac:dyDescent="0.25">
      <c r="A1532" s="10"/>
      <c r="O1532" s="11"/>
      <c r="P1532" s="11"/>
      <c r="Q1532" s="11"/>
      <c r="R1532" s="11"/>
      <c r="S1532" s="11"/>
      <c r="T1532" s="11"/>
      <c r="U1532" s="11"/>
      <c r="W1532" s="11"/>
      <c r="Z1532" s="11"/>
      <c r="AB1532" s="11"/>
      <c r="AF1532" s="11"/>
      <c r="AM1532" s="11"/>
      <c r="AT1532" s="9"/>
      <c r="AU1532" s="9"/>
    </row>
    <row r="1533" spans="1:47" ht="15" x14ac:dyDescent="0.25">
      <c r="A1533" s="10"/>
      <c r="O1533" s="11"/>
      <c r="P1533" s="11"/>
      <c r="Q1533" s="11"/>
      <c r="R1533" s="11"/>
      <c r="S1533" s="11"/>
      <c r="T1533" s="11"/>
      <c r="U1533" s="11"/>
      <c r="W1533" s="11"/>
      <c r="Z1533" s="11"/>
      <c r="AB1533" s="11"/>
      <c r="AF1533" s="11"/>
      <c r="AM1533" s="11"/>
      <c r="AT1533" s="9"/>
      <c r="AU1533" s="9"/>
    </row>
    <row r="1534" spans="1:47" ht="15" x14ac:dyDescent="0.25">
      <c r="A1534" s="10"/>
      <c r="O1534" s="11"/>
      <c r="P1534" s="11"/>
      <c r="Q1534" s="11"/>
      <c r="R1534" s="11"/>
      <c r="S1534" s="11"/>
      <c r="T1534" s="11"/>
      <c r="U1534" s="11"/>
      <c r="W1534" s="11"/>
      <c r="Z1534" s="11"/>
      <c r="AB1534" s="11"/>
      <c r="AF1534" s="11"/>
      <c r="AM1534" s="11"/>
      <c r="AT1534" s="9"/>
      <c r="AU1534" s="9"/>
    </row>
    <row r="1535" spans="1:47" ht="15" x14ac:dyDescent="0.25">
      <c r="A1535" s="10"/>
      <c r="O1535" s="11"/>
      <c r="P1535" s="11"/>
      <c r="Q1535" s="11"/>
      <c r="R1535" s="11"/>
      <c r="S1535" s="11"/>
      <c r="T1535" s="11"/>
      <c r="U1535" s="11"/>
      <c r="W1535" s="11"/>
      <c r="Z1535" s="11"/>
      <c r="AB1535" s="11"/>
      <c r="AF1535" s="11"/>
      <c r="AM1535" s="11"/>
      <c r="AT1535" s="9"/>
      <c r="AU1535" s="9"/>
    </row>
    <row r="1536" spans="1:47" ht="15" x14ac:dyDescent="0.25">
      <c r="A1536" s="10"/>
      <c r="O1536" s="11"/>
      <c r="P1536" s="11"/>
      <c r="Q1536" s="11"/>
      <c r="R1536" s="11"/>
      <c r="S1536" s="11"/>
      <c r="T1536" s="11"/>
      <c r="U1536" s="11"/>
      <c r="W1536" s="11"/>
      <c r="Z1536" s="11"/>
      <c r="AB1536" s="11"/>
      <c r="AF1536" s="11"/>
      <c r="AM1536" s="11"/>
      <c r="AT1536" s="9"/>
      <c r="AU1536" s="9"/>
    </row>
    <row r="1537" spans="1:47" ht="15" x14ac:dyDescent="0.25">
      <c r="A1537" s="10"/>
      <c r="O1537" s="11"/>
      <c r="P1537" s="11"/>
      <c r="Q1537" s="11"/>
      <c r="R1537" s="11"/>
      <c r="S1537" s="11"/>
      <c r="T1537" s="11"/>
      <c r="U1537" s="11"/>
      <c r="W1537" s="11"/>
      <c r="Z1537" s="11"/>
      <c r="AB1537" s="11"/>
      <c r="AF1537" s="11"/>
      <c r="AM1537" s="11"/>
      <c r="AT1537" s="9"/>
      <c r="AU1537" s="9"/>
    </row>
    <row r="1538" spans="1:47" ht="15" x14ac:dyDescent="0.25">
      <c r="A1538" s="10"/>
      <c r="O1538" s="11"/>
      <c r="P1538" s="11"/>
      <c r="Q1538" s="11"/>
      <c r="R1538" s="11"/>
      <c r="S1538" s="11"/>
      <c r="T1538" s="11"/>
      <c r="U1538" s="11"/>
      <c r="W1538" s="11"/>
      <c r="Z1538" s="11"/>
      <c r="AB1538" s="11"/>
      <c r="AF1538" s="11"/>
      <c r="AM1538" s="11"/>
      <c r="AT1538" s="9"/>
      <c r="AU1538" s="9"/>
    </row>
    <row r="1539" spans="1:47" ht="15" x14ac:dyDescent="0.25">
      <c r="A1539" s="10"/>
      <c r="O1539" s="11"/>
      <c r="P1539" s="11"/>
      <c r="Q1539" s="11"/>
      <c r="R1539" s="11"/>
      <c r="S1539" s="11"/>
      <c r="T1539" s="11"/>
      <c r="U1539" s="11"/>
      <c r="W1539" s="11"/>
      <c r="Z1539" s="11"/>
      <c r="AB1539" s="11"/>
      <c r="AF1539" s="11"/>
      <c r="AM1539" s="11"/>
      <c r="AT1539" s="9"/>
      <c r="AU1539" s="9"/>
    </row>
    <row r="1540" spans="1:47" ht="15" x14ac:dyDescent="0.25">
      <c r="A1540" s="10"/>
      <c r="O1540" s="11"/>
      <c r="P1540" s="11"/>
      <c r="Q1540" s="11"/>
      <c r="R1540" s="11"/>
      <c r="S1540" s="11"/>
      <c r="T1540" s="11"/>
      <c r="U1540" s="11"/>
      <c r="W1540" s="11"/>
      <c r="Z1540" s="11"/>
      <c r="AB1540" s="11"/>
      <c r="AF1540" s="11"/>
      <c r="AM1540" s="11"/>
      <c r="AT1540" s="9"/>
      <c r="AU1540" s="9"/>
    </row>
    <row r="1541" spans="1:47" ht="15" x14ac:dyDescent="0.25">
      <c r="A1541" s="10"/>
      <c r="O1541" s="11"/>
      <c r="P1541" s="11"/>
      <c r="Q1541" s="11"/>
      <c r="R1541" s="11"/>
      <c r="S1541" s="11"/>
      <c r="T1541" s="11"/>
      <c r="U1541" s="11"/>
      <c r="W1541" s="11"/>
      <c r="Z1541" s="11"/>
      <c r="AB1541" s="11"/>
      <c r="AF1541" s="11"/>
      <c r="AM1541" s="11"/>
      <c r="AT1541" s="9"/>
      <c r="AU1541" s="9"/>
    </row>
    <row r="1542" spans="1:47" ht="15" x14ac:dyDescent="0.25">
      <c r="A1542" s="10"/>
      <c r="O1542" s="11"/>
      <c r="P1542" s="11"/>
      <c r="Q1542" s="11"/>
      <c r="R1542" s="11"/>
      <c r="S1542" s="11"/>
      <c r="T1542" s="11"/>
      <c r="U1542" s="11"/>
      <c r="W1542" s="11"/>
      <c r="Z1542" s="11"/>
      <c r="AB1542" s="11"/>
      <c r="AF1542" s="11"/>
      <c r="AM1542" s="11"/>
      <c r="AT1542" s="9"/>
      <c r="AU1542" s="9"/>
    </row>
    <row r="1543" spans="1:47" ht="15" x14ac:dyDescent="0.25">
      <c r="A1543" s="10"/>
      <c r="O1543" s="11"/>
      <c r="P1543" s="11"/>
      <c r="Q1543" s="11"/>
      <c r="R1543" s="11"/>
      <c r="S1543" s="11"/>
      <c r="T1543" s="11"/>
      <c r="U1543" s="11"/>
      <c r="W1543" s="11"/>
      <c r="Z1543" s="11"/>
      <c r="AB1543" s="11"/>
      <c r="AF1543" s="11"/>
      <c r="AM1543" s="11"/>
      <c r="AT1543" s="9"/>
      <c r="AU1543" s="9"/>
    </row>
    <row r="1544" spans="1:47" ht="15" x14ac:dyDescent="0.25">
      <c r="A1544" s="10"/>
      <c r="O1544" s="11"/>
      <c r="P1544" s="11"/>
      <c r="Q1544" s="11"/>
      <c r="R1544" s="11"/>
      <c r="S1544" s="11"/>
      <c r="T1544" s="11"/>
      <c r="U1544" s="11"/>
      <c r="W1544" s="11"/>
      <c r="Z1544" s="11"/>
      <c r="AB1544" s="11"/>
      <c r="AF1544" s="11"/>
      <c r="AM1544" s="11"/>
      <c r="AT1544" s="9"/>
      <c r="AU1544" s="9"/>
    </row>
    <row r="1545" spans="1:47" ht="15" x14ac:dyDescent="0.25">
      <c r="A1545" s="10"/>
      <c r="O1545" s="11"/>
      <c r="P1545" s="11"/>
      <c r="Q1545" s="11"/>
      <c r="R1545" s="11"/>
      <c r="S1545" s="11"/>
      <c r="T1545" s="11"/>
      <c r="U1545" s="11"/>
      <c r="W1545" s="11"/>
      <c r="Z1545" s="11"/>
      <c r="AB1545" s="11"/>
      <c r="AF1545" s="11"/>
      <c r="AM1545" s="11"/>
      <c r="AT1545" s="9"/>
      <c r="AU1545" s="9"/>
    </row>
    <row r="1546" spans="1:47" ht="15" x14ac:dyDescent="0.25">
      <c r="A1546" s="10"/>
      <c r="O1546" s="11"/>
      <c r="P1546" s="11"/>
      <c r="Q1546" s="11"/>
      <c r="R1546" s="11"/>
      <c r="S1546" s="11"/>
      <c r="T1546" s="11"/>
      <c r="U1546" s="11"/>
      <c r="W1546" s="11"/>
      <c r="Z1546" s="11"/>
      <c r="AB1546" s="11"/>
      <c r="AF1546" s="11"/>
      <c r="AM1546" s="11"/>
      <c r="AT1546" s="9"/>
      <c r="AU1546" s="9"/>
    </row>
    <row r="1547" spans="1:47" ht="15" x14ac:dyDescent="0.25">
      <c r="A1547" s="10"/>
      <c r="O1547" s="11"/>
      <c r="P1547" s="11"/>
      <c r="Q1547" s="11"/>
      <c r="R1547" s="11"/>
      <c r="S1547" s="11"/>
      <c r="T1547" s="11"/>
      <c r="U1547" s="11"/>
      <c r="W1547" s="11"/>
      <c r="Z1547" s="11"/>
      <c r="AB1547" s="11"/>
      <c r="AF1547" s="11"/>
      <c r="AM1547" s="11"/>
      <c r="AT1547" s="9"/>
      <c r="AU1547" s="9"/>
    </row>
    <row r="1548" spans="1:47" ht="15" x14ac:dyDescent="0.25">
      <c r="A1548" s="10"/>
      <c r="O1548" s="11"/>
      <c r="P1548" s="11"/>
      <c r="Q1548" s="11"/>
      <c r="R1548" s="11"/>
      <c r="S1548" s="11"/>
      <c r="T1548" s="11"/>
      <c r="U1548" s="11"/>
      <c r="W1548" s="11"/>
      <c r="Z1548" s="11"/>
      <c r="AB1548" s="11"/>
      <c r="AF1548" s="11"/>
      <c r="AM1548" s="11"/>
      <c r="AT1548" s="9"/>
      <c r="AU1548" s="9"/>
    </row>
    <row r="1549" spans="1:47" ht="15" x14ac:dyDescent="0.25">
      <c r="A1549" s="10"/>
      <c r="O1549" s="11"/>
      <c r="P1549" s="11"/>
      <c r="Q1549" s="11"/>
      <c r="R1549" s="11"/>
      <c r="S1549" s="11"/>
      <c r="T1549" s="11"/>
      <c r="U1549" s="11"/>
      <c r="W1549" s="11"/>
      <c r="Z1549" s="11"/>
      <c r="AB1549" s="11"/>
      <c r="AF1549" s="11"/>
      <c r="AM1549" s="11"/>
      <c r="AT1549" s="9"/>
      <c r="AU1549" s="9"/>
    </row>
    <row r="1550" spans="1:47" ht="15" x14ac:dyDescent="0.25">
      <c r="A1550" s="10"/>
      <c r="O1550" s="11"/>
      <c r="P1550" s="11"/>
      <c r="Q1550" s="11"/>
      <c r="R1550" s="11"/>
      <c r="S1550" s="11"/>
      <c r="T1550" s="11"/>
      <c r="U1550" s="11"/>
      <c r="W1550" s="11"/>
      <c r="Z1550" s="11"/>
      <c r="AB1550" s="11"/>
      <c r="AF1550" s="11"/>
      <c r="AM1550" s="11"/>
      <c r="AT1550" s="9"/>
      <c r="AU1550" s="9"/>
    </row>
    <row r="1551" spans="1:47" ht="15" x14ac:dyDescent="0.25">
      <c r="A1551" s="10"/>
      <c r="O1551" s="11"/>
      <c r="P1551" s="11"/>
      <c r="Q1551" s="11"/>
      <c r="R1551" s="11"/>
      <c r="S1551" s="11"/>
      <c r="T1551" s="11"/>
      <c r="U1551" s="11"/>
      <c r="W1551" s="11"/>
      <c r="Z1551" s="11"/>
      <c r="AB1551" s="11"/>
      <c r="AF1551" s="11"/>
      <c r="AM1551" s="11"/>
      <c r="AT1551" s="9"/>
      <c r="AU1551" s="9"/>
    </row>
    <row r="1552" spans="1:47" ht="15" x14ac:dyDescent="0.25">
      <c r="A1552" s="10"/>
      <c r="O1552" s="11"/>
      <c r="P1552" s="11"/>
      <c r="Q1552" s="11"/>
      <c r="R1552" s="11"/>
      <c r="S1552" s="11"/>
      <c r="T1552" s="11"/>
      <c r="U1552" s="11"/>
      <c r="W1552" s="11"/>
      <c r="Z1552" s="11"/>
      <c r="AB1552" s="11"/>
      <c r="AF1552" s="11"/>
      <c r="AM1552" s="11"/>
      <c r="AT1552" s="9"/>
      <c r="AU1552" s="9"/>
    </row>
    <row r="1553" spans="1:47" ht="15" x14ac:dyDescent="0.25">
      <c r="A1553" s="10"/>
      <c r="B1553" s="10"/>
      <c r="N1553" s="10"/>
      <c r="O1553" s="11"/>
      <c r="P1553" s="11"/>
      <c r="Q1553" s="11"/>
      <c r="R1553" s="11"/>
      <c r="S1553" s="11"/>
      <c r="T1553" s="11"/>
      <c r="U1553" s="11"/>
      <c r="W1553" s="11"/>
      <c r="Z1553" s="11"/>
      <c r="AB1553" s="11"/>
      <c r="AF1553" s="11"/>
      <c r="AM1553" s="11"/>
      <c r="AT1553" s="9"/>
      <c r="AU1553" s="9"/>
    </row>
    <row r="1554" spans="1:47" ht="15" x14ac:dyDescent="0.25">
      <c r="A1554" s="10"/>
      <c r="B1554" s="10"/>
      <c r="H1554" s="10"/>
      <c r="I1554" s="10"/>
      <c r="J1554" s="10"/>
      <c r="K1554" s="10"/>
      <c r="L1554" s="10"/>
      <c r="M1554" s="10"/>
      <c r="N1554" s="10"/>
      <c r="O1554" s="11"/>
      <c r="P1554" s="11"/>
      <c r="Q1554" s="11"/>
      <c r="R1554" s="11"/>
      <c r="S1554" s="11"/>
      <c r="T1554" s="11"/>
      <c r="U1554" s="11"/>
      <c r="W1554" s="11"/>
      <c r="Z1554" s="11"/>
      <c r="AB1554" s="11"/>
      <c r="AF1554" s="11"/>
      <c r="AM1554" s="11"/>
      <c r="AT1554" s="9"/>
      <c r="AU1554" s="9"/>
    </row>
    <row r="1555" spans="1:47" ht="15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1"/>
      <c r="P1555" s="11"/>
      <c r="Q1555" s="11"/>
      <c r="R1555" s="11"/>
      <c r="S1555" s="11"/>
      <c r="T1555" s="11"/>
      <c r="U1555" s="11"/>
      <c r="W1555" s="11"/>
      <c r="Z1555" s="11"/>
      <c r="AB1555" s="11"/>
      <c r="AF1555" s="11"/>
      <c r="AM1555" s="11"/>
      <c r="AT1555" s="9"/>
      <c r="AU1555" s="9"/>
    </row>
    <row r="1556" spans="1:47" ht="15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1"/>
      <c r="P1556" s="11"/>
      <c r="Q1556" s="11"/>
      <c r="R1556" s="11"/>
      <c r="S1556" s="11"/>
      <c r="T1556" s="11"/>
      <c r="U1556" s="11"/>
      <c r="W1556" s="11"/>
      <c r="Z1556" s="11"/>
      <c r="AB1556" s="11"/>
      <c r="AF1556" s="11"/>
      <c r="AM1556" s="11"/>
      <c r="AT1556" s="9"/>
      <c r="AU1556" s="9"/>
    </row>
    <row r="1557" spans="1:47" ht="15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1"/>
      <c r="P1557" s="11"/>
      <c r="Q1557" s="11"/>
      <c r="R1557" s="11"/>
      <c r="S1557" s="11"/>
      <c r="T1557" s="11"/>
      <c r="U1557" s="11"/>
      <c r="W1557" s="11"/>
      <c r="Z1557" s="11"/>
      <c r="AB1557" s="11"/>
      <c r="AF1557" s="11"/>
      <c r="AM1557" s="11"/>
      <c r="AT1557" s="9"/>
      <c r="AU1557" s="9"/>
    </row>
    <row r="1558" spans="1:47" ht="15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1"/>
      <c r="P1558" s="11"/>
      <c r="Q1558" s="11"/>
      <c r="R1558" s="11"/>
      <c r="S1558" s="11"/>
      <c r="T1558" s="11"/>
      <c r="U1558" s="11"/>
      <c r="W1558" s="11"/>
      <c r="Z1558" s="11"/>
      <c r="AB1558" s="11"/>
      <c r="AF1558" s="11"/>
      <c r="AM1558" s="11"/>
      <c r="AT1558" s="9"/>
      <c r="AU1558" s="9"/>
    </row>
    <row r="1559" spans="1:47" ht="15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1"/>
      <c r="P1559" s="11"/>
      <c r="Q1559" s="11"/>
      <c r="R1559" s="11"/>
      <c r="S1559" s="11"/>
      <c r="T1559" s="11"/>
      <c r="U1559" s="11"/>
      <c r="W1559" s="11"/>
      <c r="Z1559" s="11"/>
      <c r="AB1559" s="11"/>
      <c r="AF1559" s="11"/>
      <c r="AM1559" s="11"/>
      <c r="AT1559" s="9"/>
      <c r="AU1559" s="9"/>
    </row>
    <row r="1560" spans="1:47" ht="15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1"/>
      <c r="P1560" s="11"/>
      <c r="Q1560" s="11"/>
      <c r="R1560" s="11"/>
      <c r="S1560" s="11"/>
      <c r="T1560" s="11"/>
      <c r="U1560" s="11"/>
      <c r="W1560" s="11"/>
      <c r="Z1560" s="11"/>
      <c r="AB1560" s="11"/>
      <c r="AF1560" s="11"/>
      <c r="AM1560" s="11"/>
      <c r="AT1560" s="9"/>
      <c r="AU1560" s="9"/>
    </row>
    <row r="1561" spans="1:47" ht="15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1"/>
      <c r="P1561" s="11"/>
      <c r="Q1561" s="11"/>
      <c r="R1561" s="11"/>
      <c r="S1561" s="11"/>
      <c r="T1561" s="11"/>
      <c r="U1561" s="11"/>
      <c r="W1561" s="11"/>
      <c r="Z1561" s="11"/>
      <c r="AB1561" s="11"/>
      <c r="AF1561" s="11"/>
      <c r="AM1561" s="11"/>
      <c r="AT1561" s="9"/>
      <c r="AU1561" s="9"/>
    </row>
    <row r="1562" spans="1:47" ht="15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1"/>
      <c r="P1562" s="11"/>
      <c r="Q1562" s="11"/>
      <c r="R1562" s="11"/>
      <c r="S1562" s="11"/>
      <c r="T1562" s="11"/>
      <c r="U1562" s="11"/>
      <c r="W1562" s="11"/>
      <c r="Z1562" s="11"/>
      <c r="AB1562" s="11"/>
      <c r="AF1562" s="11"/>
      <c r="AM1562" s="11"/>
      <c r="AT1562" s="9"/>
      <c r="AU1562" s="9"/>
    </row>
    <row r="1563" spans="1:47" ht="15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1"/>
      <c r="P1563" s="11"/>
      <c r="Q1563" s="11"/>
      <c r="R1563" s="11"/>
      <c r="S1563" s="11"/>
      <c r="T1563" s="11"/>
      <c r="U1563" s="11"/>
      <c r="W1563" s="11"/>
      <c r="Z1563" s="11"/>
      <c r="AB1563" s="11"/>
      <c r="AF1563" s="11"/>
      <c r="AM1563" s="11"/>
      <c r="AT1563" s="9"/>
      <c r="AU1563" s="9"/>
    </row>
    <row r="1564" spans="1:47" ht="15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1"/>
      <c r="P1564" s="11"/>
      <c r="Q1564" s="11"/>
      <c r="R1564" s="11"/>
      <c r="S1564" s="11"/>
      <c r="T1564" s="11"/>
      <c r="U1564" s="11"/>
      <c r="W1564" s="11"/>
      <c r="Z1564" s="11"/>
      <c r="AB1564" s="11"/>
      <c r="AF1564" s="11"/>
      <c r="AM1564" s="11"/>
      <c r="AT1564" s="9"/>
      <c r="AU1564" s="9"/>
    </row>
    <row r="1565" spans="1:47" ht="15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1"/>
      <c r="P1565" s="11"/>
      <c r="Q1565" s="11"/>
      <c r="R1565" s="11"/>
      <c r="S1565" s="11"/>
      <c r="T1565" s="11"/>
      <c r="U1565" s="11"/>
      <c r="W1565" s="11"/>
      <c r="Z1565" s="11"/>
      <c r="AB1565" s="11"/>
      <c r="AF1565" s="11"/>
      <c r="AM1565" s="11"/>
      <c r="AT1565" s="9"/>
      <c r="AU1565" s="9"/>
    </row>
    <row r="1566" spans="1:47" ht="15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1"/>
      <c r="P1566" s="11"/>
      <c r="Q1566" s="11"/>
      <c r="R1566" s="11"/>
      <c r="S1566" s="11"/>
      <c r="T1566" s="11"/>
      <c r="U1566" s="11"/>
      <c r="W1566" s="11"/>
      <c r="Z1566" s="11"/>
      <c r="AB1566" s="11"/>
      <c r="AF1566" s="11"/>
      <c r="AM1566" s="11"/>
      <c r="AT1566" s="9"/>
      <c r="AU1566" s="9"/>
    </row>
    <row r="1567" spans="1:47" ht="15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1"/>
      <c r="P1567" s="11"/>
      <c r="Q1567" s="11"/>
      <c r="R1567" s="11"/>
      <c r="S1567" s="11"/>
      <c r="T1567" s="11"/>
      <c r="U1567" s="11"/>
      <c r="W1567" s="11"/>
      <c r="Z1567" s="11"/>
      <c r="AB1567" s="11"/>
      <c r="AF1567" s="11"/>
      <c r="AM1567" s="11"/>
      <c r="AT1567" s="9"/>
      <c r="AU1567" s="9"/>
    </row>
    <row r="1568" spans="1:47" ht="15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6"/>
      <c r="O1568" s="11"/>
      <c r="P1568" s="11"/>
      <c r="Q1568" s="11"/>
      <c r="R1568" s="11"/>
      <c r="S1568" s="11"/>
      <c r="T1568" s="11"/>
      <c r="U1568" s="11"/>
      <c r="W1568" s="11"/>
      <c r="Z1568" s="11"/>
      <c r="AB1568" s="11"/>
      <c r="AF1568" s="11"/>
      <c r="AM1568" s="11"/>
      <c r="AT1568" s="9"/>
      <c r="AU1568" s="9"/>
    </row>
    <row r="1569" spans="1:47" ht="15" x14ac:dyDescent="0.25">
      <c r="A1569" s="10"/>
      <c r="B1569" s="10"/>
      <c r="C1569" s="10"/>
      <c r="D1569" s="10"/>
      <c r="E1569" s="10"/>
      <c r="F1569" s="10"/>
      <c r="G1569" s="10"/>
      <c r="H1569" s="16"/>
      <c r="I1569" s="16"/>
      <c r="J1569" s="16"/>
      <c r="K1569" s="16"/>
      <c r="L1569" s="16"/>
      <c r="M1569" s="16"/>
      <c r="N1569" s="16"/>
      <c r="O1569" s="11"/>
      <c r="P1569" s="11"/>
      <c r="Q1569" s="11"/>
      <c r="R1569" s="11"/>
      <c r="S1569" s="11"/>
      <c r="T1569" s="11"/>
      <c r="U1569" s="11"/>
      <c r="W1569" s="11"/>
      <c r="Z1569" s="11"/>
      <c r="AB1569" s="11"/>
      <c r="AF1569" s="11"/>
      <c r="AM1569" s="11"/>
      <c r="AT1569" s="9"/>
      <c r="AU1569" s="9"/>
    </row>
    <row r="1570" spans="1:47" ht="15" x14ac:dyDescent="0.25">
      <c r="A1570" s="10"/>
      <c r="B1570" s="10"/>
      <c r="C1570" s="16"/>
      <c r="D1570" s="16"/>
      <c r="E1570" s="16"/>
      <c r="F1570" s="16"/>
      <c r="G1570" s="16"/>
      <c r="H1570" s="16"/>
      <c r="I1570" s="16"/>
      <c r="J1570" s="16"/>
      <c r="K1570" s="16"/>
      <c r="L1570" s="16"/>
      <c r="M1570" s="16"/>
      <c r="N1570" s="16"/>
      <c r="O1570" s="11"/>
      <c r="P1570" s="11"/>
      <c r="Q1570" s="11"/>
      <c r="R1570" s="11"/>
      <c r="S1570" s="11"/>
      <c r="T1570" s="11"/>
      <c r="U1570" s="11"/>
      <c r="W1570" s="11"/>
      <c r="Z1570" s="11"/>
      <c r="AB1570" s="11"/>
      <c r="AF1570" s="11"/>
      <c r="AM1570" s="11"/>
      <c r="AT1570" s="9"/>
      <c r="AU1570" s="9"/>
    </row>
    <row r="1571" spans="1:47" ht="15" x14ac:dyDescent="0.25">
      <c r="A1571" s="10"/>
      <c r="B1571" s="10"/>
      <c r="C1571" s="16"/>
      <c r="D1571" s="16"/>
      <c r="E1571" s="16"/>
      <c r="F1571" s="16"/>
      <c r="G1571" s="16"/>
      <c r="H1571" s="16"/>
      <c r="I1571" s="16"/>
      <c r="J1571" s="16"/>
      <c r="K1571" s="16"/>
      <c r="L1571" s="16"/>
      <c r="M1571" s="16"/>
      <c r="N1571" s="16"/>
      <c r="O1571" s="11"/>
      <c r="P1571" s="11"/>
      <c r="Q1571" s="11"/>
      <c r="R1571" s="11"/>
      <c r="S1571" s="11"/>
      <c r="T1571" s="11"/>
      <c r="U1571" s="11"/>
      <c r="W1571" s="11"/>
      <c r="Z1571" s="11"/>
      <c r="AB1571" s="11"/>
      <c r="AF1571" s="11"/>
      <c r="AM1571" s="11"/>
      <c r="AT1571" s="9"/>
      <c r="AU1571" s="9"/>
    </row>
    <row r="1572" spans="1:47" ht="15" x14ac:dyDescent="0.25">
      <c r="A1572" s="10"/>
      <c r="B1572" s="10"/>
      <c r="C1572" s="16"/>
      <c r="D1572" s="16"/>
      <c r="E1572" s="16"/>
      <c r="F1572" s="16"/>
      <c r="G1572" s="16"/>
      <c r="H1572" s="16"/>
      <c r="I1572" s="16"/>
      <c r="J1572" s="16"/>
      <c r="K1572" s="16"/>
      <c r="L1572" s="16"/>
      <c r="M1572" s="16"/>
      <c r="N1572" s="16"/>
      <c r="O1572" s="11"/>
      <c r="P1572" s="11"/>
      <c r="Q1572" s="11"/>
      <c r="R1572" s="11"/>
      <c r="S1572" s="11"/>
      <c r="T1572" s="11"/>
      <c r="U1572" s="11"/>
      <c r="W1572" s="11"/>
      <c r="Z1572" s="11"/>
      <c r="AB1572" s="11"/>
      <c r="AF1572" s="11"/>
      <c r="AM1572" s="11"/>
      <c r="AT1572" s="9"/>
      <c r="AU1572" s="9"/>
    </row>
    <row r="1573" spans="1:47" ht="15" x14ac:dyDescent="0.25">
      <c r="A1573" s="10"/>
      <c r="B1573" s="10"/>
      <c r="C1573" s="16"/>
      <c r="D1573" s="16"/>
      <c r="E1573" s="16"/>
      <c r="F1573" s="16"/>
      <c r="G1573" s="16"/>
      <c r="H1573" s="16"/>
      <c r="I1573" s="16"/>
      <c r="J1573" s="16"/>
      <c r="K1573" s="16"/>
      <c r="L1573" s="16"/>
      <c r="M1573" s="16"/>
      <c r="N1573" s="10"/>
      <c r="O1573" s="11"/>
      <c r="P1573" s="11"/>
      <c r="Q1573" s="11"/>
      <c r="R1573" s="11"/>
      <c r="S1573" s="11"/>
      <c r="T1573" s="11"/>
      <c r="U1573" s="11"/>
      <c r="W1573" s="11"/>
      <c r="Z1573" s="11"/>
      <c r="AB1573" s="11"/>
      <c r="AF1573" s="11"/>
      <c r="AM1573" s="11"/>
      <c r="AT1573" s="9"/>
      <c r="AU1573" s="9"/>
    </row>
    <row r="1574" spans="1:47" ht="15" x14ac:dyDescent="0.25">
      <c r="A1574" s="10"/>
      <c r="C1574" s="16"/>
      <c r="D1574" s="16"/>
      <c r="E1574" s="16"/>
      <c r="F1574" s="16"/>
      <c r="G1574" s="16"/>
      <c r="H1574" s="10"/>
      <c r="I1574" s="10"/>
      <c r="J1574" s="10"/>
      <c r="K1574" s="10"/>
      <c r="L1574" s="10"/>
      <c r="M1574" s="10"/>
      <c r="O1574" s="11"/>
      <c r="P1574" s="11"/>
      <c r="Q1574" s="11"/>
      <c r="R1574" s="11"/>
      <c r="S1574" s="11"/>
      <c r="T1574" s="11"/>
      <c r="U1574" s="11"/>
      <c r="W1574" s="11"/>
      <c r="Z1574" s="11"/>
      <c r="AB1574" s="11"/>
      <c r="AF1574" s="11"/>
      <c r="AM1574" s="11"/>
      <c r="AT1574" s="9"/>
      <c r="AU1574" s="9"/>
    </row>
    <row r="1575" spans="1:47" ht="15" x14ac:dyDescent="0.25">
      <c r="A1575" s="10"/>
      <c r="C1575" s="10"/>
      <c r="D1575" s="10"/>
      <c r="E1575" s="10"/>
      <c r="F1575" s="10"/>
      <c r="G1575" s="10"/>
      <c r="O1575" s="11"/>
      <c r="P1575" s="11"/>
      <c r="Q1575" s="11"/>
      <c r="R1575" s="11"/>
      <c r="S1575" s="11"/>
      <c r="T1575" s="11"/>
      <c r="U1575" s="11"/>
      <c r="W1575" s="11"/>
      <c r="Z1575" s="11"/>
      <c r="AB1575" s="11"/>
      <c r="AF1575" s="11"/>
      <c r="AM1575" s="11"/>
      <c r="AT1575" s="9"/>
      <c r="AU1575" s="9"/>
    </row>
    <row r="1576" spans="1:47" ht="15" x14ac:dyDescent="0.25">
      <c r="A1576" s="10"/>
      <c r="O1576" s="11"/>
      <c r="P1576" s="11"/>
      <c r="Q1576" s="11"/>
      <c r="R1576" s="11"/>
      <c r="S1576" s="11"/>
      <c r="T1576" s="11"/>
      <c r="U1576" s="11"/>
      <c r="W1576" s="11"/>
      <c r="Z1576" s="11"/>
      <c r="AB1576" s="11"/>
      <c r="AF1576" s="11"/>
      <c r="AM1576" s="11"/>
      <c r="AT1576" s="9"/>
      <c r="AU1576" s="9"/>
    </row>
    <row r="1577" spans="1:47" ht="15" x14ac:dyDescent="0.25">
      <c r="A1577" s="10"/>
      <c r="O1577" s="11"/>
      <c r="P1577" s="11"/>
      <c r="Q1577" s="11"/>
      <c r="R1577" s="11"/>
      <c r="S1577" s="11"/>
      <c r="T1577" s="11"/>
      <c r="U1577" s="11"/>
      <c r="W1577" s="11"/>
      <c r="Z1577" s="11"/>
      <c r="AB1577" s="11"/>
      <c r="AF1577" s="11"/>
      <c r="AM1577" s="11"/>
      <c r="AT1577" s="9"/>
      <c r="AU1577" s="9"/>
    </row>
    <row r="1578" spans="1:47" ht="15" x14ac:dyDescent="0.25">
      <c r="A1578" s="10"/>
      <c r="O1578" s="11"/>
      <c r="P1578" s="11"/>
      <c r="Q1578" s="11"/>
      <c r="R1578" s="11"/>
      <c r="S1578" s="11"/>
      <c r="T1578" s="11"/>
      <c r="U1578" s="11"/>
      <c r="W1578" s="11"/>
      <c r="Z1578" s="11"/>
      <c r="AB1578" s="11"/>
      <c r="AF1578" s="11"/>
      <c r="AM1578" s="11"/>
      <c r="AT1578" s="9"/>
      <c r="AU1578" s="9"/>
    </row>
    <row r="1579" spans="1:47" ht="15" x14ac:dyDescent="0.25">
      <c r="A1579" s="10"/>
      <c r="O1579" s="11"/>
      <c r="P1579" s="11"/>
      <c r="Q1579" s="11"/>
      <c r="R1579" s="11"/>
      <c r="S1579" s="11"/>
      <c r="T1579" s="11"/>
      <c r="U1579" s="11"/>
      <c r="W1579" s="11"/>
      <c r="Z1579" s="11"/>
      <c r="AB1579" s="11"/>
      <c r="AF1579" s="11"/>
      <c r="AM1579" s="11"/>
      <c r="AT1579" s="9"/>
      <c r="AU1579" s="9"/>
    </row>
    <row r="1580" spans="1:47" ht="15" x14ac:dyDescent="0.25">
      <c r="A1580" s="10"/>
      <c r="O1580" s="11"/>
      <c r="P1580" s="11"/>
      <c r="Q1580" s="11"/>
      <c r="R1580" s="11"/>
      <c r="S1580" s="11"/>
      <c r="T1580" s="11"/>
      <c r="U1580" s="11"/>
      <c r="W1580" s="11"/>
      <c r="Z1580" s="11"/>
      <c r="AB1580" s="11"/>
      <c r="AF1580" s="11"/>
      <c r="AM1580" s="11"/>
      <c r="AT1580" s="9"/>
      <c r="AU1580" s="9"/>
    </row>
    <row r="1581" spans="1:47" ht="15" x14ac:dyDescent="0.25">
      <c r="A1581" s="10"/>
      <c r="O1581" s="11"/>
      <c r="P1581" s="11"/>
      <c r="Q1581" s="11"/>
      <c r="R1581" s="11"/>
      <c r="S1581" s="11"/>
      <c r="T1581" s="11"/>
      <c r="U1581" s="11"/>
      <c r="W1581" s="11"/>
      <c r="Z1581" s="11"/>
      <c r="AB1581" s="11"/>
      <c r="AF1581" s="11"/>
      <c r="AM1581" s="11"/>
      <c r="AT1581" s="9"/>
      <c r="AU1581" s="9"/>
    </row>
    <row r="1582" spans="1:47" ht="15" x14ac:dyDescent="0.25">
      <c r="A1582" s="10"/>
      <c r="O1582" s="11"/>
      <c r="P1582" s="11"/>
      <c r="Q1582" s="11"/>
      <c r="R1582" s="11"/>
      <c r="S1582" s="11"/>
      <c r="T1582" s="11"/>
      <c r="U1582" s="11"/>
      <c r="W1582" s="11"/>
      <c r="Z1582" s="11"/>
      <c r="AB1582" s="11"/>
      <c r="AF1582" s="11"/>
      <c r="AM1582" s="11"/>
      <c r="AT1582" s="9"/>
      <c r="AU1582" s="9"/>
    </row>
    <row r="1583" spans="1:47" ht="15" x14ac:dyDescent="0.25">
      <c r="A1583" s="10"/>
      <c r="O1583" s="11"/>
      <c r="P1583" s="11"/>
      <c r="Q1583" s="11"/>
      <c r="R1583" s="11"/>
      <c r="S1583" s="11"/>
      <c r="T1583" s="11"/>
      <c r="U1583" s="11"/>
      <c r="W1583" s="11"/>
      <c r="Z1583" s="11"/>
      <c r="AB1583" s="11"/>
      <c r="AF1583" s="11"/>
      <c r="AM1583" s="11"/>
      <c r="AT1583" s="9"/>
      <c r="AU1583" s="9"/>
    </row>
    <row r="1584" spans="1:47" ht="15" x14ac:dyDescent="0.25">
      <c r="A1584" s="10"/>
      <c r="O1584" s="11"/>
      <c r="P1584" s="11"/>
      <c r="Q1584" s="11"/>
      <c r="R1584" s="11"/>
      <c r="S1584" s="11"/>
      <c r="T1584" s="11"/>
      <c r="U1584" s="11"/>
      <c r="W1584" s="11"/>
      <c r="Z1584" s="11"/>
      <c r="AB1584" s="11"/>
      <c r="AF1584" s="11"/>
      <c r="AM1584" s="11"/>
      <c r="AT1584" s="9"/>
      <c r="AU1584" s="9"/>
    </row>
    <row r="1585" spans="1:47" ht="15" x14ac:dyDescent="0.25">
      <c r="A1585" s="10"/>
      <c r="O1585" s="11"/>
      <c r="P1585" s="11"/>
      <c r="Q1585" s="11"/>
      <c r="R1585" s="11"/>
      <c r="S1585" s="11"/>
      <c r="T1585" s="11"/>
      <c r="U1585" s="11"/>
      <c r="W1585" s="11"/>
      <c r="Z1585" s="11"/>
      <c r="AB1585" s="11"/>
      <c r="AF1585" s="11"/>
      <c r="AM1585" s="11"/>
      <c r="AT1585" s="9"/>
      <c r="AU1585" s="9"/>
    </row>
    <row r="1586" spans="1:47" ht="15" x14ac:dyDescent="0.25">
      <c r="A1586" s="10"/>
      <c r="O1586" s="11"/>
      <c r="P1586" s="11"/>
      <c r="Q1586" s="11"/>
      <c r="R1586" s="11"/>
      <c r="S1586" s="11"/>
      <c r="T1586" s="11"/>
      <c r="U1586" s="11"/>
      <c r="W1586" s="11"/>
      <c r="Z1586" s="11"/>
      <c r="AB1586" s="11"/>
      <c r="AF1586" s="11"/>
      <c r="AM1586" s="11"/>
      <c r="AT1586" s="9"/>
      <c r="AU1586" s="9"/>
    </row>
    <row r="1587" spans="1:47" ht="15" x14ac:dyDescent="0.25">
      <c r="A1587" s="10"/>
      <c r="O1587" s="11"/>
      <c r="P1587" s="11"/>
      <c r="Q1587" s="11"/>
      <c r="R1587" s="11"/>
      <c r="S1587" s="11"/>
      <c r="T1587" s="11"/>
      <c r="U1587" s="11"/>
      <c r="W1587" s="11"/>
      <c r="Z1587" s="11"/>
      <c r="AB1587" s="11"/>
      <c r="AF1587" s="11"/>
      <c r="AM1587" s="11"/>
      <c r="AT1587" s="9"/>
      <c r="AU1587" s="9"/>
    </row>
    <row r="1588" spans="1:47" ht="15" x14ac:dyDescent="0.25">
      <c r="A1588" s="10"/>
      <c r="O1588" s="11"/>
      <c r="P1588" s="11"/>
      <c r="Q1588" s="11"/>
      <c r="R1588" s="11"/>
      <c r="S1588" s="11"/>
      <c r="T1588" s="11"/>
      <c r="U1588" s="11"/>
      <c r="W1588" s="11"/>
      <c r="Z1588" s="11"/>
      <c r="AB1588" s="11"/>
      <c r="AF1588" s="11"/>
      <c r="AM1588" s="11"/>
      <c r="AT1588" s="9"/>
      <c r="AU1588" s="9"/>
    </row>
    <row r="1589" spans="1:47" ht="15" x14ac:dyDescent="0.25">
      <c r="A1589" s="10"/>
      <c r="O1589" s="11"/>
      <c r="P1589" s="11"/>
      <c r="Q1589" s="11"/>
      <c r="R1589" s="11"/>
      <c r="S1589" s="11"/>
      <c r="T1589" s="11"/>
      <c r="U1589" s="11"/>
      <c r="W1589" s="11"/>
      <c r="Z1589" s="11"/>
      <c r="AB1589" s="11"/>
      <c r="AF1589" s="11"/>
      <c r="AM1589" s="11"/>
      <c r="AT1589" s="9"/>
      <c r="AU1589" s="9"/>
    </row>
    <row r="1590" spans="1:47" ht="15" x14ac:dyDescent="0.25">
      <c r="A1590" s="10"/>
      <c r="O1590" s="11"/>
      <c r="P1590" s="11"/>
      <c r="Q1590" s="11"/>
      <c r="R1590" s="11"/>
      <c r="S1590" s="11"/>
      <c r="T1590" s="11"/>
      <c r="U1590" s="11"/>
      <c r="W1590" s="11"/>
      <c r="Z1590" s="11"/>
      <c r="AB1590" s="11"/>
      <c r="AF1590" s="11"/>
      <c r="AM1590" s="11"/>
      <c r="AT1590" s="9"/>
      <c r="AU1590" s="9"/>
    </row>
    <row r="1591" spans="1:47" ht="15" x14ac:dyDescent="0.25">
      <c r="A1591" s="10"/>
      <c r="O1591" s="11"/>
      <c r="P1591" s="11"/>
      <c r="Q1591" s="11"/>
      <c r="R1591" s="11"/>
      <c r="S1591" s="11"/>
      <c r="T1591" s="11"/>
      <c r="U1591" s="11"/>
      <c r="W1591" s="11"/>
      <c r="Z1591" s="11"/>
      <c r="AB1591" s="11"/>
      <c r="AF1591" s="11"/>
      <c r="AM1591" s="11"/>
      <c r="AT1591" s="9"/>
      <c r="AU1591" s="9"/>
    </row>
    <row r="1592" spans="1:47" ht="15" x14ac:dyDescent="0.25">
      <c r="A1592" s="10"/>
      <c r="O1592" s="11"/>
      <c r="P1592" s="11"/>
      <c r="Q1592" s="11"/>
      <c r="R1592" s="11"/>
      <c r="S1592" s="11"/>
      <c r="T1592" s="11"/>
      <c r="U1592" s="11"/>
      <c r="W1592" s="11"/>
      <c r="Z1592" s="11"/>
      <c r="AB1592" s="11"/>
      <c r="AF1592" s="11"/>
      <c r="AM1592" s="11"/>
      <c r="AT1592" s="9"/>
      <c r="AU1592" s="9"/>
    </row>
    <row r="1593" spans="1:47" ht="15" x14ac:dyDescent="0.25">
      <c r="A1593" s="10"/>
      <c r="O1593" s="11"/>
      <c r="P1593" s="11"/>
      <c r="Q1593" s="11"/>
      <c r="R1593" s="11"/>
      <c r="S1593" s="11"/>
      <c r="T1593" s="11"/>
      <c r="U1593" s="11"/>
      <c r="W1593" s="11"/>
      <c r="Z1593" s="11"/>
      <c r="AB1593" s="11"/>
      <c r="AF1593" s="11"/>
      <c r="AM1593" s="11"/>
      <c r="AT1593" s="9"/>
      <c r="AU1593" s="9"/>
    </row>
    <row r="1594" spans="1:47" ht="15" x14ac:dyDescent="0.25">
      <c r="A1594" s="10"/>
      <c r="O1594" s="11"/>
      <c r="P1594" s="11"/>
      <c r="Q1594" s="11"/>
      <c r="R1594" s="11"/>
      <c r="S1594" s="11"/>
      <c r="T1594" s="11"/>
      <c r="U1594" s="11"/>
      <c r="W1594" s="11"/>
      <c r="Z1594" s="11"/>
      <c r="AB1594" s="11"/>
      <c r="AF1594" s="11"/>
      <c r="AM1594" s="11"/>
      <c r="AT1594" s="9"/>
      <c r="AU1594" s="9"/>
    </row>
    <row r="1595" spans="1:47" ht="15" x14ac:dyDescent="0.25">
      <c r="A1595" s="10"/>
      <c r="O1595" s="11"/>
      <c r="P1595" s="11"/>
      <c r="Q1595" s="11"/>
      <c r="R1595" s="11"/>
      <c r="S1595" s="11"/>
      <c r="T1595" s="11"/>
      <c r="U1595" s="11"/>
      <c r="W1595" s="11"/>
      <c r="Z1595" s="11"/>
      <c r="AB1595" s="11"/>
      <c r="AF1595" s="11"/>
      <c r="AM1595" s="11"/>
      <c r="AT1595" s="9"/>
      <c r="AU1595" s="9"/>
    </row>
    <row r="1596" spans="1:47" ht="15" x14ac:dyDescent="0.25">
      <c r="A1596" s="10"/>
      <c r="O1596" s="11"/>
      <c r="P1596" s="11"/>
      <c r="Q1596" s="11"/>
      <c r="R1596" s="11"/>
      <c r="S1596" s="11"/>
      <c r="T1596" s="11"/>
      <c r="U1596" s="11"/>
      <c r="W1596" s="11"/>
      <c r="Z1596" s="11"/>
      <c r="AB1596" s="11"/>
      <c r="AF1596" s="11"/>
      <c r="AM1596" s="11"/>
      <c r="AT1596" s="9"/>
      <c r="AU1596" s="9"/>
    </row>
    <row r="1597" spans="1:47" ht="15" x14ac:dyDescent="0.25">
      <c r="A1597" s="10"/>
      <c r="O1597" s="11"/>
      <c r="P1597" s="11"/>
      <c r="Q1597" s="11"/>
      <c r="R1597" s="11"/>
      <c r="S1597" s="11"/>
      <c r="T1597" s="11"/>
      <c r="U1597" s="11"/>
      <c r="W1597" s="11"/>
      <c r="Z1597" s="11"/>
      <c r="AB1597" s="11"/>
      <c r="AF1597" s="11"/>
      <c r="AM1597" s="11"/>
      <c r="AT1597" s="9"/>
      <c r="AU1597" s="9"/>
    </row>
    <row r="1598" spans="1:47" ht="15" x14ac:dyDescent="0.25">
      <c r="A1598" s="10"/>
      <c r="O1598" s="11"/>
      <c r="P1598" s="11"/>
      <c r="Q1598" s="11"/>
      <c r="R1598" s="11"/>
      <c r="S1598" s="11"/>
      <c r="T1598" s="11"/>
      <c r="U1598" s="11"/>
      <c r="W1598" s="11"/>
      <c r="Z1598" s="11"/>
      <c r="AB1598" s="11"/>
      <c r="AF1598" s="11"/>
      <c r="AM1598" s="11"/>
      <c r="AT1598" s="9"/>
      <c r="AU1598" s="9"/>
    </row>
    <row r="1599" spans="1:47" ht="15" x14ac:dyDescent="0.25">
      <c r="A1599" s="10"/>
      <c r="O1599" s="11"/>
      <c r="P1599" s="11"/>
      <c r="Q1599" s="11"/>
      <c r="R1599" s="11"/>
      <c r="S1599" s="11"/>
      <c r="T1599" s="11"/>
      <c r="U1599" s="11"/>
      <c r="W1599" s="11"/>
      <c r="Z1599" s="11"/>
      <c r="AB1599" s="11"/>
      <c r="AF1599" s="11"/>
      <c r="AM1599" s="11"/>
      <c r="AT1599" s="9"/>
      <c r="AU1599" s="9"/>
    </row>
    <row r="1600" spans="1:47" ht="15" x14ac:dyDescent="0.25">
      <c r="A1600" s="10"/>
      <c r="O1600" s="11"/>
      <c r="P1600" s="11"/>
      <c r="Q1600" s="11"/>
      <c r="R1600" s="11"/>
      <c r="S1600" s="11"/>
      <c r="T1600" s="11"/>
      <c r="U1600" s="11"/>
      <c r="W1600" s="11"/>
      <c r="Z1600" s="11"/>
      <c r="AB1600" s="11"/>
      <c r="AF1600" s="11"/>
      <c r="AM1600" s="11"/>
      <c r="AT1600" s="9"/>
      <c r="AU1600" s="9"/>
    </row>
    <row r="1601" spans="1:47" ht="15" x14ac:dyDescent="0.25">
      <c r="A1601" s="10"/>
      <c r="O1601" s="11"/>
      <c r="P1601" s="11"/>
      <c r="Q1601" s="11"/>
      <c r="R1601" s="11"/>
      <c r="S1601" s="11"/>
      <c r="T1601" s="11"/>
      <c r="U1601" s="11"/>
      <c r="W1601" s="11"/>
      <c r="Z1601" s="11"/>
      <c r="AB1601" s="11"/>
      <c r="AF1601" s="11"/>
      <c r="AM1601" s="11"/>
      <c r="AT1601" s="9"/>
      <c r="AU1601" s="9"/>
    </row>
    <row r="1602" spans="1:47" ht="15" x14ac:dyDescent="0.25">
      <c r="A1602" s="10"/>
      <c r="O1602" s="11"/>
      <c r="P1602" s="11"/>
      <c r="Q1602" s="11"/>
      <c r="R1602" s="11"/>
      <c r="S1602" s="11"/>
      <c r="T1602" s="11"/>
      <c r="U1602" s="11"/>
      <c r="W1602" s="11"/>
      <c r="Z1602" s="11"/>
      <c r="AB1602" s="11"/>
      <c r="AF1602" s="11"/>
      <c r="AM1602" s="11"/>
      <c r="AT1602" s="9"/>
      <c r="AU1602" s="9"/>
    </row>
    <row r="1603" spans="1:47" ht="15" x14ac:dyDescent="0.25">
      <c r="A1603" s="10"/>
      <c r="O1603" s="11"/>
      <c r="P1603" s="11"/>
      <c r="Q1603" s="11"/>
      <c r="R1603" s="11"/>
      <c r="S1603" s="11"/>
      <c r="T1603" s="11"/>
      <c r="U1603" s="11"/>
      <c r="W1603" s="11"/>
      <c r="Z1603" s="11"/>
      <c r="AB1603" s="11"/>
      <c r="AF1603" s="11"/>
      <c r="AM1603" s="11"/>
      <c r="AT1603" s="9"/>
      <c r="AU1603" s="9"/>
    </row>
    <row r="1604" spans="1:47" ht="15" x14ac:dyDescent="0.25">
      <c r="A1604" s="10"/>
      <c r="O1604" s="11"/>
      <c r="P1604" s="11"/>
      <c r="Q1604" s="11"/>
      <c r="R1604" s="11"/>
      <c r="S1604" s="11"/>
      <c r="T1604" s="11"/>
      <c r="U1604" s="11"/>
      <c r="W1604" s="11"/>
      <c r="Z1604" s="11"/>
      <c r="AB1604" s="11"/>
      <c r="AF1604" s="11"/>
      <c r="AM1604" s="11"/>
      <c r="AT1604" s="9"/>
      <c r="AU1604" s="9"/>
    </row>
    <row r="1605" spans="1:47" ht="15" x14ac:dyDescent="0.25">
      <c r="A1605" s="10"/>
      <c r="O1605" s="11"/>
      <c r="P1605" s="11"/>
      <c r="Q1605" s="11"/>
      <c r="R1605" s="11"/>
      <c r="S1605" s="11"/>
      <c r="T1605" s="11"/>
      <c r="U1605" s="11"/>
      <c r="W1605" s="11"/>
      <c r="Z1605" s="11"/>
      <c r="AB1605" s="11"/>
      <c r="AF1605" s="11"/>
      <c r="AM1605" s="11"/>
      <c r="AT1605" s="9"/>
      <c r="AU1605" s="9"/>
    </row>
    <row r="1606" spans="1:47" ht="15" x14ac:dyDescent="0.25">
      <c r="A1606" s="10"/>
      <c r="O1606" s="11"/>
      <c r="P1606" s="11"/>
      <c r="Q1606" s="11"/>
      <c r="R1606" s="11"/>
      <c r="S1606" s="11"/>
      <c r="T1606" s="11"/>
      <c r="U1606" s="11"/>
      <c r="W1606" s="11"/>
      <c r="Z1606" s="11"/>
      <c r="AB1606" s="11"/>
      <c r="AF1606" s="11"/>
      <c r="AM1606" s="11"/>
      <c r="AT1606" s="9"/>
      <c r="AU1606" s="9"/>
    </row>
    <row r="1607" spans="1:47" ht="15" x14ac:dyDescent="0.25">
      <c r="A1607" s="10"/>
      <c r="O1607" s="11"/>
      <c r="P1607" s="11"/>
      <c r="Q1607" s="11"/>
      <c r="R1607" s="11"/>
      <c r="S1607" s="11"/>
      <c r="T1607" s="11"/>
      <c r="U1607" s="11"/>
      <c r="W1607" s="11"/>
      <c r="Z1607" s="11"/>
      <c r="AB1607" s="11"/>
      <c r="AF1607" s="11"/>
      <c r="AM1607" s="11"/>
      <c r="AT1607" s="9"/>
      <c r="AU1607" s="9"/>
    </row>
    <row r="1608" spans="1:47" ht="15" x14ac:dyDescent="0.25">
      <c r="A1608" s="10"/>
      <c r="O1608" s="11"/>
      <c r="P1608" s="11"/>
      <c r="Q1608" s="11"/>
      <c r="R1608" s="11"/>
      <c r="S1608" s="11"/>
      <c r="T1608" s="11"/>
      <c r="U1608" s="11"/>
      <c r="W1608" s="11"/>
      <c r="Z1608" s="11"/>
      <c r="AB1608" s="11"/>
      <c r="AF1608" s="11"/>
      <c r="AM1608" s="11"/>
      <c r="AT1608" s="9"/>
      <c r="AU1608" s="9"/>
    </row>
    <row r="1609" spans="1:47" ht="15" x14ac:dyDescent="0.25">
      <c r="A1609" s="10"/>
      <c r="O1609" s="11"/>
      <c r="P1609" s="11"/>
      <c r="Q1609" s="11"/>
      <c r="R1609" s="11"/>
      <c r="S1609" s="11"/>
      <c r="T1609" s="11"/>
      <c r="U1609" s="11"/>
      <c r="W1609" s="11"/>
      <c r="Z1609" s="11"/>
      <c r="AB1609" s="11"/>
      <c r="AF1609" s="11"/>
      <c r="AM1609" s="11"/>
      <c r="AT1609" s="9"/>
      <c r="AU1609" s="9"/>
    </row>
    <row r="1610" spans="1:47" ht="15" x14ac:dyDescent="0.25">
      <c r="A1610" s="10"/>
      <c r="O1610" s="11"/>
      <c r="P1610" s="11"/>
      <c r="Q1610" s="11"/>
      <c r="R1610" s="11"/>
      <c r="S1610" s="11"/>
      <c r="T1610" s="11"/>
      <c r="U1610" s="11"/>
      <c r="W1610" s="11"/>
      <c r="Z1610" s="11"/>
      <c r="AB1610" s="11"/>
      <c r="AF1610" s="11"/>
      <c r="AM1610" s="11"/>
      <c r="AT1610" s="9"/>
      <c r="AU1610" s="9"/>
    </row>
    <row r="1611" spans="1:47" ht="15" x14ac:dyDescent="0.25">
      <c r="A1611" s="10"/>
      <c r="O1611" s="11"/>
      <c r="P1611" s="11"/>
      <c r="Q1611" s="11"/>
      <c r="R1611" s="11"/>
      <c r="S1611" s="11"/>
      <c r="T1611" s="11"/>
      <c r="U1611" s="11"/>
      <c r="W1611" s="11"/>
      <c r="Z1611" s="11"/>
      <c r="AB1611" s="11"/>
      <c r="AF1611" s="11"/>
      <c r="AM1611" s="11"/>
      <c r="AT1611" s="9"/>
      <c r="AU1611" s="9"/>
    </row>
    <row r="1612" spans="1:47" ht="15" x14ac:dyDescent="0.25">
      <c r="A1612" s="10"/>
      <c r="O1612" s="11"/>
      <c r="P1612" s="11"/>
      <c r="Q1612" s="11"/>
      <c r="R1612" s="11"/>
      <c r="S1612" s="11"/>
      <c r="T1612" s="11"/>
      <c r="U1612" s="11"/>
      <c r="W1612" s="11"/>
      <c r="Z1612" s="11"/>
      <c r="AB1612" s="11"/>
      <c r="AF1612" s="11"/>
      <c r="AM1612" s="11"/>
      <c r="AT1612" s="9"/>
      <c r="AU1612" s="9"/>
    </row>
    <row r="1613" spans="1:47" ht="15" x14ac:dyDescent="0.25">
      <c r="A1613" s="10"/>
      <c r="O1613" s="11"/>
      <c r="P1613" s="11"/>
      <c r="Q1613" s="11"/>
      <c r="R1613" s="11"/>
      <c r="S1613" s="11"/>
      <c r="T1613" s="11"/>
      <c r="U1613" s="11"/>
      <c r="W1613" s="11"/>
      <c r="Z1613" s="11"/>
      <c r="AB1613" s="11"/>
      <c r="AF1613" s="11"/>
      <c r="AM1613" s="11"/>
      <c r="AT1613" s="9"/>
      <c r="AU1613" s="9"/>
    </row>
    <row r="1614" spans="1:47" ht="15" x14ac:dyDescent="0.25">
      <c r="A1614" s="10"/>
      <c r="O1614" s="11"/>
      <c r="P1614" s="11"/>
      <c r="Q1614" s="11"/>
      <c r="R1614" s="11"/>
      <c r="S1614" s="11"/>
      <c r="T1614" s="11"/>
      <c r="U1614" s="11"/>
      <c r="W1614" s="11"/>
      <c r="Z1614" s="11"/>
      <c r="AB1614" s="11"/>
      <c r="AF1614" s="11"/>
      <c r="AM1614" s="11"/>
      <c r="AT1614" s="9"/>
      <c r="AU1614" s="9"/>
    </row>
    <row r="1615" spans="1:47" ht="15" x14ac:dyDescent="0.25">
      <c r="A1615" s="10"/>
      <c r="O1615" s="11"/>
      <c r="P1615" s="11"/>
      <c r="Q1615" s="11"/>
      <c r="R1615" s="11"/>
      <c r="S1615" s="11"/>
      <c r="T1615" s="11"/>
      <c r="U1615" s="11"/>
      <c r="W1615" s="11"/>
      <c r="Z1615" s="11"/>
      <c r="AB1615" s="11"/>
      <c r="AF1615" s="11"/>
      <c r="AM1615" s="11"/>
      <c r="AT1615" s="9"/>
      <c r="AU1615" s="9"/>
    </row>
    <row r="1616" spans="1:47" ht="15" x14ac:dyDescent="0.25">
      <c r="A1616" s="10"/>
      <c r="O1616" s="11"/>
      <c r="P1616" s="11"/>
      <c r="Q1616" s="11"/>
      <c r="R1616" s="11"/>
      <c r="S1616" s="11"/>
      <c r="T1616" s="11"/>
      <c r="U1616" s="11"/>
      <c r="W1616" s="11"/>
      <c r="Z1616" s="11"/>
      <c r="AB1616" s="11"/>
      <c r="AF1616" s="11"/>
      <c r="AM1616" s="11"/>
      <c r="AT1616" s="9"/>
      <c r="AU1616" s="9"/>
    </row>
    <row r="1617" spans="1:47" ht="15" x14ac:dyDescent="0.25">
      <c r="A1617" s="10"/>
      <c r="O1617" s="11"/>
      <c r="P1617" s="11"/>
      <c r="Q1617" s="11"/>
      <c r="R1617" s="11"/>
      <c r="S1617" s="11"/>
      <c r="T1617" s="11"/>
      <c r="U1617" s="11"/>
      <c r="W1617" s="11"/>
      <c r="Z1617" s="11"/>
      <c r="AB1617" s="11"/>
      <c r="AF1617" s="11"/>
      <c r="AM1617" s="11"/>
      <c r="AT1617" s="9"/>
      <c r="AU1617" s="9"/>
    </row>
    <row r="1618" spans="1:47" ht="15" x14ac:dyDescent="0.25">
      <c r="A1618" s="10"/>
      <c r="O1618" s="11"/>
      <c r="P1618" s="11"/>
      <c r="Q1618" s="11"/>
      <c r="R1618" s="11"/>
      <c r="S1618" s="11"/>
      <c r="T1618" s="11"/>
      <c r="U1618" s="11"/>
      <c r="W1618" s="11"/>
      <c r="Z1618" s="11"/>
      <c r="AB1618" s="11"/>
      <c r="AF1618" s="11"/>
      <c r="AM1618" s="11"/>
      <c r="AT1618" s="9"/>
      <c r="AU1618" s="9"/>
    </row>
    <row r="1619" spans="1:47" ht="15" x14ac:dyDescent="0.25">
      <c r="A1619" s="10"/>
      <c r="O1619" s="11"/>
      <c r="P1619" s="11"/>
      <c r="Q1619" s="11"/>
      <c r="R1619" s="11"/>
      <c r="S1619" s="11"/>
      <c r="T1619" s="11"/>
      <c r="U1619" s="11"/>
      <c r="W1619" s="11"/>
      <c r="Z1619" s="11"/>
      <c r="AB1619" s="11"/>
      <c r="AF1619" s="11"/>
      <c r="AM1619" s="11"/>
      <c r="AT1619" s="9"/>
      <c r="AU1619" s="9"/>
    </row>
    <row r="1620" spans="1:47" ht="15" x14ac:dyDescent="0.25">
      <c r="A1620" s="10"/>
      <c r="O1620" s="11"/>
      <c r="P1620" s="11"/>
      <c r="Q1620" s="11"/>
      <c r="R1620" s="11"/>
      <c r="S1620" s="11"/>
      <c r="T1620" s="11"/>
      <c r="U1620" s="11"/>
      <c r="W1620" s="11"/>
      <c r="Z1620" s="11"/>
      <c r="AB1620" s="11"/>
      <c r="AF1620" s="11"/>
      <c r="AM1620" s="11"/>
      <c r="AT1620" s="9"/>
      <c r="AU1620" s="9"/>
    </row>
    <row r="1621" spans="1:47" ht="15" x14ac:dyDescent="0.25">
      <c r="A1621" s="10"/>
      <c r="O1621" s="11"/>
      <c r="P1621" s="11"/>
      <c r="Q1621" s="11"/>
      <c r="R1621" s="11"/>
      <c r="S1621" s="11"/>
      <c r="T1621" s="11"/>
      <c r="U1621" s="11"/>
      <c r="W1621" s="11"/>
      <c r="Z1621" s="11"/>
      <c r="AB1621" s="11"/>
      <c r="AF1621" s="11"/>
      <c r="AM1621" s="11"/>
      <c r="AT1621" s="9"/>
      <c r="AU1621" s="9"/>
    </row>
    <row r="1622" spans="1:47" ht="15" x14ac:dyDescent="0.25">
      <c r="A1622" s="10"/>
      <c r="O1622" s="11"/>
      <c r="P1622" s="11"/>
      <c r="Q1622" s="11"/>
      <c r="R1622" s="11"/>
      <c r="S1622" s="11"/>
      <c r="T1622" s="11"/>
      <c r="U1622" s="11"/>
      <c r="W1622" s="11"/>
      <c r="Z1622" s="11"/>
      <c r="AB1622" s="11"/>
      <c r="AF1622" s="11"/>
      <c r="AM1622" s="11"/>
      <c r="AT1622" s="9"/>
      <c r="AU1622" s="9"/>
    </row>
    <row r="1623" spans="1:47" ht="15" x14ac:dyDescent="0.25">
      <c r="A1623" s="10"/>
      <c r="O1623" s="11"/>
      <c r="P1623" s="11"/>
      <c r="Q1623" s="11"/>
      <c r="R1623" s="11"/>
      <c r="S1623" s="11"/>
      <c r="T1623" s="11"/>
      <c r="U1623" s="11"/>
      <c r="W1623" s="11"/>
      <c r="Z1623" s="11"/>
      <c r="AB1623" s="11"/>
      <c r="AF1623" s="11"/>
      <c r="AM1623" s="11"/>
      <c r="AT1623" s="9"/>
      <c r="AU1623" s="9"/>
    </row>
    <row r="1624" spans="1:47" ht="15" x14ac:dyDescent="0.25">
      <c r="A1624" s="10"/>
      <c r="O1624" s="11"/>
      <c r="P1624" s="11"/>
      <c r="Q1624" s="11"/>
      <c r="R1624" s="11"/>
      <c r="S1624" s="11"/>
      <c r="T1624" s="11"/>
      <c r="U1624" s="11"/>
      <c r="W1624" s="11"/>
      <c r="Z1624" s="11"/>
      <c r="AB1624" s="11"/>
      <c r="AF1624" s="11"/>
      <c r="AM1624" s="11"/>
      <c r="AT1624" s="9"/>
      <c r="AU1624" s="9"/>
    </row>
    <row r="1625" spans="1:47" ht="15" x14ac:dyDescent="0.25">
      <c r="A1625" s="10"/>
      <c r="O1625" s="11"/>
      <c r="P1625" s="11"/>
      <c r="Q1625" s="11"/>
      <c r="R1625" s="11"/>
      <c r="S1625" s="11"/>
      <c r="T1625" s="11"/>
      <c r="U1625" s="11"/>
      <c r="W1625" s="11"/>
      <c r="Z1625" s="11"/>
      <c r="AB1625" s="11"/>
      <c r="AF1625" s="11"/>
      <c r="AM1625" s="11"/>
      <c r="AT1625" s="9"/>
      <c r="AU1625" s="9"/>
    </row>
    <row r="1626" spans="1:47" ht="15" x14ac:dyDescent="0.25">
      <c r="A1626" s="10"/>
      <c r="O1626" s="11"/>
      <c r="P1626" s="11"/>
      <c r="Q1626" s="11"/>
      <c r="R1626" s="11"/>
      <c r="S1626" s="11"/>
      <c r="T1626" s="11"/>
      <c r="U1626" s="11"/>
      <c r="W1626" s="11"/>
      <c r="Z1626" s="11"/>
      <c r="AB1626" s="11"/>
      <c r="AF1626" s="11"/>
      <c r="AM1626" s="11"/>
      <c r="AT1626" s="9"/>
      <c r="AU1626" s="9"/>
    </row>
    <row r="1627" spans="1:47" ht="15" x14ac:dyDescent="0.25">
      <c r="A1627" s="10"/>
      <c r="O1627" s="11"/>
      <c r="P1627" s="11"/>
      <c r="Q1627" s="11"/>
      <c r="R1627" s="11"/>
      <c r="S1627" s="11"/>
      <c r="T1627" s="11"/>
      <c r="U1627" s="11"/>
      <c r="W1627" s="11"/>
      <c r="Z1627" s="11"/>
      <c r="AB1627" s="11"/>
      <c r="AF1627" s="11"/>
      <c r="AM1627" s="11"/>
      <c r="AT1627" s="9"/>
      <c r="AU1627" s="9"/>
    </row>
    <row r="1628" spans="1:47" ht="15" x14ac:dyDescent="0.25">
      <c r="A1628" s="10"/>
      <c r="O1628" s="11"/>
      <c r="P1628" s="11"/>
      <c r="Q1628" s="11"/>
      <c r="R1628" s="11"/>
      <c r="S1628" s="11"/>
      <c r="T1628" s="11"/>
      <c r="U1628" s="11"/>
      <c r="W1628" s="11"/>
      <c r="Z1628" s="11"/>
      <c r="AB1628" s="11"/>
      <c r="AF1628" s="11"/>
      <c r="AM1628" s="11"/>
      <c r="AT1628" s="9"/>
      <c r="AU1628" s="9"/>
    </row>
    <row r="1629" spans="1:47" ht="15" x14ac:dyDescent="0.25">
      <c r="A1629" s="10"/>
      <c r="O1629" s="11"/>
      <c r="P1629" s="11"/>
      <c r="Q1629" s="11"/>
      <c r="R1629" s="11"/>
      <c r="S1629" s="11"/>
      <c r="T1629" s="11"/>
      <c r="U1629" s="11"/>
      <c r="W1629" s="11"/>
      <c r="Z1629" s="11"/>
      <c r="AB1629" s="11"/>
      <c r="AF1629" s="11"/>
      <c r="AM1629" s="11"/>
      <c r="AT1629" s="9"/>
      <c r="AU1629" s="9"/>
    </row>
    <row r="1630" spans="1:47" ht="15" x14ac:dyDescent="0.25">
      <c r="A1630" s="10"/>
      <c r="O1630" s="11"/>
      <c r="P1630" s="11"/>
      <c r="Q1630" s="11"/>
      <c r="R1630" s="11"/>
      <c r="S1630" s="11"/>
      <c r="T1630" s="11"/>
      <c r="U1630" s="11"/>
      <c r="W1630" s="11"/>
      <c r="Z1630" s="11"/>
      <c r="AB1630" s="11"/>
      <c r="AF1630" s="11"/>
      <c r="AM1630" s="11"/>
      <c r="AT1630" s="9"/>
      <c r="AU1630" s="9"/>
    </row>
    <row r="1631" spans="1:47" ht="15" x14ac:dyDescent="0.25">
      <c r="A1631" s="10"/>
      <c r="O1631" s="11"/>
      <c r="P1631" s="11"/>
      <c r="Q1631" s="11"/>
      <c r="R1631" s="11"/>
      <c r="S1631" s="11"/>
      <c r="T1631" s="11"/>
      <c r="U1631" s="11"/>
      <c r="W1631" s="11"/>
      <c r="Z1631" s="11"/>
      <c r="AB1631" s="11"/>
      <c r="AF1631" s="11"/>
      <c r="AM1631" s="11"/>
      <c r="AT1631" s="9"/>
      <c r="AU1631" s="9"/>
    </row>
    <row r="1632" spans="1:47" ht="15" x14ac:dyDescent="0.25">
      <c r="A1632" s="10"/>
      <c r="O1632" s="11"/>
      <c r="P1632" s="11"/>
      <c r="Q1632" s="11"/>
      <c r="R1632" s="11"/>
      <c r="S1632" s="11"/>
      <c r="T1632" s="11"/>
      <c r="U1632" s="11"/>
      <c r="W1632" s="11"/>
      <c r="Z1632" s="11"/>
      <c r="AB1632" s="11"/>
      <c r="AF1632" s="11"/>
      <c r="AM1632" s="11"/>
      <c r="AT1632" s="9"/>
      <c r="AU1632" s="9"/>
    </row>
    <row r="1633" spans="1:49" ht="15" x14ac:dyDescent="0.25">
      <c r="A1633" s="10"/>
      <c r="O1633" s="11"/>
      <c r="P1633" s="11"/>
      <c r="Q1633" s="11"/>
      <c r="R1633" s="11"/>
      <c r="S1633" s="11"/>
      <c r="U1633" s="11"/>
      <c r="V1633" s="11"/>
      <c r="W1633" s="11"/>
      <c r="X1633" s="11"/>
      <c r="Y1633" s="11"/>
      <c r="Z1633" s="11"/>
      <c r="AA1633" s="11"/>
      <c r="AB1633" s="11"/>
      <c r="AC1633" s="11"/>
      <c r="AM1633" s="11"/>
      <c r="AN1633" s="11"/>
      <c r="AO1633" s="11"/>
      <c r="AV1633" s="9"/>
      <c r="AW1633" s="9"/>
    </row>
    <row r="1634" spans="1:49" ht="15" x14ac:dyDescent="0.25">
      <c r="A1634" s="10"/>
    </row>
    <row r="1635" spans="1:49" ht="15" x14ac:dyDescent="0.25">
      <c r="A1635" s="10"/>
    </row>
    <row r="1636" spans="1:49" ht="15" x14ac:dyDescent="0.25">
      <c r="A1636" s="10"/>
    </row>
    <row r="1637" spans="1:49" ht="15" x14ac:dyDescent="0.25">
      <c r="A1637" s="10"/>
    </row>
    <row r="1638" spans="1:49" ht="15" x14ac:dyDescent="0.25">
      <c r="A1638" s="10"/>
    </row>
    <row r="1639" spans="1:49" ht="15" x14ac:dyDescent="0.25">
      <c r="A1639" s="10"/>
    </row>
    <row r="1640" spans="1:49" ht="15" x14ac:dyDescent="0.25">
      <c r="A1640" s="10"/>
    </row>
    <row r="1641" spans="1:49" ht="15" x14ac:dyDescent="0.25">
      <c r="A1641" s="10"/>
    </row>
    <row r="1642" spans="1:49" ht="15" x14ac:dyDescent="0.25">
      <c r="A1642" s="10"/>
    </row>
    <row r="1643" spans="1:49" ht="15" x14ac:dyDescent="0.25">
      <c r="A1643" s="10"/>
    </row>
    <row r="1644" spans="1:49" ht="15" x14ac:dyDescent="0.25">
      <c r="A1644" s="10"/>
    </row>
    <row r="1645" spans="1:49" ht="15" x14ac:dyDescent="0.25">
      <c r="A1645" s="10"/>
    </row>
    <row r="1646" spans="1:49" ht="15" x14ac:dyDescent="0.25">
      <c r="A1646" s="10"/>
    </row>
    <row r="1647" spans="1:49" ht="15" x14ac:dyDescent="0.25">
      <c r="A1647" s="10"/>
    </row>
    <row r="1648" spans="1:49" ht="15" x14ac:dyDescent="0.25">
      <c r="A1648" s="10"/>
    </row>
    <row r="1649" spans="1:1" ht="15" x14ac:dyDescent="0.25">
      <c r="A1649" s="10"/>
    </row>
    <row r="1650" spans="1:1" ht="15" x14ac:dyDescent="0.25">
      <c r="A1650" s="10"/>
    </row>
    <row r="1651" spans="1:1" ht="15" x14ac:dyDescent="0.25">
      <c r="A1651" s="10"/>
    </row>
    <row r="1652" spans="1:1" ht="15" x14ac:dyDescent="0.25">
      <c r="A1652" s="10"/>
    </row>
    <row r="1653" spans="1:1" ht="15" x14ac:dyDescent="0.25">
      <c r="A1653" s="10"/>
    </row>
    <row r="1654" spans="1:1" ht="15" x14ac:dyDescent="0.25">
      <c r="A1654" s="10"/>
    </row>
    <row r="1655" spans="1:1" ht="15" x14ac:dyDescent="0.25">
      <c r="A1655" s="10"/>
    </row>
    <row r="1656" spans="1:1" ht="15" x14ac:dyDescent="0.25">
      <c r="A1656" s="10"/>
    </row>
    <row r="1657" spans="1:1" ht="15" x14ac:dyDescent="0.25">
      <c r="A1657" s="10"/>
    </row>
    <row r="1658" spans="1:1" ht="15" x14ac:dyDescent="0.25">
      <c r="A1658" s="10"/>
    </row>
    <row r="1659" spans="1:1" ht="15" x14ac:dyDescent="0.25">
      <c r="A1659" s="10"/>
    </row>
    <row r="1660" spans="1:1" ht="15" x14ac:dyDescent="0.25">
      <c r="A1660" s="10"/>
    </row>
    <row r="1661" spans="1:1" ht="15" x14ac:dyDescent="0.25">
      <c r="A1661" s="10"/>
    </row>
    <row r="1662" spans="1:1" ht="15" x14ac:dyDescent="0.25">
      <c r="A1662" s="10"/>
    </row>
    <row r="1663" spans="1:1" ht="15" x14ac:dyDescent="0.25">
      <c r="A1663" s="10"/>
    </row>
    <row r="1664" spans="1:1" ht="15" x14ac:dyDescent="0.25">
      <c r="A1664" s="10"/>
    </row>
    <row r="1665" spans="1:1" ht="15" x14ac:dyDescent="0.25">
      <c r="A1665" s="10"/>
    </row>
    <row r="1666" spans="1:1" ht="15" x14ac:dyDescent="0.25">
      <c r="A1666" s="10"/>
    </row>
    <row r="1667" spans="1:1" ht="15" x14ac:dyDescent="0.25">
      <c r="A1667" s="10"/>
    </row>
    <row r="1668" spans="1:1" ht="15" x14ac:dyDescent="0.25">
      <c r="A1668" s="10"/>
    </row>
    <row r="1669" spans="1:1" ht="15" x14ac:dyDescent="0.25">
      <c r="A1669" s="10"/>
    </row>
    <row r="1670" spans="1:1" ht="15" x14ac:dyDescent="0.25">
      <c r="A1670" s="10"/>
    </row>
    <row r="1671" spans="1:1" ht="15" x14ac:dyDescent="0.25">
      <c r="A1671" s="10"/>
    </row>
    <row r="1672" spans="1:1" ht="15" x14ac:dyDescent="0.25">
      <c r="A1672" s="10"/>
    </row>
    <row r="1673" spans="1:1" ht="15" x14ac:dyDescent="0.25">
      <c r="A1673" s="10"/>
    </row>
    <row r="1674" spans="1:1" ht="15" x14ac:dyDescent="0.25">
      <c r="A1674" s="10"/>
    </row>
    <row r="1675" spans="1:1" ht="15" x14ac:dyDescent="0.25">
      <c r="A1675" s="10"/>
    </row>
    <row r="1676" spans="1:1" ht="15" x14ac:dyDescent="0.25">
      <c r="A1676" s="10"/>
    </row>
    <row r="1677" spans="1:1" ht="15" x14ac:dyDescent="0.25">
      <c r="A1677" s="10"/>
    </row>
    <row r="1678" spans="1:1" ht="15" x14ac:dyDescent="0.25">
      <c r="A1678" s="10"/>
    </row>
    <row r="1679" spans="1:1" ht="15" x14ac:dyDescent="0.25">
      <c r="A1679" s="10"/>
    </row>
    <row r="1680" spans="1:1" ht="15" x14ac:dyDescent="0.25">
      <c r="A1680" s="10"/>
    </row>
    <row r="1681" spans="1:1" ht="15" x14ac:dyDescent="0.25">
      <c r="A1681" s="10"/>
    </row>
    <row r="1682" spans="1:1" ht="15" x14ac:dyDescent="0.25">
      <c r="A1682" s="10"/>
    </row>
    <row r="1683" spans="1:1" ht="15" x14ac:dyDescent="0.25">
      <c r="A1683" s="10"/>
    </row>
    <row r="1684" spans="1:1" ht="15" x14ac:dyDescent="0.25">
      <c r="A1684" s="10"/>
    </row>
    <row r="1685" spans="1:1" ht="15" x14ac:dyDescent="0.25">
      <c r="A1685" s="10"/>
    </row>
    <row r="1686" spans="1:1" ht="15" x14ac:dyDescent="0.25">
      <c r="A1686" s="10"/>
    </row>
    <row r="1687" spans="1:1" ht="15" x14ac:dyDescent="0.25">
      <c r="A1687" s="10"/>
    </row>
    <row r="1688" spans="1:1" ht="15" x14ac:dyDescent="0.25">
      <c r="A1688" s="10"/>
    </row>
    <row r="1689" spans="1:1" ht="15" x14ac:dyDescent="0.25">
      <c r="A1689" s="10"/>
    </row>
    <row r="1690" spans="1:1" ht="15" x14ac:dyDescent="0.25">
      <c r="A1690" s="10"/>
    </row>
    <row r="1691" spans="1:1" ht="15" x14ac:dyDescent="0.25">
      <c r="A1691" s="10"/>
    </row>
    <row r="1692" spans="1:1" ht="15" x14ac:dyDescent="0.25">
      <c r="A1692" s="10"/>
    </row>
    <row r="1693" spans="1:1" ht="15" x14ac:dyDescent="0.25">
      <c r="A1693" s="10"/>
    </row>
    <row r="1694" spans="1:1" ht="15" x14ac:dyDescent="0.25">
      <c r="A1694" s="10"/>
    </row>
    <row r="1695" spans="1:1" ht="15" x14ac:dyDescent="0.25">
      <c r="A1695" s="10"/>
    </row>
    <row r="1696" spans="1:1" ht="15" x14ac:dyDescent="0.25">
      <c r="A1696" s="10"/>
    </row>
    <row r="1697" spans="1:1" ht="15" x14ac:dyDescent="0.25">
      <c r="A1697" s="10"/>
    </row>
    <row r="1698" spans="1:1" ht="15" x14ac:dyDescent="0.25">
      <c r="A1698" s="10"/>
    </row>
    <row r="1699" spans="1:1" ht="15" x14ac:dyDescent="0.25">
      <c r="A1699" s="10"/>
    </row>
    <row r="1700" spans="1:1" ht="15" x14ac:dyDescent="0.25">
      <c r="A1700" s="10"/>
    </row>
    <row r="1701" spans="1:1" ht="15" x14ac:dyDescent="0.25">
      <c r="A1701" s="10"/>
    </row>
    <row r="1702" spans="1:1" ht="15" x14ac:dyDescent="0.25">
      <c r="A1702" s="10"/>
    </row>
    <row r="1703" spans="1:1" ht="15" x14ac:dyDescent="0.25">
      <c r="A1703" s="10"/>
    </row>
    <row r="1704" spans="1:1" ht="15" x14ac:dyDescent="0.25">
      <c r="A1704" s="10"/>
    </row>
    <row r="1705" spans="1:1" ht="15" x14ac:dyDescent="0.25">
      <c r="A1705" s="10"/>
    </row>
    <row r="1706" spans="1:1" ht="15" x14ac:dyDescent="0.25">
      <c r="A1706" s="10"/>
    </row>
    <row r="1707" spans="1:1" ht="15" x14ac:dyDescent="0.25">
      <c r="A1707" s="10"/>
    </row>
    <row r="1708" spans="1:1" ht="15" x14ac:dyDescent="0.25">
      <c r="A1708" s="10"/>
    </row>
    <row r="1709" spans="1:1" ht="15" x14ac:dyDescent="0.25">
      <c r="A1709" s="10"/>
    </row>
    <row r="1710" spans="1:1" ht="15" x14ac:dyDescent="0.25">
      <c r="A1710" s="10"/>
    </row>
    <row r="1711" spans="1:1" ht="15" x14ac:dyDescent="0.25">
      <c r="A1711" s="10"/>
    </row>
    <row r="1712" spans="1:1" ht="15" x14ac:dyDescent="0.25">
      <c r="A1712" s="10"/>
    </row>
    <row r="1713" spans="1:1" ht="15" x14ac:dyDescent="0.25">
      <c r="A1713" s="10"/>
    </row>
    <row r="1714" spans="1:1" ht="15" x14ac:dyDescent="0.25">
      <c r="A1714" s="10"/>
    </row>
    <row r="1715" spans="1:1" ht="15" x14ac:dyDescent="0.25">
      <c r="A1715" s="10"/>
    </row>
    <row r="1716" spans="1:1" ht="15" x14ac:dyDescent="0.25">
      <c r="A1716" s="10"/>
    </row>
    <row r="1717" spans="1:1" ht="15" x14ac:dyDescent="0.25">
      <c r="A1717" s="10"/>
    </row>
    <row r="1718" spans="1:1" ht="15" x14ac:dyDescent="0.25">
      <c r="A1718" s="10"/>
    </row>
    <row r="1719" spans="1:1" ht="15" x14ac:dyDescent="0.25">
      <c r="A1719" s="10"/>
    </row>
    <row r="1720" spans="1:1" ht="15" x14ac:dyDescent="0.25">
      <c r="A1720" s="10"/>
    </row>
    <row r="1721" spans="1:1" ht="15" x14ac:dyDescent="0.25">
      <c r="A1721" s="10"/>
    </row>
    <row r="1722" spans="1:1" ht="15" x14ac:dyDescent="0.25">
      <c r="A1722" s="10"/>
    </row>
    <row r="1723" spans="1:1" ht="15" x14ac:dyDescent="0.25">
      <c r="A1723" s="10"/>
    </row>
    <row r="1724" spans="1:1" ht="15" x14ac:dyDescent="0.25">
      <c r="A1724" s="10"/>
    </row>
    <row r="1725" spans="1:1" ht="15" x14ac:dyDescent="0.25">
      <c r="A1725" s="10"/>
    </row>
    <row r="1726" spans="1:1" ht="15" x14ac:dyDescent="0.25">
      <c r="A1726" s="10"/>
    </row>
    <row r="1727" spans="1:1" ht="15" x14ac:dyDescent="0.25">
      <c r="A1727" s="10"/>
    </row>
    <row r="1728" spans="1:1" ht="15" x14ac:dyDescent="0.25">
      <c r="A1728" s="10"/>
    </row>
    <row r="1729" spans="1:1" ht="15" x14ac:dyDescent="0.25">
      <c r="A1729" s="10"/>
    </row>
    <row r="1730" spans="1:1" ht="15" x14ac:dyDescent="0.25">
      <c r="A1730" s="10"/>
    </row>
    <row r="1731" spans="1:1" ht="15" x14ac:dyDescent="0.25">
      <c r="A1731" s="10"/>
    </row>
    <row r="1732" spans="1:1" ht="15" x14ac:dyDescent="0.25">
      <c r="A1732" s="10"/>
    </row>
    <row r="1733" spans="1:1" ht="15" x14ac:dyDescent="0.25">
      <c r="A1733" s="10"/>
    </row>
    <row r="1734" spans="1:1" ht="15" x14ac:dyDescent="0.25">
      <c r="A1734" s="10"/>
    </row>
    <row r="1735" spans="1:1" ht="15" x14ac:dyDescent="0.25">
      <c r="A1735" s="10"/>
    </row>
    <row r="1736" spans="1:1" ht="15" x14ac:dyDescent="0.25">
      <c r="A1736" s="10"/>
    </row>
    <row r="1737" spans="1:1" ht="15" x14ac:dyDescent="0.25">
      <c r="A1737" s="10"/>
    </row>
    <row r="1738" spans="1:1" ht="15" x14ac:dyDescent="0.25">
      <c r="A1738" s="10"/>
    </row>
    <row r="1739" spans="1:1" ht="15" x14ac:dyDescent="0.25">
      <c r="A1739" s="10"/>
    </row>
    <row r="1740" spans="1:1" ht="15" x14ac:dyDescent="0.25">
      <c r="A1740" s="10"/>
    </row>
    <row r="1741" spans="1:1" ht="15" x14ac:dyDescent="0.25">
      <c r="A1741" s="10"/>
    </row>
    <row r="1742" spans="1:1" ht="15" x14ac:dyDescent="0.25">
      <c r="A1742" s="10"/>
    </row>
    <row r="1743" spans="1:1" ht="15" x14ac:dyDescent="0.25">
      <c r="A1743" s="10"/>
    </row>
    <row r="1744" spans="1:1" ht="15" x14ac:dyDescent="0.25">
      <c r="A1744" s="10"/>
    </row>
    <row r="1745" spans="1:1" ht="15" x14ac:dyDescent="0.25">
      <c r="A1745" s="10"/>
    </row>
    <row r="1746" spans="1:1" ht="15" x14ac:dyDescent="0.25">
      <c r="A1746" s="10"/>
    </row>
    <row r="1747" spans="1:1" ht="15" x14ac:dyDescent="0.25">
      <c r="A1747" s="10"/>
    </row>
    <row r="1748" spans="1:1" ht="15" x14ac:dyDescent="0.25">
      <c r="A1748" s="10"/>
    </row>
    <row r="1749" spans="1:1" ht="15" x14ac:dyDescent="0.25">
      <c r="A1749" s="10"/>
    </row>
    <row r="1750" spans="1:1" ht="15" x14ac:dyDescent="0.25">
      <c r="A1750" s="10"/>
    </row>
    <row r="1751" spans="1:1" ht="15" x14ac:dyDescent="0.25">
      <c r="A1751" s="10"/>
    </row>
    <row r="1752" spans="1:1" ht="15" x14ac:dyDescent="0.25">
      <c r="A1752" s="10"/>
    </row>
    <row r="1753" spans="1:1" ht="15" x14ac:dyDescent="0.25">
      <c r="A1753" s="10"/>
    </row>
    <row r="1754" spans="1:1" ht="15" x14ac:dyDescent="0.25">
      <c r="A1754" s="10"/>
    </row>
    <row r="1755" spans="1:1" ht="15" x14ac:dyDescent="0.25">
      <c r="A1755" s="10"/>
    </row>
    <row r="1756" spans="1:1" ht="15" x14ac:dyDescent="0.25">
      <c r="A1756" s="10"/>
    </row>
    <row r="1757" spans="1:1" ht="15" x14ac:dyDescent="0.25">
      <c r="A1757" s="10"/>
    </row>
    <row r="1758" spans="1:1" ht="15" x14ac:dyDescent="0.25">
      <c r="A1758" s="10"/>
    </row>
    <row r="1759" spans="1:1" ht="15" x14ac:dyDescent="0.25">
      <c r="A1759" s="10"/>
    </row>
    <row r="1760" spans="1:1" ht="15" x14ac:dyDescent="0.25">
      <c r="A1760" s="10"/>
    </row>
    <row r="1761" spans="1:1" ht="15" x14ac:dyDescent="0.25">
      <c r="A1761" s="10"/>
    </row>
    <row r="1762" spans="1:1" ht="15" x14ac:dyDescent="0.25">
      <c r="A1762" s="10"/>
    </row>
    <row r="1763" spans="1:1" ht="15" x14ac:dyDescent="0.25">
      <c r="A1763" s="10"/>
    </row>
    <row r="1764" spans="1:1" ht="15" x14ac:dyDescent="0.25">
      <c r="A1764" s="10"/>
    </row>
    <row r="1765" spans="1:1" ht="15" x14ac:dyDescent="0.25">
      <c r="A1765" s="10"/>
    </row>
    <row r="1766" spans="1:1" ht="15" x14ac:dyDescent="0.25">
      <c r="A1766" s="10"/>
    </row>
    <row r="1767" spans="1:1" ht="15" x14ac:dyDescent="0.25">
      <c r="A1767" s="10"/>
    </row>
    <row r="1768" spans="1:1" ht="15" x14ac:dyDescent="0.25">
      <c r="A1768" s="10"/>
    </row>
    <row r="1769" spans="1:1" ht="15" x14ac:dyDescent="0.25">
      <c r="A1769" s="10"/>
    </row>
    <row r="1770" spans="1:1" ht="15" x14ac:dyDescent="0.25">
      <c r="A1770" s="10"/>
    </row>
    <row r="1771" spans="1:1" ht="15" x14ac:dyDescent="0.25">
      <c r="A1771" s="10"/>
    </row>
    <row r="1772" spans="1:1" ht="15" x14ac:dyDescent="0.25">
      <c r="A1772" s="10"/>
    </row>
    <row r="1773" spans="1:1" ht="15" x14ac:dyDescent="0.25">
      <c r="A1773" s="10"/>
    </row>
    <row r="1774" spans="1:1" ht="15" x14ac:dyDescent="0.25">
      <c r="A1774" s="10"/>
    </row>
    <row r="1775" spans="1:1" ht="15" x14ac:dyDescent="0.25">
      <c r="A1775" s="10"/>
    </row>
    <row r="1776" spans="1:1" ht="15" x14ac:dyDescent="0.25">
      <c r="A1776" s="10"/>
    </row>
    <row r="1777" spans="1:1" ht="15" x14ac:dyDescent="0.25">
      <c r="A1777" s="10"/>
    </row>
    <row r="1778" spans="1:1" ht="15" x14ac:dyDescent="0.25">
      <c r="A1778" s="10"/>
    </row>
    <row r="1779" spans="1:1" ht="15" x14ac:dyDescent="0.25">
      <c r="A1779" s="10"/>
    </row>
    <row r="1780" spans="1:1" ht="15" x14ac:dyDescent="0.25">
      <c r="A1780" s="10"/>
    </row>
    <row r="1781" spans="1:1" ht="15" x14ac:dyDescent="0.25">
      <c r="A1781" s="10"/>
    </row>
    <row r="1782" spans="1:1" ht="15" x14ac:dyDescent="0.25">
      <c r="A1782" s="10"/>
    </row>
    <row r="1783" spans="1:1" ht="15" x14ac:dyDescent="0.25">
      <c r="A1783" s="10"/>
    </row>
    <row r="1784" spans="1:1" ht="15" x14ac:dyDescent="0.25">
      <c r="A1784" s="10"/>
    </row>
    <row r="1785" spans="1:1" ht="15" x14ac:dyDescent="0.25">
      <c r="A1785" s="10"/>
    </row>
    <row r="1786" spans="1:1" ht="15" x14ac:dyDescent="0.25">
      <c r="A1786" s="10"/>
    </row>
    <row r="1787" spans="1:1" ht="15" x14ac:dyDescent="0.25">
      <c r="A1787" s="10"/>
    </row>
    <row r="1788" spans="1:1" ht="15" x14ac:dyDescent="0.25">
      <c r="A1788" s="10"/>
    </row>
    <row r="1789" spans="1:1" ht="15" x14ac:dyDescent="0.25">
      <c r="A1789" s="10"/>
    </row>
    <row r="1790" spans="1:1" ht="15" x14ac:dyDescent="0.25">
      <c r="A1790" s="10"/>
    </row>
    <row r="1791" spans="1:1" ht="15" x14ac:dyDescent="0.25">
      <c r="A1791" s="10"/>
    </row>
    <row r="1792" spans="1:1" ht="15" x14ac:dyDescent="0.25">
      <c r="A1792" s="10"/>
    </row>
    <row r="1793" spans="1:1" ht="15" x14ac:dyDescent="0.25">
      <c r="A1793" s="10"/>
    </row>
    <row r="1794" spans="1:1" ht="15" x14ac:dyDescent="0.25">
      <c r="A1794" s="10"/>
    </row>
    <row r="1795" spans="1:1" ht="15" x14ac:dyDescent="0.25">
      <c r="A1795" s="10"/>
    </row>
    <row r="1796" spans="1:1" ht="15" x14ac:dyDescent="0.25">
      <c r="A1796" s="10"/>
    </row>
    <row r="1797" spans="1:1" ht="15" x14ac:dyDescent="0.25">
      <c r="A1797" s="10"/>
    </row>
    <row r="1798" spans="1:1" ht="15" x14ac:dyDescent="0.25">
      <c r="A1798" s="10"/>
    </row>
    <row r="1799" spans="1:1" ht="15" x14ac:dyDescent="0.25">
      <c r="A1799" s="10"/>
    </row>
    <row r="1800" spans="1:1" ht="15" x14ac:dyDescent="0.25">
      <c r="A1800" s="10"/>
    </row>
    <row r="1801" spans="1:1" ht="15" x14ac:dyDescent="0.25">
      <c r="A1801" s="10"/>
    </row>
    <row r="1802" spans="1:1" ht="15" x14ac:dyDescent="0.25">
      <c r="A1802" s="10"/>
    </row>
    <row r="1803" spans="1:1" ht="15" x14ac:dyDescent="0.25">
      <c r="A1803" s="10"/>
    </row>
    <row r="1804" spans="1:1" ht="15" x14ac:dyDescent="0.25">
      <c r="A1804" s="10"/>
    </row>
    <row r="1805" spans="1:1" ht="15" x14ac:dyDescent="0.25">
      <c r="A1805" s="10"/>
    </row>
    <row r="1806" spans="1:1" ht="15" x14ac:dyDescent="0.25">
      <c r="A1806" s="10"/>
    </row>
    <row r="1807" spans="1:1" ht="15" x14ac:dyDescent="0.25">
      <c r="A1807" s="10"/>
    </row>
    <row r="1808" spans="1:1" ht="15" x14ac:dyDescent="0.25">
      <c r="A1808" s="10"/>
    </row>
    <row r="1809" spans="1:1" ht="15" x14ac:dyDescent="0.25">
      <c r="A1809" s="10"/>
    </row>
    <row r="1810" spans="1:1" ht="15" x14ac:dyDescent="0.25">
      <c r="A1810" s="10"/>
    </row>
    <row r="1811" spans="1:1" ht="15" x14ac:dyDescent="0.25">
      <c r="A1811" s="10"/>
    </row>
    <row r="1812" spans="1:1" ht="15" x14ac:dyDescent="0.25">
      <c r="A1812" s="10"/>
    </row>
    <row r="1813" spans="1:1" ht="15" x14ac:dyDescent="0.25">
      <c r="A1813" s="10"/>
    </row>
    <row r="1814" spans="1:1" ht="15" x14ac:dyDescent="0.25">
      <c r="A1814" s="10"/>
    </row>
    <row r="1815" spans="1:1" ht="15" x14ac:dyDescent="0.25">
      <c r="A1815" s="10"/>
    </row>
    <row r="1816" spans="1:1" ht="15" x14ac:dyDescent="0.25">
      <c r="A1816" s="10"/>
    </row>
    <row r="1817" spans="1:1" ht="15" x14ac:dyDescent="0.25">
      <c r="A1817" s="10"/>
    </row>
    <row r="1818" spans="1:1" ht="15" x14ac:dyDescent="0.25">
      <c r="A1818" s="10"/>
    </row>
    <row r="1819" spans="1:1" ht="15" x14ac:dyDescent="0.25">
      <c r="A1819" s="10"/>
    </row>
    <row r="1820" spans="1:1" ht="15" x14ac:dyDescent="0.25">
      <c r="A1820" s="10"/>
    </row>
    <row r="1821" spans="1:1" ht="15" x14ac:dyDescent="0.25">
      <c r="A1821" s="10"/>
    </row>
    <row r="1822" spans="1:1" ht="15" x14ac:dyDescent="0.25">
      <c r="A1822" s="10"/>
    </row>
    <row r="1823" spans="1:1" ht="15" x14ac:dyDescent="0.25">
      <c r="A1823" s="10"/>
    </row>
    <row r="1824" spans="1:1" ht="15" x14ac:dyDescent="0.25">
      <c r="A1824" s="10"/>
    </row>
    <row r="1825" spans="1:1" ht="15" x14ac:dyDescent="0.25">
      <c r="A1825" s="10"/>
    </row>
    <row r="1826" spans="1:1" ht="15" x14ac:dyDescent="0.25">
      <c r="A1826" s="10"/>
    </row>
    <row r="1827" spans="1:1" ht="15" x14ac:dyDescent="0.25">
      <c r="A1827" s="10"/>
    </row>
    <row r="1828" spans="1:1" ht="15" x14ac:dyDescent="0.25">
      <c r="A1828" s="10"/>
    </row>
    <row r="1829" spans="1:1" ht="15" x14ac:dyDescent="0.25">
      <c r="A1829" s="10"/>
    </row>
    <row r="1830" spans="1:1" ht="15" x14ac:dyDescent="0.25">
      <c r="A1830" s="10"/>
    </row>
    <row r="1831" spans="1:1" ht="15" x14ac:dyDescent="0.25">
      <c r="A1831" s="10"/>
    </row>
    <row r="1832" spans="1:1" ht="15" x14ac:dyDescent="0.25">
      <c r="A1832" s="10"/>
    </row>
    <row r="1833" spans="1:1" ht="15" x14ac:dyDescent="0.25">
      <c r="A1833" s="10"/>
    </row>
    <row r="1834" spans="1:1" ht="15" x14ac:dyDescent="0.25">
      <c r="A1834" s="10"/>
    </row>
    <row r="1835" spans="1:1" ht="15" x14ac:dyDescent="0.25">
      <c r="A1835" s="10"/>
    </row>
    <row r="1836" spans="1:1" ht="15" x14ac:dyDescent="0.25">
      <c r="A1836" s="10"/>
    </row>
    <row r="1837" spans="1:1" ht="15" x14ac:dyDescent="0.25">
      <c r="A1837" s="10"/>
    </row>
    <row r="1838" spans="1:1" ht="15" x14ac:dyDescent="0.25">
      <c r="A1838" s="10"/>
    </row>
    <row r="1839" spans="1:1" ht="15" x14ac:dyDescent="0.25">
      <c r="A1839" s="10"/>
    </row>
    <row r="1840" spans="1:1" ht="15" x14ac:dyDescent="0.25">
      <c r="A1840" s="10"/>
    </row>
    <row r="1841" spans="1:1" ht="15" x14ac:dyDescent="0.25">
      <c r="A1841" s="10"/>
    </row>
    <row r="1842" spans="1:1" ht="15" x14ac:dyDescent="0.25">
      <c r="A1842" s="10"/>
    </row>
    <row r="1843" spans="1:1" ht="15" x14ac:dyDescent="0.25">
      <c r="A1843" s="10"/>
    </row>
    <row r="1844" spans="1:1" ht="15" x14ac:dyDescent="0.25">
      <c r="A1844" s="10"/>
    </row>
    <row r="1845" spans="1:1" ht="15" x14ac:dyDescent="0.25">
      <c r="A1845" s="10"/>
    </row>
    <row r="1846" spans="1:1" ht="15" x14ac:dyDescent="0.25">
      <c r="A1846" s="10"/>
    </row>
    <row r="1847" spans="1:1" ht="15" x14ac:dyDescent="0.25">
      <c r="A1847" s="10"/>
    </row>
    <row r="1848" spans="1:1" ht="15" x14ac:dyDescent="0.25">
      <c r="A1848" s="10"/>
    </row>
    <row r="1849" spans="1:1" ht="15" x14ac:dyDescent="0.25">
      <c r="A1849" s="10"/>
    </row>
    <row r="1850" spans="1:1" ht="15" x14ac:dyDescent="0.25">
      <c r="A1850" s="10"/>
    </row>
    <row r="1851" spans="1:1" ht="15" x14ac:dyDescent="0.25">
      <c r="A1851" s="10"/>
    </row>
    <row r="1852" spans="1:1" ht="15" x14ac:dyDescent="0.25">
      <c r="A1852" s="10"/>
    </row>
    <row r="1853" spans="1:1" ht="15" x14ac:dyDescent="0.25">
      <c r="A1853" s="10"/>
    </row>
    <row r="1854" spans="1:1" ht="15" x14ac:dyDescent="0.25">
      <c r="A1854" s="10"/>
    </row>
    <row r="1855" spans="1:1" ht="15" x14ac:dyDescent="0.25">
      <c r="A1855" s="10"/>
    </row>
    <row r="1856" spans="1:1" ht="15" x14ac:dyDescent="0.25">
      <c r="A1856" s="10"/>
    </row>
    <row r="1857" spans="1:14" ht="15" x14ac:dyDescent="0.25">
      <c r="A1857" s="10"/>
      <c r="B1857" s="10"/>
      <c r="N1857" s="10"/>
    </row>
    <row r="1858" spans="1:14" ht="15" x14ac:dyDescent="0.25">
      <c r="A1858" s="10"/>
      <c r="B1858" s="10"/>
      <c r="H1858" s="10"/>
      <c r="I1858" s="10"/>
      <c r="J1858" s="10"/>
      <c r="K1858" s="10"/>
      <c r="L1858" s="10"/>
      <c r="M1858" s="10"/>
      <c r="N1858" s="10"/>
    </row>
    <row r="1859" spans="1:14" ht="15" x14ac:dyDescent="0.25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</row>
    <row r="1860" spans="1:14" ht="15" x14ac:dyDescent="0.25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</row>
    <row r="1861" spans="1:14" ht="15" x14ac:dyDescent="0.25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</row>
    <row r="1862" spans="1:14" ht="15" x14ac:dyDescent="0.25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</row>
    <row r="1863" spans="1:14" ht="15" x14ac:dyDescent="0.25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</row>
    <row r="1864" spans="1:14" ht="15" x14ac:dyDescent="0.25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</row>
    <row r="1865" spans="1:14" ht="15" x14ac:dyDescent="0.25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</row>
    <row r="1866" spans="1:14" ht="15" x14ac:dyDescent="0.25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</row>
    <row r="1867" spans="1:14" ht="15" x14ac:dyDescent="0.25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</row>
    <row r="1868" spans="1:14" ht="15" x14ac:dyDescent="0.25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6"/>
    </row>
    <row r="1869" spans="1:14" ht="15" x14ac:dyDescent="0.25">
      <c r="A1869" s="10"/>
      <c r="B1869" s="10"/>
      <c r="C1869" s="10"/>
      <c r="D1869" s="10"/>
      <c r="E1869" s="10"/>
      <c r="F1869" s="10"/>
      <c r="G1869" s="10"/>
      <c r="H1869" s="16"/>
      <c r="I1869" s="16"/>
      <c r="J1869" s="16"/>
      <c r="K1869" s="16"/>
      <c r="L1869" s="16"/>
      <c r="M1869" s="16"/>
      <c r="N1869" s="16"/>
    </row>
    <row r="1870" spans="1:14" ht="15" x14ac:dyDescent="0.25">
      <c r="A1870" s="10"/>
      <c r="B1870" s="10"/>
      <c r="C1870" s="16"/>
      <c r="D1870" s="16"/>
      <c r="E1870" s="16"/>
      <c r="F1870" s="16"/>
      <c r="G1870" s="16"/>
      <c r="H1870" s="16"/>
      <c r="I1870" s="16"/>
      <c r="J1870" s="16"/>
      <c r="K1870" s="16"/>
      <c r="L1870" s="16"/>
      <c r="M1870" s="16"/>
      <c r="N1870" s="16"/>
    </row>
    <row r="1871" spans="1:14" ht="15" x14ac:dyDescent="0.25">
      <c r="A1871" s="10"/>
      <c r="B1871" s="10"/>
      <c r="C1871" s="16"/>
      <c r="D1871" s="16"/>
      <c r="E1871" s="16"/>
      <c r="F1871" s="16"/>
      <c r="G1871" s="16"/>
      <c r="H1871" s="16"/>
      <c r="I1871" s="16"/>
      <c r="J1871" s="16"/>
      <c r="K1871" s="16"/>
      <c r="L1871" s="16"/>
      <c r="M1871" s="16"/>
      <c r="N1871" s="16"/>
    </row>
    <row r="1872" spans="1:14" ht="15" x14ac:dyDescent="0.25">
      <c r="A1872" s="10"/>
      <c r="B1872" s="10"/>
      <c r="C1872" s="16"/>
      <c r="D1872" s="16"/>
      <c r="E1872" s="16"/>
      <c r="F1872" s="16"/>
      <c r="G1872" s="16"/>
      <c r="H1872" s="16"/>
      <c r="I1872" s="16"/>
      <c r="J1872" s="16"/>
      <c r="K1872" s="16"/>
      <c r="L1872" s="16"/>
      <c r="M1872" s="16"/>
      <c r="N1872" s="16"/>
    </row>
    <row r="1873" spans="1:14" ht="15" x14ac:dyDescent="0.25">
      <c r="A1873" s="10"/>
      <c r="B1873" s="10"/>
      <c r="C1873" s="16"/>
      <c r="D1873" s="16"/>
      <c r="E1873" s="16"/>
      <c r="F1873" s="16"/>
      <c r="G1873" s="16"/>
      <c r="H1873" s="16"/>
      <c r="I1873" s="16"/>
      <c r="J1873" s="16"/>
      <c r="K1873" s="16"/>
      <c r="L1873" s="16"/>
      <c r="M1873" s="16"/>
      <c r="N1873" s="10"/>
    </row>
    <row r="1874" spans="1:14" ht="15" x14ac:dyDescent="0.25">
      <c r="C1874" s="16"/>
      <c r="D1874" s="16"/>
      <c r="E1874" s="16"/>
      <c r="F1874" s="16"/>
      <c r="G1874" s="16"/>
      <c r="H1874" s="10"/>
      <c r="I1874" s="10"/>
      <c r="J1874" s="10"/>
      <c r="K1874" s="10"/>
      <c r="L1874" s="10"/>
      <c r="M1874" s="10"/>
    </row>
    <row r="1875" spans="1:14" ht="15" x14ac:dyDescent="0.25">
      <c r="C1875" s="10"/>
      <c r="D1875" s="10"/>
      <c r="E1875" s="10"/>
      <c r="F1875" s="10"/>
      <c r="G1875" s="10"/>
    </row>
  </sheetData>
  <sheetProtection selectLockedCells="1" selectUnlockedCells="1"/>
  <mergeCells count="7">
    <mergeCell ref="V61:AC61"/>
    <mergeCell ref="AE61:AL61"/>
    <mergeCell ref="A1:B1"/>
    <mergeCell ref="H1:I1"/>
    <mergeCell ref="M1:N1"/>
    <mergeCell ref="P1:Q1"/>
    <mergeCell ref="S1:T1"/>
  </mergeCell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pin Button 1">
              <controlPr defaultSize="0" autoFill="0" autoLine="0" autoPict="0">
                <anchor moveWithCells="1" sizeWithCells="1">
                  <from>
                    <xdr:col>6</xdr:col>
                    <xdr:colOff>590550</xdr:colOff>
                    <xdr:row>4</xdr:row>
                    <xdr:rowOff>28575</xdr:rowOff>
                  </from>
                  <to>
                    <xdr:col>6</xdr:col>
                    <xdr:colOff>1133475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Spinner 5">
              <controlPr defaultSize="0" autoFill="0" autoLine="0" autoPict="0">
                <anchor moveWithCells="1" sizeWithCells="1">
                  <from>
                    <xdr:col>6</xdr:col>
                    <xdr:colOff>590550</xdr:colOff>
                    <xdr:row>3</xdr:row>
                    <xdr:rowOff>9525</xdr:rowOff>
                  </from>
                  <to>
                    <xdr:col>6</xdr:col>
                    <xdr:colOff>1133475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Spinner 6">
              <controlPr defaultSize="0" autoFill="0" autoLine="0" autoPict="0">
                <anchor moveWithCells="1" sizeWithCells="1">
                  <from>
                    <xdr:col>6</xdr:col>
                    <xdr:colOff>590550</xdr:colOff>
                    <xdr:row>2</xdr:row>
                    <xdr:rowOff>0</xdr:rowOff>
                  </from>
                  <to>
                    <xdr:col>6</xdr:col>
                    <xdr:colOff>1133475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Spinner 7">
              <controlPr defaultSize="0" autoFill="0" autoLine="0" autoPict="0">
                <anchor moveWithCells="1" sizeWithCells="1">
                  <from>
                    <xdr:col>6</xdr:col>
                    <xdr:colOff>590550</xdr:colOff>
                    <xdr:row>1</xdr:row>
                    <xdr:rowOff>0</xdr:rowOff>
                  </from>
                  <to>
                    <xdr:col>6</xdr:col>
                    <xdr:colOff>1133475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8" name="Button 419">
              <controlPr defaultSize="0" print="0" autoFill="0" autoPict="0" macro="[0]!DELETE">
                <anchor moveWithCells="1" sizeWithCells="1">
                  <from>
                    <xdr:col>0</xdr:col>
                    <xdr:colOff>76200</xdr:colOff>
                    <xdr:row>27</xdr:row>
                    <xdr:rowOff>95250</xdr:rowOff>
                  </from>
                  <to>
                    <xdr:col>1</xdr:col>
                    <xdr:colOff>295275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9" name="Button 1012">
              <controlPr defaultSize="0" print="0" autoFill="0" autoPict="0" macro="[0]!LOAD_NT">
                <anchor moveWithCells="1" sizeWithCells="1">
                  <from>
                    <xdr:col>0</xdr:col>
                    <xdr:colOff>66675</xdr:colOff>
                    <xdr:row>30</xdr:row>
                    <xdr:rowOff>95250</xdr:rowOff>
                  </from>
                  <to>
                    <xdr:col>1</xdr:col>
                    <xdr:colOff>304800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07" r:id="rId10" name="Button 1299">
              <controlPr defaultSize="0" print="0" autoFill="0" autoPict="0" macro="[0]!COPY_Unc">
                <anchor moveWithCells="1" sizeWithCells="1">
                  <from>
                    <xdr:col>4</xdr:col>
                    <xdr:colOff>28575</xdr:colOff>
                    <xdr:row>16</xdr:row>
                    <xdr:rowOff>57150</xdr:rowOff>
                  </from>
                  <to>
                    <xdr:col>4</xdr:col>
                    <xdr:colOff>1028700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08" r:id="rId11" name="Button 1300">
              <controlPr defaultSize="0" print="0" autoFill="0" autoPict="0" macro="[0]!COPY_ArCa1">
                <anchor moveWithCells="1" sizeWithCells="1">
                  <from>
                    <xdr:col>5</xdr:col>
                    <xdr:colOff>47625</xdr:colOff>
                    <xdr:row>16</xdr:row>
                    <xdr:rowOff>47625</xdr:rowOff>
                  </from>
                  <to>
                    <xdr:col>5</xdr:col>
                    <xdr:colOff>1152525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"/>
  <sheetViews>
    <sheetView workbookViewId="0">
      <selection activeCell="A2" sqref="A2:V2"/>
    </sheetView>
  </sheetViews>
  <sheetFormatPr defaultRowHeight="12.75" x14ac:dyDescent="0.2"/>
  <cols>
    <col min="2" max="2" width="16" customWidth="1"/>
    <col min="3" max="3" width="14" customWidth="1"/>
    <col min="4" max="4" width="13.5703125" customWidth="1"/>
    <col min="7" max="7" width="12.42578125" customWidth="1"/>
    <col min="8" max="8" width="14.5703125" customWidth="1"/>
    <col min="10" max="10" width="11.7109375" customWidth="1"/>
    <col min="11" max="11" width="12.42578125" customWidth="1"/>
    <col min="19" max="19" width="16.5703125" customWidth="1"/>
    <col min="20" max="20" width="13" customWidth="1"/>
    <col min="21" max="21" width="12.85546875" customWidth="1"/>
    <col min="22" max="22" width="13.140625" customWidth="1"/>
  </cols>
  <sheetData>
    <row r="1" spans="1:22" ht="15" x14ac:dyDescent="0.2">
      <c r="A1" s="107" t="s">
        <v>106</v>
      </c>
      <c r="B1" s="108" t="s">
        <v>108</v>
      </c>
      <c r="C1" s="104" t="s">
        <v>30</v>
      </c>
      <c r="D1" s="100" t="s">
        <v>32</v>
      </c>
      <c r="E1" s="101" t="s">
        <v>10</v>
      </c>
      <c r="F1" s="102" t="s">
        <v>64</v>
      </c>
      <c r="G1" s="100" t="s">
        <v>37</v>
      </c>
      <c r="H1" s="100" t="s">
        <v>39</v>
      </c>
      <c r="I1" s="103" t="s">
        <v>41</v>
      </c>
      <c r="J1" s="103" t="s">
        <v>27</v>
      </c>
      <c r="K1" s="103" t="s">
        <v>28</v>
      </c>
      <c r="L1" s="100" t="s">
        <v>60</v>
      </c>
      <c r="M1" s="100" t="s">
        <v>61</v>
      </c>
      <c r="N1" s="100" t="s">
        <v>62</v>
      </c>
      <c r="O1" s="100" t="s">
        <v>63</v>
      </c>
      <c r="P1" s="100" t="s">
        <v>35</v>
      </c>
      <c r="Q1" s="100" t="s">
        <v>86</v>
      </c>
      <c r="S1" s="96" t="s">
        <v>4</v>
      </c>
      <c r="T1" s="96" t="s">
        <v>6</v>
      </c>
      <c r="U1" s="97" t="s">
        <v>8</v>
      </c>
      <c r="V1" s="97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Data</vt:lpstr>
      <vt:lpstr>Results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Lugli</dc:creator>
  <cp:lastModifiedBy>Federico Lugli</cp:lastModifiedBy>
  <dcterms:created xsi:type="dcterms:W3CDTF">2018-11-15T09:22:21Z</dcterms:created>
  <dcterms:modified xsi:type="dcterms:W3CDTF">2019-01-28T16:08:08Z</dcterms:modified>
</cp:coreProperties>
</file>